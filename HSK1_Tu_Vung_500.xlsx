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8" yWindow="-98" windowWidth="23236" windowHeight="13875" tabRatio="702" firstSheet="0" activeTab="3" autoFilterDateGrouping="1"/>
  </bookViews>
  <sheets>
    <sheet xmlns:r="http://schemas.openxmlformats.org/officeDocument/2006/relationships" name="⚙️ NHẬP VIDEO" sheetId="1" state="visible" r:id="rId1"/>
    <sheet xmlns:r="http://schemas.openxmlformats.org/officeDocument/2006/relationships" name="📋 DÁN PHỤ ĐỀ" sheetId="2" state="visible" r:id="rId2"/>
    <sheet xmlns:r="http://schemas.openxmlformats.org/officeDocument/2006/relationships" name="📚 Từ Vựng HSK" sheetId="3" state="visible" r:id="rId3"/>
    <sheet xmlns:r="http://schemas.openxmlformats.org/officeDocument/2006/relationships" name="Câu từ nguồn (NLM)" sheetId="4" state="visible" r:id="rId4"/>
    <sheet xmlns:r="http://schemas.openxmlformats.org/officeDocument/2006/relationships" name="Thống kê nguồn" sheetId="5" state="visible" r:id="rId5"/>
    <sheet xmlns:r="http://schemas.openxmlformats.org/officeDocument/2006/relationships" name="Khẩu ngữ thông dụng" sheetId="6" state="visible" r:id="rId6"/>
    <sheet xmlns:r="http://schemas.openxmlformats.org/officeDocument/2006/relationships" name="business" sheetId="7" state="visible" r:id="rId7"/>
  </sheets>
  <definedNames>
    <definedName name="_xlnm._FilterDatabase" localSheetId="2" hidden="1">'📚 Từ Vựng HSK'!$A$3:$W$1025</definedName>
    <definedName name="_xlnm._FilterDatabase" localSheetId="3" hidden="1">'Câu từ nguồn (NLM)'!$A$1:$E$3331</definedName>
    <definedName name="_xlnm._FilterDatabase" localSheetId="5" hidden="1">'Khẩu ngữ thông dụng'!$A$2:$F$502</definedName>
    <definedName name="_xlnm._FilterDatabase" localSheetId="6" hidden="1">'business'!$A$2:$H$219</definedName>
  </definedNames>
  <calcPr calcId="191029" fullCalcOnLoad="1"/>
</workbook>
</file>

<file path=xl/styles.xml><?xml version="1.0" encoding="utf-8"?>
<styleSheet xmlns="http://schemas.openxmlformats.org/spreadsheetml/2006/main">
  <numFmts count="0"/>
  <fonts count="45">
    <font>
      <name val="Calibri"/>
      <family val="2"/>
      <color theme="1"/>
      <sz val="11"/>
      <scheme val="minor"/>
    </font>
    <font>
      <name val="Arial"/>
      <b val="1"/>
      <color rgb="FFFFFFFF"/>
      <sz val="14"/>
    </font>
    <font>
      <name val="Arial"/>
      <b val="1"/>
      <color rgb="FFFFFFFF"/>
      <sz val="10"/>
    </font>
    <font>
      <name val="Arial"/>
      <b val="1"/>
      <color rgb="FFFFFFFF"/>
      <sz val="9"/>
    </font>
    <font>
      <name val="Arial"/>
      <b val="1"/>
      <color rgb="FF000000"/>
      <sz val="14"/>
    </font>
    <font>
      <name val="Arial"/>
      <color rgb="FF000000"/>
      <sz val="10"/>
    </font>
    <font>
      <name val="Arial"/>
      <color rgb="FF1565C0"/>
      <sz val="12"/>
      <u val="single"/>
    </font>
    <font>
      <name val="Arial"/>
      <color rgb="FF000000"/>
      <sz val="9"/>
    </font>
    <font>
      <name val="Arial"/>
      <family val="2"/>
      <color rgb="FF000000"/>
      <sz val="10"/>
    </font>
    <font>
      <name val="Calibri"/>
      <family val="2"/>
      <color theme="10"/>
      <sz val="11"/>
      <u val="single"/>
      <scheme val="minor"/>
    </font>
    <font>
      <name val="Arial"/>
      <color theme="1"/>
      <sz val="9"/>
    </font>
    <font>
      <name val="Arial"/>
      <color rgb="FF4E342E"/>
      <sz val="9"/>
    </font>
    <font>
      <name val="Arial"/>
      <b val="1"/>
      <color rgb="FF004D40"/>
      <sz val="9"/>
    </font>
    <font>
      <name val="Calibri"/>
      <family val="2"/>
      <b val="1"/>
      <color rgb="FFFFFFFF"/>
      <sz val="11"/>
      <scheme val="minor"/>
    </font>
    <font>
      <name val="Calibri"/>
      <family val="2"/>
      <b val="1"/>
      <color rgb="FF004D40"/>
      <sz val="9"/>
      <scheme val="minor"/>
    </font>
    <font>
      <name val="Calibri"/>
      <family val="2"/>
      <color rgb="FF1565C0"/>
      <sz val="11"/>
      <u val="single"/>
      <scheme val="minor"/>
    </font>
    <font>
      <name val="Calibri"/>
      <family val="2"/>
      <color theme="1"/>
      <sz val="14"/>
      <scheme val="minor"/>
    </font>
    <font>
      <name val="Calibri"/>
      <family val="2"/>
      <b val="1"/>
      <color rgb="FFFFFFFF"/>
      <sz val="9"/>
      <scheme val="minor"/>
    </font>
    <font>
      <name val="Arial"/>
      <color rgb="FF1B5E20"/>
      <sz val="13"/>
    </font>
    <font>
      <name val="Arial"/>
      <color rgb="FF33691E"/>
      <sz val="9"/>
    </font>
    <font>
      <name val="Calibri"/>
      <b val="1"/>
      <color rgb="FFFFFFFF"/>
      <sz val="14"/>
    </font>
    <font>
      <name val="Calibri"/>
      <b val="1"/>
      <sz val="11"/>
    </font>
    <font>
      <name val="Calibri"/>
      <i val="1"/>
      <color rgb="FF777777"/>
      <sz val="9"/>
    </font>
    <font>
      <name val="Calibri"/>
      <b val="1"/>
      <color rgb="FFFFFFFF"/>
      <sz val="12"/>
    </font>
    <font>
      <name val="Calibri"/>
      <b val="1"/>
      <color rgb="FFFFFFFF"/>
      <sz val="10"/>
    </font>
    <font>
      <name val="Calibri"/>
      <b val="1"/>
      <color rgb="FF1565C0"/>
      <sz val="9"/>
      <u val="single"/>
    </font>
    <font>
      <name val="Calibri"/>
      <color rgb="FF1565C0"/>
      <sz val="11"/>
      <u val="single"/>
    </font>
    <font>
      <name val="Calibri"/>
      <b val="1"/>
      <sz val="11"/>
    </font>
    <font>
      <name val="Calibri"/>
      <i val="1"/>
      <color rgb="FF777777"/>
      <sz val="9"/>
    </font>
    <font>
      <name val="Calibri"/>
      <b val="1"/>
      <color rgb="FFFFFFFF"/>
      <sz val="13"/>
    </font>
    <font>
      <name val="Calibri"/>
      <b val="1"/>
      <color rgb="FFEF6C00"/>
      <sz val="10"/>
    </font>
    <font>
      <name val="Calibri"/>
      <b val="1"/>
      <color rgb="FF1565C0"/>
      <sz val="9"/>
      <u val="single"/>
    </font>
    <font>
      <name val="Calibri"/>
      <color rgb="FF1565C0"/>
      <sz val="11"/>
      <u val="single"/>
    </font>
    <font>
      <name val="Calibri"/>
      <family val="2"/>
      <b val="1"/>
      <color theme="1"/>
      <sz val="11"/>
      <scheme val="minor"/>
    </font>
    <font>
      <name val="Calibri"/>
      <family val="2"/>
      <color theme="1"/>
      <sz val="20"/>
      <scheme val="minor"/>
    </font>
    <font>
      <name val="Calibri"/>
      <b val="1"/>
      <color rgb="FFFFFFFF"/>
      <sz val="11"/>
    </font>
    <font>
      <name val="Microsoft YaHei"/>
      <b val="1"/>
      <color rgb="FFFFFFFF"/>
      <sz val="11"/>
    </font>
    <font>
      <name val="Calibri"/>
      <b val="1"/>
      <sz val="11"/>
    </font>
    <font>
      <name val="Calibri"/>
      <b val="1"/>
      <color rgb="FF1B5E20"/>
      <sz val="13"/>
    </font>
    <font>
      <name val="Calibri"/>
      <i val="1"/>
      <color rgb="FF555555"/>
      <sz val="10"/>
    </font>
    <font>
      <b val="1"/>
      <color rgb="00B71C1C"/>
      <sz val="13"/>
    </font>
    <font>
      <b val="1"/>
      <color rgb="00FFFFFF"/>
      <sz val="11"/>
    </font>
    <font>
      <name val="Microsoft YaHei"/>
      <sz val="12"/>
    </font>
    <font>
      <color rgb="001155CC"/>
      <sz val="12"/>
      <u val="single"/>
    </font>
    <font>
      <b val="1"/>
      <color rgb="000D47A1"/>
      <sz val="12"/>
    </font>
  </fonts>
  <fills count="41">
    <fill>
      <patternFill/>
    </fill>
    <fill>
      <patternFill patternType="gray125"/>
    </fill>
    <fill>
      <patternFill patternType="solid">
        <fgColor rgb="FFB71C1C"/>
      </patternFill>
    </fill>
    <fill>
      <patternFill patternType="solid">
        <fgColor rgb="FFE53935"/>
      </patternFill>
    </fill>
    <fill>
      <patternFill patternType="solid">
        <fgColor rgb="FFFFCDD2"/>
      </patternFill>
    </fill>
    <fill>
      <patternFill patternType="solid">
        <fgColor rgb="FFE8F5E9"/>
      </patternFill>
    </fill>
    <fill>
      <patternFill patternType="solid">
        <fgColor rgb="FFE3F2FD"/>
      </patternFill>
    </fill>
    <fill>
      <patternFill patternType="solid">
        <fgColor rgb="FFFFFDE7"/>
      </patternFill>
    </fill>
    <fill>
      <patternFill patternType="solid">
        <fgColor rgb="FFF3E5F5"/>
      </patternFill>
    </fill>
    <fill>
      <patternFill patternType="solid">
        <fgColor rgb="FFE8EAF6"/>
      </patternFill>
    </fill>
    <fill>
      <patternFill patternType="solid">
        <fgColor rgb="FFFCE4EC"/>
      </patternFill>
    </fill>
    <fill>
      <patternFill patternType="solid">
        <fgColor rgb="FFF8BBD9"/>
      </patternFill>
    </fill>
    <fill>
      <patternFill patternType="solid">
        <fgColor rgb="FFFFF9C4"/>
      </patternFill>
    </fill>
    <fill>
      <patternFill patternType="solid">
        <fgColor rgb="FFFFFFFF"/>
      </patternFill>
    </fill>
    <fill>
      <patternFill patternType="solid">
        <fgColor rgb="FFFFEBEE"/>
      </patternFill>
    </fill>
    <fill>
      <patternFill patternType="solid">
        <fgColor rgb="FFB71C1C"/>
        <bgColor indexed="64"/>
      </patternFill>
    </fill>
    <fill>
      <patternFill patternType="solid">
        <fgColor rgb="FFFFF8E1"/>
        <bgColor indexed="64"/>
      </patternFill>
    </fill>
    <fill>
      <patternFill patternType="solid">
        <fgColor rgb="FFE0F2F1"/>
        <bgColor indexed="64"/>
      </patternFill>
    </fill>
    <fill>
      <patternFill patternType="solid">
        <fgColor rgb="FF1565C0"/>
        <bgColor indexed="64"/>
      </patternFill>
    </fill>
    <fill>
      <patternFill patternType="solid">
        <fgColor rgb="FF6A1B9A"/>
        <bgColor indexed="64"/>
      </patternFill>
    </fill>
    <fill>
      <patternFill patternType="solid">
        <fgColor rgb="FFE65100"/>
        <bgColor indexed="64"/>
      </patternFill>
    </fill>
    <fill>
      <patternFill patternType="solid">
        <fgColor rgb="FF00695C"/>
        <bgColor indexed="64"/>
      </patternFill>
    </fill>
    <fill>
      <patternFill patternType="solid">
        <fgColor rgb="FF37474F"/>
        <bgColor indexed="64"/>
      </patternFill>
    </fill>
    <fill>
      <patternFill patternType="solid">
        <fgColor rgb="FFFFFDE7"/>
        <bgColor indexed="64"/>
      </patternFill>
    </fill>
    <fill>
      <patternFill patternType="solid">
        <fgColor rgb="FFF1F8E9"/>
        <bgColor indexed="64"/>
      </patternFill>
    </fill>
    <fill>
      <patternFill patternType="solid">
        <fgColor rgb="FFB71C1C"/>
      </patternFill>
    </fill>
    <fill>
      <patternFill patternType="solid">
        <fgColor rgb="FFFFF3E0"/>
      </patternFill>
    </fill>
    <fill>
      <patternFill patternType="solid">
        <fgColor rgb="FF1565C0"/>
      </patternFill>
    </fill>
    <fill>
      <patternFill patternType="solid">
        <fgColor rgb="FF546E7A"/>
      </patternFill>
    </fill>
    <fill>
      <patternFill patternType="solid">
        <fgColor rgb="FFFFF3E0"/>
      </patternFill>
    </fill>
    <fill>
      <patternFill patternType="solid">
        <fgColor rgb="FFEF6C00"/>
      </patternFill>
    </fill>
    <fill>
      <patternFill patternType="solid">
        <fgColor rgb="FFFFFF00"/>
        <bgColor indexed="64"/>
      </patternFill>
    </fill>
    <fill>
      <patternFill patternType="solid">
        <fgColor rgb="FF2E7D32"/>
      </patternFill>
    </fill>
    <fill>
      <patternFill patternType="solid">
        <fgColor rgb="FFE8F5E9"/>
      </patternFill>
    </fill>
    <fill>
      <patternFill patternType="solid">
        <fgColor rgb="FFC8E6C9"/>
      </patternFill>
    </fill>
    <fill>
      <patternFill patternType="solid">
        <fgColor rgb="00C62828"/>
      </patternFill>
    </fill>
    <fill>
      <patternFill patternType="solid">
        <fgColor rgb="00FDECEA"/>
      </patternFill>
    </fill>
    <fill>
      <patternFill patternType="solid">
        <fgColor rgb="002E7D32"/>
      </patternFill>
    </fill>
    <fill>
      <patternFill patternType="solid">
        <fgColor rgb="00E8F5E9"/>
      </patternFill>
    </fill>
    <fill>
      <patternFill patternType="solid">
        <fgColor rgb="001565C0"/>
      </patternFill>
    </fill>
    <fill>
      <patternFill patternType="solid">
        <fgColor rgb="00E3F2FD"/>
      </patternFill>
    </fill>
  </fills>
  <borders count="12">
    <border>
      <left/>
      <right/>
      <top/>
      <bottom/>
      <diagonal/>
    </border>
    <border>
      <left style="medium">
        <color rgb="FF9E9E9E"/>
      </left>
      <right style="medium">
        <color rgb="FF9E9E9E"/>
      </right>
      <top style="medium">
        <color rgb="FF9E9E9E"/>
      </top>
      <bottom style="medium">
        <color rgb="FF9E9E9E"/>
      </bottom>
      <diagonal/>
    </border>
    <border>
      <left style="thin">
        <color rgb="FFBDBDBD"/>
      </left>
      <right style="thin">
        <color rgb="FFBDBDBD"/>
      </right>
      <top style="thin">
        <color rgb="FFBDBDBD"/>
      </top>
      <bottom style="thin">
        <color rgb="FFBDBDBD"/>
      </bottom>
      <diagonal/>
    </border>
    <border>
      <left style="medium">
        <color rgb="FF9E9E9E"/>
      </left>
      <right/>
      <top/>
      <bottom/>
      <diagonal/>
    </border>
    <border>
      <left style="thin">
        <color rgb="FFBDBDBD"/>
      </left>
      <right/>
      <top style="thin">
        <color rgb="FFBDBDBD"/>
      </top>
      <bottom style="thin">
        <color rgb="FFBDBDBD"/>
      </bottom>
      <diagonal/>
    </border>
    <border>
      <left style="medium">
        <color rgb="FFBDBDBD"/>
      </left>
      <right style="thin">
        <color rgb="FFBDBDBD"/>
      </right>
      <top style="thin">
        <color rgb="FFBDBDBD"/>
      </top>
      <bottom style="thin">
        <color rgb="FFBDBDBD"/>
      </bottom>
      <diagonal/>
    </border>
    <border>
      <left style="medium">
        <color rgb="FFBDBDBD"/>
      </left>
      <right style="medium">
        <color rgb="FFBDBDBD"/>
      </right>
      <top style="thin">
        <color rgb="FFBDBDBD"/>
      </top>
      <bottom style="thin">
        <color rgb="FFBDBDBD"/>
      </bottom>
      <diagonal/>
    </border>
    <border>
      <left style="thin">
        <color rgb="FFBDBDBD"/>
      </left>
      <right style="thin">
        <color rgb="FFBDBDBD"/>
      </right>
      <top/>
      <bottom/>
      <diagonal/>
    </border>
    <border>
      <left style="thin">
        <color rgb="FFC8E6C9"/>
      </left>
      <right style="thin">
        <color rgb="FFC8E6C9"/>
      </right>
      <top style="thin">
        <color rgb="FFC8E6C9"/>
      </top>
      <bottom style="thin">
        <color rgb="FFC8E6C9"/>
      </bottom>
      <diagonal/>
    </border>
    <border>
      <left style="thin">
        <color rgb="00F5C6CB"/>
      </left>
      <right style="thin">
        <color rgb="00F5C6CB"/>
      </right>
      <top style="thin">
        <color rgb="00F5C6CB"/>
      </top>
      <bottom style="thin">
        <color rgb="00F5C6CB"/>
      </bottom>
    </border>
    <border>
      <left style="thin">
        <color rgb="00C8C8C8"/>
      </left>
      <right style="thin">
        <color rgb="00C8C8C8"/>
      </right>
      <top style="thin">
        <color rgb="00C8C8C8"/>
      </top>
      <bottom style="thin">
        <color rgb="00C8C8C8"/>
      </bottom>
    </border>
    <border>
      <left style="thin">
        <color rgb="00BBDEFB"/>
      </left>
      <right style="thin">
        <color rgb="00BBDEFB"/>
      </right>
      <top style="thin">
        <color rgb="00BBDEFB"/>
      </top>
      <bottom style="thin">
        <color rgb="00BBDEFB"/>
      </bottom>
    </border>
  </borders>
  <cellStyleXfs count="2">
    <xf numFmtId="0" fontId="0" fillId="0" borderId="0"/>
    <xf numFmtId="0" fontId="9" fillId="0" borderId="0"/>
  </cellStyleXfs>
  <cellXfs count="127">
    <xf numFmtId="0" fontId="0" fillId="0" borderId="0" pivotButton="0" quotePrefix="0" xfId="0"/>
    <xf numFmtId="0" fontId="2" fillId="2" borderId="1" applyAlignment="1" pivotButton="0" quotePrefix="0" xfId="0">
      <alignment horizontal="center" vertical="center"/>
    </xf>
    <xf numFmtId="0" fontId="3" fillId="2" borderId="2" applyAlignment="1" pivotButton="0" quotePrefix="0" xfId="0">
      <alignment horizontal="center" vertical="center"/>
    </xf>
    <xf numFmtId="0" fontId="3" fillId="3" borderId="2" applyAlignment="1" pivotButton="0" quotePrefix="0" xfId="0">
      <alignment horizontal="center" vertical="center"/>
    </xf>
    <xf numFmtId="0" fontId="4" fillId="4" borderId="2" applyAlignment="1" pivotButton="0" quotePrefix="0" xfId="0">
      <alignment horizontal="center" vertical="center"/>
    </xf>
    <xf numFmtId="0" fontId="5" fillId="5" borderId="2" applyAlignment="1" pivotButton="0" quotePrefix="0" xfId="0">
      <alignment horizontal="center" vertical="center"/>
    </xf>
    <xf numFmtId="0" fontId="5" fillId="6" borderId="2" applyAlignment="1" pivotButton="0" quotePrefix="0" xfId="0">
      <alignment horizontal="left" vertical="center" wrapText="1"/>
    </xf>
    <xf numFmtId="0" fontId="5" fillId="7" borderId="2" applyAlignment="1" pivotButton="0" quotePrefix="0" xfId="0">
      <alignment horizontal="center" vertical="center"/>
    </xf>
    <xf numFmtId="0" fontId="5" fillId="8" borderId="2" applyAlignment="1" pivotButton="0" quotePrefix="0" xfId="0">
      <alignment horizontal="center" vertical="center"/>
    </xf>
    <xf numFmtId="0" fontId="6" fillId="9" borderId="2" applyAlignment="1" pivotButton="0" quotePrefix="0" xfId="0">
      <alignment horizontal="center" vertical="center"/>
    </xf>
    <xf numFmtId="0" fontId="5" fillId="10" borderId="2" applyAlignment="1" pivotButton="0" quotePrefix="0" xfId="0">
      <alignment horizontal="center" vertical="center"/>
    </xf>
    <xf numFmtId="0" fontId="5" fillId="11" borderId="2" applyAlignment="1" pivotButton="0" quotePrefix="0" xfId="0">
      <alignment horizontal="center" vertical="center"/>
    </xf>
    <xf numFmtId="0" fontId="7" fillId="12" borderId="2" applyAlignment="1" pivotButton="0" quotePrefix="0" xfId="0">
      <alignment horizontal="center" vertical="center"/>
    </xf>
    <xf numFmtId="0" fontId="8" fillId="7" borderId="2" applyAlignment="1" pivotButton="0" quotePrefix="0" xfId="0">
      <alignment horizontal="center" vertical="center"/>
    </xf>
    <xf numFmtId="0" fontId="11" fillId="16" borderId="0" applyAlignment="1" pivotButton="0" quotePrefix="0" xfId="0">
      <alignment horizontal="left" vertical="center" wrapText="1"/>
    </xf>
    <xf numFmtId="0" fontId="12" fillId="17" borderId="0" applyAlignment="1" pivotButton="0" quotePrefix="0" xfId="0">
      <alignment horizontal="center" vertical="center"/>
    </xf>
    <xf numFmtId="0" fontId="2" fillId="2" borderId="3" applyAlignment="1" pivotButton="0" quotePrefix="0" xfId="0">
      <alignment horizontal="center" vertical="center"/>
    </xf>
    <xf numFmtId="0" fontId="5" fillId="13" borderId="4" applyAlignment="1" pivotButton="0" quotePrefix="0" xfId="0">
      <alignment horizontal="left" vertical="center"/>
    </xf>
    <xf numFmtId="0" fontId="5" fillId="14" borderId="4" applyAlignment="1" pivotButton="0" quotePrefix="0" xfId="0">
      <alignment horizontal="left" vertical="center"/>
    </xf>
    <xf numFmtId="0" fontId="2" fillId="15" borderId="6" applyAlignment="1" pivotButton="0" quotePrefix="0" xfId="0">
      <alignment horizontal="center" vertical="center"/>
    </xf>
    <xf numFmtId="0" fontId="2" fillId="15" borderId="5" applyAlignment="1" pivotButton="0" quotePrefix="0" xfId="0">
      <alignment horizontal="center" vertical="center"/>
    </xf>
    <xf numFmtId="0" fontId="11" fillId="16" borderId="6" applyAlignment="1" pivotButton="0" quotePrefix="0" xfId="0">
      <alignment horizontal="left" vertical="center" wrapText="1"/>
    </xf>
    <xf numFmtId="0" fontId="12" fillId="17" borderId="5" applyAlignment="1" pivotButton="0" quotePrefix="0" xfId="0">
      <alignment horizontal="center" vertical="center"/>
    </xf>
    <xf numFmtId="14" fontId="0" fillId="0" borderId="0" pivotButton="0" quotePrefix="0" xfId="0"/>
    <xf numFmtId="0" fontId="14" fillId="17" borderId="0" applyAlignment="1" pivotButton="0" quotePrefix="0" xfId="0">
      <alignment horizontal="center"/>
    </xf>
    <xf numFmtId="0" fontId="3" fillId="19" borderId="2" applyAlignment="1" pivotButton="0" quotePrefix="0" xfId="0">
      <alignment horizontal="center" vertical="center"/>
    </xf>
    <xf numFmtId="0" fontId="0" fillId="0" borderId="2" pivotButton="0" quotePrefix="0" xfId="0"/>
    <xf numFmtId="0" fontId="3" fillId="2" borderId="0" applyAlignment="1" pivotButton="0" quotePrefix="0" xfId="0">
      <alignment horizontal="center" vertical="center"/>
    </xf>
    <xf numFmtId="0" fontId="13" fillId="18" borderId="2" pivotButton="0" quotePrefix="0" xfId="0"/>
    <xf numFmtId="0" fontId="3" fillId="3" borderId="0" applyAlignment="1" pivotButton="0" quotePrefix="0" xfId="0">
      <alignment horizontal="center" vertical="center"/>
    </xf>
    <xf numFmtId="0" fontId="3" fillId="19" borderId="0" applyAlignment="1" pivotButton="0" quotePrefix="0" xfId="0">
      <alignment horizontal="center" vertical="center"/>
    </xf>
    <xf numFmtId="0" fontId="4" fillId="4" borderId="0" applyAlignment="1" pivotButton="0" quotePrefix="0" xfId="0">
      <alignment horizontal="center" vertical="center"/>
    </xf>
    <xf numFmtId="0" fontId="5" fillId="5" borderId="0" applyAlignment="1" pivotButton="0" quotePrefix="0" xfId="0">
      <alignment horizontal="center" vertical="center"/>
    </xf>
    <xf numFmtId="0" fontId="5" fillId="6" borderId="0" applyAlignment="1" pivotButton="0" quotePrefix="0" xfId="0">
      <alignment horizontal="left" vertical="center" wrapText="1"/>
    </xf>
    <xf numFmtId="0" fontId="5" fillId="7" borderId="0" applyAlignment="1" pivotButton="0" quotePrefix="0" xfId="0">
      <alignment horizontal="center" vertical="center"/>
    </xf>
    <xf numFmtId="0" fontId="8" fillId="7" borderId="0" applyAlignment="1" pivotButton="0" quotePrefix="0" xfId="0">
      <alignment horizontal="center" vertical="center"/>
    </xf>
    <xf numFmtId="0" fontId="6" fillId="9" borderId="0" applyAlignment="1" pivotButton="0" quotePrefix="0" xfId="0">
      <alignment horizontal="center" vertical="center"/>
    </xf>
    <xf numFmtId="0" fontId="5" fillId="10" borderId="0" applyAlignment="1" pivotButton="0" quotePrefix="0" xfId="0">
      <alignment horizontal="center" vertical="center"/>
    </xf>
    <xf numFmtId="0" fontId="5" fillId="11" borderId="0" applyAlignment="1" pivotButton="0" quotePrefix="0" xfId="0">
      <alignment horizontal="center" vertical="center"/>
    </xf>
    <xf numFmtId="14" fontId="0" fillId="0" borderId="2" pivotButton="0" quotePrefix="0" xfId="0"/>
    <xf numFmtId="0" fontId="7" fillId="12" borderId="0" applyAlignment="1" pivotButton="0" quotePrefix="0" xfId="0">
      <alignment horizontal="center" vertical="center"/>
    </xf>
    <xf numFmtId="0" fontId="0" fillId="0" borderId="4" pivotButton="0" quotePrefix="0" xfId="0"/>
    <xf numFmtId="0" fontId="5" fillId="13" borderId="0" applyAlignment="1" pivotButton="0" quotePrefix="0" xfId="0">
      <alignment horizontal="left" vertical="center"/>
    </xf>
    <xf numFmtId="0" fontId="5" fillId="14" borderId="0" applyAlignment="1" pivotButton="0" quotePrefix="0" xfId="0">
      <alignment horizontal="left" vertical="center"/>
    </xf>
    <xf numFmtId="0" fontId="14" fillId="17" borderId="5" applyAlignment="1" pivotButton="0" quotePrefix="0" xfId="0">
      <alignment horizontal="center"/>
    </xf>
    <xf numFmtId="0" fontId="0" fillId="0" borderId="5" pivotButton="0" quotePrefix="0" xfId="0"/>
    <xf numFmtId="0" fontId="11" fillId="16" borderId="6" applyAlignment="1" pivotButton="0" quotePrefix="0" xfId="0">
      <alignment horizontal="left" vertical="top" wrapText="1"/>
    </xf>
    <xf numFmtId="0" fontId="11" fillId="16" borderId="6" applyAlignment="1" pivotButton="0" quotePrefix="0" xfId="0">
      <alignment horizontal="left" wrapText="1"/>
    </xf>
    <xf numFmtId="0" fontId="11" fillId="16" borderId="0" applyAlignment="1" pivotButton="0" quotePrefix="0" xfId="0">
      <alignment horizontal="left" wrapText="1"/>
    </xf>
    <xf numFmtId="0" fontId="10" fillId="0" borderId="6" applyAlignment="1" pivotButton="0" quotePrefix="0" xfId="0">
      <alignment wrapText="1"/>
    </xf>
    <xf numFmtId="0" fontId="1" fillId="2" borderId="0" applyAlignment="1" pivotButton="0" quotePrefix="0" xfId="0">
      <alignment vertical="center"/>
    </xf>
    <xf numFmtId="0" fontId="0" fillId="0" borderId="0" applyAlignment="1" pivotButton="0" quotePrefix="0" xfId="0">
      <alignment horizontal="center"/>
    </xf>
    <xf numFmtId="0" fontId="15" fillId="0" borderId="2" applyAlignment="1" pivotButton="0" quotePrefix="0" xfId="1">
      <alignment horizontal="center"/>
    </xf>
    <xf numFmtId="0" fontId="9" fillId="0" borderId="2" applyAlignment="1" pivotButton="0" quotePrefix="0" xfId="1">
      <alignment horizontal="center"/>
    </xf>
    <xf numFmtId="0" fontId="15" fillId="0" borderId="0" applyAlignment="1" pivotButton="0" quotePrefix="0" xfId="1">
      <alignment horizontal="center"/>
    </xf>
    <xf numFmtId="0" fontId="5" fillId="8" borderId="7" applyAlignment="1" pivotButton="0" quotePrefix="0" xfId="0">
      <alignment horizontal="center" vertical="center"/>
    </xf>
    <xf numFmtId="0" fontId="9" fillId="0" borderId="0" applyAlignment="1" pivotButton="0" quotePrefix="0" xfId="1">
      <alignment horizontal="center"/>
    </xf>
    <xf numFmtId="0" fontId="13" fillId="20" borderId="0" applyAlignment="1" pivotButton="0" quotePrefix="0" xfId="0">
      <alignment horizontal="center"/>
    </xf>
    <xf numFmtId="0" fontId="11" fillId="16" borderId="0" applyAlignment="1" pivotButton="0" quotePrefix="0" xfId="0">
      <alignment vertical="top" wrapText="1"/>
    </xf>
    <xf numFmtId="0" fontId="16" fillId="0" borderId="0" pivotButton="0" quotePrefix="0" xfId="0"/>
    <xf numFmtId="0" fontId="3" fillId="21" borderId="2" applyAlignment="1" pivotButton="0" quotePrefix="0" xfId="0">
      <alignment horizontal="center" vertical="center"/>
    </xf>
    <xf numFmtId="0" fontId="3" fillId="21" borderId="0" applyAlignment="1" pivotButton="0" quotePrefix="0" xfId="0">
      <alignment horizontal="center" vertical="center"/>
    </xf>
    <xf numFmtId="0" fontId="2" fillId="15" borderId="0" applyAlignment="1" pivotButton="0" quotePrefix="0" xfId="0">
      <alignment horizontal="center" vertical="center" wrapText="1"/>
    </xf>
    <xf numFmtId="0" fontId="18" fillId="23" borderId="0" applyAlignment="1" pivotButton="0" quotePrefix="0" xfId="0">
      <alignment vertical="top" wrapText="1"/>
    </xf>
    <xf numFmtId="0" fontId="19" fillId="24" borderId="0" applyAlignment="1" pivotButton="0" quotePrefix="0" xfId="0">
      <alignment vertical="top" wrapText="1"/>
    </xf>
    <xf numFmtId="0" fontId="9" fillId="0" borderId="0" pivotButton="0" quotePrefix="0" xfId="1"/>
    <xf numFmtId="0" fontId="21" fillId="26" borderId="0" pivotButton="0" quotePrefix="0" xfId="0"/>
    <xf numFmtId="0" fontId="22" fillId="0" borderId="0" pivotButton="0" quotePrefix="0" xfId="0"/>
    <xf numFmtId="0" fontId="24" fillId="28" borderId="0" applyAlignment="1" pivotButton="0" quotePrefix="0" xfId="0">
      <alignment horizontal="center"/>
    </xf>
    <xf numFmtId="0" fontId="26" fillId="0" borderId="0" pivotButton="0" quotePrefix="0" xfId="0"/>
    <xf numFmtId="0" fontId="25" fillId="17" borderId="0" applyAlignment="1" pivotButton="0" quotePrefix="0" xfId="0">
      <alignment horizontal="center"/>
    </xf>
    <xf numFmtId="0" fontId="27" fillId="29" borderId="0" pivotButton="0" quotePrefix="0" xfId="0"/>
    <xf numFmtId="0" fontId="28" fillId="0" borderId="0" pivotButton="0" quotePrefix="0" xfId="0"/>
    <xf numFmtId="0" fontId="30" fillId="0" borderId="0" pivotButton="0" quotePrefix="0" xfId="0"/>
    <xf numFmtId="0" fontId="32" fillId="0" borderId="0" pivotButton="0" quotePrefix="0" xfId="0"/>
    <xf numFmtId="0" fontId="31" fillId="17" borderId="0" applyAlignment="1" pivotButton="0" quotePrefix="0" xfId="0">
      <alignment horizontal="center"/>
    </xf>
    <xf numFmtId="0" fontId="5" fillId="7" borderId="7"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vertical="center"/>
    </xf>
    <xf numFmtId="0" fontId="13" fillId="18" borderId="2" applyAlignment="1" pivotButton="0" quotePrefix="0" xfId="0">
      <alignment vertical="center"/>
    </xf>
    <xf numFmtId="0" fontId="0" fillId="0" borderId="2" applyAlignment="1" pivotButton="0" quotePrefix="0" xfId="0">
      <alignment vertical="center"/>
    </xf>
    <xf numFmtId="0" fontId="13" fillId="21" borderId="2" applyAlignment="1" pivotButton="0" quotePrefix="0" xfId="0">
      <alignment vertical="center"/>
    </xf>
    <xf numFmtId="0" fontId="13" fillId="18" borderId="0" applyAlignment="1" pivotButton="0" quotePrefix="0" xfId="0">
      <alignment vertical="center"/>
    </xf>
    <xf numFmtId="0" fontId="13" fillId="21" borderId="0" applyAlignment="1" pivotButton="0" quotePrefix="0" xfId="0">
      <alignment vertical="center"/>
    </xf>
    <xf numFmtId="0" fontId="13" fillId="20" borderId="0" applyAlignment="1" pivotButton="0" quotePrefix="0" xfId="0">
      <alignment horizontal="center" vertical="center"/>
    </xf>
    <xf numFmtId="0" fontId="16" fillId="0" borderId="0" applyAlignment="1" pivotButton="0" quotePrefix="0" xfId="0">
      <alignment vertical="center"/>
    </xf>
    <xf numFmtId="0" fontId="17" fillId="22" borderId="0" applyAlignment="1" pivotButton="0" quotePrefix="0" xfId="0">
      <alignment horizontal="center" vertical="center"/>
    </xf>
    <xf numFmtId="0" fontId="33" fillId="0" borderId="0" pivotButton="0" quotePrefix="0" xfId="0"/>
    <xf numFmtId="0" fontId="0" fillId="0" borderId="0" applyAlignment="1" pivotButton="0" quotePrefix="0" xfId="0">
      <alignment wrapText="1"/>
    </xf>
    <xf numFmtId="0" fontId="34" fillId="31" borderId="0" applyAlignment="1" pivotButton="0" quotePrefix="0" xfId="0">
      <alignment horizontal="center"/>
    </xf>
    <xf numFmtId="0" fontId="35" fillId="32" borderId="8" applyAlignment="1" pivotButton="0" quotePrefix="0" xfId="0">
      <alignment horizontal="center" vertical="center"/>
    </xf>
    <xf numFmtId="0" fontId="36" fillId="32" borderId="8" applyAlignment="1" pivotButton="0" quotePrefix="0" xfId="0">
      <alignment horizontal="center" vertical="center"/>
    </xf>
    <xf numFmtId="0" fontId="0" fillId="33" borderId="8" applyAlignment="1" pivotButton="0" quotePrefix="0" xfId="0">
      <alignment vertical="top" wrapText="1"/>
    </xf>
    <xf numFmtId="0" fontId="0" fillId="33" borderId="8" applyAlignment="1" pivotButton="0" quotePrefix="0" xfId="0">
      <alignment horizontal="center" vertical="top"/>
    </xf>
    <xf numFmtId="0" fontId="0" fillId="0" borderId="8" applyAlignment="1" pivotButton="0" quotePrefix="0" xfId="0">
      <alignment vertical="top" wrapText="1"/>
    </xf>
    <xf numFmtId="0" fontId="0" fillId="0" borderId="8" applyAlignment="1" pivotButton="0" quotePrefix="0" xfId="0">
      <alignment horizontal="center" vertical="top"/>
    </xf>
    <xf numFmtId="0" fontId="37" fillId="34" borderId="8" applyAlignment="1" pivotButton="0" quotePrefix="0" xfId="0">
      <alignment horizontal="center" vertical="top"/>
    </xf>
    <xf numFmtId="0" fontId="37" fillId="34" borderId="8" applyAlignment="1" pivotButton="0" quotePrefix="0" xfId="0">
      <alignment vertical="top" wrapText="1"/>
    </xf>
    <xf numFmtId="0" fontId="28" fillId="0" borderId="0" pivotButton="0" quotePrefix="0" xfId="0"/>
    <xf numFmtId="0" fontId="0" fillId="0" borderId="0" pivotButton="0" quotePrefix="0" xfId="0"/>
    <xf numFmtId="0" fontId="29" fillId="30" borderId="0" pivotButton="0" quotePrefix="0" xfId="0"/>
    <xf numFmtId="0" fontId="20" fillId="25" borderId="0" pivotButton="0" quotePrefix="0" xfId="0"/>
    <xf numFmtId="0" fontId="23" fillId="27" borderId="0" pivotButton="0" quotePrefix="0" xfId="0"/>
    <xf numFmtId="0" fontId="38" fillId="0" borderId="0" pivotButton="0" quotePrefix="0" xfId="0"/>
    <xf numFmtId="0" fontId="39" fillId="0" borderId="0" pivotButton="0" quotePrefix="0" xfId="0"/>
    <xf numFmtId="0" fontId="40" fillId="0" borderId="0" pivotButton="0" quotePrefix="0" xfId="0"/>
    <xf numFmtId="0" fontId="41" fillId="35" borderId="9" applyAlignment="1" pivotButton="0" quotePrefix="0" xfId="0">
      <alignment horizontal="center" vertical="center"/>
    </xf>
    <xf numFmtId="0" fontId="0" fillId="0" borderId="9" applyAlignment="1" pivotButton="0" quotePrefix="0" xfId="0">
      <alignment horizontal="center" vertical="center"/>
    </xf>
    <xf numFmtId="0" fontId="0" fillId="0" borderId="9" applyAlignment="1" pivotButton="0" quotePrefix="0" xfId="0">
      <alignment vertical="top" wrapText="1"/>
    </xf>
    <xf numFmtId="0" fontId="42" fillId="0" borderId="9" applyAlignment="1" pivotButton="0" quotePrefix="0" xfId="0">
      <alignment vertical="top" wrapText="1"/>
    </xf>
    <xf numFmtId="0" fontId="0" fillId="36" borderId="9" applyAlignment="1" pivotButton="0" quotePrefix="0" xfId="0">
      <alignment horizontal="center" vertical="center"/>
    </xf>
    <xf numFmtId="0" fontId="0" fillId="36" borderId="9" applyAlignment="1" pivotButton="0" quotePrefix="0" xfId="0">
      <alignment vertical="top" wrapText="1"/>
    </xf>
    <xf numFmtId="0" fontId="42" fillId="36" borderId="9" applyAlignment="1" pivotButton="0" quotePrefix="0" xfId="0">
      <alignment vertical="top" wrapText="1"/>
    </xf>
    <xf numFmtId="0" fontId="41" fillId="37" borderId="10" applyAlignment="1" pivotButton="0" quotePrefix="0" xfId="0">
      <alignment horizontal="center" vertical="center"/>
    </xf>
    <xf numFmtId="0" fontId="43" fillId="0" borderId="10" applyAlignment="1" pivotButton="0" quotePrefix="0" xfId="0">
      <alignment horizontal="center" vertical="center"/>
    </xf>
    <xf numFmtId="0" fontId="43" fillId="38" borderId="10" applyAlignment="1" pivotButton="0" quotePrefix="0" xfId="0">
      <alignment horizontal="center" vertical="center"/>
    </xf>
    <xf numFmtId="0" fontId="41" fillId="35" borderId="10" applyAlignment="1" pivotButton="0" quotePrefix="0" xfId="0">
      <alignment horizontal="center" vertical="center"/>
    </xf>
    <xf numFmtId="0" fontId="43" fillId="36" borderId="10" applyAlignment="1" pivotButton="0" quotePrefix="0" xfId="0">
      <alignment horizontal="center" vertical="center"/>
    </xf>
    <xf numFmtId="0" fontId="44" fillId="0" borderId="0" pivotButton="0" quotePrefix="0" xfId="0"/>
    <xf numFmtId="0" fontId="41" fillId="39" borderId="11" applyAlignment="1" pivotButton="0" quotePrefix="0" xfId="0">
      <alignment horizontal="center" vertical="center"/>
    </xf>
    <xf numFmtId="0" fontId="0" fillId="0" borderId="11" applyAlignment="1" pivotButton="0" quotePrefix="0" xfId="0">
      <alignment horizontal="center" vertical="center"/>
    </xf>
    <xf numFmtId="0" fontId="42" fillId="0" borderId="11" applyAlignment="1" pivotButton="0" quotePrefix="0" xfId="0">
      <alignment vertical="top" wrapText="1"/>
    </xf>
    <xf numFmtId="0" fontId="0" fillId="0" borderId="11" applyAlignment="1" pivotButton="0" quotePrefix="0" xfId="0">
      <alignment vertical="top" wrapText="1"/>
    </xf>
    <xf numFmtId="0" fontId="43" fillId="0" borderId="11" applyAlignment="1" pivotButton="0" quotePrefix="0" xfId="0">
      <alignment horizontal="center" vertical="center"/>
    </xf>
    <xf numFmtId="0" fontId="0" fillId="40" borderId="11" applyAlignment="1" pivotButton="0" quotePrefix="0" xfId="0">
      <alignment horizontal="center" vertical="center"/>
    </xf>
    <xf numFmtId="0" fontId="42" fillId="40" borderId="11" applyAlignment="1" pivotButton="0" quotePrefix="0" xfId="0">
      <alignment vertical="top" wrapText="1"/>
    </xf>
    <xf numFmtId="0" fontId="0" fillId="40" borderId="11" applyAlignment="1" pivotButton="0" quotePrefix="0" xfId="0">
      <alignment vertical="top" wrapText="1"/>
    </xf>
  </cellXfs>
  <cellStyles count="2">
    <cellStyle name="Normal" xfId="0" builtinId="0"/>
    <cellStyle name="Hyperlink" xfId="1" builtinId="8"/>
  </cellStyles>
  <dxfs count="2">
    <dxf>
      <font>
        <b val="1"/>
        <color rgb="FFB71C1C"/>
      </font>
      <fill>
        <patternFill patternType="solid">
          <fgColor indexed="64"/>
          <bgColor rgb="FFFFCDD2"/>
        </patternFill>
      </fill>
    </dxf>
    <dxf>
      <font>
        <b val="1"/>
        <color rgb="FF1B5E20"/>
      </font>
      <fill>
        <patternFill patternType="solid">
          <fgColor indexed="64"/>
          <bgColor rgb="FFC8E6C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Admin</author>
  </authors>
  <commentList>
    <comment ref="D4" authorId="0" shapeId="0">
      <text>
        <t>Admin:
Câu gốc "他打头" hơi lạ/có thể bị gõ sai; nếu ý là "打头" = dẫn đầu/đi đầu thì dịch như trên.</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youtube.com/watch?v=ZSxbxpU_qkM&amp;list=PLSLog43d4VU8hPPOu5rOBvcsmMc9l0ZjY" TargetMode="External" Id="rId1"/><Relationship Type="http://schemas.openxmlformats.org/officeDocument/2006/relationships/hyperlink" Target="https://www.youtube.com/watch?v=DVRy3l9ojq4" TargetMode="External" Id="rId2"/><Relationship Type="http://schemas.openxmlformats.org/officeDocument/2006/relationships/hyperlink" Target="https://www.youtube.com/watch?v=sQ_fCWeQ83s" TargetMode="External" Id="rId3"/></Relationships>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hyperlink" Target="https://translate.google.com/translate_tts?ie=UTF-8&amp;tl=zh-CN&amp;client=tw-ob&amp;q=%E5%88%86%E9%92%9F" TargetMode="External" Id="rId1"/><Relationship Type="http://schemas.openxmlformats.org/officeDocument/2006/relationships/hyperlink" Target="https://youglish.com/pronounce/%E5%88%86%E9%92%9F/chinese" TargetMode="External" Id="rId2"/><Relationship Type="http://schemas.openxmlformats.org/officeDocument/2006/relationships/hyperlink" Target="https://translate.google.com/translate_tts?ie=UTF-8&amp;tl=zh-CN&amp;client=tw-ob&amp;q=%E5%B7%B2%E7%BB%8F" TargetMode="External" Id="rId3"/><Relationship Type="http://schemas.openxmlformats.org/officeDocument/2006/relationships/hyperlink" Target="https://youglish.com/pronounce/%E5%B7%B2%E7%BB%8F/chinese" TargetMode="External" Id="rId4"/><Relationship Type="http://schemas.openxmlformats.org/officeDocument/2006/relationships/hyperlink" Target="https://translate.google.com/translate_tts?ie=UTF-8&amp;tl=zh-CN&amp;client=tw-ob&amp;q=%E7%9C%BC%E7%9D%9B" TargetMode="External" Id="rId5"/><Relationship Type="http://schemas.openxmlformats.org/officeDocument/2006/relationships/hyperlink" Target="https://youglish.com/pronounce/%E7%9C%BC%E7%9D%9B/chinese" TargetMode="External" Id="rId6"/><Relationship Type="http://schemas.openxmlformats.org/officeDocument/2006/relationships/hyperlink" Target="https://translate.google.com/translate_tts?ie=UTF-8&amp;tl=zh-CN&amp;client=tw-ob&amp;q=%E8%8D%AF" TargetMode="External" Id="rId7"/><Relationship Type="http://schemas.openxmlformats.org/officeDocument/2006/relationships/hyperlink" Target="https://youglish.com/pronounce/%E8%8D%AF/chinese" TargetMode="External" Id="rId8"/><Relationship Type="http://schemas.openxmlformats.org/officeDocument/2006/relationships/hyperlink" Target="https://translate.google.com/translate_tts?ie=UTF-8&amp;tl=zh-CN&amp;client=tw-ob&amp;q=%E6%99%B4" TargetMode="External" Id="rId9"/><Relationship Type="http://schemas.openxmlformats.org/officeDocument/2006/relationships/hyperlink" Target="https://youglish.com/pronounce/%E6%99%B4/chinese" TargetMode="External" Id="rId10"/><Relationship Type="http://schemas.openxmlformats.org/officeDocument/2006/relationships/hyperlink" Target="https://translate.google.com/translate_tts?ie=UTF-8&amp;tl=zh-CN&amp;client=tw-ob&amp;q=%E9%9B%AA" TargetMode="External" Id="rId11"/><Relationship Type="http://schemas.openxmlformats.org/officeDocument/2006/relationships/hyperlink" Target="https://youglish.com/pronounce/%E9%9B%AA/chinese" TargetMode="External" Id="rId12"/><Relationship Type="http://schemas.openxmlformats.org/officeDocument/2006/relationships/hyperlink" Target="https://translate.google.com/translate_tts?ie=UTF-8&amp;tl=zh-CN&amp;client=tw-ob&amp;q=%E9%98%B4" TargetMode="External" Id="rId13"/><Relationship Type="http://schemas.openxmlformats.org/officeDocument/2006/relationships/hyperlink" Target="https://youglish.com/pronounce/%E9%98%B4/chinese" TargetMode="External" Id="rId14"/><Relationship Type="http://schemas.openxmlformats.org/officeDocument/2006/relationships/hyperlink" Target="https://translate.google.com/translate_tts?ie=UTF-8&amp;tl=zh-CN&amp;client=tw-ob&amp;q=%E8%8B%B9%E6%9E%9C" TargetMode="External" Id="rId15"/><Relationship Type="http://schemas.openxmlformats.org/officeDocument/2006/relationships/hyperlink" Target="https://youglish.com/pronounce/%E8%8B%B9%E6%9E%9C/chinese" TargetMode="External" Id="rId16"/><Relationship Type="http://schemas.openxmlformats.org/officeDocument/2006/relationships/hyperlink" Target="https://translate.google.com/translate_tts?ie=UTF-8&amp;tl=zh-CN&amp;client=tw-ob&amp;q=%E5%92%96%E5%95%A1" TargetMode="External" Id="rId17"/><Relationship Type="http://schemas.openxmlformats.org/officeDocument/2006/relationships/hyperlink" Target="https://youglish.com/pronounce/%E5%92%96%E5%95%A1/chinese" TargetMode="External" Id="rId18"/><Relationship Type="http://schemas.openxmlformats.org/officeDocument/2006/relationships/hyperlink" Target="https://translate.google.com/translate_tts?ie=UTF-8&amp;tl=zh-CN&amp;client=tw-ob&amp;q=%E8%A5%BF%E7%93%9C" TargetMode="External" Id="rId19"/><Relationship Type="http://schemas.openxmlformats.org/officeDocument/2006/relationships/hyperlink" Target="https://youglish.com/pronounce/%E8%A5%BF%E7%93%9C/chinese" TargetMode="External" Id="rId20"/><Relationship Type="http://schemas.openxmlformats.org/officeDocument/2006/relationships/hyperlink" Target="https://translate.google.com/translate_tts?ie=UTF-8&amp;tl=zh-CN&amp;client=tw-ob&amp;q=%E7%BE%8A%E8%82%89" TargetMode="External" Id="rId21"/><Relationship Type="http://schemas.openxmlformats.org/officeDocument/2006/relationships/hyperlink" Target="https://youglish.com/pronounce/%E7%BE%8A%E8%82%89/chinese" TargetMode="External" Id="rId22"/><Relationship Type="http://schemas.openxmlformats.org/officeDocument/2006/relationships/hyperlink" Target="https://translate.google.com/translate_tts?ie=UTF-8&amp;tl=zh-CN&amp;client=tw-ob&amp;q=%E9%B1%BC" TargetMode="External" Id="rId23"/><Relationship Type="http://schemas.openxmlformats.org/officeDocument/2006/relationships/hyperlink" Target="https://youglish.com/pronounce/%E9%B1%BC/chinese" TargetMode="External" Id="rId24"/><Relationship Type="http://schemas.openxmlformats.org/officeDocument/2006/relationships/hyperlink" Target="https://translate.google.com/translate_tts?ie=UTF-8&amp;tl=zh-CN&amp;client=tw-ob&amp;q=%E6%BC%82%E4%BA%AE" TargetMode="External" Id="rId25"/><Relationship Type="http://schemas.openxmlformats.org/officeDocument/2006/relationships/hyperlink" Target="https://youglish.com/pronounce/%E6%BC%82%E4%BA%AE/chinese" TargetMode="External" Id="rId26"/><Relationship Type="http://schemas.openxmlformats.org/officeDocument/2006/relationships/hyperlink" Target="https://translate.google.com/translate_tts?ie=UTF-8&amp;tl=zh-CN&amp;client=tw-ob&amp;q=%E9%95%BF" TargetMode="External" Id="rId27"/><Relationship Type="http://schemas.openxmlformats.org/officeDocument/2006/relationships/hyperlink" Target="https://youglish.com/pronounce/%E9%95%BF/chinese" TargetMode="External" Id="rId28"/><Relationship Type="http://schemas.openxmlformats.org/officeDocument/2006/relationships/hyperlink" Target="https://translate.google.com/translate_tts?ie=UTF-8&amp;tl=zh-CN&amp;client=tw-ob&amp;q=%E9%BB%91" TargetMode="External" Id="rId29"/><Relationship Type="http://schemas.openxmlformats.org/officeDocument/2006/relationships/hyperlink" Target="https://youglish.com/pronounce/%E9%BB%91/chinese" TargetMode="External" Id="rId30"/><Relationship Type="http://schemas.openxmlformats.org/officeDocument/2006/relationships/hyperlink" Target="https://translate.google.com/translate_tts?ie=UTF-8&amp;tl=zh-CN&amp;client=tw-ob&amp;q=%E7%BA%A2" TargetMode="External" Id="rId31"/><Relationship Type="http://schemas.openxmlformats.org/officeDocument/2006/relationships/hyperlink" Target="https://youglish.com/pronounce/%E7%BA%A2/chinese" TargetMode="External" Id="rId32"/><Relationship Type="http://schemas.openxmlformats.org/officeDocument/2006/relationships/hyperlink" Target="https://translate.google.com/translate_tts?ie=UTF-8&amp;tl=zh-CN&amp;client=tw-ob&amp;q=%E5%8F%AF%E8%83%BD" TargetMode="External" Id="rId33"/><Relationship Type="http://schemas.openxmlformats.org/officeDocument/2006/relationships/hyperlink" Target="https://youglish.com/pronounce/%E5%8F%AF%E8%83%BD/chinese" TargetMode="External" Id="rId34"/><Relationship Type="http://schemas.openxmlformats.org/officeDocument/2006/relationships/hyperlink" Target="https://translate.google.com/translate_tts?ie=UTF-8&amp;tl=zh-CN&amp;client=tw-ob&amp;q=%E9%A2%9C%E8%89%B2" TargetMode="External" Id="rId35"/><Relationship Type="http://schemas.openxmlformats.org/officeDocument/2006/relationships/hyperlink" Target="https://youglish.com/pronounce/%E9%A2%9C%E8%89%B2/chinese" TargetMode="External" Id="rId36"/><Relationship Type="http://schemas.openxmlformats.org/officeDocument/2006/relationships/hyperlink" Target="https://translate.google.com/translate_tts?ie=UTF-8&amp;tl=zh-CN&amp;client=tw-ob&amp;q=%E6%85%A2%E6%85%A2" TargetMode="External" Id="rId37"/><Relationship Type="http://schemas.openxmlformats.org/officeDocument/2006/relationships/hyperlink" Target="https://youglish.com/pronounce/%E6%85%A2%E6%85%A2/chinese" TargetMode="External" Id="rId38"/><Relationship Type="http://schemas.openxmlformats.org/officeDocument/2006/relationships/hyperlink" Target="https://translate.google.com/translate_tts?ie=UTF-8&amp;tl=zh-CN&amp;client=tw-ob&amp;q=%E5%B8%AE%E5%8A%A9" TargetMode="External" Id="rId39"/><Relationship Type="http://schemas.openxmlformats.org/officeDocument/2006/relationships/hyperlink" Target="https://youglish.com/pronounce/%E5%B8%AE%E5%8A%A9/chinese" TargetMode="External" Id="rId40"/><Relationship Type="http://schemas.openxmlformats.org/officeDocument/2006/relationships/hyperlink" Target="https://translate.google.com/translate_tts?ie=UTF-8&amp;tl=zh-CN&amp;client=tw-ob&amp;q=%E6%89%93%E7%AF%AE%E7%90%83" TargetMode="External" Id="rId41"/><Relationship Type="http://schemas.openxmlformats.org/officeDocument/2006/relationships/hyperlink" Target="https://youglish.com/pronounce/%E6%89%93%E7%AF%AE%E7%90%83/chinese" TargetMode="External" Id="rId42"/><Relationship Type="http://schemas.openxmlformats.org/officeDocument/2006/relationships/hyperlink" Target="https://translate.google.com/translate_tts?ie=UTF-8&amp;tl=zh-CN&amp;client=tw-ob&amp;q=%E5%BC%80%E5%A7%8B" TargetMode="External" Id="rId43"/><Relationship Type="http://schemas.openxmlformats.org/officeDocument/2006/relationships/hyperlink" Target="https://youglish.com/pronounce/%E5%BC%80%E5%A7%8B/chinese" TargetMode="External" Id="rId44"/><Relationship Type="http://schemas.openxmlformats.org/officeDocument/2006/relationships/hyperlink" Target="https://translate.google.com/translate_tts?ie=UTF-8&amp;tl=zh-CN&amp;client=tw-ob&amp;q=%E5%8F%AF%E4%BB%A5" TargetMode="External" Id="rId45"/><Relationship Type="http://schemas.openxmlformats.org/officeDocument/2006/relationships/hyperlink" Target="https://youglish.com/pronounce/%E5%8F%AF%E4%BB%A5/chinese" TargetMode="External" Id="rId46"/><Relationship Type="http://schemas.openxmlformats.org/officeDocument/2006/relationships/hyperlink" Target="https://translate.google.com/translate_tts?ie=UTF-8&amp;tl=zh-CN&amp;client=tw-ob&amp;q=%E8%B7%91%E6%AD%A5" TargetMode="External" Id="rId47"/><Relationship Type="http://schemas.openxmlformats.org/officeDocument/2006/relationships/hyperlink" Target="https://youglish.com/pronounce/%E8%B7%91%E6%AD%A5/chinese" TargetMode="External" Id="rId48"/><Relationship Type="http://schemas.openxmlformats.org/officeDocument/2006/relationships/hyperlink" Target="https://translate.google.com/translate_tts?ie=UTF-8&amp;tl=zh-CN&amp;client=tw-ob&amp;q=%E8%AE%A9" TargetMode="External" Id="rId49"/><Relationship Type="http://schemas.openxmlformats.org/officeDocument/2006/relationships/hyperlink" Target="https://youglish.com/pronounce/%E8%AE%A9/chinese" TargetMode="External" Id="rId50"/><Relationship Type="http://schemas.openxmlformats.org/officeDocument/2006/relationships/hyperlink" Target="https://translate.google.com/translate_tts?ie=UTF-8&amp;tl=zh-CN&amp;client=tw-ob&amp;q=%E4%BA%8B%E6%83%85" TargetMode="External" Id="rId51"/><Relationship Type="http://schemas.openxmlformats.org/officeDocument/2006/relationships/hyperlink" Target="https://youglish.com/pronounce/%E4%BA%8B%E6%83%85/chinese" TargetMode="External" Id="rId52"/><Relationship Type="http://schemas.openxmlformats.org/officeDocument/2006/relationships/hyperlink" Target="https://translate.google.com/translate_tts?ie=UTF-8&amp;tl=zh-CN&amp;client=tw-ob&amp;q=%E8%B8%A2%E8%B6%B3%E7%90%83" TargetMode="External" Id="rId53"/><Relationship Type="http://schemas.openxmlformats.org/officeDocument/2006/relationships/hyperlink" Target="https://youglish.com/pronounce/%E8%B8%A2%E8%B6%B3%E7%90%83/chinese" TargetMode="External" Id="rId54"/><Relationship Type="http://schemas.openxmlformats.org/officeDocument/2006/relationships/hyperlink" Target="https://translate.google.com/translate_tts?ie=UTF-8&amp;tl=zh-CN&amp;client=tw-ob&amp;q=%E8%B7%B3%E8%88%9E" TargetMode="External" Id="rId55"/><Relationship Type="http://schemas.openxmlformats.org/officeDocument/2006/relationships/hyperlink" Target="https://youglish.com/pronounce/%E8%B7%B3%E8%88%9E/chinese" TargetMode="External" Id="rId56"/><Relationship Type="http://schemas.openxmlformats.org/officeDocument/2006/relationships/hyperlink" Target="https://translate.google.com/translate_tts?ie=UTF-8&amp;tl=zh-CN&amp;client=tw-ob&amp;q=%E5%AE%8C" TargetMode="External" Id="rId57"/><Relationship Type="http://schemas.openxmlformats.org/officeDocument/2006/relationships/hyperlink" Target="https://youglish.com/pronounce/%E5%AE%8C/chinese" TargetMode="External" Id="rId58"/><Relationship Type="http://schemas.openxmlformats.org/officeDocument/2006/relationships/hyperlink" Target="https://translate.google.com/translate_tts?ie=UTF-8&amp;tl=zh-CN&amp;client=tw-ob&amp;q=%E7%8E%A9" TargetMode="External" Id="rId59"/><Relationship Type="http://schemas.openxmlformats.org/officeDocument/2006/relationships/hyperlink" Target="https://youglish.com/pronounce/%E7%8E%A9/chinese" TargetMode="External" Id="rId60"/><Relationship Type="http://schemas.openxmlformats.org/officeDocument/2006/relationships/hyperlink" Target="https://translate.google.com/translate_tts?ie=UTF-8&amp;tl=zh-CN&amp;client=tw-ob&amp;q=%E5%B8%8C%E6%9C%9B" TargetMode="External" Id="rId61"/><Relationship Type="http://schemas.openxmlformats.org/officeDocument/2006/relationships/hyperlink" Target="https://youglish.com/pronounce/%E5%B8%8C%E6%9C%9B/chinese" TargetMode="External" Id="rId62"/><Relationship Type="http://schemas.openxmlformats.org/officeDocument/2006/relationships/hyperlink" Target="https://translate.google.com/translate_tts?ie=UTF-8&amp;tl=zh-CN&amp;client=tw-ob&amp;q=%E6%B8%B8%E6%B3%B3" TargetMode="External" Id="rId63"/><Relationship Type="http://schemas.openxmlformats.org/officeDocument/2006/relationships/hyperlink" Target="https://youglish.com/pronounce/%E6%B8%B8%E6%B3%B3/chinese" TargetMode="External" Id="rId64"/><Relationship Type="http://schemas.openxmlformats.org/officeDocument/2006/relationships/hyperlink" Target="https://translate.google.com/translate_tts?ie=UTF-8&amp;tl=zh-CN&amp;client=tw-ob&amp;q=%E8%BF%90%E5%8A%A8" TargetMode="External" Id="rId65"/><Relationship Type="http://schemas.openxmlformats.org/officeDocument/2006/relationships/hyperlink" Target="https://youglish.com/pronounce/%E8%BF%90%E5%8A%A8/chinese" TargetMode="External" Id="rId66"/><Relationship Type="http://schemas.openxmlformats.org/officeDocument/2006/relationships/hyperlink" Target="https://translate.google.com/translate_tts?ie=UTF-8&amp;tl=zh-CN&amp;client=tw-ob&amp;q=%E7%8B%97" TargetMode="External" Id="rId67"/><Relationship Type="http://schemas.openxmlformats.org/officeDocument/2006/relationships/hyperlink" Target="https://youglish.com/pronounce/%E7%8B%97/chinese" TargetMode="External" Id="rId68"/><Relationship Type="http://schemas.openxmlformats.org/officeDocument/2006/relationships/hyperlink" Target="https://translate.google.com/translate_tts?ie=UTF-8&amp;tl=zh-CN&amp;client=tw-ob&amp;q=%E6%A4%85%E5%AD%90" TargetMode="External" Id="rId69"/><Relationship Type="http://schemas.openxmlformats.org/officeDocument/2006/relationships/hyperlink" Target="https://youglish.com/pronounce/%E6%A4%85%E5%AD%90/chinese" TargetMode="External" Id="rId70"/><Relationship Type="http://schemas.openxmlformats.org/officeDocument/2006/relationships/hyperlink" Target="https://translate.google.com/translate_tts?ie=UTF-8&amp;tl=zh-CN&amp;client=tw-ob&amp;q=%E6%8A%A5%E7%BA%B8" TargetMode="External" Id="rId71"/><Relationship Type="http://schemas.openxmlformats.org/officeDocument/2006/relationships/hyperlink" Target="https://youglish.com/pronounce/%E6%8A%A5%E7%BA%B8/chinese" TargetMode="External" Id="rId72"/><Relationship Type="http://schemas.openxmlformats.org/officeDocument/2006/relationships/hyperlink" Target="https://translate.google.com/translate_tts?ie=UTF-8&amp;tl=zh-CN&amp;client=tw-ob&amp;q=%E6%89%8B%E8%A1%A8" TargetMode="External" Id="rId73"/><Relationship Type="http://schemas.openxmlformats.org/officeDocument/2006/relationships/hyperlink" Target="https://youglish.com/pronounce/%E6%89%8B%E8%A1%A8/chinese" TargetMode="External" Id="rId74"/><Relationship Type="http://schemas.openxmlformats.org/officeDocument/2006/relationships/hyperlink" Target="https://translate.google.com/translate_tts?ie=UTF-8&amp;tl=zh-CN&amp;client=tw-ob&amp;q=%E6%87%82" TargetMode="External" Id="rId75"/><Relationship Type="http://schemas.openxmlformats.org/officeDocument/2006/relationships/hyperlink" Target="https://youglish.com/pronounce/%E6%87%82/chinese" TargetMode="External" Id="rId76"/><Relationship Type="http://schemas.openxmlformats.org/officeDocument/2006/relationships/hyperlink" Target="https://translate.google.com/translate_tts?ie=UTF-8&amp;tl=zh-CN&amp;client=tw-ob&amp;q=%E6%95%99%E5%AE%A4" TargetMode="External" Id="rId77"/><Relationship Type="http://schemas.openxmlformats.org/officeDocument/2006/relationships/hyperlink" Target="https://youglish.com/pronounce/%E6%95%99%E5%AE%A4/chinese" TargetMode="External" Id="rId78"/><Relationship Type="http://schemas.openxmlformats.org/officeDocument/2006/relationships/hyperlink" Target="https://translate.google.com/translate_tts?ie=UTF-8&amp;tl=zh-CN&amp;client=tw-ob&amp;q=%E9%93%85%E7%AC%94" TargetMode="External" Id="rId79"/><Relationship Type="http://schemas.openxmlformats.org/officeDocument/2006/relationships/hyperlink" Target="https://youglish.com/pronounce/%E9%93%85%E7%AC%94/chinese" TargetMode="External" Id="rId80"/><Relationship Type="http://schemas.openxmlformats.org/officeDocument/2006/relationships/hyperlink" Target="https://translate.google.com/translate_tts?ie=UTF-8&amp;tl=zh-CN&amp;client=tw-ob&amp;q=%E9%A2%98" TargetMode="External" Id="rId81"/><Relationship Type="http://schemas.openxmlformats.org/officeDocument/2006/relationships/hyperlink" Target="https://youglish.com/pronounce/%E9%A2%98/chinese" TargetMode="External" Id="rId82"/><Relationship Type="http://schemas.openxmlformats.org/officeDocument/2006/relationships/hyperlink" Target="https://translate.google.com/translate_tts?ie=UTF-8&amp;tl=zh-CN&amp;client=tw-ob&amp;q=%E9%97%AE%E9%A2%98" TargetMode="External" Id="rId83"/><Relationship Type="http://schemas.openxmlformats.org/officeDocument/2006/relationships/hyperlink" Target="https://youglish.com/pronounce/%E9%97%AE%E9%A2%98/chinese" TargetMode="External" Id="rId84"/><Relationship Type="http://schemas.openxmlformats.org/officeDocument/2006/relationships/hyperlink" Target="https://translate.google.com/translate_tts?ie=UTF-8&amp;tl=zh-CN&amp;client=tw-ob&amp;q=%E6%84%8F%E6%80%9D" TargetMode="External" Id="rId85"/><Relationship Type="http://schemas.openxmlformats.org/officeDocument/2006/relationships/hyperlink" Target="https://youglish.com/pronounce/%E6%84%8F%E6%80%9D/chinese" TargetMode="External" Id="rId86"/><Relationship Type="http://schemas.openxmlformats.org/officeDocument/2006/relationships/hyperlink" Target="https://translate.google.com/translate_tts?ie=UTF-8&amp;tl=zh-CN&amp;client=tw-ob&amp;q=%E5%A5%B3%E5%84%BF" TargetMode="External" Id="rId87"/><Relationship Type="http://schemas.openxmlformats.org/officeDocument/2006/relationships/hyperlink" Target="https://youglish.com/pronounce/%E5%A5%B3%E5%84%BF/chinese" TargetMode="External" Id="rId88"/><Relationship Type="http://schemas.openxmlformats.org/officeDocument/2006/relationships/hyperlink" Target="https://translate.google.com/translate_tts?ie=UTF-8&amp;tl=zh-CN&amp;client=tw-ob&amp;q=%E5%A4%A7%E5%AE%B6" TargetMode="External" Id="rId89"/><Relationship Type="http://schemas.openxmlformats.org/officeDocument/2006/relationships/hyperlink" Target="https://youglish.com/pronounce/%E5%A4%A7%E5%AE%B6/chinese" TargetMode="External" Id="rId90"/><Relationship Type="http://schemas.openxmlformats.org/officeDocument/2006/relationships/hyperlink" Target="https://translate.google.com/translate_tts?ie=UTF-8&amp;tl=zh-CN&amp;client=tw-ob&amp;q=%E5%A6%BB%E5%AD%90" TargetMode="External" Id="rId91"/><Relationship Type="http://schemas.openxmlformats.org/officeDocument/2006/relationships/hyperlink" Target="https://youglish.com/pronounce/%E5%A6%BB%E5%AD%90/chinese" TargetMode="External" Id="rId92"/><Relationship Type="http://schemas.openxmlformats.org/officeDocument/2006/relationships/hyperlink" Target="https://translate.google.com/translate_tts?ie=UTF-8&amp;tl=zh-CN&amp;client=tw-ob&amp;q=%E5%A7%93" TargetMode="External" Id="rId93"/><Relationship Type="http://schemas.openxmlformats.org/officeDocument/2006/relationships/hyperlink" Target="https://youglish.com/pronounce/%E5%A7%93/chinese" TargetMode="External" Id="rId94"/><Relationship Type="http://schemas.openxmlformats.org/officeDocument/2006/relationships/hyperlink" Target="https://translate.google.com/translate_tts?ie=UTF-8&amp;tl=zh-CN&amp;client=tw-ob&amp;q=%E4%B8%88%E5%A4%AB" TargetMode="External" Id="rId95"/><Relationship Type="http://schemas.openxmlformats.org/officeDocument/2006/relationships/hyperlink" Target="https://youglish.com/pronounce/%E4%B8%88%E5%A4%AB/chinese" TargetMode="External" Id="rId96"/><Relationship Type="http://schemas.openxmlformats.org/officeDocument/2006/relationships/hyperlink" Target="https://translate.google.com/translate_tts?ie=UTF-8&amp;tl=zh-CN&amp;client=tw-ob&amp;q=%E5%96%82" TargetMode="External" Id="rId97"/><Relationship Type="http://schemas.openxmlformats.org/officeDocument/2006/relationships/hyperlink" Target="https://youglish.com/pronounce/%E5%96%82/chinese" TargetMode="External" Id="rId98"/><Relationship Type="http://schemas.openxmlformats.org/officeDocument/2006/relationships/hyperlink" Target="https://translate.google.com/translate_tts?ie=UTF-8&amp;tl=zh-CN&amp;client=tw-ob&amp;q=%E6%9C%8D%E5%8A%A1%E5%91%98" TargetMode="External" Id="rId99"/><Relationship Type="http://schemas.openxmlformats.org/officeDocument/2006/relationships/hyperlink" Target="https://youglish.com/pronounce/%E6%9C%8D%E5%8A%A1%E5%91%98/chinese" TargetMode="External" Id="rId100"/><Relationship Type="http://schemas.openxmlformats.org/officeDocument/2006/relationships/hyperlink" Target="https://translate.google.com/translate_tts?ie=UTF-8&amp;tl=zh-CN&amp;client=tw-ob&amp;q=%E5%85%AC%E5%8F%B8" TargetMode="External" Id="rId101"/><Relationship Type="http://schemas.openxmlformats.org/officeDocument/2006/relationships/hyperlink" Target="https://youglish.com/pronounce/%E5%85%AC%E5%8F%B8/chinese" TargetMode="External" Id="rId102"/><Relationship Type="http://schemas.openxmlformats.org/officeDocument/2006/relationships/hyperlink" Target="https://translate.google.com/translate_tts?ie=UTF-8&amp;tl=zh-CN&amp;client=tw-ob&amp;q=%E4%BE%BF%E5%AE%9C" TargetMode="External" Id="rId103"/><Relationship Type="http://schemas.openxmlformats.org/officeDocument/2006/relationships/hyperlink" Target="https://youglish.com/pronounce/%E4%BE%BF%E5%AE%9C/chinese" TargetMode="External" Id="rId104"/><Relationship Type="http://schemas.openxmlformats.org/officeDocument/2006/relationships/hyperlink" Target="https://translate.google.com/translate_tts?ie=UTF-8&amp;tl=zh-CN&amp;client=tw-ob&amp;q=%E5%BE%97" TargetMode="External" Id="rId105"/><Relationship Type="http://schemas.openxmlformats.org/officeDocument/2006/relationships/hyperlink" Target="https://youglish.com/pronounce/%E5%BE%97/chinese" TargetMode="External" Id="rId106"/><Relationship Type="http://schemas.openxmlformats.org/officeDocument/2006/relationships/hyperlink" Target="https://translate.google.com/translate_tts?ie=UTF-8&amp;tl=zh-CN&amp;client=tw-ob&amp;q=%E8%99%BD%E7%84%B6" TargetMode="External" Id="rId107"/><Relationship Type="http://schemas.openxmlformats.org/officeDocument/2006/relationships/hyperlink" Target="https://youglish.com/pronounce/%E8%99%BD%E7%84%B6/chinese" TargetMode="External" Id="rId108"/><Relationship Type="http://schemas.openxmlformats.org/officeDocument/2006/relationships/hyperlink" Target="https://translate.google.com/translate_tts?ie=UTF-8&amp;tl=zh-CN&amp;client=tw-ob&amp;q=%E5%9B%A0%E4%B8%BA" TargetMode="External" Id="rId109"/><Relationship Type="http://schemas.openxmlformats.org/officeDocument/2006/relationships/hyperlink" Target="https://youglish.com/pronounce/%E5%9B%A0%E4%B8%BA/chinese" TargetMode="External" Id="rId110"/><Relationship Type="http://schemas.openxmlformats.org/officeDocument/2006/relationships/hyperlink" Target="https://translate.google.com/translate_tts?ie=UTF-8&amp;tl=zh-CN&amp;client=tw-ob&amp;q=%E6%89%80%E4%BB%A5" TargetMode="External" Id="rId111"/><Relationship Type="http://schemas.openxmlformats.org/officeDocument/2006/relationships/hyperlink" Target="https://youglish.com/pronounce/%E6%89%80%E4%BB%A5/chinese" TargetMode="External" Id="rId112"/><Relationship Type="http://schemas.openxmlformats.org/officeDocument/2006/relationships/hyperlink" Target="https://translate.google.com/translate_tts?ie=UTF-8&amp;tl=zh-CN&amp;client=tw-ob&amp;q=%E4%BD%86%E6%98%AF" TargetMode="External" Id="rId113"/><Relationship Type="http://schemas.openxmlformats.org/officeDocument/2006/relationships/hyperlink" Target="https://youglish.com/pronounce/%E4%BD%86%E6%98%AF/chinese" TargetMode="External" Id="rId114"/><Relationship Type="http://schemas.openxmlformats.org/officeDocument/2006/relationships/hyperlink" Target="https://translate.google.com/translate_tts?ie=UTF-8&amp;tl=zh-CN&amp;client=tw-ob&amp;q=%E4%BA%9B" TargetMode="External" Id="rId115"/><Relationship Type="http://schemas.openxmlformats.org/officeDocument/2006/relationships/hyperlink" Target="https://youglish.com/pronounce/%E4%BA%9B/chinese" TargetMode="External" Id="rId116"/><Relationship Type="http://schemas.openxmlformats.org/officeDocument/2006/relationships/hyperlink" Target="https://translate.google.com/translate_tts?ie=UTF-8&amp;tl=zh-CN&amp;client=tw-ob&amp;q=%E7%AC%AC%E4%B8%80" TargetMode="External" Id="rId117"/><Relationship Type="http://schemas.openxmlformats.org/officeDocument/2006/relationships/hyperlink" Target="https://youglish.com/pronounce/%E7%AC%AC%E4%B8%80/chinese" TargetMode="External" Id="rId118"/><Relationship Type="http://schemas.openxmlformats.org/officeDocument/2006/relationships/hyperlink" Target="https://translate.google.com/translate_tts?ie=UTF-8&amp;tl=zh-CN&amp;client=tw-ob&amp;q=%E4%BB%B6" TargetMode="External" Id="rId119"/><Relationship Type="http://schemas.openxmlformats.org/officeDocument/2006/relationships/hyperlink" Target="https://youglish.com/pronounce/%E4%BB%B6/chinese" TargetMode="External" Id="rId120"/><Relationship Type="http://schemas.openxmlformats.org/officeDocument/2006/relationships/hyperlink" Target="https://translate.google.com/translate_tts?ie=UTF-8&amp;tl=zh-CN&amp;client=tw-ob&amp;q=%E5%8D%83" TargetMode="External" Id="rId121"/><Relationship Type="http://schemas.openxmlformats.org/officeDocument/2006/relationships/hyperlink" Target="https://youglish.com/pronounce/%E5%8D%83/chinese" TargetMode="External" Id="rId122"/><Relationship Type="http://schemas.openxmlformats.org/officeDocument/2006/relationships/hyperlink" Target="https://translate.google.com/translate_tts?ie=UTF-8&amp;tl=zh-CN&amp;client=tw-ob&amp;q=%E4%B8%80%E4%B8%8B" TargetMode="External" Id="rId123"/><Relationship Type="http://schemas.openxmlformats.org/officeDocument/2006/relationships/hyperlink" Target="https://youglish.com/pronounce/%E4%B8%80%E4%B8%8B/chinese" TargetMode="External" Id="rId124"/><Relationship Type="http://schemas.openxmlformats.org/officeDocument/2006/relationships/hyperlink" Target="https://translate.google.com/translate_tts?ie=UTF-8&amp;tl=zh-CN&amp;client=tw-ob&amp;q=%E6%80%8E%E4%B9%88%E6%A0%B7" TargetMode="External" Id="rId125"/><Relationship Type="http://schemas.openxmlformats.org/officeDocument/2006/relationships/hyperlink" Target="https://youglish.com/pronounce/%E6%80%8E%E4%B9%88%E6%A0%B7/chinese" TargetMode="External" Id="rId126"/><Relationship Type="http://schemas.openxmlformats.org/officeDocument/2006/relationships/hyperlink" Target="https://translate.google.com/translate_tts?ie=UTF-8&amp;tl=zh-CN&amp;client=tw-ob&amp;q=%E5%AE%83" TargetMode="External" Id="rId127"/><Relationship Type="http://schemas.openxmlformats.org/officeDocument/2006/relationships/hyperlink" Target="https://youglish.com/pronounce/%E5%AE%83/chinese" TargetMode="External" Id="rId128"/><Relationship Type="http://schemas.openxmlformats.org/officeDocument/2006/relationships/hyperlink" Target="https://translate.google.com/translate_tts?ie=UTF-8&amp;tl=zh-CN&amp;client=tw-ob&amp;q=%E4%B8%BA%E4%BB%80%E4%B9%88" TargetMode="External" Id="rId129"/><Relationship Type="http://schemas.openxmlformats.org/officeDocument/2006/relationships/hyperlink" Target="https://youglish.com/pronounce/%E4%B8%BA%E4%BB%80%E4%B9%88/chinese" TargetMode="External" Id="rId130"/><Relationship Type="http://schemas.openxmlformats.org/officeDocument/2006/relationships/hyperlink" Target="https://translate.google.com/translate_tts?ie=UTF-8&amp;tl=zh-CN&amp;client=tw-ob&amp;q=%E5%87%BA%E7%A7%9F%E8%BD%A6" TargetMode="External" Id="rId131"/><Relationship Type="http://schemas.openxmlformats.org/officeDocument/2006/relationships/hyperlink" Target="https://youglish.com/pronounce/%E5%87%BA%E7%A7%9F%E8%BD%A6/chinese" TargetMode="External" Id="rId132"/><Relationship Type="http://schemas.openxmlformats.org/officeDocument/2006/relationships/hyperlink" Target="https://translate.google.com/translate_tts?ie=UTF-8&amp;tl=zh-CN&amp;client=tw-ob&amp;q=%E5%AE%BE%E9%A6%86" TargetMode="External" Id="rId133"/><Relationship Type="http://schemas.openxmlformats.org/officeDocument/2006/relationships/hyperlink" Target="https://youglish.com/pronounce/%E5%AE%BE%E9%A6%86/chinese" TargetMode="External" Id="rId134"/><Relationship Type="http://schemas.openxmlformats.org/officeDocument/2006/relationships/hyperlink" Target="https://translate.google.com/translate_tts?ie=UTF-8&amp;tl=zh-CN&amp;client=tw-ob&amp;q=%E5%85%AC%E5%85%B1%E6%B1%BD%E8%BD%A6" TargetMode="External" Id="rId135"/><Relationship Type="http://schemas.openxmlformats.org/officeDocument/2006/relationships/hyperlink" Target="https://youglish.com/pronounce/%E5%85%AC%E5%85%B1%E6%B1%BD%E8%BD%A6/chinese" TargetMode="External" Id="rId136"/><Relationship Type="http://schemas.openxmlformats.org/officeDocument/2006/relationships/hyperlink" Target="https://translate.google.com/translate_tts?ie=UTF-8&amp;tl=zh-CN&amp;client=tw-ob&amp;q=%E7%81%AB%E8%BD%A6%E7%AB%99" TargetMode="External" Id="rId137"/><Relationship Type="http://schemas.openxmlformats.org/officeDocument/2006/relationships/hyperlink" Target="https://youglish.com/pronounce/%E7%81%AB%E8%BD%A6%E7%AB%99/chinese" TargetMode="External" Id="rId138"/><Relationship Type="http://schemas.openxmlformats.org/officeDocument/2006/relationships/hyperlink" Target="https://translate.google.com/translate_tts?ie=UTF-8&amp;tl=zh-CN&amp;client=tw-ob&amp;q=%E6%97%85%E6%B8%B8" TargetMode="External" Id="rId139"/><Relationship Type="http://schemas.openxmlformats.org/officeDocument/2006/relationships/hyperlink" Target="https://youglish.com/pronounce/%E6%97%85%E6%B8%B8/chinese" TargetMode="External" Id="rId140"/><Relationship Type="http://schemas.openxmlformats.org/officeDocument/2006/relationships/hyperlink" Target="https://translate.google.com/translate_tts?ie=UTF-8&amp;tl=zh-CN&amp;client=tw-ob&amp;q=%E8%87%AA%E8%A1%8C%E8%BD%A6" TargetMode="External" Id="rId141"/><Relationship Type="http://schemas.openxmlformats.org/officeDocument/2006/relationships/hyperlink" Target="https://youglish.com/pronounce/%E8%87%AA%E8%A1%8C%E8%BD%A6/chinese" TargetMode="External" Id="rId142"/><Relationship Type="http://schemas.openxmlformats.org/officeDocument/2006/relationships/hyperlink" Target="https://translate.google.com/translate_tts?ie=UTF-8&amp;tl=zh-CN&amp;client=tw-ob&amp;q=%E5%90%8E%E9%9D%A2" TargetMode="External" Id="rId143"/><Relationship Type="http://schemas.openxmlformats.org/officeDocument/2006/relationships/hyperlink" Target="https://youglish.com/pronounce/%E5%90%8E%E9%9D%A2/chinese" TargetMode="External" Id="rId144"/><Relationship Type="http://schemas.openxmlformats.org/officeDocument/2006/relationships/hyperlink" Target="https://translate.google.com/translate_tts?ie=UTF-8&amp;tl=zh-CN&amp;client=tw-ob&amp;q=%E5%89%8D%E9%9D%A2" TargetMode="External" Id="rId145"/><Relationship Type="http://schemas.openxmlformats.org/officeDocument/2006/relationships/hyperlink" Target="https://youglish.com/pronounce/%E5%89%8D%E9%9D%A2/chinese" TargetMode="External" Id="rId146"/><Relationship Type="http://schemas.openxmlformats.org/officeDocument/2006/relationships/hyperlink" Target="https://translate.google.com/translate_tts?ie=UTF-8&amp;tl=zh-CN&amp;client=tw-ob&amp;q=%E8%BF%91" TargetMode="External" Id="rId147"/><Relationship Type="http://schemas.openxmlformats.org/officeDocument/2006/relationships/hyperlink" Target="https://youglish.com/pronounce/%E8%BF%91/chinese" TargetMode="External" Id="rId148"/><Relationship Type="http://schemas.openxmlformats.org/officeDocument/2006/relationships/hyperlink" Target="https://translate.google.com/translate_tts?ie=UTF-8&amp;tl=zh-CN&amp;client=tw-ob&amp;q=%E7%A6%BB" TargetMode="External" Id="rId149"/><Relationship Type="http://schemas.openxmlformats.org/officeDocument/2006/relationships/hyperlink" Target="https://youglish.com/pronounce/%E7%A6%BB/chinese" TargetMode="External" Id="rId150"/><Relationship Type="http://schemas.openxmlformats.org/officeDocument/2006/relationships/hyperlink" Target="https://translate.google.com/translate_tts?ie=UTF-8&amp;tl=zh-CN&amp;client=tw-ob&amp;q=%E5%BE%80" TargetMode="External" Id="rId151"/><Relationship Type="http://schemas.openxmlformats.org/officeDocument/2006/relationships/hyperlink" Target="https://youglish.com/pronounce/%E5%BE%80/chinese" TargetMode="External" Id="rId152"/><Relationship Type="http://schemas.openxmlformats.org/officeDocument/2006/relationships/hyperlink" Target="https://translate.google.com/?sl=zh-CN&amp;tl=vi&amp;text=%E9%98%BF%E5%A7%A8&amp;op=translate" TargetMode="External" Id="rId153"/><Relationship Type="http://schemas.openxmlformats.org/officeDocument/2006/relationships/hyperlink" Target="https://youglish.com/pronounce/%E9%98%BF%E5%A7%A8/chinese" TargetMode="External" Id="rId154"/><Relationship Type="http://schemas.openxmlformats.org/officeDocument/2006/relationships/hyperlink" Target="https://translate.google.com/?sl=zh-CN&amp;tl=vi&amp;text=%E5%95%8A&amp;op=translate" TargetMode="External" Id="rId155"/><Relationship Type="http://schemas.openxmlformats.org/officeDocument/2006/relationships/hyperlink" Target="https://youglish.com/pronounce/%E5%95%8A/chinese" TargetMode="External" Id="rId156"/><Relationship Type="http://schemas.openxmlformats.org/officeDocument/2006/relationships/hyperlink" Target="https://translate.google.com/?sl=zh-CN&amp;tl=vi&amp;text=%E7%9F%AE&amp;op=translate" TargetMode="External" Id="rId157"/><Relationship Type="http://schemas.openxmlformats.org/officeDocument/2006/relationships/hyperlink" Target="https://youglish.com/pronounce/%E7%9F%AE/chinese" TargetMode="External" Id="rId158"/><Relationship Type="http://schemas.openxmlformats.org/officeDocument/2006/relationships/hyperlink" Target="https://translate.google.com/?sl=zh-CN&amp;tl=vi&amp;text=%E5%AE%89%E9%9D%99&amp;op=translate" TargetMode="External" Id="rId159"/><Relationship Type="http://schemas.openxmlformats.org/officeDocument/2006/relationships/hyperlink" Target="https://youglish.com/pronounce/%E5%AE%89%E9%9D%99/chinese" TargetMode="External" Id="rId160"/><Relationship Type="http://schemas.openxmlformats.org/officeDocument/2006/relationships/hyperlink" Target="https://translate.google.com/?sl=zh-CN&amp;tl=vi&amp;text=%E6%8A%8A&amp;op=translate" TargetMode="External" Id="rId161"/><Relationship Type="http://schemas.openxmlformats.org/officeDocument/2006/relationships/hyperlink" Target="https://youglish.com/pronounce/%E6%8A%8A/chinese" TargetMode="External" Id="rId162"/><Relationship Type="http://schemas.openxmlformats.org/officeDocument/2006/relationships/hyperlink" Target="https://translate.google.com/?sl=zh-CN&amp;tl=vi&amp;text=%E6%90%AC&amp;op=translate" TargetMode="External" Id="rId163"/><Relationship Type="http://schemas.openxmlformats.org/officeDocument/2006/relationships/hyperlink" Target="https://youglish.com/pronounce/%E6%90%AC/chinese" TargetMode="External" Id="rId164"/><Relationship Type="http://schemas.openxmlformats.org/officeDocument/2006/relationships/hyperlink" Target="https://translate.google.com/?sl=zh-CN&amp;tl=vi&amp;text=%E9%A5%B1&amp;op=translate" TargetMode="External" Id="rId165"/><Relationship Type="http://schemas.openxmlformats.org/officeDocument/2006/relationships/hyperlink" Target="https://youglish.com/pronounce/%E9%A5%B1/chinese" TargetMode="External" Id="rId166"/><Relationship Type="http://schemas.openxmlformats.org/officeDocument/2006/relationships/hyperlink" Target="https://translate.google.com/?sl=zh-CN&amp;tl=vi&amp;text=%E5%8C%97%E6%96%B9&amp;op=translate" TargetMode="External" Id="rId167"/><Relationship Type="http://schemas.openxmlformats.org/officeDocument/2006/relationships/hyperlink" Target="https://youglish.com/pronounce/%E5%8C%97%E6%96%B9/chinese" TargetMode="External" Id="rId168"/><Relationship Type="http://schemas.openxmlformats.org/officeDocument/2006/relationships/hyperlink" Target="https://translate.google.com/?sl=zh-CN&amp;tl=vi&amp;text=%E8%A2%AB&amp;op=translate" TargetMode="External" Id="rId169"/><Relationship Type="http://schemas.openxmlformats.org/officeDocument/2006/relationships/hyperlink" Target="https://youglish.com/pronounce/%E8%A2%AB/chinese" TargetMode="External" Id="rId170"/><Relationship Type="http://schemas.openxmlformats.org/officeDocument/2006/relationships/hyperlink" Target="https://translate.google.com/?sl=zh-CN&amp;tl=vi&amp;text=%E9%BC%BB%E5%AD%90&amp;op=translate" TargetMode="External" Id="rId171"/><Relationship Type="http://schemas.openxmlformats.org/officeDocument/2006/relationships/hyperlink" Target="https://youglish.com/pronounce/%E9%BC%BB%E5%AD%90/chinese" TargetMode="External" Id="rId172"/><Relationship Type="http://schemas.openxmlformats.org/officeDocument/2006/relationships/hyperlink" Target="https://translate.google.com/?sl=zh-CN&amp;tl=vi&amp;text=%E6%AF%94%E8%BE%83&amp;op=translate" TargetMode="External" Id="rId173"/><Relationship Type="http://schemas.openxmlformats.org/officeDocument/2006/relationships/hyperlink" Target="https://youglish.com/pronounce/%E6%AF%94%E8%BE%83/chinese" TargetMode="External" Id="rId174"/><Relationship Type="http://schemas.openxmlformats.org/officeDocument/2006/relationships/hyperlink" Target="https://translate.google.com/?sl=zh-CN&amp;tl=vi&amp;text=%E6%AF%94%E8%B5%9B&amp;op=translate" TargetMode="External" Id="rId175"/><Relationship Type="http://schemas.openxmlformats.org/officeDocument/2006/relationships/hyperlink" Target="https://youglish.com/pronounce/%E6%AF%94%E8%B5%9B/chinese" TargetMode="External" Id="rId176"/><Relationship Type="http://schemas.openxmlformats.org/officeDocument/2006/relationships/hyperlink" Target="https://translate.google.com/?sl=zh-CN&amp;tl=vi&amp;text=%E7%AC%94%E8%AE%B0%E6%9C%AC&amp;op=translate" TargetMode="External" Id="rId177"/><Relationship Type="http://schemas.openxmlformats.org/officeDocument/2006/relationships/hyperlink" Target="https://youglish.com/pronounce/%E7%AC%94%E8%AE%B0%E6%9C%AC/chinese" TargetMode="External" Id="rId178"/><Relationship Type="http://schemas.openxmlformats.org/officeDocument/2006/relationships/hyperlink" Target="https://translate.google.com/?sl=zh-CN&amp;tl=vi&amp;text=%E5%BF%85%E9%A1%BB&amp;op=translate" TargetMode="External" Id="rId179"/><Relationship Type="http://schemas.openxmlformats.org/officeDocument/2006/relationships/hyperlink" Target="https://youglish.com/pronounce/%E5%BF%85%E9%A1%BB/chinese" TargetMode="External" Id="rId180"/><Relationship Type="http://schemas.openxmlformats.org/officeDocument/2006/relationships/hyperlink" Target="https://translate.google.com/?sl=zh-CN&amp;tl=vi&amp;text=%E5%8F%98%E5%8C%96&amp;op=translate" TargetMode="External" Id="rId181"/><Relationship Type="http://schemas.openxmlformats.org/officeDocument/2006/relationships/hyperlink" Target="https://youglish.com/pronounce/%E5%8F%98%E5%8C%96/chinese" TargetMode="External" Id="rId182"/><Relationship Type="http://schemas.openxmlformats.org/officeDocument/2006/relationships/hyperlink" Target="https://translate.google.com/?sl=zh-CN&amp;tl=vi&amp;text=%E5%86%B0%E7%AE%B1&amp;op=translate" TargetMode="External" Id="rId183"/><Relationship Type="http://schemas.openxmlformats.org/officeDocument/2006/relationships/hyperlink" Target="https://youglish.com/pronounce/%E5%86%B0%E7%AE%B1/chinese" TargetMode="External" Id="rId184"/><Relationship Type="http://schemas.openxmlformats.org/officeDocument/2006/relationships/hyperlink" Target="https://translate.google.com/?sl=zh-CN&amp;tl=vi&amp;text=%E8%8F%9C%E5%8D%95&amp;op=translate" TargetMode="External" Id="rId185"/><Relationship Type="http://schemas.openxmlformats.org/officeDocument/2006/relationships/hyperlink" Target="https://youglish.com/pronounce/%E8%8F%9C%E5%8D%95/chinese" TargetMode="External" Id="rId186"/><Relationship Type="http://schemas.openxmlformats.org/officeDocument/2006/relationships/hyperlink" Target="https://translate.google.com/?sl=zh-CN&amp;tl=vi&amp;text=%E5%8F%82%E5%8A%A0&amp;op=translate" TargetMode="External" Id="rId187"/><Relationship Type="http://schemas.openxmlformats.org/officeDocument/2006/relationships/hyperlink" Target="https://youglish.com/pronounce/%E5%8F%82%E5%8A%A0/chinese" TargetMode="External" Id="rId188"/><Relationship Type="http://schemas.openxmlformats.org/officeDocument/2006/relationships/hyperlink" Target="https://translate.google.com/?sl=zh-CN&amp;tl=vi&amp;text=%E8%8D%89&amp;op=translate" TargetMode="External" Id="rId189"/><Relationship Type="http://schemas.openxmlformats.org/officeDocument/2006/relationships/hyperlink" Target="https://youglish.com/pronounce/%E8%8D%89/chinese" TargetMode="External" Id="rId190"/><Relationship Type="http://schemas.openxmlformats.org/officeDocument/2006/relationships/hyperlink" Target="https://translate.google.com/?sl=zh-CN&amp;tl=vi&amp;text=%E5%B1%82&amp;op=translate" TargetMode="External" Id="rId191"/><Relationship Type="http://schemas.openxmlformats.org/officeDocument/2006/relationships/hyperlink" Target="https://youglish.com/pronounce/%E5%B1%82/chinese" TargetMode="External" Id="rId192"/><Relationship Type="http://schemas.openxmlformats.org/officeDocument/2006/relationships/hyperlink" Target="https://translate.google.com/?sl=zh-CN&amp;tl=vi&amp;text=%E8%B6%85%E5%B8%82&amp;op=translate" TargetMode="External" Id="rId193"/><Relationship Type="http://schemas.openxmlformats.org/officeDocument/2006/relationships/hyperlink" Target="https://youglish.com/pronounce/%E8%B6%85%E5%B8%82/chinese" TargetMode="External" Id="rId194"/><Relationship Type="http://schemas.openxmlformats.org/officeDocument/2006/relationships/hyperlink" Target="https://translate.google.com/?sl=zh-CN&amp;tl=vi&amp;text=%E8%A1%AC%E8%A1%AB&amp;op=translate" TargetMode="External" Id="rId195"/><Relationship Type="http://schemas.openxmlformats.org/officeDocument/2006/relationships/hyperlink" Target="https://youglish.com/pronounce/%E8%A1%AC%E8%A1%AB/chinese" TargetMode="External" Id="rId196"/><Relationship Type="http://schemas.openxmlformats.org/officeDocument/2006/relationships/hyperlink" Target="https://translate.google.com/?sl=zh-CN&amp;tl=vi&amp;text=%E6%88%90%E7%BB%A9&amp;op=translate" TargetMode="External" Id="rId197"/><Relationship Type="http://schemas.openxmlformats.org/officeDocument/2006/relationships/hyperlink" Target="https://youglish.com/pronounce/%E6%88%90%E7%BB%A9/chinese" TargetMode="External" Id="rId198"/><Relationship Type="http://schemas.openxmlformats.org/officeDocument/2006/relationships/hyperlink" Target="https://translate.google.com/?sl=zh-CN&amp;tl=vi&amp;text=%E5%9F%8E%E5%B8%82&amp;op=translate" TargetMode="External" Id="rId199"/><Relationship Type="http://schemas.openxmlformats.org/officeDocument/2006/relationships/hyperlink" Target="https://youglish.com/pronounce/%E5%9F%8E%E5%B8%82/chinese" TargetMode="External" Id="rId200"/><Relationship Type="http://schemas.openxmlformats.org/officeDocument/2006/relationships/hyperlink" Target="https://translate.google.com/?sl=zh-CN&amp;tl=vi&amp;text=%E8%BF%9F%E5%88%B0&amp;op=translate" TargetMode="External" Id="rId201"/><Relationship Type="http://schemas.openxmlformats.org/officeDocument/2006/relationships/hyperlink" Target="https://youglish.com/pronounce/%E8%BF%9F%E5%88%B0/chinese" TargetMode="External" Id="rId202"/><Relationship Type="http://schemas.openxmlformats.org/officeDocument/2006/relationships/hyperlink" Target="https://translate.google.com/?sl=zh-CN&amp;tl=vi&amp;text=%E9%99%A4%E4%BA%86&amp;op=translate" TargetMode="External" Id="rId203"/><Relationship Type="http://schemas.openxmlformats.org/officeDocument/2006/relationships/hyperlink" Target="https://youglish.com/pronounce/%E9%99%A4%E4%BA%86/chinese" TargetMode="External" Id="rId204"/><Relationship Type="http://schemas.openxmlformats.org/officeDocument/2006/relationships/hyperlink" Target="https://translate.google.com/?sl=zh-CN&amp;tl=vi&amp;text=%E8%88%B9&amp;op=translate" TargetMode="External" Id="rId205"/><Relationship Type="http://schemas.openxmlformats.org/officeDocument/2006/relationships/hyperlink" Target="https://youglish.com/pronounce/%E8%88%B9/chinese" TargetMode="External" Id="rId206"/><Relationship Type="http://schemas.openxmlformats.org/officeDocument/2006/relationships/hyperlink" Target="https://translate.google.com/?sl=zh-CN&amp;tl=vi&amp;text=%E6%98%A5&amp;op=translate" TargetMode="External" Id="rId207"/><Relationship Type="http://schemas.openxmlformats.org/officeDocument/2006/relationships/hyperlink" Target="https://youglish.com/pronounce/%E6%98%A5/chinese" TargetMode="External" Id="rId208"/><Relationship Type="http://schemas.openxmlformats.org/officeDocument/2006/relationships/hyperlink" Target="https://translate.google.com/?sl=zh-CN&amp;tl=vi&amp;text=%E8%AF%8D%E5%85%B8&amp;op=translate" TargetMode="External" Id="rId209"/><Relationship Type="http://schemas.openxmlformats.org/officeDocument/2006/relationships/hyperlink" Target="https://youglish.com/pronounce/%E8%AF%8D%E5%85%B8/chinese" TargetMode="External" Id="rId210"/><Relationship Type="http://schemas.openxmlformats.org/officeDocument/2006/relationships/hyperlink" Target="https://translate.google.com/?sl=zh-CN&amp;tl=vi&amp;text=%E8%81%AA%E6%98%8E&amp;op=translate" TargetMode="External" Id="rId211"/><Relationship Type="http://schemas.openxmlformats.org/officeDocument/2006/relationships/hyperlink" Target="https://youglish.com/pronounce/%E8%81%AA%E6%98%8E/chinese" TargetMode="External" Id="rId212"/><Relationship Type="http://schemas.openxmlformats.org/officeDocument/2006/relationships/hyperlink" Target="https://translate.google.com/?sl=zh-CN&amp;tl=vi&amp;text=%E6%89%93%E6%89%AB&amp;op=translate" TargetMode="External" Id="rId213"/><Relationship Type="http://schemas.openxmlformats.org/officeDocument/2006/relationships/hyperlink" Target="https://youglish.com/pronounce/%E6%89%93%E6%89%AB/chinese" TargetMode="External" Id="rId214"/><Relationship Type="http://schemas.openxmlformats.org/officeDocument/2006/relationships/hyperlink" Target="https://translate.google.com/?sl=zh-CN&amp;tl=vi&amp;text=%E6%89%93%E7%AE%97&amp;op=translate" TargetMode="External" Id="rId215"/><Relationship Type="http://schemas.openxmlformats.org/officeDocument/2006/relationships/hyperlink" Target="https://youglish.com/pronounce/%E6%89%93%E7%AE%97/chinese" TargetMode="External" Id="rId216"/><Relationship Type="http://schemas.openxmlformats.org/officeDocument/2006/relationships/hyperlink" Target="https://translate.google.com/?sl=zh-CN&amp;tl=vi&amp;text=%E5%B8%A6&amp;op=translate" TargetMode="External" Id="rId217"/><Relationship Type="http://schemas.openxmlformats.org/officeDocument/2006/relationships/hyperlink" Target="https://youglish.com/pronounce/%E5%B8%A6/chinese" TargetMode="External" Id="rId218"/><Relationship Type="http://schemas.openxmlformats.org/officeDocument/2006/relationships/hyperlink" Target="https://translate.google.com/?sl=zh-CN&amp;tl=vi&amp;text=%E6%8B%85%E5%BF%83&amp;op=translate" TargetMode="External" Id="rId219"/><Relationship Type="http://schemas.openxmlformats.org/officeDocument/2006/relationships/hyperlink" Target="https://youglish.com/pronounce/%E6%8B%85%E5%BF%83/chinese" TargetMode="External" Id="rId220"/><Relationship Type="http://schemas.openxmlformats.org/officeDocument/2006/relationships/hyperlink" Target="https://translate.google.com/?sl=zh-CN&amp;tl=vi&amp;text=%E8%9B%8B%E7%B3%95&amp;op=translate" TargetMode="External" Id="rId221"/><Relationship Type="http://schemas.openxmlformats.org/officeDocument/2006/relationships/hyperlink" Target="https://youglish.com/pronounce/%E8%9B%8B%E7%B3%95/chinese" TargetMode="External" Id="rId222"/><Relationship Type="http://schemas.openxmlformats.org/officeDocument/2006/relationships/hyperlink" Target="https://translate.google.com/?sl=zh-CN&amp;tl=vi&amp;text=%E5%BD%93%E7%84%B6&amp;op=translate" TargetMode="External" Id="rId223"/><Relationship Type="http://schemas.openxmlformats.org/officeDocument/2006/relationships/hyperlink" Target="https://youglish.com/pronounce/%E5%BD%93%E7%84%B6/chinese" TargetMode="External" Id="rId224"/><Relationship Type="http://schemas.openxmlformats.org/officeDocument/2006/relationships/hyperlink" Target="https://translate.google.com/?sl=zh-CN&amp;tl=vi&amp;text=%E5%9C%B0%E9%93%81&amp;op=translate" TargetMode="External" Id="rId225"/><Relationship Type="http://schemas.openxmlformats.org/officeDocument/2006/relationships/hyperlink" Target="https://youglish.com/pronounce/%E5%9C%B0%E9%93%81/chinese" TargetMode="External" Id="rId226"/><Relationship Type="http://schemas.openxmlformats.org/officeDocument/2006/relationships/hyperlink" Target="https://translate.google.com/?sl=zh-CN&amp;tl=vi&amp;text=%E7%81%AF&amp;op=translate" TargetMode="External" Id="rId227"/><Relationship Type="http://schemas.openxmlformats.org/officeDocument/2006/relationships/hyperlink" Target="https://youglish.com/pronounce/%E7%81%AF/chinese" TargetMode="External" Id="rId228"/><Relationship Type="http://schemas.openxmlformats.org/officeDocument/2006/relationships/hyperlink" Target="https://translate.google.com/?sl=zh-CN&amp;tl=vi&amp;text=%E4%BD%8E&amp;op=translate" TargetMode="External" Id="rId229"/><Relationship Type="http://schemas.openxmlformats.org/officeDocument/2006/relationships/hyperlink" Target="https://youglish.com/pronounce/%E4%BD%8E/chinese" TargetMode="External" Id="rId230"/><Relationship Type="http://schemas.openxmlformats.org/officeDocument/2006/relationships/hyperlink" Target="https://translate.google.com/?sl=zh-CN&amp;tl=vi&amp;text=%E6%8E%89&amp;op=translate" TargetMode="External" Id="rId231"/><Relationship Type="http://schemas.openxmlformats.org/officeDocument/2006/relationships/hyperlink" Target="https://youglish.com/pronounce/%E6%8E%89/chinese" TargetMode="External" Id="rId232"/><Relationship Type="http://schemas.openxmlformats.org/officeDocument/2006/relationships/hyperlink" Target="https://translate.google.com/?sl=zh-CN&amp;tl=vi&amp;text=%E7%94%B5%E6%A2%AF&amp;op=translate" TargetMode="External" Id="rId233"/><Relationship Type="http://schemas.openxmlformats.org/officeDocument/2006/relationships/hyperlink" Target="https://youglish.com/pronounce/%E7%94%B5%E6%A2%AF/chinese" TargetMode="External" Id="rId234"/><Relationship Type="http://schemas.openxmlformats.org/officeDocument/2006/relationships/hyperlink" Target="https://translate.google.com/?sl=zh-CN&amp;tl=vi&amp;text=%E7%94%B5%E5%AD%90%E9%82%AE%E4%BB%B6&amp;op=translate" TargetMode="External" Id="rId235"/><Relationship Type="http://schemas.openxmlformats.org/officeDocument/2006/relationships/hyperlink" Target="https://youglish.com/pronounce/%E7%94%B5%E5%AD%90%E9%82%AE%E4%BB%B6/chinese" TargetMode="External" Id="rId236"/><Relationship Type="http://schemas.openxmlformats.org/officeDocument/2006/relationships/hyperlink" Target="https://translate.google.com/?sl=zh-CN&amp;tl=vi&amp;text=%E5%86%AC&amp;op=translate" TargetMode="External" Id="rId237"/><Relationship Type="http://schemas.openxmlformats.org/officeDocument/2006/relationships/hyperlink" Target="https://youglish.com/pronounce/%E5%86%AC/chinese" TargetMode="External" Id="rId238"/><Relationship Type="http://schemas.openxmlformats.org/officeDocument/2006/relationships/hyperlink" Target="https://translate.google.com/?sl=zh-CN&amp;tl=vi&amp;text=%E5%8A%A8%E7%89%A9&amp;op=translate" TargetMode="External" Id="rId239"/><Relationship Type="http://schemas.openxmlformats.org/officeDocument/2006/relationships/hyperlink" Target="https://youglish.com/pronounce/%E5%8A%A8%E7%89%A9/chinese" TargetMode="External" Id="rId240"/><Relationship Type="http://schemas.openxmlformats.org/officeDocument/2006/relationships/hyperlink" Target="https://translate.google.com/?sl=zh-CN&amp;tl=vi&amp;text=%E7%9F%AD&amp;op=translate" TargetMode="External" Id="rId241"/><Relationship Type="http://schemas.openxmlformats.org/officeDocument/2006/relationships/hyperlink" Target="https://youglish.com/pronounce/%E7%9F%AD/chinese" TargetMode="External" Id="rId242"/><Relationship Type="http://schemas.openxmlformats.org/officeDocument/2006/relationships/hyperlink" Target="https://translate.google.com/?sl=zh-CN&amp;tl=vi&amp;text=%E6%AE%B5&amp;op=translate" TargetMode="External" Id="rId243"/><Relationship Type="http://schemas.openxmlformats.org/officeDocument/2006/relationships/hyperlink" Target="https://youglish.com/pronounce/%E6%AE%B5/chinese" TargetMode="External" Id="rId244"/><Relationship Type="http://schemas.openxmlformats.org/officeDocument/2006/relationships/hyperlink" Target="https://translate.google.com/?sl=zh-CN&amp;tl=vi&amp;text=%E9%94%BB%E7%82%BC&amp;op=translate" TargetMode="External" Id="rId245"/><Relationship Type="http://schemas.openxmlformats.org/officeDocument/2006/relationships/hyperlink" Target="https://youglish.com/pronounce/%E9%94%BB%E7%82%BC/chinese" TargetMode="External" Id="rId246"/><Relationship Type="http://schemas.openxmlformats.org/officeDocument/2006/relationships/hyperlink" Target="https://translate.google.com/?sl=zh-CN&amp;tl=vi&amp;text=%E5%A4%9A%E4%B9%88&amp;op=translate" TargetMode="External" Id="rId247"/><Relationship Type="http://schemas.openxmlformats.org/officeDocument/2006/relationships/hyperlink" Target="https://youglish.com/pronounce/%E5%A4%9A%E4%B9%88/chinese" TargetMode="External" Id="rId248"/><Relationship Type="http://schemas.openxmlformats.org/officeDocument/2006/relationships/hyperlink" Target="https://translate.google.com/?sl=zh-CN&amp;tl=vi&amp;text=%E8%80%8C%E4%B8%94&amp;op=translate" TargetMode="External" Id="rId249"/><Relationship Type="http://schemas.openxmlformats.org/officeDocument/2006/relationships/hyperlink" Target="https://youglish.com/pronounce/%E8%80%8C%E4%B8%94/chinese" TargetMode="External" Id="rId250"/><Relationship Type="http://schemas.openxmlformats.org/officeDocument/2006/relationships/hyperlink" Target="https://translate.google.com/?sl=zh-CN&amp;tl=vi&amp;text=%E8%80%B3%E6%9C%B5&amp;op=translate" TargetMode="External" Id="rId251"/><Relationship Type="http://schemas.openxmlformats.org/officeDocument/2006/relationships/hyperlink" Target="https://youglish.com/pronounce/%E8%80%B3%E6%9C%B5/chinese" TargetMode="External" Id="rId252"/><Relationship Type="http://schemas.openxmlformats.org/officeDocument/2006/relationships/hyperlink" Target="https://translate.google.com/?sl=zh-CN&amp;tl=vi&amp;text=%E5%8F%91&amp;op=translate" TargetMode="External" Id="rId253"/><Relationship Type="http://schemas.openxmlformats.org/officeDocument/2006/relationships/hyperlink" Target="https://youglish.com/pronounce/%E5%8F%91/chinese" TargetMode="External" Id="rId254"/><Relationship Type="http://schemas.openxmlformats.org/officeDocument/2006/relationships/hyperlink" Target="https://translate.google.com/?sl=zh-CN&amp;tl=vi&amp;text=%E5%8F%91%E7%83%A7&amp;op=translate" TargetMode="External" Id="rId255"/><Relationship Type="http://schemas.openxmlformats.org/officeDocument/2006/relationships/hyperlink" Target="https://youglish.com/pronounce/%E5%8F%91%E7%83%A7/chinese" TargetMode="External" Id="rId256"/><Relationship Type="http://schemas.openxmlformats.org/officeDocument/2006/relationships/hyperlink" Target="https://translate.google.com/?sl=zh-CN&amp;tl=vi&amp;text=%E5%8F%91%E7%8E%B0&amp;op=translate" TargetMode="External" Id="rId257"/><Relationship Type="http://schemas.openxmlformats.org/officeDocument/2006/relationships/hyperlink" Target="https://youglish.com/pronounce/%E5%8F%91%E7%8E%B0/chinese" TargetMode="External" Id="rId258"/><Relationship Type="http://schemas.openxmlformats.org/officeDocument/2006/relationships/hyperlink" Target="https://translate.google.com/?sl=zh-CN&amp;tl=vi&amp;text=%E6%96%B9%E4%BE%BF&amp;op=translate" TargetMode="External" Id="rId259"/><Relationship Type="http://schemas.openxmlformats.org/officeDocument/2006/relationships/hyperlink" Target="https://youglish.com/pronounce/%E6%96%B9%E4%BE%BF/chinese" TargetMode="External" Id="rId260"/><Relationship Type="http://schemas.openxmlformats.org/officeDocument/2006/relationships/hyperlink" Target="https://translate.google.com/?sl=zh-CN&amp;tl=vi&amp;text=%E6%94%BE%E5%BF%83&amp;op=translate" TargetMode="External" Id="rId261"/><Relationship Type="http://schemas.openxmlformats.org/officeDocument/2006/relationships/hyperlink" Target="https://youglish.com/pronounce/%E6%94%BE%E5%BF%83/chinese" TargetMode="External" Id="rId262"/><Relationship Type="http://schemas.openxmlformats.org/officeDocument/2006/relationships/hyperlink" Target="https://translate.google.com/?sl=zh-CN&amp;tl=vi&amp;text=%E9%99%84%E8%BF%91&amp;op=translate" TargetMode="External" Id="rId263"/><Relationship Type="http://schemas.openxmlformats.org/officeDocument/2006/relationships/hyperlink" Target="https://youglish.com/pronounce/%E9%99%84%E8%BF%91/chinese" TargetMode="External" Id="rId264"/><Relationship Type="http://schemas.openxmlformats.org/officeDocument/2006/relationships/hyperlink" Target="https://translate.google.com/?sl=zh-CN&amp;tl=vi&amp;text=%E5%A4%8D%E4%B9%A0&amp;op=translate" TargetMode="External" Id="rId265"/><Relationship Type="http://schemas.openxmlformats.org/officeDocument/2006/relationships/hyperlink" Target="https://youglish.com/pronounce/%E5%A4%8D%E4%B9%A0/chinese" TargetMode="External" Id="rId266"/><Relationship Type="http://schemas.openxmlformats.org/officeDocument/2006/relationships/hyperlink" Target="https://translate.google.com/?sl=zh-CN&amp;tl=vi&amp;text=%E6%95%A2&amp;op=translate" TargetMode="External" Id="rId267"/><Relationship Type="http://schemas.openxmlformats.org/officeDocument/2006/relationships/hyperlink" Target="https://youglish.com/pronounce/%E6%95%A2/chinese" TargetMode="External" Id="rId268"/><Relationship Type="http://schemas.openxmlformats.org/officeDocument/2006/relationships/hyperlink" Target="https://translate.google.com/?sl=zh-CN&amp;tl=vi&amp;text=%E6%84%9F%E5%86%92&amp;op=translate" TargetMode="External" Id="rId269"/><Relationship Type="http://schemas.openxmlformats.org/officeDocument/2006/relationships/hyperlink" Target="https://youglish.com/pronounce/%E6%84%9F%E5%86%92/chinese" TargetMode="External" Id="rId270"/><Relationship Type="http://schemas.openxmlformats.org/officeDocument/2006/relationships/hyperlink" Target="https://translate.google.com/?sl=zh-CN&amp;tl=vi&amp;text=%E6%84%9F%E5%85%B4%E8%B6%A3&amp;op=translate" TargetMode="External" Id="rId271"/><Relationship Type="http://schemas.openxmlformats.org/officeDocument/2006/relationships/hyperlink" Target="https://youglish.com/pronounce/%E6%84%9F%E5%85%B4%E8%B6%A3/chinese" TargetMode="External" Id="rId272"/><Relationship Type="http://schemas.openxmlformats.org/officeDocument/2006/relationships/hyperlink" Target="https://translate.google.com/?sl=zh-CN&amp;tl=vi&amp;text=%E5%88%9A%E6%89%8D&amp;op=translate" TargetMode="External" Id="rId273"/><Relationship Type="http://schemas.openxmlformats.org/officeDocument/2006/relationships/hyperlink" Target="https://youglish.com/pronounce/%E5%88%9A%E6%89%8D/chinese" TargetMode="External" Id="rId274"/><Relationship Type="http://schemas.openxmlformats.org/officeDocument/2006/relationships/hyperlink" Target="https://translate.google.com/?sl=zh-CN&amp;tl=vi&amp;text=%E4%B8%AA%E5%AD%90&amp;op=translate" TargetMode="External" Id="rId275"/><Relationship Type="http://schemas.openxmlformats.org/officeDocument/2006/relationships/hyperlink" Target="https://youglish.com/pronounce/%E4%B8%AA%E5%AD%90/chinese" TargetMode="External" Id="rId276"/><Relationship Type="http://schemas.openxmlformats.org/officeDocument/2006/relationships/hyperlink" Target="https://translate.google.com/?sl=zh-CN&amp;tl=vi&amp;text=%E6%A0%B9%E6%8D%AE&amp;op=translate" TargetMode="External" Id="rId277"/><Relationship Type="http://schemas.openxmlformats.org/officeDocument/2006/relationships/hyperlink" Target="https://youglish.com/pronounce/%E6%A0%B9%E6%8D%AE/chinese" TargetMode="External" Id="rId278"/><Relationship Type="http://schemas.openxmlformats.org/officeDocument/2006/relationships/hyperlink" Target="https://translate.google.com/?sl=zh-CN&amp;tl=vi&amp;text=%E6%9B%B4&amp;op=translate" TargetMode="External" Id="rId279"/><Relationship Type="http://schemas.openxmlformats.org/officeDocument/2006/relationships/hyperlink" Target="https://youglish.com/pronounce/%E6%9B%B4/chinese" TargetMode="External" Id="rId280"/><Relationship Type="http://schemas.openxmlformats.org/officeDocument/2006/relationships/hyperlink" Target="https://translate.google.com/?sl=zh-CN&amp;tl=vi&amp;text=%E5%85%AC%E6%96%A4&amp;op=translate" TargetMode="External" Id="rId281"/><Relationship Type="http://schemas.openxmlformats.org/officeDocument/2006/relationships/hyperlink" Target="https://youglish.com/pronounce/%E5%85%AC%E6%96%A4/chinese" TargetMode="External" Id="rId282"/><Relationship Type="http://schemas.openxmlformats.org/officeDocument/2006/relationships/hyperlink" Target="https://translate.google.com/?sl=zh-CN&amp;tl=vi&amp;text=%E5%85%AC%E5%9B%AD&amp;op=translate" TargetMode="External" Id="rId283"/><Relationship Type="http://schemas.openxmlformats.org/officeDocument/2006/relationships/hyperlink" Target="https://youglish.com/pronounce/%E5%85%AC%E5%9B%AD/chinese" TargetMode="External" Id="rId284"/><Relationship Type="http://schemas.openxmlformats.org/officeDocument/2006/relationships/hyperlink" Target="https://translate.google.com/?sl=zh-CN&amp;tl=vi&amp;text=%E6%95%85%E4%BA%8B&amp;op=translate" TargetMode="External" Id="rId285"/><Relationship Type="http://schemas.openxmlformats.org/officeDocument/2006/relationships/hyperlink" Target="https://youglish.com/pronounce/%E6%95%85%E4%BA%8B/chinese" TargetMode="External" Id="rId286"/><Relationship Type="http://schemas.openxmlformats.org/officeDocument/2006/relationships/hyperlink" Target="https://translate.google.com/?sl=zh-CN&amp;tl=vi&amp;text=%E5%88%AE%E9%A3%8E&amp;op=translate" TargetMode="External" Id="rId287"/><Relationship Type="http://schemas.openxmlformats.org/officeDocument/2006/relationships/hyperlink" Target="https://youglish.com/pronounce/%E5%88%AE%E9%A3%8E/chinese" TargetMode="External" Id="rId288"/><Relationship Type="http://schemas.openxmlformats.org/officeDocument/2006/relationships/hyperlink" Target="https://translate.google.com/?sl=zh-CN&amp;tl=vi&amp;text=%E5%85%B3%E7%B3%BB&amp;op=translate" TargetMode="External" Id="rId289"/><Relationship Type="http://schemas.openxmlformats.org/officeDocument/2006/relationships/hyperlink" Target="https://youglish.com/pronounce/%E5%85%B3%E7%B3%BB/chinese" TargetMode="External" Id="rId290"/><Relationship Type="http://schemas.openxmlformats.org/officeDocument/2006/relationships/hyperlink" Target="https://translate.google.com/?sl=zh-CN&amp;tl=vi&amp;text=%E5%85%B3%E5%BF%83&amp;op=translate" TargetMode="External" Id="rId291"/><Relationship Type="http://schemas.openxmlformats.org/officeDocument/2006/relationships/hyperlink" Target="https://youglish.com/pronounce/%E5%85%B3%E5%BF%83/chinese" TargetMode="External" Id="rId292"/><Relationship Type="http://schemas.openxmlformats.org/officeDocument/2006/relationships/hyperlink" Target="https://translate.google.com/?sl=zh-CN&amp;tl=vi&amp;text=%E5%85%B3%E4%BA%8E&amp;op=translate" TargetMode="External" Id="rId293"/><Relationship Type="http://schemas.openxmlformats.org/officeDocument/2006/relationships/hyperlink" Target="https://youglish.com/pronounce/%E5%85%B3%E4%BA%8E/chinese" TargetMode="External" Id="rId294"/><Relationship Type="http://schemas.openxmlformats.org/officeDocument/2006/relationships/hyperlink" Target="https://translate.google.com/?sl=zh-CN&amp;tl=vi&amp;text=%E8%BF%87%E5%8E%BB&amp;op=translate" TargetMode="External" Id="rId295"/><Relationship Type="http://schemas.openxmlformats.org/officeDocument/2006/relationships/hyperlink" Target="https://youglish.com/pronounce/%E8%BF%87%E5%8E%BB/chinese" TargetMode="External" Id="rId296"/><Relationship Type="http://schemas.openxmlformats.org/officeDocument/2006/relationships/hyperlink" Target="https://translate.google.com/?sl=zh-CN&amp;tl=vi&amp;text=%E5%AE%B3%E6%80%95&amp;op=translate" TargetMode="External" Id="rId297"/><Relationship Type="http://schemas.openxmlformats.org/officeDocument/2006/relationships/hyperlink" Target="https://youglish.com/pronounce/%E5%AE%B3%E6%80%95/chinese" TargetMode="External" Id="rId298"/><Relationship Type="http://schemas.openxmlformats.org/officeDocument/2006/relationships/hyperlink" Target="https://translate.google.com/?sl=zh-CN&amp;tl=vi&amp;text=%E9%BB%91%E6%9D%BF&amp;op=translate" TargetMode="External" Id="rId299"/><Relationship Type="http://schemas.openxmlformats.org/officeDocument/2006/relationships/hyperlink" Target="https://youglish.com/pronounce/%E9%BB%91%E6%9D%BF/chinese" TargetMode="External" Id="rId300"/><Relationship Type="http://schemas.openxmlformats.org/officeDocument/2006/relationships/hyperlink" Target="https://translate.google.com/?sl=zh-CN&amp;tl=vi&amp;text=%E5%90%8E%E6%9D%A5&amp;op=translate" TargetMode="External" Id="rId301"/><Relationship Type="http://schemas.openxmlformats.org/officeDocument/2006/relationships/hyperlink" Target="https://youglish.com/pronounce/%E5%90%8E%E6%9D%A5/chinese" TargetMode="External" Id="rId302"/><Relationship Type="http://schemas.openxmlformats.org/officeDocument/2006/relationships/hyperlink" Target="https://translate.google.com/?sl=zh-CN&amp;tl=vi&amp;text=%E6%8A%A4%E7%85%A7&amp;op=translate" TargetMode="External" Id="rId303"/><Relationship Type="http://schemas.openxmlformats.org/officeDocument/2006/relationships/hyperlink" Target="https://youglish.com/pronounce/%E6%8A%A4%E7%85%A7/chinese" TargetMode="External" Id="rId304"/><Relationship Type="http://schemas.openxmlformats.org/officeDocument/2006/relationships/hyperlink" Target="https://translate.google.com/?sl=zh-CN&amp;tl=vi&amp;text=%E7%94%BB&amp;op=translate" TargetMode="External" Id="rId305"/><Relationship Type="http://schemas.openxmlformats.org/officeDocument/2006/relationships/hyperlink" Target="https://youglish.com/pronounce/%E7%94%BB/chinese" TargetMode="External" Id="rId306"/><Relationship Type="http://schemas.openxmlformats.org/officeDocument/2006/relationships/hyperlink" Target="https://translate.google.com/?sl=zh-CN&amp;tl=vi&amp;text=%E6%AC%A2%E8%BF%8E&amp;op=translate" TargetMode="External" Id="rId307"/><Relationship Type="http://schemas.openxmlformats.org/officeDocument/2006/relationships/hyperlink" Target="https://youglish.com/pronounce/%E6%AC%A2%E8%BF%8E/chinese" TargetMode="External" Id="rId308"/><Relationship Type="http://schemas.openxmlformats.org/officeDocument/2006/relationships/hyperlink" Target="https://translate.google.com/?sl=zh-CN&amp;tl=vi&amp;text=%E7%8E%AF%E5%A2%83&amp;op=translate" TargetMode="External" Id="rId309"/><Relationship Type="http://schemas.openxmlformats.org/officeDocument/2006/relationships/hyperlink" Target="https://youglish.com/pronounce/%E7%8E%AF%E5%A2%83/chinese" TargetMode="External" Id="rId310"/><Relationship Type="http://schemas.openxmlformats.org/officeDocument/2006/relationships/hyperlink" Target="https://translate.google.com/?sl=zh-CN&amp;tl=vi&amp;text=%E6%8D%A2&amp;op=translate" TargetMode="External" Id="rId311"/><Relationship Type="http://schemas.openxmlformats.org/officeDocument/2006/relationships/hyperlink" Target="https://youglish.com/pronounce/%E6%8D%A2/chinese" TargetMode="External" Id="rId312"/><Relationship Type="http://schemas.openxmlformats.org/officeDocument/2006/relationships/hyperlink" Target="https://translate.google.com/?sl=zh-CN&amp;tl=vi&amp;text=%E9%BB%84%E6%B2%B3&amp;op=translate" TargetMode="External" Id="rId313"/><Relationship Type="http://schemas.openxmlformats.org/officeDocument/2006/relationships/hyperlink" Target="https://youglish.com/pronounce/%E9%BB%84%E6%B2%B3/chinese" TargetMode="External" Id="rId314"/><Relationship Type="http://schemas.openxmlformats.org/officeDocument/2006/relationships/hyperlink" Target="https://translate.google.com/?sl=zh-CN&amp;tl=vi&amp;text=%E4%BC%9A%E8%AE%AE&amp;op=translate" TargetMode="External" Id="rId315"/><Relationship Type="http://schemas.openxmlformats.org/officeDocument/2006/relationships/hyperlink" Target="https://youglish.com/pronounce/%E4%BC%9A%E8%AE%AE/chinese" TargetMode="External" Id="rId316"/><Relationship Type="http://schemas.openxmlformats.org/officeDocument/2006/relationships/hyperlink" Target="https://translate.google.com/?sl=zh-CN&amp;tl=vi&amp;text=%E6%88%96%E8%80%85&amp;op=translate" TargetMode="External" Id="rId317"/><Relationship Type="http://schemas.openxmlformats.org/officeDocument/2006/relationships/hyperlink" Target="https://youglish.com/pronounce/%E6%88%96%E8%80%85/chinese" TargetMode="External" Id="rId318"/><Relationship Type="http://schemas.openxmlformats.org/officeDocument/2006/relationships/hyperlink" Target="https://translate.google.com/?sl=zh-CN&amp;tl=vi&amp;text=%E5%87%A0%E4%B9%8E&amp;op=translate" TargetMode="External" Id="rId319"/><Relationship Type="http://schemas.openxmlformats.org/officeDocument/2006/relationships/hyperlink" Target="https://youglish.com/pronounce/%E5%87%A0%E4%B9%8E/chinese" TargetMode="External" Id="rId320"/><Relationship Type="http://schemas.openxmlformats.org/officeDocument/2006/relationships/hyperlink" Target="https://translate.google.com/?sl=zh-CN&amp;tl=vi&amp;text=%E6%9C%BA%E4%BC%9A&amp;op=translate" TargetMode="External" Id="rId321"/><Relationship Type="http://schemas.openxmlformats.org/officeDocument/2006/relationships/hyperlink" Target="https://youglish.com/pronounce/%E6%9C%BA%E4%BC%9A/chinese" TargetMode="External" Id="rId322"/><Relationship Type="http://schemas.openxmlformats.org/officeDocument/2006/relationships/hyperlink" Target="https://translate.google.com/?sl=zh-CN&amp;tl=vi&amp;text=%E6%9E%81&amp;op=translate" TargetMode="External" Id="rId323"/><Relationship Type="http://schemas.openxmlformats.org/officeDocument/2006/relationships/hyperlink" Target="https://youglish.com/pronounce/%E6%9E%81/chinese" TargetMode="External" Id="rId324"/><Relationship Type="http://schemas.openxmlformats.org/officeDocument/2006/relationships/hyperlink" Target="https://translate.google.com/?sl=zh-CN&amp;tl=vi&amp;text=%E5%AD%A3%E8%8A%82&amp;op=translate" TargetMode="External" Id="rId325"/><Relationship Type="http://schemas.openxmlformats.org/officeDocument/2006/relationships/hyperlink" Target="https://youglish.com/pronounce/%E5%AD%A3%E8%8A%82/chinese" TargetMode="External" Id="rId326"/><Relationship Type="http://schemas.openxmlformats.org/officeDocument/2006/relationships/hyperlink" Target="https://translate.google.com/?sl=zh-CN&amp;tl=vi&amp;text=%E6%A3%80%E6%9F%A5&amp;op=translate" TargetMode="External" Id="rId327"/><Relationship Type="http://schemas.openxmlformats.org/officeDocument/2006/relationships/hyperlink" Target="https://youglish.com/pronounce/%E6%A3%80%E6%9F%A5/chinese" TargetMode="External" Id="rId328"/><Relationship Type="http://schemas.openxmlformats.org/officeDocument/2006/relationships/hyperlink" Target="https://translate.google.com/?sl=zh-CN&amp;tl=vi&amp;text=%E7%AE%80%E5%8D%95&amp;op=translate" TargetMode="External" Id="rId329"/><Relationship Type="http://schemas.openxmlformats.org/officeDocument/2006/relationships/hyperlink" Target="https://youglish.com/pronounce/%E7%AE%80%E5%8D%95/chinese" TargetMode="External" Id="rId330"/><Relationship Type="http://schemas.openxmlformats.org/officeDocument/2006/relationships/hyperlink" Target="https://translate.google.com/?sl=zh-CN&amp;tl=vi&amp;text=%E5%81%A5%E5%BA%B7&amp;op=translate" TargetMode="External" Id="rId331"/><Relationship Type="http://schemas.openxmlformats.org/officeDocument/2006/relationships/hyperlink" Target="https://youglish.com/pronounce/%E5%81%A5%E5%BA%B7/chinese" TargetMode="External" Id="rId332"/><Relationship Type="http://schemas.openxmlformats.org/officeDocument/2006/relationships/hyperlink" Target="https://translate.google.com/?sl=zh-CN&amp;tl=vi&amp;text=%E8%AE%B2&amp;op=translate" TargetMode="External" Id="rId333"/><Relationship Type="http://schemas.openxmlformats.org/officeDocument/2006/relationships/hyperlink" Target="https://youglish.com/pronounce/%E8%AE%B2/chinese" TargetMode="External" Id="rId334"/><Relationship Type="http://schemas.openxmlformats.org/officeDocument/2006/relationships/hyperlink" Target="https://translate.google.com/?sl=zh-CN&amp;tl=vi&amp;text=%E8%A7%92&amp;op=translate" TargetMode="External" Id="rId335"/><Relationship Type="http://schemas.openxmlformats.org/officeDocument/2006/relationships/hyperlink" Target="https://youglish.com/pronounce/%E8%A7%92/chinese" TargetMode="External" Id="rId336"/><Relationship Type="http://schemas.openxmlformats.org/officeDocument/2006/relationships/hyperlink" Target="https://translate.google.com/?sl=zh-CN&amp;tl=vi&amp;text=%E8%84%9A&amp;op=translate" TargetMode="External" Id="rId337"/><Relationship Type="http://schemas.openxmlformats.org/officeDocument/2006/relationships/hyperlink" Target="https://youglish.com/pronounce/%E8%84%9A/chinese" TargetMode="External" Id="rId338"/><Relationship Type="http://schemas.openxmlformats.org/officeDocument/2006/relationships/hyperlink" Target="https://translate.google.com/?sl=zh-CN&amp;tl=vi&amp;text=%E8%A1%97%E9%81%93&amp;op=translate" TargetMode="External" Id="rId339"/><Relationship Type="http://schemas.openxmlformats.org/officeDocument/2006/relationships/hyperlink" Target="https://youglish.com/pronounce/%E8%A1%97%E9%81%93/chinese" TargetMode="External" Id="rId340"/><Relationship Type="http://schemas.openxmlformats.org/officeDocument/2006/relationships/hyperlink" Target="https://translate.google.com/?sl=zh-CN&amp;tl=vi&amp;text=%E7%BB%93%E5%A9%9A&amp;op=translate" TargetMode="External" Id="rId341"/><Relationship Type="http://schemas.openxmlformats.org/officeDocument/2006/relationships/hyperlink" Target="https://youglish.com/pronounce/%E7%BB%93%E5%A9%9A/chinese" TargetMode="External" Id="rId342"/><Relationship Type="http://schemas.openxmlformats.org/officeDocument/2006/relationships/hyperlink" Target="https://translate.google.com/?sl=zh-CN&amp;tl=vi&amp;text=%E7%BB%93%E6%9D%9F&amp;op=translate" TargetMode="External" Id="rId343"/><Relationship Type="http://schemas.openxmlformats.org/officeDocument/2006/relationships/hyperlink" Target="https://youglish.com/pronounce/%E7%BB%93%E6%9D%9F/chinese" TargetMode="External" Id="rId344"/><Relationship Type="http://schemas.openxmlformats.org/officeDocument/2006/relationships/hyperlink" Target="https://translate.google.com/?sl=zh-CN&amp;tl=vi&amp;text=%E8%8A%82%E7%9B%AE&amp;op=translate" TargetMode="External" Id="rId345"/><Relationship Type="http://schemas.openxmlformats.org/officeDocument/2006/relationships/hyperlink" Target="https://youglish.com/pronounce/%E8%8A%82%E7%9B%AE/chinese" TargetMode="External" Id="rId346"/><Relationship Type="http://schemas.openxmlformats.org/officeDocument/2006/relationships/hyperlink" Target="https://translate.google.com/?sl=zh-CN&amp;tl=vi&amp;text=%E8%8A%82%E6%97%A5&amp;op=translate" TargetMode="External" Id="rId347"/><Relationship Type="http://schemas.openxmlformats.org/officeDocument/2006/relationships/hyperlink" Target="https://youglish.com/pronounce/%E8%8A%82%E6%97%A5/chinese" TargetMode="External" Id="rId348"/><Relationship Type="http://schemas.openxmlformats.org/officeDocument/2006/relationships/hyperlink" Target="https://translate.google.com/?sl=zh-CN&amp;tl=vi&amp;text=%E8%A7%A3%E5%86%B3&amp;op=translate" TargetMode="External" Id="rId349"/><Relationship Type="http://schemas.openxmlformats.org/officeDocument/2006/relationships/hyperlink" Target="https://youglish.com/pronounce/%E8%A7%A3%E5%86%B3/chinese" TargetMode="External" Id="rId350"/><Relationship Type="http://schemas.openxmlformats.org/officeDocument/2006/relationships/hyperlink" Target="https://translate.google.com/?sl=zh-CN&amp;tl=vi&amp;text=%E5%80%9F&amp;op=translate" TargetMode="External" Id="rId351"/><Relationship Type="http://schemas.openxmlformats.org/officeDocument/2006/relationships/hyperlink" Target="https://youglish.com/pronounce/%E5%80%9F/chinese" TargetMode="External" Id="rId352"/><Relationship Type="http://schemas.openxmlformats.org/officeDocument/2006/relationships/hyperlink" Target="https://translate.google.com/?sl=zh-CN&amp;tl=vi&amp;text=%E7%BB%8F%E5%B8%B8&amp;op=translate" TargetMode="External" Id="rId353"/><Relationship Type="http://schemas.openxmlformats.org/officeDocument/2006/relationships/hyperlink" Target="https://youglish.com/pronounce/%E7%BB%8F%E5%B8%B8/chinese" TargetMode="External" Id="rId354"/><Relationship Type="http://schemas.openxmlformats.org/officeDocument/2006/relationships/hyperlink" Target="https://translate.google.com/?sl=zh-CN&amp;tl=vi&amp;text=%E7%BB%8F%E8%BF%87&amp;op=translate" TargetMode="External" Id="rId355"/><Relationship Type="http://schemas.openxmlformats.org/officeDocument/2006/relationships/hyperlink" Target="https://youglish.com/pronounce/%E7%BB%8F%E8%BF%87/chinese" TargetMode="External" Id="rId356"/><Relationship Type="http://schemas.openxmlformats.org/officeDocument/2006/relationships/hyperlink" Target="https://translate.google.com/?sl=zh-CN&amp;tl=vi&amp;text=%E7%BB%8F%E7%90%86&amp;op=translate" TargetMode="External" Id="rId357"/><Relationship Type="http://schemas.openxmlformats.org/officeDocument/2006/relationships/hyperlink" Target="https://youglish.com/pronounce/%E7%BB%8F%E7%90%86/chinese" TargetMode="External" Id="rId358"/><Relationship Type="http://schemas.openxmlformats.org/officeDocument/2006/relationships/hyperlink" Target="https://translate.google.com/?sl=zh-CN&amp;tl=vi&amp;text=%E4%B9%85&amp;op=translate" TargetMode="External" Id="rId359"/><Relationship Type="http://schemas.openxmlformats.org/officeDocument/2006/relationships/hyperlink" Target="https://youglish.com/pronounce/%E4%B9%85/chinese" TargetMode="External" Id="rId360"/><Relationship Type="http://schemas.openxmlformats.org/officeDocument/2006/relationships/hyperlink" Target="https://translate.google.com/?sl=zh-CN&amp;tl=vi&amp;text=%E6%97%A7&amp;op=translate" TargetMode="External" Id="rId361"/><Relationship Type="http://schemas.openxmlformats.org/officeDocument/2006/relationships/hyperlink" Target="https://youglish.com/pronounce/%E6%97%A7/chinese" TargetMode="External" Id="rId362"/><Relationship Type="http://schemas.openxmlformats.org/officeDocument/2006/relationships/hyperlink" Target="https://translate.google.com/?sl=zh-CN&amp;tl=vi&amp;text=%E4%B8%BE%E8%A1%8C&amp;op=translate" TargetMode="External" Id="rId363"/><Relationship Type="http://schemas.openxmlformats.org/officeDocument/2006/relationships/hyperlink" Target="https://youglish.com/pronounce/%E4%B8%BE%E8%A1%8C/chinese" TargetMode="External" Id="rId364"/><Relationship Type="http://schemas.openxmlformats.org/officeDocument/2006/relationships/hyperlink" Target="https://translate.google.com/?sl=zh-CN&amp;tl=vi&amp;text=%E5%8F%A5%E5%AD%90&amp;op=translate" TargetMode="External" Id="rId365"/><Relationship Type="http://schemas.openxmlformats.org/officeDocument/2006/relationships/hyperlink" Target="https://youglish.com/pronounce/%E5%8F%A5%E5%AD%90/chinese" TargetMode="External" Id="rId366"/><Relationship Type="http://schemas.openxmlformats.org/officeDocument/2006/relationships/hyperlink" Target="https://translate.google.com/?sl=zh-CN&amp;tl=vi&amp;text=%E5%86%B3%E5%AE%9A&amp;op=translate" TargetMode="External" Id="rId367"/><Relationship Type="http://schemas.openxmlformats.org/officeDocument/2006/relationships/hyperlink" Target="https://youglish.com/pronounce/%E5%86%B3%E5%AE%9A/chinese" TargetMode="External" Id="rId368"/><Relationship Type="http://schemas.openxmlformats.org/officeDocument/2006/relationships/hyperlink" Target="https://translate.google.com/?sl=zh-CN&amp;tl=vi&amp;text=%E5%8F%AF%E7%88%B1&amp;op=translate" TargetMode="External" Id="rId369"/><Relationship Type="http://schemas.openxmlformats.org/officeDocument/2006/relationships/hyperlink" Target="https://youglish.com/pronounce/%E5%8F%AF%E7%88%B1/chinese" TargetMode="External" Id="rId370"/><Relationship Type="http://schemas.openxmlformats.org/officeDocument/2006/relationships/hyperlink" Target="https://translate.google.com/?sl=zh-CN&amp;tl=vi&amp;text=%E5%88%BB&amp;op=translate" TargetMode="External" Id="rId371"/><Relationship Type="http://schemas.openxmlformats.org/officeDocument/2006/relationships/hyperlink" Target="https://youglish.com/pronounce/%E5%88%BB/chinese" TargetMode="External" Id="rId372"/><Relationship Type="http://schemas.openxmlformats.org/officeDocument/2006/relationships/hyperlink" Target="https://translate.google.com/?sl=zh-CN&amp;tl=vi&amp;text=%E5%AE%A2%E4%BA%BA&amp;op=translate" TargetMode="External" Id="rId373"/><Relationship Type="http://schemas.openxmlformats.org/officeDocument/2006/relationships/hyperlink" Target="https://youglish.com/pronounce/%E5%AE%A2%E4%BA%BA/chinese" TargetMode="External" Id="rId374"/><Relationship Type="http://schemas.openxmlformats.org/officeDocument/2006/relationships/hyperlink" Target="https://translate.google.com/?sl=zh-CN&amp;tl=vi&amp;text=%E7%A9%BA%E8%B0%83&amp;op=translate" TargetMode="External" Id="rId375"/><Relationship Type="http://schemas.openxmlformats.org/officeDocument/2006/relationships/hyperlink" Target="https://youglish.com/pronounce/%E7%A9%BA%E8%B0%83/chinese" TargetMode="External" Id="rId376"/><Relationship Type="http://schemas.openxmlformats.org/officeDocument/2006/relationships/hyperlink" Target="https://translate.google.com/?sl=zh-CN&amp;tl=vi&amp;text=%E8%A3%A4%E5%AD%90&amp;op=translate" TargetMode="External" Id="rId377"/><Relationship Type="http://schemas.openxmlformats.org/officeDocument/2006/relationships/hyperlink" Target="https://youglish.com/pronounce/%E8%A3%A4%E5%AD%90/chinese" TargetMode="External" Id="rId378"/><Relationship Type="http://schemas.openxmlformats.org/officeDocument/2006/relationships/hyperlink" Target="https://translate.google.com/?sl=zh-CN&amp;tl=vi&amp;text=%E7%AD%B7%E5%AD%90&amp;op=translate" TargetMode="External" Id="rId379"/><Relationship Type="http://schemas.openxmlformats.org/officeDocument/2006/relationships/hyperlink" Target="https://youglish.com/pronounce/%E7%AD%B7%E5%AD%90/chinese" TargetMode="External" Id="rId380"/><Relationship Type="http://schemas.openxmlformats.org/officeDocument/2006/relationships/hyperlink" Target="https://translate.google.com/?sl=zh-CN&amp;tl=vi&amp;text=%E8%93%9D&amp;op=translate" TargetMode="External" Id="rId381"/><Relationship Type="http://schemas.openxmlformats.org/officeDocument/2006/relationships/hyperlink" Target="https://youglish.com/pronounce/%E8%93%9D/chinese" TargetMode="External" Id="rId382"/><Relationship Type="http://schemas.openxmlformats.org/officeDocument/2006/relationships/hyperlink" Target="https://translate.google.com/?sl=zh-CN&amp;tl=vi&amp;text=%E7%A6%BB%E5%BC%80&amp;op=translate" TargetMode="External" Id="rId383"/><Relationship Type="http://schemas.openxmlformats.org/officeDocument/2006/relationships/hyperlink" Target="https://youglish.com/pronounce/%E7%A6%BB%E5%BC%80/chinese" TargetMode="External" Id="rId384"/><Relationship Type="http://schemas.openxmlformats.org/officeDocument/2006/relationships/hyperlink" Target="https://translate.google.com/?sl=zh-CN&amp;tl=vi&amp;text=%E7%A4%BC%E7%89%A9&amp;op=translate" TargetMode="External" Id="rId385"/><Relationship Type="http://schemas.openxmlformats.org/officeDocument/2006/relationships/hyperlink" Target="https://youglish.com/pronounce/%E7%A4%BC%E7%89%A9/chinese" TargetMode="External" Id="rId386"/><Relationship Type="http://schemas.openxmlformats.org/officeDocument/2006/relationships/hyperlink" Target="https://translate.google.com/?sl=zh-CN&amp;tl=vi&amp;text=%E5%8E%86%E5%8F%B2&amp;op=translate" TargetMode="External" Id="rId387"/><Relationship Type="http://schemas.openxmlformats.org/officeDocument/2006/relationships/hyperlink" Target="https://youglish.com/pronounce/%E5%8E%86%E5%8F%B2/chinese" TargetMode="External" Id="rId388"/><Relationship Type="http://schemas.openxmlformats.org/officeDocument/2006/relationships/hyperlink" Target="https://translate.google.com/?sl=zh-CN&amp;tl=vi&amp;text=%E8%84%B8&amp;op=translate" TargetMode="External" Id="rId389"/><Relationship Type="http://schemas.openxmlformats.org/officeDocument/2006/relationships/hyperlink" Target="https://youglish.com/pronounce/%E8%84%B8/chinese" TargetMode="External" Id="rId390"/><Relationship Type="http://schemas.openxmlformats.org/officeDocument/2006/relationships/hyperlink" Target="https://translate.google.com/?sl=zh-CN&amp;tl=vi&amp;text=%E7%BB%83%E4%B9%A0&amp;op=translate" TargetMode="External" Id="rId391"/><Relationship Type="http://schemas.openxmlformats.org/officeDocument/2006/relationships/hyperlink" Target="https://youglish.com/pronounce/%E7%BB%83%E4%B9%A0/chinese" TargetMode="External" Id="rId392"/><Relationship Type="http://schemas.openxmlformats.org/officeDocument/2006/relationships/hyperlink" Target="https://translate.google.com/?sl=zh-CN&amp;tl=vi&amp;text=%E8%BE%86&amp;op=translate" TargetMode="External" Id="rId393"/><Relationship Type="http://schemas.openxmlformats.org/officeDocument/2006/relationships/hyperlink" Target="https://youglish.com/pronounce/%E8%BE%86/chinese" TargetMode="External" Id="rId394"/><Relationship Type="http://schemas.openxmlformats.org/officeDocument/2006/relationships/hyperlink" Target="https://translate.google.com/?sl=zh-CN&amp;tl=vi&amp;text=%E8%81%8A%E5%A4%A9&amp;op=translate" TargetMode="External" Id="rId395"/><Relationship Type="http://schemas.openxmlformats.org/officeDocument/2006/relationships/hyperlink" Target="https://youglish.com/pronounce/%E8%81%8A%E5%A4%A9/chinese" TargetMode="External" Id="rId396"/><Relationship Type="http://schemas.openxmlformats.org/officeDocument/2006/relationships/hyperlink" Target="https://translate.google.com/?sl=zh-CN&amp;tl=vi&amp;text=%E4%BA%86%E8%A7%A3&amp;op=translate" TargetMode="External" Id="rId397"/><Relationship Type="http://schemas.openxmlformats.org/officeDocument/2006/relationships/hyperlink" Target="https://youglish.com/pronounce/%E4%BA%86%E8%A7%A3/chinese" TargetMode="External" Id="rId398"/><Relationship Type="http://schemas.openxmlformats.org/officeDocument/2006/relationships/hyperlink" Target="https://translate.google.com/?sl=zh-CN&amp;tl=vi&amp;text=%E9%82%BB%E5%B1%85&amp;op=translate" TargetMode="External" Id="rId399"/><Relationship Type="http://schemas.openxmlformats.org/officeDocument/2006/relationships/hyperlink" Target="https://youglish.com/pronounce/%E9%82%BB%E5%B1%85/chinese" TargetMode="External" Id="rId400"/><Relationship Type="http://schemas.openxmlformats.org/officeDocument/2006/relationships/hyperlink" Target="https://translate.google.com/?sl=zh-CN&amp;tl=vi&amp;text=%E7%BB%BF&amp;op=translate" TargetMode="External" Id="rId401"/><Relationship Type="http://schemas.openxmlformats.org/officeDocument/2006/relationships/hyperlink" Target="https://youglish.com/pronounce/%E7%BB%BF/chinese" TargetMode="External" Id="rId402"/><Relationship Type="http://schemas.openxmlformats.org/officeDocument/2006/relationships/hyperlink" Target="https://translate.google.com/?sl=zh-CN&amp;tl=vi&amp;text=%E6%BB%A1%E6%84%8F&amp;op=translate" TargetMode="External" Id="rId403"/><Relationship Type="http://schemas.openxmlformats.org/officeDocument/2006/relationships/hyperlink" Target="https://youglish.com/pronounce/%E6%BB%A1%E6%84%8F/chinese" TargetMode="External" Id="rId404"/><Relationship Type="http://schemas.openxmlformats.org/officeDocument/2006/relationships/hyperlink" Target="https://translate.google.com/?sl=zh-CN&amp;tl=vi&amp;text=%E5%B8%BD%E5%AD%90&amp;op=translate" TargetMode="External" Id="rId405"/><Relationship Type="http://schemas.openxmlformats.org/officeDocument/2006/relationships/hyperlink" Target="https://youglish.com/pronounce/%E5%B8%BD%E5%AD%90/chinese" TargetMode="External" Id="rId406"/><Relationship Type="http://schemas.openxmlformats.org/officeDocument/2006/relationships/hyperlink" Target="https://translate.google.com/?sl=zh-CN&amp;tl=vi&amp;text=%E9%9A%BE%E8%BF%87&amp;op=translate" TargetMode="External" Id="rId407"/><Relationship Type="http://schemas.openxmlformats.org/officeDocument/2006/relationships/hyperlink" Target="https://youglish.com/pronounce/%E9%9A%BE%E8%BF%87/chinese" TargetMode="External" Id="rId408"/><Relationship Type="http://schemas.openxmlformats.org/officeDocument/2006/relationships/hyperlink" Target="https://translate.google.com/?sl=zh-CN&amp;tl=vi&amp;text=%E5%B9%B4%E8%BD%BB&amp;op=translate" TargetMode="External" Id="rId409"/><Relationship Type="http://schemas.openxmlformats.org/officeDocument/2006/relationships/hyperlink" Target="https://youglish.com/pronounce/%E5%B9%B4%E8%BD%BB/chinese" TargetMode="External" Id="rId410"/><Relationship Type="http://schemas.openxmlformats.org/officeDocument/2006/relationships/hyperlink" Target="https://translate.google.com/?sl=zh-CN&amp;tl=vi&amp;text=%E9%B8%9F&amp;op=translate" TargetMode="External" Id="rId411"/><Relationship Type="http://schemas.openxmlformats.org/officeDocument/2006/relationships/hyperlink" Target="https://youglish.com/pronounce/%E9%B8%9F/chinese" TargetMode="External" Id="rId412"/><Relationship Type="http://schemas.openxmlformats.org/officeDocument/2006/relationships/hyperlink" Target="https://translate.google.com/?sl=zh-CN&amp;tl=vi&amp;text=%E5%8A%AA%E5%8A%9B&amp;op=translate" TargetMode="External" Id="rId413"/><Relationship Type="http://schemas.openxmlformats.org/officeDocument/2006/relationships/hyperlink" Target="https://youglish.com/pronounce/%E5%8A%AA%E5%8A%9B/chinese" TargetMode="External" Id="rId414"/><Relationship Type="http://schemas.openxmlformats.org/officeDocument/2006/relationships/hyperlink" Target="https://translate.google.com/?sl=zh-CN&amp;tl=vi&amp;text=%E7%88%AC%E5%B1%B1&amp;op=translate" TargetMode="External" Id="rId415"/><Relationship Type="http://schemas.openxmlformats.org/officeDocument/2006/relationships/hyperlink" Target="https://youglish.com/pronounce/%E7%88%AC%E5%B1%B1/chinese" TargetMode="External" Id="rId416"/><Relationship Type="http://schemas.openxmlformats.org/officeDocument/2006/relationships/hyperlink" Target="https://translate.google.com/?sl=zh-CN&amp;tl=vi&amp;text=%E7%9B%98%E5%AD%90&amp;op=translate" TargetMode="External" Id="rId417"/><Relationship Type="http://schemas.openxmlformats.org/officeDocument/2006/relationships/hyperlink" Target="https://youglish.com/pronounce/%E7%9B%98%E5%AD%90/chinese" TargetMode="External" Id="rId418"/><Relationship Type="http://schemas.openxmlformats.org/officeDocument/2006/relationships/hyperlink" Target="https://translate.google.com/?sl=zh-CN&amp;tl=vi&amp;text=%E8%83%96&amp;op=translate" TargetMode="External" Id="rId419"/><Relationship Type="http://schemas.openxmlformats.org/officeDocument/2006/relationships/hyperlink" Target="https://youglish.com/pronounce/%E8%83%96/chinese" TargetMode="External" Id="rId420"/><Relationship Type="http://schemas.openxmlformats.org/officeDocument/2006/relationships/hyperlink" Target="https://translate.google.com/?sl=zh-CN&amp;tl=vi&amp;text=%E7%9A%AE%E9%9E%8B&amp;op=translate" TargetMode="External" Id="rId421"/><Relationship Type="http://schemas.openxmlformats.org/officeDocument/2006/relationships/hyperlink" Target="https://youglish.com/pronounce/%E7%9A%AE%E9%9E%8B/chinese" TargetMode="External" Id="rId422"/><Relationship Type="http://schemas.openxmlformats.org/officeDocument/2006/relationships/hyperlink" Target="https://translate.google.com/?sl=zh-CN&amp;tl=vi&amp;text=%E5%95%A4%E9%85%92&amp;op=translate" TargetMode="External" Id="rId423"/><Relationship Type="http://schemas.openxmlformats.org/officeDocument/2006/relationships/hyperlink" Target="https://youglish.com/pronounce/%E5%95%A4%E9%85%92/chinese" TargetMode="External" Id="rId424"/><Relationship Type="http://schemas.openxmlformats.org/officeDocument/2006/relationships/hyperlink" Target="https://translate.google.com/?sl=zh-CN&amp;tl=vi&amp;text=%E8%91%A1%E8%90%84&amp;op=translate" TargetMode="External" Id="rId425"/><Relationship Type="http://schemas.openxmlformats.org/officeDocument/2006/relationships/hyperlink" Target="https://youglish.com/pronounce/%E8%91%A1%E8%90%84/chinese" TargetMode="External" Id="rId426"/><Relationship Type="http://schemas.openxmlformats.org/officeDocument/2006/relationships/hyperlink" Target="https://translate.google.com/?sl=zh-CN&amp;tl=vi&amp;text=%E6%99%AE%E9%80%9A%E8%AF%9D&amp;op=translate" TargetMode="External" Id="rId427"/><Relationship Type="http://schemas.openxmlformats.org/officeDocument/2006/relationships/hyperlink" Target="https://youglish.com/pronounce/%E6%99%AE%E9%80%9A%E8%AF%9D/chinese" TargetMode="External" Id="rId428"/><Relationship Type="http://schemas.openxmlformats.org/officeDocument/2006/relationships/hyperlink" Target="https://translate.google.com/?sl=zh-CN&amp;tl=vi&amp;text=%E9%AA%91&amp;op=translate" TargetMode="External" Id="rId429"/><Relationship Type="http://schemas.openxmlformats.org/officeDocument/2006/relationships/hyperlink" Target="https://youglish.com/pronounce/%E9%AA%91/chinese" TargetMode="External" Id="rId430"/><Relationship Type="http://schemas.openxmlformats.org/officeDocument/2006/relationships/hyperlink" Target="https://translate.google.com/?sl=zh-CN&amp;tl=vi&amp;text=%E5%85%B6%E5%AE%9E&amp;op=translate" TargetMode="External" Id="rId431"/><Relationship Type="http://schemas.openxmlformats.org/officeDocument/2006/relationships/hyperlink" Target="https://youglish.com/pronounce/%E5%85%B6%E5%AE%9E/chinese" TargetMode="External" Id="rId432"/><Relationship Type="http://schemas.openxmlformats.org/officeDocument/2006/relationships/hyperlink" Target="https://translate.google.com/?sl=zh-CN&amp;tl=vi&amp;text=%E5%85%B6%E4%BB%96&amp;op=translate" TargetMode="External" Id="rId433"/><Relationship Type="http://schemas.openxmlformats.org/officeDocument/2006/relationships/hyperlink" Target="https://youglish.com/pronounce/%E5%85%B6%E4%BB%96/chinese" TargetMode="External" Id="rId434"/><Relationship Type="http://schemas.openxmlformats.org/officeDocument/2006/relationships/hyperlink" Target="https://translate.google.com/?sl=zh-CN&amp;tl=vi&amp;text=%E5%A5%87%E6%80%AA&amp;op=translate" TargetMode="External" Id="rId435"/><Relationship Type="http://schemas.openxmlformats.org/officeDocument/2006/relationships/hyperlink" Target="https://youglish.com/pronounce/%E5%A5%87%E6%80%AA/chinese" TargetMode="External" Id="rId436"/><Relationship Type="http://schemas.openxmlformats.org/officeDocument/2006/relationships/hyperlink" Target="https://translate.google.com/?sl=zh-CN&amp;tl=vi&amp;text=%E8%B5%B7%E9%A3%9E&amp;op=translate" TargetMode="External" Id="rId437"/><Relationship Type="http://schemas.openxmlformats.org/officeDocument/2006/relationships/hyperlink" Target="https://youglish.com/pronounce/%E8%B5%B7%E9%A3%9E/chinese" TargetMode="External" Id="rId438"/><Relationship Type="http://schemas.openxmlformats.org/officeDocument/2006/relationships/hyperlink" Target="https://translate.google.com/?sl=zh-CN&amp;tl=vi&amp;text=%E6%B8%85%E6%A5%9A&amp;op=translate" TargetMode="External" Id="rId439"/><Relationship Type="http://schemas.openxmlformats.org/officeDocument/2006/relationships/hyperlink" Target="https://youglish.com/pronounce/%E6%B8%85%E6%A5%9A/chinese" TargetMode="External" Id="rId440"/><Relationship Type="http://schemas.openxmlformats.org/officeDocument/2006/relationships/hyperlink" Target="https://translate.google.com/?sl=zh-CN&amp;tl=vi&amp;text=%E7%A7%8B&amp;op=translate" TargetMode="External" Id="rId441"/><Relationship Type="http://schemas.openxmlformats.org/officeDocument/2006/relationships/hyperlink" Target="https://youglish.com/pronounce/%E7%A7%8B/chinese" TargetMode="External" Id="rId442"/><Relationship Type="http://schemas.openxmlformats.org/officeDocument/2006/relationships/hyperlink" Target="https://translate.google.com/?sl=zh-CN&amp;tl=vi&amp;text=%E8%A3%99%E5%AD%90&amp;op=translate" TargetMode="External" Id="rId443"/><Relationship Type="http://schemas.openxmlformats.org/officeDocument/2006/relationships/hyperlink" Target="https://youglish.com/pronounce/%E8%A3%99%E5%AD%90/chinese" TargetMode="External" Id="rId444"/><Relationship Type="http://schemas.openxmlformats.org/officeDocument/2006/relationships/hyperlink" Target="https://translate.google.com/?sl=zh-CN&amp;tl=vi&amp;text=%E7%84%B6%E5%90%8E&amp;op=translate" TargetMode="External" Id="rId445"/><Relationship Type="http://schemas.openxmlformats.org/officeDocument/2006/relationships/hyperlink" Target="https://youglish.com/pronounce/%E7%84%B6%E5%90%8E/chinese" TargetMode="External" Id="rId446"/><Relationship Type="http://schemas.openxmlformats.org/officeDocument/2006/relationships/hyperlink" Target="https://translate.google.com/?sl=zh-CN&amp;tl=vi&amp;text=%E7%83%AD%E6%83%85&amp;op=translate" TargetMode="External" Id="rId447"/><Relationship Type="http://schemas.openxmlformats.org/officeDocument/2006/relationships/hyperlink" Target="https://youglish.com/pronounce/%E7%83%AD%E6%83%85/chinese" TargetMode="External" Id="rId448"/><Relationship Type="http://schemas.openxmlformats.org/officeDocument/2006/relationships/hyperlink" Target="https://translate.google.com/?sl=zh-CN&amp;tl=vi&amp;text=%E8%AE%A4%E4%B8%BA&amp;op=translate" TargetMode="External" Id="rId449"/><Relationship Type="http://schemas.openxmlformats.org/officeDocument/2006/relationships/hyperlink" Target="https://youglish.com/pronounce/%E8%AE%A4%E4%B8%BA/chinese" TargetMode="External" Id="rId450"/><Relationship Type="http://schemas.openxmlformats.org/officeDocument/2006/relationships/hyperlink" Target="https://translate.google.com/?sl=zh-CN&amp;tl=vi&amp;text=%E5%AE%B9%E6%98%93&amp;op=translate" TargetMode="External" Id="rId451"/><Relationship Type="http://schemas.openxmlformats.org/officeDocument/2006/relationships/hyperlink" Target="https://youglish.com/pronounce/%E5%AE%B9%E6%98%93/chinese" TargetMode="External" Id="rId452"/><Relationship Type="http://schemas.openxmlformats.org/officeDocument/2006/relationships/hyperlink" Target="https://translate.google.com/?sl=zh-CN&amp;tl=vi&amp;text=%E5%A6%82%E6%9E%9C&amp;op=translate" TargetMode="External" Id="rId453"/><Relationship Type="http://schemas.openxmlformats.org/officeDocument/2006/relationships/hyperlink" Target="https://youglish.com/pronounce/%E5%A6%82%E6%9E%9C/chinese" TargetMode="External" Id="rId454"/><Relationship Type="http://schemas.openxmlformats.org/officeDocument/2006/relationships/hyperlink" Target="https://translate.google.com/?sl=zh-CN&amp;tl=vi&amp;text=%E4%BC%9E&amp;op=translate" TargetMode="External" Id="rId455"/><Relationship Type="http://schemas.openxmlformats.org/officeDocument/2006/relationships/hyperlink" Target="https://youglish.com/pronounce/%E4%BC%9E/chinese" TargetMode="External" Id="rId456"/><Relationship Type="http://schemas.openxmlformats.org/officeDocument/2006/relationships/hyperlink" Target="https://translate.google.com/?sl=zh-CN&amp;tl=vi&amp;text=%E5%A3%B0%E9%9F%B3&amp;op=translate" TargetMode="External" Id="rId457"/><Relationship Type="http://schemas.openxmlformats.org/officeDocument/2006/relationships/hyperlink" Target="https://youglish.com/pronounce/%E5%A3%B0%E9%9F%B3/chinese" TargetMode="External" Id="rId458"/><Relationship Type="http://schemas.openxmlformats.org/officeDocument/2006/relationships/hyperlink" Target="https://translate.google.com/?sl=zh-CN&amp;tl=vi&amp;text=%E4%B8%96%E7%95%8C&amp;op=translate" TargetMode="External" Id="rId459"/><Relationship Type="http://schemas.openxmlformats.org/officeDocument/2006/relationships/hyperlink" Target="https://youglish.com/pronounce/%E4%B8%96%E7%95%8C/chinese" TargetMode="External" Id="rId460"/><Relationship Type="http://schemas.openxmlformats.org/officeDocument/2006/relationships/hyperlink" Target="https://translate.google.com/?sl=zh-CN&amp;tl=vi&amp;text=%E7%98%A6&amp;op=translate" TargetMode="External" Id="rId461"/><Relationship Type="http://schemas.openxmlformats.org/officeDocument/2006/relationships/hyperlink" Target="https://youglish.com/pronounce/%E7%98%A6/chinese" TargetMode="External" Id="rId462"/><Relationship Type="http://schemas.openxmlformats.org/officeDocument/2006/relationships/hyperlink" Target="https://translate.google.com/?sl=zh-CN&amp;tl=vi&amp;text=%E5%8F%94%E5%8F%94&amp;op=translate" TargetMode="External" Id="rId463"/><Relationship Type="http://schemas.openxmlformats.org/officeDocument/2006/relationships/hyperlink" Target="https://youglish.com/pronounce/%E5%8F%94%E5%8F%94/chinese" TargetMode="External" Id="rId464"/><Relationship Type="http://schemas.openxmlformats.org/officeDocument/2006/relationships/hyperlink" Target="https://translate.google.com/?sl=zh-CN&amp;tl=vi&amp;text=%E8%88%92%E6%9C%8D&amp;op=translate" TargetMode="External" Id="rId465"/><Relationship Type="http://schemas.openxmlformats.org/officeDocument/2006/relationships/hyperlink" Target="https://youglish.com/pronounce/%E8%88%92%E6%9C%8D/chinese" TargetMode="External" Id="rId466"/><Relationship Type="http://schemas.openxmlformats.org/officeDocument/2006/relationships/hyperlink" Target="https://translate.google.com/?sl=zh-CN&amp;tl=vi&amp;text=%E6%95%B0%E5%AD%A6&amp;op=translate" TargetMode="External" Id="rId467"/><Relationship Type="http://schemas.openxmlformats.org/officeDocument/2006/relationships/hyperlink" Target="https://youglish.com/pronounce/%E6%95%B0%E5%AD%A6/chinese" TargetMode="External" Id="rId468"/><Relationship Type="http://schemas.openxmlformats.org/officeDocument/2006/relationships/hyperlink" Target="https://translate.google.com/?sl=zh-CN&amp;tl=vi&amp;text=%E5%88%B7%E7%89%99&amp;op=translate" TargetMode="External" Id="rId469"/><Relationship Type="http://schemas.openxmlformats.org/officeDocument/2006/relationships/hyperlink" Target="https://youglish.com/pronounce/%E5%88%B7%E7%89%99/chinese" TargetMode="External" Id="rId470"/><Relationship Type="http://schemas.openxmlformats.org/officeDocument/2006/relationships/hyperlink" Target="https://translate.google.com/?sl=zh-CN&amp;tl=vi&amp;text=%E5%8F%8C&amp;op=translate" TargetMode="External" Id="rId471"/><Relationship Type="http://schemas.openxmlformats.org/officeDocument/2006/relationships/hyperlink" Target="https://youglish.com/pronounce/%E5%8F%8C/chinese" TargetMode="External" Id="rId472"/><Relationship Type="http://schemas.openxmlformats.org/officeDocument/2006/relationships/hyperlink" Target="https://translate.google.com/?sl=zh-CN&amp;tl=vi&amp;text=%E6%B0%B4%E5%B9%B3&amp;op=translate" TargetMode="External" Id="rId473"/><Relationship Type="http://schemas.openxmlformats.org/officeDocument/2006/relationships/hyperlink" Target="https://youglish.com/pronounce/%E6%B0%B4%E5%B9%B3/chinese" TargetMode="External" Id="rId474"/><Relationship Type="http://schemas.openxmlformats.org/officeDocument/2006/relationships/hyperlink" Target="https://translate.google.com/?sl=zh-CN&amp;tl=vi&amp;text=%E5%8F%B8%E6%9C%BA&amp;op=translate" TargetMode="External" Id="rId475"/><Relationship Type="http://schemas.openxmlformats.org/officeDocument/2006/relationships/hyperlink" Target="https://youglish.com/pronounce/%E5%8F%B8%E6%9C%BA/chinese" TargetMode="External" Id="rId476"/><Relationship Type="http://schemas.openxmlformats.org/officeDocument/2006/relationships/hyperlink" Target="https://translate.google.com/?sl=zh-CN&amp;tl=vi&amp;text=%E5%A4%AA%E9%98%B3&amp;op=translate" TargetMode="External" Id="rId477"/><Relationship Type="http://schemas.openxmlformats.org/officeDocument/2006/relationships/hyperlink" Target="https://youglish.com/pronounce/%E5%A4%AA%E9%98%B3/chinese" TargetMode="External" Id="rId478"/><Relationship Type="http://schemas.openxmlformats.org/officeDocument/2006/relationships/hyperlink" Target="https://translate.google.com/?sl=zh-CN&amp;tl=vi&amp;text=%E7%89%B9%E5%88%AB&amp;op=translate" TargetMode="External" Id="rId479"/><Relationship Type="http://schemas.openxmlformats.org/officeDocument/2006/relationships/hyperlink" Target="https://youglish.com/pronounce/%E7%89%B9%E5%88%AB/chinese" TargetMode="External" Id="rId480"/><Relationship Type="http://schemas.openxmlformats.org/officeDocument/2006/relationships/hyperlink" Target="https://translate.google.com/?sl=zh-CN&amp;tl=vi&amp;text=%E7%96%BC&amp;op=translate" TargetMode="External" Id="rId481"/><Relationship Type="http://schemas.openxmlformats.org/officeDocument/2006/relationships/hyperlink" Target="https://youglish.com/pronounce/%E7%96%BC/chinese" TargetMode="External" Id="rId482"/><Relationship Type="http://schemas.openxmlformats.org/officeDocument/2006/relationships/hyperlink" Target="https://translate.google.com/?sl=zh-CN&amp;tl=vi&amp;text=%E6%8F%90%E9%AB%98&amp;op=translate" TargetMode="External" Id="rId483"/><Relationship Type="http://schemas.openxmlformats.org/officeDocument/2006/relationships/hyperlink" Target="https://youglish.com/pronounce/%E6%8F%90%E9%AB%98/chinese" TargetMode="External" Id="rId484"/><Relationship Type="http://schemas.openxmlformats.org/officeDocument/2006/relationships/hyperlink" Target="https://translate.google.com/?sl=zh-CN&amp;tl=vi&amp;text=%E4%BD%93%E8%82%B2&amp;op=translate" TargetMode="External" Id="rId485"/><Relationship Type="http://schemas.openxmlformats.org/officeDocument/2006/relationships/hyperlink" Target="https://youglish.com/pronounce/%E4%BD%93%E8%82%B2/chinese" TargetMode="External" Id="rId486"/><Relationship Type="http://schemas.openxmlformats.org/officeDocument/2006/relationships/hyperlink" Target="https://translate.google.com/?sl=zh-CN&amp;tl=vi&amp;text=%E7%94%9C&amp;op=translate" TargetMode="External" Id="rId487"/><Relationship Type="http://schemas.openxmlformats.org/officeDocument/2006/relationships/hyperlink" Target="https://youglish.com/pronounce/%E7%94%9C/chinese" TargetMode="External" Id="rId488"/><Relationship Type="http://schemas.openxmlformats.org/officeDocument/2006/relationships/hyperlink" Target="https://translate.google.com/?sl=zh-CN&amp;tl=vi&amp;text=%E6%9D%A1&amp;op=translate" TargetMode="External" Id="rId489"/><Relationship Type="http://schemas.openxmlformats.org/officeDocument/2006/relationships/hyperlink" Target="https://youglish.com/pronounce/%E6%9D%A1/chinese" TargetMode="External" Id="rId490"/><Relationship Type="http://schemas.openxmlformats.org/officeDocument/2006/relationships/hyperlink" Target="https://translate.google.com/?sl=zh-CN&amp;tl=vi&amp;text=%E5%90%8C%E4%BA%8B&amp;op=translate" TargetMode="External" Id="rId491"/><Relationship Type="http://schemas.openxmlformats.org/officeDocument/2006/relationships/hyperlink" Target="https://youglish.com/pronounce/%E5%90%8C%E4%BA%8B/chinese" TargetMode="External" Id="rId492"/><Relationship Type="http://schemas.openxmlformats.org/officeDocument/2006/relationships/hyperlink" Target="https://translate.google.com/?sl=zh-CN&amp;tl=vi&amp;text=%E5%90%8C%E6%84%8F&amp;op=translate" TargetMode="External" Id="rId493"/><Relationship Type="http://schemas.openxmlformats.org/officeDocument/2006/relationships/hyperlink" Target="https://youglish.com/pronounce/%E5%90%8C%E6%84%8F/chinese" TargetMode="External" Id="rId494"/><Relationship Type="http://schemas.openxmlformats.org/officeDocument/2006/relationships/hyperlink" Target="https://translate.google.com/?sl=zh-CN&amp;tl=vi&amp;text=%E5%A4%B4%E5%8F%91&amp;op=translate" TargetMode="External" Id="rId495"/><Relationship Type="http://schemas.openxmlformats.org/officeDocument/2006/relationships/hyperlink" Target="https://youglish.com/pronounce/%E5%A4%B4%E5%8F%91/chinese" TargetMode="External" Id="rId496"/><Relationship Type="http://schemas.openxmlformats.org/officeDocument/2006/relationships/hyperlink" Target="https://translate.google.com/?sl=zh-CN&amp;tl=vi&amp;text=%E7%AA%81%E7%84%B6&amp;op=translate" TargetMode="External" Id="rId497"/><Relationship Type="http://schemas.openxmlformats.org/officeDocument/2006/relationships/hyperlink" Target="https://youglish.com/pronounce/%E7%AA%81%E7%84%B6/chinese" TargetMode="External" Id="rId498"/><Relationship Type="http://schemas.openxmlformats.org/officeDocument/2006/relationships/hyperlink" Target="https://translate.google.com/?sl=zh-CN&amp;tl=vi&amp;text=%E8%85%BF&amp;op=translate" TargetMode="External" Id="rId499"/><Relationship Type="http://schemas.openxmlformats.org/officeDocument/2006/relationships/hyperlink" Target="https://youglish.com/pronounce/%E8%85%BF/chinese" TargetMode="External" Id="rId500"/><Relationship Type="http://schemas.openxmlformats.org/officeDocument/2006/relationships/hyperlink" Target="https://translate.google.com/?sl=zh-CN&amp;tl=vi&amp;text=%E5%AE%8C%E6%88%90&amp;op=translate" TargetMode="External" Id="rId501"/><Relationship Type="http://schemas.openxmlformats.org/officeDocument/2006/relationships/hyperlink" Target="https://youglish.com/pronounce/%E5%AE%8C%E6%88%90/chinese" TargetMode="External" Id="rId502"/><Relationship Type="http://schemas.openxmlformats.org/officeDocument/2006/relationships/hyperlink" Target="https://translate.google.com/?sl=zh-CN&amp;tl=vi&amp;text=%E7%A2%97&amp;op=translate" TargetMode="External" Id="rId503"/><Relationship Type="http://schemas.openxmlformats.org/officeDocument/2006/relationships/hyperlink" Target="https://youglish.com/pronounce/%E7%A2%97/chinese" TargetMode="External" Id="rId504"/><Relationship Type="http://schemas.openxmlformats.org/officeDocument/2006/relationships/hyperlink" Target="https://translate.google.com/?sl=zh-CN&amp;tl=vi&amp;text=%E4%B8%87&amp;op=translate" TargetMode="External" Id="rId505"/><Relationship Type="http://schemas.openxmlformats.org/officeDocument/2006/relationships/hyperlink" Target="https://youglish.com/pronounce/%E4%B8%87/chinese" TargetMode="External" Id="rId506"/><Relationship Type="http://schemas.openxmlformats.org/officeDocument/2006/relationships/hyperlink" Target="https://translate.google.com/?sl=zh-CN&amp;tl=vi&amp;text=%E4%B8%BA&amp;op=translate" TargetMode="External" Id="rId507"/><Relationship Type="http://schemas.openxmlformats.org/officeDocument/2006/relationships/hyperlink" Target="https://youglish.com/pronounce/%E4%B8%BA/chinese" TargetMode="External" Id="rId508"/><Relationship Type="http://schemas.openxmlformats.org/officeDocument/2006/relationships/hyperlink" Target="https://translate.google.com/?sl=zh-CN&amp;tl=vi&amp;text=%E4%B8%BA%E4%BA%86&amp;op=translate" TargetMode="External" Id="rId509"/><Relationship Type="http://schemas.openxmlformats.org/officeDocument/2006/relationships/hyperlink" Target="https://youglish.com/pronounce/%E4%B8%BA%E4%BA%86/chinese" TargetMode="External" Id="rId510"/><Relationship Type="http://schemas.openxmlformats.org/officeDocument/2006/relationships/hyperlink" Target="https://translate.google.com/?sl=zh-CN&amp;tl=vi&amp;text=%E4%BD%8D&amp;op=translate" TargetMode="External" Id="rId511"/><Relationship Type="http://schemas.openxmlformats.org/officeDocument/2006/relationships/hyperlink" Target="https://youglish.com/pronounce/%E4%BD%8D/chinese" TargetMode="External" Id="rId512"/><Relationship Type="http://schemas.openxmlformats.org/officeDocument/2006/relationships/hyperlink" Target="https://translate.google.com/?sl=zh-CN&amp;tl=vi&amp;text=%E6%96%87%E5%8C%96&amp;op=translate" TargetMode="External" Id="rId513"/><Relationship Type="http://schemas.openxmlformats.org/officeDocument/2006/relationships/hyperlink" Target="https://youglish.com/pronounce/%E6%96%87%E5%8C%96/chinese" TargetMode="External" Id="rId514"/><Relationship Type="http://schemas.openxmlformats.org/officeDocument/2006/relationships/hyperlink" Target="https://translate.google.com/?sl=zh-CN&amp;tl=vi&amp;text=%E4%B9%A0%E6%83%AF&amp;op=translate" TargetMode="External" Id="rId515"/><Relationship Type="http://schemas.openxmlformats.org/officeDocument/2006/relationships/hyperlink" Target="https://youglish.com/pronounce/%E4%B9%A0%E6%83%AF/chinese" TargetMode="External" Id="rId516"/><Relationship Type="http://schemas.openxmlformats.org/officeDocument/2006/relationships/hyperlink" Target="https://translate.google.com/?sl=zh-CN&amp;tl=vi&amp;text=%E6%B4%97%E6%BE%A1&amp;op=translate" TargetMode="External" Id="rId517"/><Relationship Type="http://schemas.openxmlformats.org/officeDocument/2006/relationships/hyperlink" Target="https://youglish.com/pronounce/%E6%B4%97%E6%BE%A1/chinese" TargetMode="External" Id="rId518"/><Relationship Type="http://schemas.openxmlformats.org/officeDocument/2006/relationships/hyperlink" Target="https://translate.google.com/?sl=zh-CN&amp;tl=vi&amp;text=%E5%A4%8F&amp;op=translate" TargetMode="External" Id="rId519"/><Relationship Type="http://schemas.openxmlformats.org/officeDocument/2006/relationships/hyperlink" Target="https://youglish.com/pronounce/%E5%A4%8F/chinese" TargetMode="External" Id="rId520"/><Relationship Type="http://schemas.openxmlformats.org/officeDocument/2006/relationships/hyperlink" Target="https://translate.google.com/?sl=zh-CN&amp;tl=vi&amp;text=%E7%9B%B8%E4%BF%A1&amp;op=translate" TargetMode="External" Id="rId521"/><Relationship Type="http://schemas.openxmlformats.org/officeDocument/2006/relationships/hyperlink" Target="https://youglish.com/pronounce/%E7%9B%B8%E4%BF%A1/chinese" TargetMode="External" Id="rId522"/><Relationship Type="http://schemas.openxmlformats.org/officeDocument/2006/relationships/hyperlink" Target="https://translate.google.com/?sl=zh-CN&amp;tl=vi&amp;text=%E9%A6%99%E8%95%89&amp;op=translate" TargetMode="External" Id="rId523"/><Relationship Type="http://schemas.openxmlformats.org/officeDocument/2006/relationships/hyperlink" Target="https://youglish.com/pronounce/%E9%A6%99%E8%95%89/chinese" TargetMode="External" Id="rId524"/><Relationship Type="http://schemas.openxmlformats.org/officeDocument/2006/relationships/hyperlink" Target="https://translate.google.com/?sl=zh-CN&amp;tl=vi&amp;text=%E5%90%91&amp;op=translate" TargetMode="External" Id="rId525"/><Relationship Type="http://schemas.openxmlformats.org/officeDocument/2006/relationships/hyperlink" Target="https://youglish.com/pronounce/%E5%90%91/chinese" TargetMode="External" Id="rId526"/><Relationship Type="http://schemas.openxmlformats.org/officeDocument/2006/relationships/hyperlink" Target="https://translate.google.com/?sl=zh-CN&amp;tl=vi&amp;text=%E5%83%8F&amp;op=translate" TargetMode="External" Id="rId527"/><Relationship Type="http://schemas.openxmlformats.org/officeDocument/2006/relationships/hyperlink" Target="https://youglish.com/pronounce/%E5%83%8F/chinese" TargetMode="External" Id="rId528"/><Relationship Type="http://schemas.openxmlformats.org/officeDocument/2006/relationships/hyperlink" Target="https://translate.google.com/?sl=zh-CN&amp;tl=vi&amp;text=%E5%B0%8F%E5%BF%83&amp;op=translate" TargetMode="External" Id="rId529"/><Relationship Type="http://schemas.openxmlformats.org/officeDocument/2006/relationships/hyperlink" Target="https://youglish.com/pronounce/%E5%B0%8F%E5%BF%83/chinese" TargetMode="External" Id="rId530"/><Relationship Type="http://schemas.openxmlformats.org/officeDocument/2006/relationships/hyperlink" Target="https://translate.google.com/?sl=zh-CN&amp;tl=vi&amp;text=%E6%A0%A1%E9%95%BF&amp;op=translate" TargetMode="External" Id="rId531"/><Relationship Type="http://schemas.openxmlformats.org/officeDocument/2006/relationships/hyperlink" Target="https://youglish.com/pronounce/%E6%A0%A1%E9%95%BF/chinese" TargetMode="External" Id="rId532"/><Relationship Type="http://schemas.openxmlformats.org/officeDocument/2006/relationships/hyperlink" Target="https://translate.google.com/?sl=zh-CN&amp;tl=vi&amp;text=%E6%96%B0%E9%97%BB&amp;op=translate" TargetMode="External" Id="rId533"/><Relationship Type="http://schemas.openxmlformats.org/officeDocument/2006/relationships/hyperlink" Target="https://youglish.com/pronounce/%E6%96%B0%E9%97%BB/chinese" TargetMode="External" Id="rId534"/><Relationship Type="http://schemas.openxmlformats.org/officeDocument/2006/relationships/hyperlink" Target="https://translate.google.com/?sl=zh-CN&amp;tl=vi&amp;text=%E6%96%B0%E9%B2%9C&amp;op=translate" TargetMode="External" Id="rId535"/><Relationship Type="http://schemas.openxmlformats.org/officeDocument/2006/relationships/hyperlink" Target="https://youglish.com/pronounce/%E6%96%B0%E9%B2%9C/chinese" TargetMode="External" Id="rId536"/><Relationship Type="http://schemas.openxmlformats.org/officeDocument/2006/relationships/hyperlink" Target="https://translate.google.com/?sl=zh-CN&amp;tl=vi&amp;text=%E4%BF%A1%E7%94%A8%E5%8D%A1&amp;op=translate" TargetMode="External" Id="rId537"/><Relationship Type="http://schemas.openxmlformats.org/officeDocument/2006/relationships/hyperlink" Target="https://youglish.com/pronounce/%E4%BF%A1%E7%94%A8%E5%8D%A1/chinese" TargetMode="External" Id="rId538"/><Relationship Type="http://schemas.openxmlformats.org/officeDocument/2006/relationships/hyperlink" Target="https://translate.google.com/?sl=zh-CN&amp;tl=vi&amp;text=%E8%A1%8C%E6%9D%8E%E7%AE%B1&amp;op=translate" TargetMode="External" Id="rId539"/><Relationship Type="http://schemas.openxmlformats.org/officeDocument/2006/relationships/hyperlink" Target="https://youglish.com/pronounce/%E8%A1%8C%E6%9D%8E%E7%AE%B1/chinese" TargetMode="External" Id="rId540"/><Relationship Type="http://schemas.openxmlformats.org/officeDocument/2006/relationships/hyperlink" Target="https://translate.google.com/?sl=zh-CN&amp;tl=vi&amp;text=%E7%86%8A%E7%8C%AB&amp;op=translate" TargetMode="External" Id="rId541"/><Relationship Type="http://schemas.openxmlformats.org/officeDocument/2006/relationships/hyperlink" Target="https://youglish.com/pronounce/%E7%86%8A%E7%8C%AB/chinese" TargetMode="External" Id="rId542"/><Relationship Type="http://schemas.openxmlformats.org/officeDocument/2006/relationships/hyperlink" Target="https://translate.google.com/?sl=zh-CN&amp;tl=vi&amp;text=%E9%9C%80%E8%A6%81&amp;op=translate" TargetMode="External" Id="rId543"/><Relationship Type="http://schemas.openxmlformats.org/officeDocument/2006/relationships/hyperlink" Target="https://youglish.com/pronounce/%E9%9C%80%E8%A6%81/chinese" TargetMode="External" Id="rId544"/><Relationship Type="http://schemas.openxmlformats.org/officeDocument/2006/relationships/hyperlink" Target="https://translate.google.com/?sl=zh-CN&amp;tl=vi&amp;text=%E9%80%89%E6%8B%A9&amp;op=translate" TargetMode="External" Id="rId545"/><Relationship Type="http://schemas.openxmlformats.org/officeDocument/2006/relationships/hyperlink" Target="https://youglish.com/pronounce/%E9%80%89%E6%8B%A9/chinese" TargetMode="External" Id="rId546"/><Relationship Type="http://schemas.openxmlformats.org/officeDocument/2006/relationships/hyperlink" Target="https://translate.google.com/?sl=zh-CN&amp;tl=vi&amp;text=%E8%A6%81%E6%B1%82&amp;op=translate" TargetMode="External" Id="rId547"/><Relationship Type="http://schemas.openxmlformats.org/officeDocument/2006/relationships/hyperlink" Target="https://youglish.com/pronounce/%E8%A6%81%E6%B1%82/chinese" TargetMode="External" Id="rId548"/><Relationship Type="http://schemas.openxmlformats.org/officeDocument/2006/relationships/hyperlink" Target="https://translate.google.com/?sl=zh-CN&amp;tl=vi&amp;text=%E4%B8%80%E5%AE%9A&amp;op=translate" TargetMode="External" Id="rId549"/><Relationship Type="http://schemas.openxmlformats.org/officeDocument/2006/relationships/hyperlink" Target="https://youglish.com/pronounce/%E4%B8%80%E5%AE%9A/chinese" TargetMode="External" Id="rId550"/><Relationship Type="http://schemas.openxmlformats.org/officeDocument/2006/relationships/hyperlink" Target="https://translate.google.com/?sl=zh-CN&amp;tl=vi&amp;text=%E4%B8%80%E5%85%B1&amp;op=translate" TargetMode="External" Id="rId551"/><Relationship Type="http://schemas.openxmlformats.org/officeDocument/2006/relationships/hyperlink" Target="https://youglish.com/pronounce/%E4%B8%80%E5%85%B1/chinese" TargetMode="External" Id="rId552"/><Relationship Type="http://schemas.openxmlformats.org/officeDocument/2006/relationships/hyperlink" Target="https://translate.google.com/?sl=zh-CN&amp;tl=vi&amp;text=%E4%B8%80%E7%9B%B4&amp;op=translate" TargetMode="External" Id="rId553"/><Relationship Type="http://schemas.openxmlformats.org/officeDocument/2006/relationships/hyperlink" Target="https://youglish.com/pronounce/%E4%B8%80%E7%9B%B4/chinese" TargetMode="External" Id="rId554"/><Relationship Type="http://schemas.openxmlformats.org/officeDocument/2006/relationships/hyperlink" Target="https://translate.google.com/?sl=zh-CN&amp;tl=vi&amp;text=%E4%BB%A5%E5%89%8D&amp;op=translate" TargetMode="External" Id="rId555"/><Relationship Type="http://schemas.openxmlformats.org/officeDocument/2006/relationships/hyperlink" Target="https://youglish.com/pronounce/%E4%BB%A5%E5%89%8D/chinese" TargetMode="External" Id="rId556"/><Relationship Type="http://schemas.openxmlformats.org/officeDocument/2006/relationships/hyperlink" Target="https://translate.google.com/?sl=zh-CN&amp;tl=vi&amp;text=%E4%B8%80%E8%88%AC&amp;op=translate" TargetMode="External" Id="rId557"/><Relationship Type="http://schemas.openxmlformats.org/officeDocument/2006/relationships/hyperlink" Target="https://youglish.com/pronounce/%E4%B8%80%E8%88%AC/chinese" TargetMode="External" Id="rId558"/><Relationship Type="http://schemas.openxmlformats.org/officeDocument/2006/relationships/hyperlink" Target="https://translate.google.com/?sl=zh-CN&amp;tl=vi&amp;text=%E9%9F%B3%E4%B9%90&amp;op=translate" TargetMode="External" Id="rId559"/><Relationship Type="http://schemas.openxmlformats.org/officeDocument/2006/relationships/hyperlink" Target="https://youglish.com/pronounce/%E9%9F%B3%E4%B9%90/chinese" TargetMode="External" Id="rId560"/><Relationship Type="http://schemas.openxmlformats.org/officeDocument/2006/relationships/hyperlink" Target="https://translate.google.com/?sl=zh-CN&amp;tl=vi&amp;text=%E9%93%B6%E8%A1%8C&amp;op=translate" TargetMode="External" Id="rId561"/><Relationship Type="http://schemas.openxmlformats.org/officeDocument/2006/relationships/hyperlink" Target="https://youglish.com/pronounce/%E9%93%B6%E8%A1%8C/chinese" TargetMode="External" Id="rId562"/><Relationship Type="http://schemas.openxmlformats.org/officeDocument/2006/relationships/hyperlink" Target="https://translate.google.com/?sl=zh-CN&amp;tl=vi&amp;text=%E5%BA%94%E8%AF%A5&amp;op=translate" TargetMode="External" Id="rId563"/><Relationship Type="http://schemas.openxmlformats.org/officeDocument/2006/relationships/hyperlink" Target="https://youglish.com/pronounce/%E5%BA%94%E8%AF%A5/chinese" TargetMode="External" Id="rId564"/><Relationship Type="http://schemas.openxmlformats.org/officeDocument/2006/relationships/hyperlink" Target="https://translate.google.com/?sl=zh-CN&amp;tl=vi&amp;text=%E5%BD%B1%E5%93%8D&amp;op=translate" TargetMode="External" Id="rId565"/><Relationship Type="http://schemas.openxmlformats.org/officeDocument/2006/relationships/hyperlink" Target="https://youglish.com/pronounce/%E5%BD%B1%E5%93%8D/chinese" TargetMode="External" Id="rId566"/><Relationship Type="http://schemas.openxmlformats.org/officeDocument/2006/relationships/hyperlink" Target="https://translate.google.com/?sl=zh-CN&amp;tl=vi&amp;text=%E6%B8%B8%E6%88%8F&amp;op=translate" TargetMode="External" Id="rId567"/><Relationship Type="http://schemas.openxmlformats.org/officeDocument/2006/relationships/hyperlink" Target="https://youglish.com/pronounce/%E6%B8%B8%E6%88%8F/chinese" TargetMode="External" Id="rId568"/><Relationship Type="http://schemas.openxmlformats.org/officeDocument/2006/relationships/hyperlink" Target="https://translate.google.com/?sl=zh-CN&amp;tl=vi&amp;text=%E5%8F%88&amp;op=translate" TargetMode="External" Id="rId569"/><Relationship Type="http://schemas.openxmlformats.org/officeDocument/2006/relationships/hyperlink" Target="https://youglish.com/pronounce/%E5%8F%88/chinese" TargetMode="External" Id="rId570"/><Relationship Type="http://schemas.openxmlformats.org/officeDocument/2006/relationships/hyperlink" Target="https://translate.google.com/?sl=zh-CN&amp;tl=vi&amp;text=%E9%81%87%E5%88%B0&amp;op=translate" TargetMode="External" Id="rId571"/><Relationship Type="http://schemas.openxmlformats.org/officeDocument/2006/relationships/hyperlink" Target="https://youglish.com/pronounce/%E9%81%87%E5%88%B0/chinese" TargetMode="External" Id="rId572"/><Relationship Type="http://schemas.openxmlformats.org/officeDocument/2006/relationships/hyperlink" Target="https://translate.google.com/?sl=zh-CN&amp;tl=vi&amp;text=%E6%84%BF%E6%84%8F&amp;op=translate" TargetMode="External" Id="rId573"/><Relationship Type="http://schemas.openxmlformats.org/officeDocument/2006/relationships/hyperlink" Target="https://youglish.com/pronounce/%E6%84%BF%E6%84%8F/chinese" TargetMode="External" Id="rId574"/><Relationship Type="http://schemas.openxmlformats.org/officeDocument/2006/relationships/hyperlink" Target="https://translate.google.com/?sl=zh-CN&amp;tl=vi&amp;text=%E6%9C%88%E4%BA%AE&amp;op=translate" TargetMode="External" Id="rId575"/><Relationship Type="http://schemas.openxmlformats.org/officeDocument/2006/relationships/hyperlink" Target="https://youglish.com/pronounce/%E6%9C%88%E4%BA%AE/chinese" TargetMode="External" Id="rId576"/><Relationship Type="http://schemas.openxmlformats.org/officeDocument/2006/relationships/hyperlink" Target="https://translate.google.com/?sl=zh-CN&amp;tl=vi&amp;text=%E8%B6%8A&amp;op=translate" TargetMode="External" Id="rId577"/><Relationship Type="http://schemas.openxmlformats.org/officeDocument/2006/relationships/hyperlink" Target="https://youglish.com/pronounce/%E8%B6%8A/chinese" TargetMode="External" Id="rId578"/><Relationship Type="http://schemas.openxmlformats.org/officeDocument/2006/relationships/hyperlink" Target="https://translate.google.com/?sl=zh-CN&amp;tl=vi&amp;text=%E6%BE%A1&amp;op=translate" TargetMode="External" Id="rId579"/><Relationship Type="http://schemas.openxmlformats.org/officeDocument/2006/relationships/hyperlink" Target="https://youglish.com/pronounce/%E6%BE%A1/chinese" TargetMode="External" Id="rId580"/><Relationship Type="http://schemas.openxmlformats.org/officeDocument/2006/relationships/hyperlink" Target="https://translate.google.com/?sl=zh-CN&amp;tl=vi&amp;text=%E5%BC%A0&amp;op=translate" TargetMode="External" Id="rId581"/><Relationship Type="http://schemas.openxmlformats.org/officeDocument/2006/relationships/hyperlink" Target="https://youglish.com/pronounce/%E5%BC%A0/chinese" TargetMode="External" Id="rId582"/><Relationship Type="http://schemas.openxmlformats.org/officeDocument/2006/relationships/hyperlink" Target="https://translate.google.com/?sl=zh-CN&amp;tl=vi&amp;text=%E7%9D%80%E6%80%A5&amp;op=translate" TargetMode="External" Id="rId583"/><Relationship Type="http://schemas.openxmlformats.org/officeDocument/2006/relationships/hyperlink" Target="https://youglish.com/pronounce/%E7%9D%80%E6%80%A5/chinese" TargetMode="External" Id="rId584"/><Relationship Type="http://schemas.openxmlformats.org/officeDocument/2006/relationships/hyperlink" Target="https://translate.google.com/?sl=zh-CN&amp;tl=vi&amp;text=%E7%85%A7%E9%A1%BE&amp;op=translate" TargetMode="External" Id="rId585"/><Relationship Type="http://schemas.openxmlformats.org/officeDocument/2006/relationships/hyperlink" Target="https://youglish.com/pronounce/%E7%85%A7%E9%A1%BE/chinese" TargetMode="External" Id="rId586"/><Relationship Type="http://schemas.openxmlformats.org/officeDocument/2006/relationships/hyperlink" Target="https://translate.google.com/?sl=zh-CN&amp;tl=vi&amp;text=%E7%85%A7%E7%89%87&amp;op=translate" TargetMode="External" Id="rId587"/><Relationship Type="http://schemas.openxmlformats.org/officeDocument/2006/relationships/hyperlink" Target="https://youglish.com/pronounce/%E7%85%A7%E7%89%87/chinese" TargetMode="External" Id="rId588"/><Relationship Type="http://schemas.openxmlformats.org/officeDocument/2006/relationships/hyperlink" Target="https://translate.google.com/?sl=zh-CN&amp;tl=vi&amp;text=%E7%85%A7%E7%9B%B8%E6%9C%BA&amp;op=translate" TargetMode="External" Id="rId589"/><Relationship Type="http://schemas.openxmlformats.org/officeDocument/2006/relationships/hyperlink" Target="https://youglish.com/pronounce/%E7%85%A7%E7%9B%B8%E6%9C%BA/chinese" TargetMode="External" Id="rId590"/><Relationship Type="http://schemas.openxmlformats.org/officeDocument/2006/relationships/hyperlink" Target="https://translate.google.com/?sl=zh-CN&amp;tl=vi&amp;text=%E5%8F%AA&amp;op=translate" TargetMode="External" Id="rId591"/><Relationship Type="http://schemas.openxmlformats.org/officeDocument/2006/relationships/hyperlink" Target="https://youglish.com/pronounce/%E5%8F%AA/chinese" TargetMode="External" Id="rId592"/><Relationship Type="http://schemas.openxmlformats.org/officeDocument/2006/relationships/hyperlink" Target="https://translate.google.com/?sl=zh-CN&amp;tl=vi&amp;text=%E7%BB%88%E4%BA%8E&amp;op=translate" TargetMode="External" Id="rId593"/><Relationship Type="http://schemas.openxmlformats.org/officeDocument/2006/relationships/hyperlink" Target="https://youglish.com/pronounce/%E7%BB%88%E4%BA%8E/chinese" TargetMode="External" Id="rId594"/><Relationship Type="http://schemas.openxmlformats.org/officeDocument/2006/relationships/hyperlink" Target="https://translate.google.com/?sl=zh-CN&amp;tl=vi&amp;text=%E7%A7%8D&amp;op=translate" TargetMode="External" Id="rId595"/><Relationship Type="http://schemas.openxmlformats.org/officeDocument/2006/relationships/hyperlink" Target="https://youglish.com/pronounce/%E7%A7%8D/chinese" TargetMode="External" Id="rId596"/><Relationship Type="http://schemas.openxmlformats.org/officeDocument/2006/relationships/hyperlink" Target="https://translate.google.com/?sl=zh-CN&amp;tl=vi&amp;text=%E5%91%A8%E6%9C%AB&amp;op=translate" TargetMode="External" Id="rId597"/><Relationship Type="http://schemas.openxmlformats.org/officeDocument/2006/relationships/hyperlink" Target="https://youglish.com/pronounce/%E5%91%A8%E6%9C%AB/chinese" TargetMode="External" Id="rId598"/><Relationship Type="http://schemas.openxmlformats.org/officeDocument/2006/relationships/hyperlink" Target="https://translate.google.com/?sl=zh-CN&amp;tl=vi&amp;text=%E4%B8%BB%E8%A6%81&amp;op=translate" TargetMode="External" Id="rId599"/><Relationship Type="http://schemas.openxmlformats.org/officeDocument/2006/relationships/hyperlink" Target="https://youglish.com/pronounce/%E4%B8%BB%E8%A6%81/chinese" TargetMode="External" Id="rId600"/><Relationship Type="http://schemas.openxmlformats.org/officeDocument/2006/relationships/hyperlink" Target="https://translate.google.com/?sl=zh-CN&amp;tl=vi&amp;text=%E6%B3%A8%E6%84%8F&amp;op=translate" TargetMode="External" Id="rId601"/><Relationship Type="http://schemas.openxmlformats.org/officeDocument/2006/relationships/hyperlink" Target="https://youglish.com/pronounce/%E6%B3%A8%E6%84%8F/chinese" TargetMode="External" Id="rId602"/><Relationship Type="http://schemas.openxmlformats.org/officeDocument/2006/relationships/hyperlink" Target="https://translate.google.com/?sl=zh-CN&amp;tl=vi&amp;text=%E8%87%AA%E5%B7%B1&amp;op=translate" TargetMode="External" Id="rId603"/><Relationship Type="http://schemas.openxmlformats.org/officeDocument/2006/relationships/hyperlink" Target="https://youglish.com/pronounce/%E8%87%AA%E5%B7%B1/chinese" TargetMode="External" Id="rId604"/><Relationship Type="http://schemas.openxmlformats.org/officeDocument/2006/relationships/hyperlink" Target="https://translate.google.com/?sl=zh-CN&amp;tl=vi&amp;text=%E6%80%BB%E6%98%AF&amp;op=translate" TargetMode="External" Id="rId605"/><Relationship Type="http://schemas.openxmlformats.org/officeDocument/2006/relationships/hyperlink" Target="https://youglish.com/pronounce/%E6%80%BB%E6%98%AF/chinese" TargetMode="External" Id="rId606"/><Relationship Type="http://schemas.openxmlformats.org/officeDocument/2006/relationships/hyperlink" Target="https://translate.google.com/?sl=zh-CN&amp;tl=vi&amp;text=%E5%98%B4&amp;op=translate" TargetMode="External" Id="rId607"/><Relationship Type="http://schemas.openxmlformats.org/officeDocument/2006/relationships/hyperlink" Target="https://youglish.com/pronounce/%E5%98%B4/chinese" TargetMode="External" Id="rId608"/><Relationship Type="http://schemas.openxmlformats.org/officeDocument/2006/relationships/hyperlink" Target="https://translate.google.com/?sl=zh-CN&amp;tl=vi&amp;text=%E6%9C%80%E8%BF%91&amp;op=translate" TargetMode="External" Id="rId609"/><Relationship Type="http://schemas.openxmlformats.org/officeDocument/2006/relationships/hyperlink" Target="https://youglish.com/pronounce/%E6%9C%80%E8%BF%91/chinese" TargetMode="External" Id="rId610"/><Relationship Type="http://schemas.openxmlformats.org/officeDocument/2006/relationships/hyperlink" Target="https://translate.google.com/?sl=zh-CN&amp;tl=vi&amp;text=%E4%BD%9C%E4%B8%9A&amp;op=translate" TargetMode="External" Id="rId611"/><Relationship Type="http://schemas.openxmlformats.org/officeDocument/2006/relationships/hyperlink" Target="https://youglish.com/pronounce/%E4%BD%9C%E4%B8%9A/chinese" TargetMode="External" Id="rId612"/><Relationship Type="http://schemas.openxmlformats.org/officeDocument/2006/relationships/hyperlink" Target="https://translate.google.com/?sl=zh-CN&amp;tl=vi&amp;text=%E5%BA%A7&amp;op=translate" TargetMode="External" Id="rId613"/><Relationship Type="http://schemas.openxmlformats.org/officeDocument/2006/relationships/hyperlink" Target="https://youglish.com/pronounce/%E5%BA%A7/chinese" TargetMode="External" Id="rId614"/><Relationship Type="http://schemas.openxmlformats.org/officeDocument/2006/relationships/hyperlink" Target="https://translate.google.com/?sl=zh-CN&amp;tl=vi&amp;text=%E5%BA%A7%E4%BD%8D&amp;op=translate" TargetMode="External" Id="rId615"/><Relationship Type="http://schemas.openxmlformats.org/officeDocument/2006/relationships/hyperlink" Target="https://youglish.com/pronounce/%E5%BA%A7%E4%BD%8D/chinese" TargetMode="External" Id="rId616"/><Relationship Type="http://schemas.openxmlformats.org/officeDocument/2006/relationships/hyperlink" Target="https://translate.google.com/?sl=zh-CN&amp;tl=vi&amp;text=%E4%BC%81%E4%B8%9A&amp;op=translate" TargetMode="External" Id="rId617"/><Relationship Type="http://schemas.openxmlformats.org/officeDocument/2006/relationships/hyperlink" Target="https://youglish.com/pronounce/%E4%BC%81%E4%B8%9A/chinese" TargetMode="External" Id="rId618"/><Relationship Type="http://schemas.openxmlformats.org/officeDocument/2006/relationships/hyperlink" Target="https://translate.google.com/?sl=zh-CN&amp;tl=vi&amp;text=%E5%B7%A5%E5%8E%82&amp;op=translate" TargetMode="External" Id="rId619"/><Relationship Type="http://schemas.openxmlformats.org/officeDocument/2006/relationships/hyperlink" Target="https://youglish.com/pronounce/%E5%B7%A5%E5%8E%82/chinese" TargetMode="External" Id="rId620"/><Relationship Type="http://schemas.openxmlformats.org/officeDocument/2006/relationships/hyperlink" Target="https://translate.google.com/?sl=zh-CN&amp;tl=vi&amp;text=%E5%8A%9E%E5%85%AC%E5%AE%A4&amp;op=translate" TargetMode="External" Id="rId621"/><Relationship Type="http://schemas.openxmlformats.org/officeDocument/2006/relationships/hyperlink" Target="https://youglish.com/pronounce/%E5%8A%9E%E5%85%AC%E5%AE%A4/chinese" TargetMode="External" Id="rId622"/><Relationship Type="http://schemas.openxmlformats.org/officeDocument/2006/relationships/hyperlink" Target="https://translate.google.com/?sl=zh-CN&amp;tl=vi&amp;text=%E6%80%BB%E7%BB%8F%E7%90%86&amp;op=translate" TargetMode="External" Id="rId623"/><Relationship Type="http://schemas.openxmlformats.org/officeDocument/2006/relationships/hyperlink" Target="https://youglish.com/pronounce/%E6%80%BB%E7%BB%8F%E7%90%86/chinese" TargetMode="External" Id="rId624"/><Relationship Type="http://schemas.openxmlformats.org/officeDocument/2006/relationships/hyperlink" Target="https://translate.google.com/?sl=zh-CN&amp;tl=vi&amp;text=%E8%91%A3%E4%BA%8B%E9%95%BF&amp;op=translate" TargetMode="External" Id="rId625"/><Relationship Type="http://schemas.openxmlformats.org/officeDocument/2006/relationships/hyperlink" Target="https://youglish.com/pronounce/%E8%91%A3%E4%BA%8B%E9%95%BF/chinese" TargetMode="External" Id="rId626"/><Relationship Type="http://schemas.openxmlformats.org/officeDocument/2006/relationships/hyperlink" Target="https://translate.google.com/?sl=zh-CN&amp;tl=vi&amp;text=%E8%80%81%E6%9D%BF&amp;op=translate" TargetMode="External" Id="rId627"/><Relationship Type="http://schemas.openxmlformats.org/officeDocument/2006/relationships/hyperlink" Target="https://youglish.com/pronounce/%E8%80%81%E6%9D%BF/chinese" TargetMode="External" Id="rId628"/><Relationship Type="http://schemas.openxmlformats.org/officeDocument/2006/relationships/hyperlink" Target="https://translate.google.com/?sl=zh-CN&amp;tl=vi&amp;text=%E5%91%98%E5%B7%A5&amp;op=translate" TargetMode="External" Id="rId629"/><Relationship Type="http://schemas.openxmlformats.org/officeDocument/2006/relationships/hyperlink" Target="https://youglish.com/pronounce/%E5%91%98%E5%B7%A5/chinese" TargetMode="External" Id="rId630"/><Relationship Type="http://schemas.openxmlformats.org/officeDocument/2006/relationships/hyperlink" Target="https://translate.google.com/?sl=zh-CN&amp;tl=vi&amp;text=%E8%81%8C%E5%91%98&amp;op=translate" TargetMode="External" Id="rId631"/><Relationship Type="http://schemas.openxmlformats.org/officeDocument/2006/relationships/hyperlink" Target="https://youglish.com/pronounce/%E8%81%8C%E5%91%98/chinese" TargetMode="External" Id="rId632"/><Relationship Type="http://schemas.openxmlformats.org/officeDocument/2006/relationships/hyperlink" Target="https://translate.google.com/?sl=zh-CN&amp;tl=vi&amp;text=%E7%A7%98%E4%B9%A6&amp;op=translate" TargetMode="External" Id="rId633"/><Relationship Type="http://schemas.openxmlformats.org/officeDocument/2006/relationships/hyperlink" Target="https://youglish.com/pronounce/%E7%A7%98%E4%B9%A6/chinese" TargetMode="External" Id="rId634"/><Relationship Type="http://schemas.openxmlformats.org/officeDocument/2006/relationships/hyperlink" Target="https://translate.google.com/?sl=zh-CN&amp;tl=vi&amp;text=%E9%83%A8%E9%97%A8&amp;op=translate" TargetMode="External" Id="rId635"/><Relationship Type="http://schemas.openxmlformats.org/officeDocument/2006/relationships/hyperlink" Target="https://youglish.com/pronounce/%E9%83%A8%E9%97%A8/chinese" TargetMode="External" Id="rId636"/><Relationship Type="http://schemas.openxmlformats.org/officeDocument/2006/relationships/hyperlink" Target="https://translate.google.com/?sl=zh-CN&amp;tl=vi&amp;text=%E4%BA%BA%E4%BA%8B%E9%83%A8&amp;op=translate" TargetMode="External" Id="rId637"/><Relationship Type="http://schemas.openxmlformats.org/officeDocument/2006/relationships/hyperlink" Target="https://youglish.com/pronounce/%E4%BA%BA%E4%BA%8B%E9%83%A8/chinese" TargetMode="External" Id="rId638"/><Relationship Type="http://schemas.openxmlformats.org/officeDocument/2006/relationships/hyperlink" Target="https://translate.google.com/?sl=zh-CN&amp;tl=vi&amp;text=%E8%B4%A2%E5%8A%A1%E9%83%A8&amp;op=translate" TargetMode="External" Id="rId639"/><Relationship Type="http://schemas.openxmlformats.org/officeDocument/2006/relationships/hyperlink" Target="https://youglish.com/pronounce/%E8%B4%A2%E5%8A%A1%E9%83%A8/chinese" TargetMode="External" Id="rId640"/><Relationship Type="http://schemas.openxmlformats.org/officeDocument/2006/relationships/hyperlink" Target="https://translate.google.com/?sl=zh-CN&amp;tl=vi&amp;text=%E9%94%80%E5%94%AE%E9%83%A8&amp;op=translate" TargetMode="External" Id="rId641"/><Relationship Type="http://schemas.openxmlformats.org/officeDocument/2006/relationships/hyperlink" Target="https://youglish.com/pronounce/%E9%94%80%E5%94%AE%E9%83%A8/chinese" TargetMode="External" Id="rId642"/><Relationship Type="http://schemas.openxmlformats.org/officeDocument/2006/relationships/hyperlink" Target="https://translate.google.com/?sl=zh-CN&amp;tl=vi&amp;text=%E8%81%8C%E4%BD%8D&amp;op=translate" TargetMode="External" Id="rId643"/><Relationship Type="http://schemas.openxmlformats.org/officeDocument/2006/relationships/hyperlink" Target="https://youglish.com/pronounce/%E8%81%8C%E4%BD%8D/chinese" TargetMode="External" Id="rId644"/><Relationship Type="http://schemas.openxmlformats.org/officeDocument/2006/relationships/hyperlink" Target="https://translate.google.com/?sl=zh-CN&amp;tl=vi&amp;text=%E7%AE%80%E5%8E%86&amp;op=translate" TargetMode="External" Id="rId645"/><Relationship Type="http://schemas.openxmlformats.org/officeDocument/2006/relationships/hyperlink" Target="https://youglish.com/pronounce/%E7%AE%80%E5%8E%86/chinese" TargetMode="External" Id="rId646"/><Relationship Type="http://schemas.openxmlformats.org/officeDocument/2006/relationships/hyperlink" Target="https://translate.google.com/?sl=zh-CN&amp;tl=vi&amp;text=%E9%9D%A2%E8%AF%95&amp;op=translate" TargetMode="External" Id="rId647"/><Relationship Type="http://schemas.openxmlformats.org/officeDocument/2006/relationships/hyperlink" Target="https://youglish.com/pronounce/%E9%9D%A2%E8%AF%95/chinese" TargetMode="External" Id="rId648"/><Relationship Type="http://schemas.openxmlformats.org/officeDocument/2006/relationships/hyperlink" Target="https://translate.google.com/?sl=zh-CN&amp;tl=vi&amp;text=%E6%8B%9B%E8%81%98&amp;op=translate" TargetMode="External" Id="rId649"/><Relationship Type="http://schemas.openxmlformats.org/officeDocument/2006/relationships/hyperlink" Target="https://youglish.com/pronounce/%E6%8B%9B%E8%81%98/chinese" TargetMode="External" Id="rId650"/><Relationship Type="http://schemas.openxmlformats.org/officeDocument/2006/relationships/hyperlink" Target="https://translate.google.com/?sl=zh-CN&amp;tl=vi&amp;text=%E5%BA%94%E8%81%98&amp;op=translate" TargetMode="External" Id="rId651"/><Relationship Type="http://schemas.openxmlformats.org/officeDocument/2006/relationships/hyperlink" Target="https://youglish.com/pronounce/%E5%BA%94%E8%81%98/chinese" TargetMode="External" Id="rId652"/><Relationship Type="http://schemas.openxmlformats.org/officeDocument/2006/relationships/hyperlink" Target="https://translate.google.com/?sl=zh-CN&amp;tl=vi&amp;text=%E5%90%88%E5%90%8C&amp;op=translate" TargetMode="External" Id="rId653"/><Relationship Type="http://schemas.openxmlformats.org/officeDocument/2006/relationships/hyperlink" Target="https://youglish.com/pronounce/%E5%90%88%E5%90%8C/chinese" TargetMode="External" Id="rId654"/><Relationship Type="http://schemas.openxmlformats.org/officeDocument/2006/relationships/hyperlink" Target="https://translate.google.com/?sl=zh-CN&amp;tl=vi&amp;text=%E7%AD%BE%E5%90%88%E5%90%8C&amp;op=translate" TargetMode="External" Id="rId655"/><Relationship Type="http://schemas.openxmlformats.org/officeDocument/2006/relationships/hyperlink" Target="https://youglish.com/pronounce/%E7%AD%BE%E5%90%88%E5%90%8C/chinese" TargetMode="External" Id="rId656"/><Relationship Type="http://schemas.openxmlformats.org/officeDocument/2006/relationships/hyperlink" Target="https://translate.google.com/?sl=zh-CN&amp;tl=vi&amp;text=%E7%AD%BE%E5%AD%97&amp;op=translate" TargetMode="External" Id="rId657"/><Relationship Type="http://schemas.openxmlformats.org/officeDocument/2006/relationships/hyperlink" Target="https://youglish.com/pronounce/%E7%AD%BE%E5%AD%97/chinese" TargetMode="External" Id="rId658"/><Relationship Type="http://schemas.openxmlformats.org/officeDocument/2006/relationships/hyperlink" Target="https://translate.google.com/?sl=zh-CN&amp;tl=vi&amp;text=%E7%9B%96%E7%AB%A0&amp;op=translate" TargetMode="External" Id="rId659"/><Relationship Type="http://schemas.openxmlformats.org/officeDocument/2006/relationships/hyperlink" Target="https://youglish.com/pronounce/%E7%9B%96%E7%AB%A0/chinese" TargetMode="External" Id="rId660"/><Relationship Type="http://schemas.openxmlformats.org/officeDocument/2006/relationships/hyperlink" Target="https://translate.google.com/?sl=zh-CN&amp;tl=vi&amp;text=%E5%B7%A5%E8%B5%84&amp;op=translate" TargetMode="External" Id="rId661"/><Relationship Type="http://schemas.openxmlformats.org/officeDocument/2006/relationships/hyperlink" Target="https://youglish.com/pronounce/%E5%B7%A5%E8%B5%84/chinese" TargetMode="External" Id="rId662"/><Relationship Type="http://schemas.openxmlformats.org/officeDocument/2006/relationships/hyperlink" Target="https://translate.google.com/?sl=zh-CN&amp;tl=vi&amp;text=%E5%A5%96%E9%87%91&amp;op=translate" TargetMode="External" Id="rId663"/><Relationship Type="http://schemas.openxmlformats.org/officeDocument/2006/relationships/hyperlink" Target="https://youglish.com/pronounce/%E5%A5%96%E9%87%91/chinese" TargetMode="External" Id="rId664"/><Relationship Type="http://schemas.openxmlformats.org/officeDocument/2006/relationships/hyperlink" Target="https://translate.google.com/?sl=zh-CN&amp;tl=vi&amp;text=%E5%8A%A0%E7%8F%AD&amp;op=translate" TargetMode="External" Id="rId665"/><Relationship Type="http://schemas.openxmlformats.org/officeDocument/2006/relationships/hyperlink" Target="https://youglish.com/pronounce/%E5%8A%A0%E7%8F%AD/chinese" TargetMode="External" Id="rId666"/><Relationship Type="http://schemas.openxmlformats.org/officeDocument/2006/relationships/hyperlink" Target="https://translate.google.com/?sl=zh-CN&amp;tl=vi&amp;text=%E5%87%BA%E5%B7%AE&amp;op=translate" TargetMode="External" Id="rId667"/><Relationship Type="http://schemas.openxmlformats.org/officeDocument/2006/relationships/hyperlink" Target="https://youglish.com/pronounce/%E5%87%BA%E5%B7%AE/chinese" TargetMode="External" Id="rId668"/><Relationship Type="http://schemas.openxmlformats.org/officeDocument/2006/relationships/hyperlink" Target="https://translate.google.com/?sl=zh-CN&amp;tl=vi&amp;text=%E8%BE%9E%E8%81%8C&amp;op=translate" TargetMode="External" Id="rId669"/><Relationship Type="http://schemas.openxmlformats.org/officeDocument/2006/relationships/hyperlink" Target="https://youglish.com/pronounce/%E8%BE%9E%E8%81%8C/chinese" TargetMode="External" Id="rId670"/><Relationship Type="http://schemas.openxmlformats.org/officeDocument/2006/relationships/hyperlink" Target="https://translate.google.com/?sl=zh-CN&amp;tl=vi&amp;text=%E5%8D%87%E8%81%8C&amp;op=translate" TargetMode="External" Id="rId671"/><Relationship Type="http://schemas.openxmlformats.org/officeDocument/2006/relationships/hyperlink" Target="https://youglish.com/pronounce/%E5%8D%87%E8%81%8C/chinese" TargetMode="External" Id="rId672"/><Relationship Type="http://schemas.openxmlformats.org/officeDocument/2006/relationships/hyperlink" Target="https://translate.google.com/?sl=zh-CN&amp;tl=vi&amp;text=%E5%9F%B9%E8%AE%AD&amp;op=translate" TargetMode="External" Id="rId673"/><Relationship Type="http://schemas.openxmlformats.org/officeDocument/2006/relationships/hyperlink" Target="https://youglish.com/pronounce/%E5%9F%B9%E8%AE%AD/chinese" TargetMode="External" Id="rId674"/><Relationship Type="http://schemas.openxmlformats.org/officeDocument/2006/relationships/hyperlink" Target="https://translate.google.com/?sl=zh-CN&amp;tl=vi&amp;text=%E4%BC%9A%E8%AE%AE%E5%AE%A4&amp;op=translate" TargetMode="External" Id="rId675"/><Relationship Type="http://schemas.openxmlformats.org/officeDocument/2006/relationships/hyperlink" Target="https://youglish.com/pronounce/%E4%BC%9A%E8%AE%AE%E5%AE%A4/chinese" TargetMode="External" Id="rId676"/><Relationship Type="http://schemas.openxmlformats.org/officeDocument/2006/relationships/hyperlink" Target="https://translate.google.com/?sl=zh-CN&amp;tl=vi&amp;text=%E6%8A%A5%E5%91%8A&amp;op=translate" TargetMode="External" Id="rId677"/><Relationship Type="http://schemas.openxmlformats.org/officeDocument/2006/relationships/hyperlink" Target="https://youglish.com/pronounce/%E6%8A%A5%E5%91%8A/chinese" TargetMode="External" Id="rId678"/><Relationship Type="http://schemas.openxmlformats.org/officeDocument/2006/relationships/hyperlink" Target="https://translate.google.com/?sl=zh-CN&amp;tl=vi&amp;text=%E8%AE%A1%E5%88%92&amp;op=translate" TargetMode="External" Id="rId679"/><Relationship Type="http://schemas.openxmlformats.org/officeDocument/2006/relationships/hyperlink" Target="https://youglish.com/pronounce/%E8%AE%A1%E5%88%92/chinese" TargetMode="External" Id="rId680"/><Relationship Type="http://schemas.openxmlformats.org/officeDocument/2006/relationships/hyperlink" Target="https://translate.google.com/?sl=zh-CN&amp;tl=vi&amp;text=%E6%96%B9%E6%A1%88&amp;op=translate" TargetMode="External" Id="rId681"/><Relationship Type="http://schemas.openxmlformats.org/officeDocument/2006/relationships/hyperlink" Target="https://youglish.com/pronounce/%E6%96%B9%E6%A1%88/chinese" TargetMode="External" Id="rId682"/><Relationship Type="http://schemas.openxmlformats.org/officeDocument/2006/relationships/hyperlink" Target="https://translate.google.com/?sl=zh-CN&amp;tl=vi&amp;text=%E9%A1%B9%E7%9B%AE&amp;op=translate" TargetMode="External" Id="rId683"/><Relationship Type="http://schemas.openxmlformats.org/officeDocument/2006/relationships/hyperlink" Target="https://youglish.com/pronounce/%E9%A1%B9%E7%9B%AE/chinese" TargetMode="External" Id="rId684"/><Relationship Type="http://schemas.openxmlformats.org/officeDocument/2006/relationships/hyperlink" Target="https://translate.google.com/?sl=zh-CN&amp;tl=vi&amp;text=%E4%BB%BB%E5%8A%A1&amp;op=translate" TargetMode="External" Id="rId685"/><Relationship Type="http://schemas.openxmlformats.org/officeDocument/2006/relationships/hyperlink" Target="https://youglish.com/pronounce/%E4%BB%BB%E5%8A%A1/chinese" TargetMode="External" Id="rId686"/><Relationship Type="http://schemas.openxmlformats.org/officeDocument/2006/relationships/hyperlink" Target="https://translate.google.com/?sl=zh-CN&amp;tl=vi&amp;text=%E6%95%88%E7%8E%87&amp;op=translate" TargetMode="External" Id="rId687"/><Relationship Type="http://schemas.openxmlformats.org/officeDocument/2006/relationships/hyperlink" Target="https://youglish.com/pronounce/%E6%95%88%E7%8E%87/chinese" TargetMode="External" Id="rId688"/><Relationship Type="http://schemas.openxmlformats.org/officeDocument/2006/relationships/hyperlink" Target="https://translate.google.com/?sl=zh-CN&amp;tl=vi&amp;text=%E4%B8%9A%E7%BB%A9&amp;op=translate" TargetMode="External" Id="rId689"/><Relationship Type="http://schemas.openxmlformats.org/officeDocument/2006/relationships/hyperlink" Target="https://youglish.com/pronounce/%E4%B8%9A%E7%BB%A9/chinese" TargetMode="External" Id="rId690"/><Relationship Type="http://schemas.openxmlformats.org/officeDocument/2006/relationships/hyperlink" Target="https://translate.google.com/?sl=zh-CN&amp;tl=vi&amp;text=%E5%B8%82%E5%9C%BA&amp;op=translate" TargetMode="External" Id="rId691"/><Relationship Type="http://schemas.openxmlformats.org/officeDocument/2006/relationships/hyperlink" Target="https://youglish.com/pronounce/%E5%B8%82%E5%9C%BA/chinese" TargetMode="External" Id="rId692"/><Relationship Type="http://schemas.openxmlformats.org/officeDocument/2006/relationships/hyperlink" Target="https://translate.google.com/?sl=zh-CN&amp;tl=vi&amp;text=%E5%B8%82%E5%9C%BA%E8%B0%83%E6%9F%A5&amp;op=translate" TargetMode="External" Id="rId693"/><Relationship Type="http://schemas.openxmlformats.org/officeDocument/2006/relationships/hyperlink" Target="https://youglish.com/pronounce/%E5%B8%82%E5%9C%BA%E8%B0%83%E6%9F%A5/chinese" TargetMode="External" Id="rId694"/><Relationship Type="http://schemas.openxmlformats.org/officeDocument/2006/relationships/hyperlink" Target="https://translate.google.com/?sl=zh-CN&amp;tl=vi&amp;text=%E5%AE%A2%E6%88%B7&amp;op=translate" TargetMode="External" Id="rId695"/><Relationship Type="http://schemas.openxmlformats.org/officeDocument/2006/relationships/hyperlink" Target="https://youglish.com/pronounce/%E5%AE%A2%E6%88%B7/chinese" TargetMode="External" Id="rId696"/><Relationship Type="http://schemas.openxmlformats.org/officeDocument/2006/relationships/hyperlink" Target="https://translate.google.com/?sl=zh-CN&amp;tl=vi&amp;text=%E4%BE%9B%E5%BA%94%E5%95%86&amp;op=translate" TargetMode="External" Id="rId697"/><Relationship Type="http://schemas.openxmlformats.org/officeDocument/2006/relationships/hyperlink" Target="https://youglish.com/pronounce/%E4%BE%9B%E5%BA%94%E5%95%86/chinese" TargetMode="External" Id="rId698"/><Relationship Type="http://schemas.openxmlformats.org/officeDocument/2006/relationships/hyperlink" Target="https://translate.google.com/?sl=zh-CN&amp;tl=vi&amp;text=%E5%90%88%E4%BD%9C&amp;op=translate" TargetMode="External" Id="rId699"/><Relationship Type="http://schemas.openxmlformats.org/officeDocument/2006/relationships/hyperlink" Target="https://youglish.com/pronounce/%E5%90%88%E4%BD%9C/chinese" TargetMode="External" Id="rId700"/><Relationship Type="http://schemas.openxmlformats.org/officeDocument/2006/relationships/hyperlink" Target="https://translate.google.com/?sl=zh-CN&amp;tl=vi&amp;text=%E8%B0%88%E5%88%A4&amp;op=translate" TargetMode="External" Id="rId701"/><Relationship Type="http://schemas.openxmlformats.org/officeDocument/2006/relationships/hyperlink" Target="https://youglish.com/pronounce/%E8%B0%88%E5%88%A4/chinese" TargetMode="External" Id="rId702"/><Relationship Type="http://schemas.openxmlformats.org/officeDocument/2006/relationships/hyperlink" Target="https://translate.google.com/?sl=zh-CN&amp;tl=vi&amp;text=%E6%8A%A5%E4%BB%B7&amp;op=translate" TargetMode="External" Id="rId703"/><Relationship Type="http://schemas.openxmlformats.org/officeDocument/2006/relationships/hyperlink" Target="https://youglish.com/pronounce/%E6%8A%A5%E4%BB%B7/chinese" TargetMode="External" Id="rId704"/><Relationship Type="http://schemas.openxmlformats.org/officeDocument/2006/relationships/hyperlink" Target="https://translate.google.com/?sl=zh-CN&amp;tl=vi&amp;text=%E4%BB%B7%E6%A0%BC&amp;op=translate" TargetMode="External" Id="rId705"/><Relationship Type="http://schemas.openxmlformats.org/officeDocument/2006/relationships/hyperlink" Target="https://youglish.com/pronounce/%E4%BB%B7%E6%A0%BC/chinese" TargetMode="External" Id="rId706"/><Relationship Type="http://schemas.openxmlformats.org/officeDocument/2006/relationships/hyperlink" Target="https://translate.google.com/?sl=zh-CN&amp;tl=vi&amp;text=%E6%8A%98%E6%89%A3&amp;op=translate" TargetMode="External" Id="rId707"/><Relationship Type="http://schemas.openxmlformats.org/officeDocument/2006/relationships/hyperlink" Target="https://youglish.com/pronounce/%E6%8A%98%E6%89%A3/chinese" TargetMode="External" Id="rId708"/><Relationship Type="http://schemas.openxmlformats.org/officeDocument/2006/relationships/hyperlink" Target="https://translate.google.com/?sl=zh-CN&amp;tl=vi&amp;text=%E8%AE%A2%E5%8D%95&amp;op=translate" TargetMode="External" Id="rId709"/><Relationship Type="http://schemas.openxmlformats.org/officeDocument/2006/relationships/hyperlink" Target="https://youglish.com/pronounce/%E8%AE%A2%E5%8D%95/chinese" TargetMode="External" Id="rId710"/><Relationship Type="http://schemas.openxmlformats.org/officeDocument/2006/relationships/hyperlink" Target="https://translate.google.com/?sl=zh-CN&amp;tl=vi&amp;text=%E4%B8%8B%E8%AE%A2%E5%8D%95&amp;op=translate" TargetMode="External" Id="rId711"/><Relationship Type="http://schemas.openxmlformats.org/officeDocument/2006/relationships/hyperlink" Target="https://youglish.com/pronounce/%E4%B8%8B%E8%AE%A2%E5%8D%95/chinese" TargetMode="External" Id="rId712"/><Relationship Type="http://schemas.openxmlformats.org/officeDocument/2006/relationships/hyperlink" Target="https://translate.google.com/?sl=zh-CN&amp;tl=vi&amp;text=%E5%8F%91%E8%B4%A7&amp;op=translate" TargetMode="External" Id="rId713"/><Relationship Type="http://schemas.openxmlformats.org/officeDocument/2006/relationships/hyperlink" Target="https://youglish.com/pronounce/%E5%8F%91%E8%B4%A7/chinese" TargetMode="External" Id="rId714"/><Relationship Type="http://schemas.openxmlformats.org/officeDocument/2006/relationships/hyperlink" Target="https://translate.google.com/?sl=zh-CN&amp;tl=vi&amp;text=%E4%BA%A4%E8%B4%A7&amp;op=translate" TargetMode="External" Id="rId715"/><Relationship Type="http://schemas.openxmlformats.org/officeDocument/2006/relationships/hyperlink" Target="https://youglish.com/pronounce/%E4%BA%A4%E8%B4%A7/chinese" TargetMode="External" Id="rId716"/><Relationship Type="http://schemas.openxmlformats.org/officeDocument/2006/relationships/hyperlink" Target="https://translate.google.com/?sl=zh-CN&amp;tl=vi&amp;text=%E5%BA%93%E5%AD%98&amp;op=translate" TargetMode="External" Id="rId717"/><Relationship Type="http://schemas.openxmlformats.org/officeDocument/2006/relationships/hyperlink" Target="https://youglish.com/pronounce/%E5%BA%93%E5%AD%98/chinese" TargetMode="External" Id="rId718"/><Relationship Type="http://schemas.openxmlformats.org/officeDocument/2006/relationships/hyperlink" Target="https://translate.google.com/?sl=zh-CN&amp;tl=vi&amp;text=%E6%A0%B7%E5%93%81&amp;op=translate" TargetMode="External" Id="rId719"/><Relationship Type="http://schemas.openxmlformats.org/officeDocument/2006/relationships/hyperlink" Target="https://youglish.com/pronounce/%E6%A0%B7%E5%93%81/chinese" TargetMode="External" Id="rId720"/><Relationship Type="http://schemas.openxmlformats.org/officeDocument/2006/relationships/hyperlink" Target="https://translate.google.com/?sl=zh-CN&amp;tl=vi&amp;text=%E8%B4%A8%E9%87%8F&amp;op=translate" TargetMode="External" Id="rId721"/><Relationship Type="http://schemas.openxmlformats.org/officeDocument/2006/relationships/hyperlink" Target="https://youglish.com/pronounce/%E8%B4%A8%E9%87%8F/chinese" TargetMode="External" Id="rId722"/><Relationship Type="http://schemas.openxmlformats.org/officeDocument/2006/relationships/hyperlink" Target="https://translate.google.com/?sl=zh-CN&amp;tl=vi&amp;text=%E6%95%B0%E9%87%8F&amp;op=translate" TargetMode="External" Id="rId723"/><Relationship Type="http://schemas.openxmlformats.org/officeDocument/2006/relationships/hyperlink" Target="https://youglish.com/pronounce/%E6%95%B0%E9%87%8F/chinese" TargetMode="External" Id="rId724"/><Relationship Type="http://schemas.openxmlformats.org/officeDocument/2006/relationships/hyperlink" Target="https://translate.google.com/?sl=zh-CN&amp;tl=vi&amp;text=%E5%8C%85%E8%A3%85&amp;op=translate" TargetMode="External" Id="rId725"/><Relationship Type="http://schemas.openxmlformats.org/officeDocument/2006/relationships/hyperlink" Target="https://youglish.com/pronounce/%E5%8C%85%E8%A3%85/chinese" TargetMode="External" Id="rId726"/><Relationship Type="http://schemas.openxmlformats.org/officeDocument/2006/relationships/hyperlink" Target="https://translate.google.com/?sl=zh-CN&amp;tl=vi&amp;text=%E7%89%A9%E6%B5%81&amp;op=translate" TargetMode="External" Id="rId727"/><Relationship Type="http://schemas.openxmlformats.org/officeDocument/2006/relationships/hyperlink" Target="https://youglish.com/pronounce/%E7%89%A9%E6%B5%81/chinese" TargetMode="External" Id="rId728"/><Relationship Type="http://schemas.openxmlformats.org/officeDocument/2006/relationships/hyperlink" Target="https://translate.google.com/?sl=zh-CN&amp;tl=vi&amp;text=%E8%BF%90%E8%BE%93&amp;op=translate" TargetMode="External" Id="rId729"/><Relationship Type="http://schemas.openxmlformats.org/officeDocument/2006/relationships/hyperlink" Target="https://youglish.com/pronounce/%E8%BF%90%E8%BE%93/chinese" TargetMode="External" Id="rId730"/><Relationship Type="http://schemas.openxmlformats.org/officeDocument/2006/relationships/hyperlink" Target="https://translate.google.com/?sl=zh-CN&amp;tl=vi&amp;text=%E6%B5%B7%E8%BF%90&amp;op=translate" TargetMode="External" Id="rId731"/><Relationship Type="http://schemas.openxmlformats.org/officeDocument/2006/relationships/hyperlink" Target="https://youglish.com/pronounce/%E6%B5%B7%E8%BF%90/chinese" TargetMode="External" Id="rId732"/><Relationship Type="http://schemas.openxmlformats.org/officeDocument/2006/relationships/hyperlink" Target="https://translate.google.com/?sl=zh-CN&amp;tl=vi&amp;text=%E7%A9%BA%E8%BF%90&amp;op=translate" TargetMode="External" Id="rId733"/><Relationship Type="http://schemas.openxmlformats.org/officeDocument/2006/relationships/hyperlink" Target="https://youglish.com/pronounce/%E7%A9%BA%E8%BF%90/chinese" TargetMode="External" Id="rId734"/><Relationship Type="http://schemas.openxmlformats.org/officeDocument/2006/relationships/hyperlink" Target="https://translate.google.com/?sl=zh-CN&amp;tl=vi&amp;text=%E9%9B%86%E8%A3%85%E7%AE%B1&amp;op=translate" TargetMode="External" Id="rId735"/><Relationship Type="http://schemas.openxmlformats.org/officeDocument/2006/relationships/hyperlink" Target="https://youglish.com/pronounce/%E9%9B%86%E8%A3%85%E7%AE%B1/chinese" TargetMode="External" Id="rId736"/><Relationship Type="http://schemas.openxmlformats.org/officeDocument/2006/relationships/hyperlink" Target="https://translate.google.com/?sl=zh-CN&amp;tl=vi&amp;text=%E6%8A%A5%E5%85%B3&amp;op=translate" TargetMode="External" Id="rId737"/><Relationship Type="http://schemas.openxmlformats.org/officeDocument/2006/relationships/hyperlink" Target="https://youglish.com/pronounce/%E6%8A%A5%E5%85%B3/chinese" TargetMode="External" Id="rId738"/><Relationship Type="http://schemas.openxmlformats.org/officeDocument/2006/relationships/hyperlink" Target="https://translate.google.com/?sl=zh-CN&amp;tl=vi&amp;text=%E6%B5%B7%E5%85%B3&amp;op=translate" TargetMode="External" Id="rId739"/><Relationship Type="http://schemas.openxmlformats.org/officeDocument/2006/relationships/hyperlink" Target="https://youglish.com/pronounce/%E6%B5%B7%E5%85%B3/chinese" TargetMode="External" Id="rId740"/><Relationship Type="http://schemas.openxmlformats.org/officeDocument/2006/relationships/hyperlink" Target="https://translate.google.com/?sl=zh-CN&amp;tl=vi&amp;text=%E5%85%B3%E7%A8%8E&amp;op=translate" TargetMode="External" Id="rId741"/><Relationship Type="http://schemas.openxmlformats.org/officeDocument/2006/relationships/hyperlink" Target="https://youglish.com/pronounce/%E5%85%B3%E7%A8%8E/chinese" TargetMode="External" Id="rId742"/><Relationship Type="http://schemas.openxmlformats.org/officeDocument/2006/relationships/hyperlink" Target="https://translate.google.com/?sl=zh-CN&amp;tl=vi&amp;text=%E5%87%BA%E5%8F%A3&amp;op=translate" TargetMode="External" Id="rId743"/><Relationship Type="http://schemas.openxmlformats.org/officeDocument/2006/relationships/hyperlink" Target="https://youglish.com/pronounce/%E5%87%BA%E5%8F%A3/chinese" TargetMode="External" Id="rId744"/><Relationship Type="http://schemas.openxmlformats.org/officeDocument/2006/relationships/hyperlink" Target="https://translate.google.com/?sl=zh-CN&amp;tl=vi&amp;text=%E8%BF%9B%E5%8F%A3&amp;op=translate" TargetMode="External" Id="rId745"/><Relationship Type="http://schemas.openxmlformats.org/officeDocument/2006/relationships/hyperlink" Target="https://youglish.com/pronounce/%E8%BF%9B%E5%8F%A3/chinese" TargetMode="External" Id="rId746"/><Relationship Type="http://schemas.openxmlformats.org/officeDocument/2006/relationships/hyperlink" Target="https://translate.google.com/?sl=zh-CN&amp;tl=vi&amp;text=%E8%B4%B8%E6%98%93&amp;op=translate" TargetMode="External" Id="rId747"/><Relationship Type="http://schemas.openxmlformats.org/officeDocument/2006/relationships/hyperlink" Target="https://youglish.com/pronounce/%E8%B4%B8%E6%98%93/chinese" TargetMode="External" Id="rId748"/><Relationship Type="http://schemas.openxmlformats.org/officeDocument/2006/relationships/hyperlink" Target="https://translate.google.com/?sl=zh-CN&amp;tl=vi&amp;text=%E5%9B%BD%E9%99%85%E8%B4%B8%E6%98%93&amp;op=translate" TargetMode="External" Id="rId749"/><Relationship Type="http://schemas.openxmlformats.org/officeDocument/2006/relationships/hyperlink" Target="https://youglish.com/pronounce/%E5%9B%BD%E9%99%85%E8%B4%B8%E6%98%93/chinese" TargetMode="External" Id="rId750"/><Relationship Type="http://schemas.openxmlformats.org/officeDocument/2006/relationships/hyperlink" Target="https://translate.google.com/?sl=zh-CN&amp;tl=vi&amp;text=%E5%A4%96%E8%B4%B8&amp;op=translate" TargetMode="External" Id="rId751"/><Relationship Type="http://schemas.openxmlformats.org/officeDocument/2006/relationships/hyperlink" Target="https://youglish.com/pronounce/%E5%A4%96%E8%B4%B8/chinese" TargetMode="External" Id="rId752"/><Relationship Type="http://schemas.openxmlformats.org/officeDocument/2006/relationships/hyperlink" Target="https://translate.google.com/?sl=zh-CN&amp;tl=vi&amp;text=%E8%BF%9B%E5%87%BA%E5%8F%A3&amp;op=translate" TargetMode="External" Id="rId753"/><Relationship Type="http://schemas.openxmlformats.org/officeDocument/2006/relationships/hyperlink" Target="https://youglish.com/pronounce/%E8%BF%9B%E5%87%BA%E5%8F%A3/chinese" TargetMode="External" Id="rId754"/><Relationship Type="http://schemas.openxmlformats.org/officeDocument/2006/relationships/hyperlink" Target="https://translate.google.com/?sl=zh-CN&amp;tl=vi&amp;text=%E6%B1%87%E7%8E%87&amp;op=translate" TargetMode="External" Id="rId755"/><Relationship Type="http://schemas.openxmlformats.org/officeDocument/2006/relationships/hyperlink" Target="https://youglish.com/pronounce/%E6%B1%87%E7%8E%87/chinese" TargetMode="External" Id="rId756"/><Relationship Type="http://schemas.openxmlformats.org/officeDocument/2006/relationships/hyperlink" Target="https://translate.google.com/?sl=zh-CN&amp;tl=vi&amp;text=%E5%A4%96%E6%B1%87&amp;op=translate" TargetMode="External" Id="rId757"/><Relationship Type="http://schemas.openxmlformats.org/officeDocument/2006/relationships/hyperlink" Target="https://youglish.com/pronounce/%E5%A4%96%E6%B1%87/chinese" TargetMode="External" Id="rId758"/><Relationship Type="http://schemas.openxmlformats.org/officeDocument/2006/relationships/hyperlink" Target="https://translate.google.com/?sl=zh-CN&amp;tl=vi&amp;text=%E4%BA%BA%E6%B0%91%E5%B8%81&amp;op=translate" TargetMode="External" Id="rId759"/><Relationship Type="http://schemas.openxmlformats.org/officeDocument/2006/relationships/hyperlink" Target="https://youglish.com/pronounce/%E4%BA%BA%E6%B0%91%E5%B8%81/chinese" TargetMode="External" Id="rId760"/><Relationship Type="http://schemas.openxmlformats.org/officeDocument/2006/relationships/hyperlink" Target="https://translate.google.com/?sl=zh-CN&amp;tl=vi&amp;text=%E7%BE%8E%E5%85%83&amp;op=translate" TargetMode="External" Id="rId761"/><Relationship Type="http://schemas.openxmlformats.org/officeDocument/2006/relationships/hyperlink" Target="https://youglish.com/pronounce/%E7%BE%8E%E5%85%83/chinese" TargetMode="External" Id="rId762"/><Relationship Type="http://schemas.openxmlformats.org/officeDocument/2006/relationships/hyperlink" Target="https://translate.google.com/?sl=zh-CN&amp;tl=vi&amp;text=%E4%BB%98%E6%AC%BE&amp;op=translate" TargetMode="External" Id="rId763"/><Relationship Type="http://schemas.openxmlformats.org/officeDocument/2006/relationships/hyperlink" Target="https://youglish.com/pronounce/%E4%BB%98%E6%AC%BE/chinese" TargetMode="External" Id="rId764"/><Relationship Type="http://schemas.openxmlformats.org/officeDocument/2006/relationships/hyperlink" Target="https://translate.google.com/?sl=zh-CN&amp;tl=vi&amp;text=%E8%BD%AC%E8%B4%A6&amp;op=translate" TargetMode="External" Id="rId765"/><Relationship Type="http://schemas.openxmlformats.org/officeDocument/2006/relationships/hyperlink" Target="https://youglish.com/pronounce/%E8%BD%AC%E8%B4%A6/chinese" TargetMode="External" Id="rId766"/><Relationship Type="http://schemas.openxmlformats.org/officeDocument/2006/relationships/hyperlink" Target="https://translate.google.com/?sl=zh-CN&amp;tl=vi&amp;text=%E5%8F%91%E7%A5%A8&amp;op=translate" TargetMode="External" Id="rId767"/><Relationship Type="http://schemas.openxmlformats.org/officeDocument/2006/relationships/hyperlink" Target="https://youglish.com/pronounce/%E5%8F%91%E7%A5%A8/chinese" TargetMode="External" Id="rId768"/><Relationship Type="http://schemas.openxmlformats.org/officeDocument/2006/relationships/hyperlink" Target="https://translate.google.com/?sl=zh-CN&amp;tl=vi&amp;text=%E6%94%B6%E6%8D%AE&amp;op=translate" TargetMode="External" Id="rId769"/><Relationship Type="http://schemas.openxmlformats.org/officeDocument/2006/relationships/hyperlink" Target="https://youglish.com/pronounce/%E6%94%B6%E6%8D%AE/chinese" TargetMode="External" Id="rId770"/><Relationship Type="http://schemas.openxmlformats.org/officeDocument/2006/relationships/hyperlink" Target="https://translate.google.com/?sl=zh-CN&amp;tl=vi&amp;text=%E9%A2%84%E7%AE%97&amp;op=translate" TargetMode="External" Id="rId771"/><Relationship Type="http://schemas.openxmlformats.org/officeDocument/2006/relationships/hyperlink" Target="https://youglish.com/pronounce/%E9%A2%84%E7%AE%97/chinese" TargetMode="External" Id="rId772"/><Relationship Type="http://schemas.openxmlformats.org/officeDocument/2006/relationships/hyperlink" Target="https://translate.google.com/?sl=zh-CN&amp;tl=vi&amp;text=%E6%88%90%E6%9C%AC&amp;op=translate" TargetMode="External" Id="rId773"/><Relationship Type="http://schemas.openxmlformats.org/officeDocument/2006/relationships/hyperlink" Target="https://youglish.com/pronounce/%E6%88%90%E6%9C%AC/chinese" TargetMode="External" Id="rId774"/><Relationship Type="http://schemas.openxmlformats.org/officeDocument/2006/relationships/hyperlink" Target="https://translate.google.com/?sl=zh-CN&amp;tl=vi&amp;text=%E5%88%A9%E6%B6%A6&amp;op=translate" TargetMode="External" Id="rId775"/><Relationship Type="http://schemas.openxmlformats.org/officeDocument/2006/relationships/hyperlink" Target="https://youglish.com/pronounce/%E5%88%A9%E6%B6%A6/chinese" TargetMode="External" Id="rId776"/><Relationship Type="http://schemas.openxmlformats.org/officeDocument/2006/relationships/hyperlink" Target="https://translate.google.com/?sl=zh-CN&amp;tl=vi&amp;text=%E6%94%B6%E5%85%A5&amp;op=translate" TargetMode="External" Id="rId777"/><Relationship Type="http://schemas.openxmlformats.org/officeDocument/2006/relationships/hyperlink" Target="https://youglish.com/pronounce/%E6%94%B6%E5%85%A5/chinese" TargetMode="External" Id="rId778"/><Relationship Type="http://schemas.openxmlformats.org/officeDocument/2006/relationships/hyperlink" Target="https://translate.google.com/?sl=zh-CN&amp;tl=vi&amp;text=%E6%94%AF%E5%87%BA&amp;op=translate" TargetMode="External" Id="rId779"/><Relationship Type="http://schemas.openxmlformats.org/officeDocument/2006/relationships/hyperlink" Target="https://youglish.com/pronounce/%E6%94%AF%E5%87%BA/chinese" TargetMode="External" Id="rId780"/><Relationship Type="http://schemas.openxmlformats.org/officeDocument/2006/relationships/hyperlink" Target="https://translate.google.com/?sl=zh-CN&amp;tl=vi&amp;text=%E6%8A%95%E8%B5%84&amp;op=translate" TargetMode="External" Id="rId781"/><Relationship Type="http://schemas.openxmlformats.org/officeDocument/2006/relationships/hyperlink" Target="https://youglish.com/pronounce/%E6%8A%95%E8%B5%84/chinese" TargetMode="External" Id="rId782"/><Relationship Type="http://schemas.openxmlformats.org/officeDocument/2006/relationships/hyperlink" Target="https://translate.google.com/?sl=zh-CN&amp;tl=vi&amp;text=%E8%82%A1%E4%BB%BD&amp;op=translate" TargetMode="External" Id="rId783"/><Relationship Type="http://schemas.openxmlformats.org/officeDocument/2006/relationships/hyperlink" Target="https://youglish.com/pronounce/%E8%82%A1%E4%BB%BD/chinese" TargetMode="External" Id="rId784"/><Relationship Type="http://schemas.openxmlformats.org/officeDocument/2006/relationships/hyperlink" Target="https://translate.google.com/?sl=zh-CN&amp;tl=vi&amp;text=%E8%82%A1%E7%A5%A8&amp;op=translate" TargetMode="External" Id="rId785"/><Relationship Type="http://schemas.openxmlformats.org/officeDocument/2006/relationships/hyperlink" Target="https://youglish.com/pronounce/%E8%82%A1%E7%A5%A8/chinese" TargetMode="External" Id="rId786"/><Relationship Type="http://schemas.openxmlformats.org/officeDocument/2006/relationships/hyperlink" Target="https://translate.google.com/?sl=zh-CN&amp;tl=vi&amp;text=%E8%B4%B7%E6%AC%BE&amp;op=translate" TargetMode="External" Id="rId787"/><Relationship Type="http://schemas.openxmlformats.org/officeDocument/2006/relationships/hyperlink" Target="https://youglish.com/pronounce/%E8%B4%B7%E6%AC%BE/chinese" TargetMode="External" Id="rId788"/><Relationship Type="http://schemas.openxmlformats.org/officeDocument/2006/relationships/hyperlink" Target="https://translate.google.com/?sl=zh-CN&amp;tl=vi&amp;text=%E5%88%A9%E6%81%AF&amp;op=translate" TargetMode="External" Id="rId789"/><Relationship Type="http://schemas.openxmlformats.org/officeDocument/2006/relationships/hyperlink" Target="https://youglish.com/pronounce/%E5%88%A9%E6%81%AF/chinese" TargetMode="External" Id="rId790"/><Relationship Type="http://schemas.openxmlformats.org/officeDocument/2006/relationships/hyperlink" Target="https://translate.google.com/?sl=zh-CN&amp;tl=vi&amp;text=%E4%BF%9D%E9%99%A9&amp;op=translate" TargetMode="External" Id="rId791"/><Relationship Type="http://schemas.openxmlformats.org/officeDocument/2006/relationships/hyperlink" Target="https://youglish.com/pronounce/%E4%BF%9D%E9%99%A9/chinese" TargetMode="External" Id="rId792"/><Relationship Type="http://schemas.openxmlformats.org/officeDocument/2006/relationships/hyperlink" Target="https://translate.google.com/?sl=zh-CN&amp;tl=vi&amp;text=%E9%A3%8E%E9%99%A9&amp;op=translate" TargetMode="External" Id="rId793"/><Relationship Type="http://schemas.openxmlformats.org/officeDocument/2006/relationships/hyperlink" Target="https://youglish.com/pronounce/%E9%A3%8E%E9%99%A9/chinese" TargetMode="External" Id="rId794"/><Relationship Type="http://schemas.openxmlformats.org/officeDocument/2006/relationships/hyperlink" Target="https://translate.google.com/?sl=zh-CN&amp;tl=vi&amp;text=%E7%A8%8E&amp;op=translate" TargetMode="External" Id="rId795"/><Relationship Type="http://schemas.openxmlformats.org/officeDocument/2006/relationships/hyperlink" Target="https://youglish.com/pronounce/%E7%A8%8E/chinese" TargetMode="External" Id="rId796"/><Relationship Type="http://schemas.openxmlformats.org/officeDocument/2006/relationships/hyperlink" Target="https://translate.google.com/?sl=zh-CN&amp;tl=vi&amp;text=%E8%B4%A6%E6%88%B7&amp;op=translate" TargetMode="External" Id="rId797"/><Relationship Type="http://schemas.openxmlformats.org/officeDocument/2006/relationships/hyperlink" Target="https://youglish.com/pronounce/%E8%B4%A6%E6%88%B7/chinese" TargetMode="External" Id="rId798"/><Relationship Type="http://schemas.openxmlformats.org/officeDocument/2006/relationships/hyperlink" Target="https://translate.google.com/?sl=zh-CN&amp;tl=vi&amp;text=%E5%B9%BF%E5%91%8A&amp;op=translate" TargetMode="External" Id="rId799"/><Relationship Type="http://schemas.openxmlformats.org/officeDocument/2006/relationships/hyperlink" Target="https://youglish.com/pronounce/%E5%B9%BF%E5%91%8A/chinese" TargetMode="External" Id="rId800"/><Relationship Type="http://schemas.openxmlformats.org/officeDocument/2006/relationships/hyperlink" Target="https://translate.google.com/?sl=zh-CN&amp;tl=vi&amp;text=%E5%93%81%E7%89%8C&amp;op=translate" TargetMode="External" Id="rId801"/><Relationship Type="http://schemas.openxmlformats.org/officeDocument/2006/relationships/hyperlink" Target="https://youglish.com/pronounce/%E5%93%81%E7%89%8C/chinese" TargetMode="External" Id="rId802"/><Relationship Type="http://schemas.openxmlformats.org/officeDocument/2006/relationships/hyperlink" Target="https://translate.google.com/?sl=zh-CN&amp;tl=vi&amp;text=%E4%BA%A7%E5%93%81&amp;op=translate" TargetMode="External" Id="rId803"/><Relationship Type="http://schemas.openxmlformats.org/officeDocument/2006/relationships/hyperlink" Target="https://youglish.com/pronounce/%E4%BA%A7%E5%93%81/chinese" TargetMode="External" Id="rId804"/><Relationship Type="http://schemas.openxmlformats.org/officeDocument/2006/relationships/hyperlink" Target="https://translate.google.com/?sl=zh-CN&amp;tl=vi&amp;text=%E7%94%9F%E4%BA%A7&amp;op=translate" TargetMode="External" Id="rId805"/><Relationship Type="http://schemas.openxmlformats.org/officeDocument/2006/relationships/hyperlink" Target="https://youglish.com/pronounce/%E7%94%9F%E4%BA%A7/chinese" TargetMode="External" Id="rId806"/><Relationship Type="http://schemas.openxmlformats.org/officeDocument/2006/relationships/hyperlink" Target="https://translate.google.com/?sl=zh-CN&amp;tl=vi&amp;text=%E6%9C%8D%E5%8A%A1&amp;op=translate" TargetMode="External" Id="rId807"/><Relationship Type="http://schemas.openxmlformats.org/officeDocument/2006/relationships/hyperlink" Target="https://youglish.com/pronounce/%E6%9C%8D%E5%8A%A1/chinese" TargetMode="External" Id="rId808"/><Relationship Type="http://schemas.openxmlformats.org/officeDocument/2006/relationships/hyperlink" Target="https://translate.google.com/?sl=zh-CN&amp;tl=vi&amp;text=%E7%AB%9E%E4%BA%89&amp;op=translate" TargetMode="External" Id="rId809"/><Relationship Type="http://schemas.openxmlformats.org/officeDocument/2006/relationships/hyperlink" Target="https://youglish.com/pronounce/%E7%AB%9E%E4%BA%89/chinese" TargetMode="External" Id="rId810"/><Relationship Type="http://schemas.openxmlformats.org/officeDocument/2006/relationships/hyperlink" Target="https://translate.google.com/?sl=zh-CN&amp;tl=vi&amp;text=%E5%90%88%E8%B5%84&amp;op=translate" TargetMode="External" Id="rId811"/><Relationship Type="http://schemas.openxmlformats.org/officeDocument/2006/relationships/hyperlink" Target="https://youglish.com/pronounce/%E5%90%88%E8%B5%84/chinese" TargetMode="External" Id="rId812"/><Relationship Type="http://schemas.openxmlformats.org/officeDocument/2006/relationships/hyperlink" Target="https://translate.google.com/?sl=zh-CN&amp;tl=vi&amp;text=%E4%BB%A3%E7%90%86&amp;op=translate" TargetMode="External" Id="rId813"/><Relationship Type="http://schemas.openxmlformats.org/officeDocument/2006/relationships/hyperlink" Target="https://youglish.com/pronounce/%E4%BB%A3%E7%90%86/chinese" TargetMode="External" Id="rId814"/><Relationship Type="http://schemas.openxmlformats.org/officeDocument/2006/relationships/hyperlink" Target="https://translate.google.com/?sl=zh-CN&amp;tl=vi&amp;text=%E6%89%B9%E5%8F%91&amp;op=translate" TargetMode="External" Id="rId815"/><Relationship Type="http://schemas.openxmlformats.org/officeDocument/2006/relationships/hyperlink" Target="https://youglish.com/pronounce/%E6%89%B9%E5%8F%91/chinese" TargetMode="External" Id="rId816"/><Relationship Type="http://schemas.openxmlformats.org/officeDocument/2006/relationships/hyperlink" Target="https://translate.google.com/?sl=zh-CN&amp;tl=vi&amp;text=%E9%9B%B6%E5%94%AE&amp;op=translate" TargetMode="External" Id="rId817"/><Relationship Type="http://schemas.openxmlformats.org/officeDocument/2006/relationships/hyperlink" Target="https://youglish.com/pronounce/%E9%9B%B6%E5%94%AE/chinese" TargetMode="External" Id="rId818"/><Relationship Type="http://schemas.openxmlformats.org/officeDocument/2006/relationships/hyperlink" Target="https://translate.google.com/?sl=zh-CN&amp;tl=vi&amp;text=%E5%90%8D%E7%89%87&amp;op=translate" TargetMode="External" Id="rId819"/><Relationship Type="http://schemas.openxmlformats.org/officeDocument/2006/relationships/hyperlink" Target="https://youglish.com/pronounce/%E5%90%8D%E7%89%87/chinese" TargetMode="External" Id="rId820"/><Relationship Type="http://schemas.openxmlformats.org/officeDocument/2006/relationships/hyperlink" Target="https://translate.google.com/?sl=zh-CN&amp;tl=vi&amp;text=%E9%82%AE%E4%BB%B6&amp;op=translate" TargetMode="External" Id="rId821"/><Relationship Type="http://schemas.openxmlformats.org/officeDocument/2006/relationships/hyperlink" Target="https://youglish.com/pronounce/%E9%82%AE%E4%BB%B6/chinese" TargetMode="External" Id="rId822"/><Relationship Type="http://schemas.openxmlformats.org/officeDocument/2006/relationships/hyperlink" Target="https://translate.google.com/?sl=zh-CN&amp;tl=vi&amp;text=%E9%99%84%E4%BB%B6&amp;op=translate" TargetMode="External" Id="rId823"/><Relationship Type="http://schemas.openxmlformats.org/officeDocument/2006/relationships/hyperlink" Target="https://youglish.com/pronounce/%E9%99%84%E4%BB%B6/chinese" TargetMode="External" Id="rId824"/><Relationship Type="http://schemas.openxmlformats.org/officeDocument/2006/relationships/hyperlink" Target="https://translate.google.com/?sl=zh-CN&amp;tl=vi&amp;text=%E9%80%9A%E7%9F%A5&amp;op=translate" TargetMode="External" Id="rId825"/><Relationship Type="http://schemas.openxmlformats.org/officeDocument/2006/relationships/hyperlink" Target="https://youglish.com/pronounce/%E9%80%9A%E7%9F%A5/chinese" TargetMode="External" Id="rId826"/><Relationship Type="http://schemas.openxmlformats.org/officeDocument/2006/relationships/hyperlink" Target="https://translate.google.com/?sl=zh-CN&amp;tl=vi&amp;text=%E7%94%B3%E8%AF%B7&amp;op=translate" TargetMode="External" Id="rId827"/><Relationship Type="http://schemas.openxmlformats.org/officeDocument/2006/relationships/hyperlink" Target="https://youglish.com/pronounce/%E7%94%B3%E8%AF%B7/chinese" TargetMode="External" Id="rId828"/><Relationship Type="http://schemas.openxmlformats.org/officeDocument/2006/relationships/hyperlink" Target="https://translate.google.com/?sl=zh-CN&amp;tl=vi&amp;text=%E6%89%B9%E5%87%86&amp;op=translate" TargetMode="External" Id="rId829"/><Relationship Type="http://schemas.openxmlformats.org/officeDocument/2006/relationships/hyperlink" Target="https://youglish.com/pronounce/%E6%89%B9%E5%87%86/chinese" TargetMode="External" Id="rId830"/><Relationship Type="http://schemas.openxmlformats.org/officeDocument/2006/relationships/hyperlink" Target="https://translate.google.com/?sl=zh-CN&amp;tl=vi&amp;text=%E8%B4%9F%E8%B4%A3&amp;op=translate" TargetMode="External" Id="rId831"/><Relationship Type="http://schemas.openxmlformats.org/officeDocument/2006/relationships/hyperlink" Target="https://youglish.com/pronounce/%E8%B4%9F%E8%B4%A3/chinese" TargetMode="External" Id="rId832"/><Relationship Type="http://schemas.openxmlformats.org/officeDocument/2006/relationships/hyperlink" Target="https://translate.google.com/?sl=zh-CN&amp;tl=vi&amp;text=%E5%AE%89%E6%8E%92&amp;op=translate" TargetMode="External" Id="rId833"/><Relationship Type="http://schemas.openxmlformats.org/officeDocument/2006/relationships/hyperlink" Target="https://youglish.com/pronounce/%E5%AE%89%E6%8E%92/chinese" TargetMode="External" Id="rId834"/><Relationship Type="http://schemas.openxmlformats.org/officeDocument/2006/relationships/hyperlink" Target="https://translate.google.com/?sl=zh-CN&amp;tl=vi&amp;text=%E7%A1%AE%E8%AE%A4&amp;op=translate" TargetMode="External" Id="rId835"/><Relationship Type="http://schemas.openxmlformats.org/officeDocument/2006/relationships/hyperlink" Target="https://youglish.com/pronounce/%E7%A1%AE%E8%AE%A4/chinese" TargetMode="External" Id="rId836"/><Relationship Type="http://schemas.openxmlformats.org/officeDocument/2006/relationships/hyperlink" Target="https://translate.google.com/?sl=zh-CN&amp;tl=vi&amp;text=%E8%81%94%E7%B3%BB&amp;op=translate" TargetMode="External" Id="rId837"/><Relationship Type="http://schemas.openxmlformats.org/officeDocument/2006/relationships/hyperlink" Target="https://youglish.com/pronounce/%E8%81%94%E7%B3%BB/chinese" TargetMode="External" Id="rId838"/><Relationship Type="http://schemas.openxmlformats.org/officeDocument/2006/relationships/hyperlink" Target="https://translate.google.com/?sl=zh-CN&amp;tl=vi&amp;text=%E8%AE%A8%E8%AE%BA&amp;op=translate" TargetMode="External" Id="rId839"/><Relationship Type="http://schemas.openxmlformats.org/officeDocument/2006/relationships/hyperlink" Target="https://youglish.com/pronounce/%E8%AE%A8%E8%AE%BA/chinese" TargetMode="External" Id="rId840"/><Relationship Type="http://schemas.openxmlformats.org/officeDocument/2006/relationships/hyperlink" Target="https://translate.google.com/?sl=zh-CN&amp;tl=vi&amp;text=%E5%BB%BA%E8%AE%AE&amp;op=translate" TargetMode="External" Id="rId841"/><Relationship Type="http://schemas.openxmlformats.org/officeDocument/2006/relationships/hyperlink" Target="https://youglish.com/pronounce/%E5%BB%BA%E8%AE%AE/chinese" TargetMode="External" Id="rId842"/><Relationship Type="http://schemas.openxmlformats.org/officeDocument/2006/relationships/hyperlink" Target="https://translate.google.com/?sl=zh-CN&amp;tl=vi&amp;text=%E7%AD%BE%E7%BD%B2&amp;op=translate" TargetMode="External" Id="rId843"/><Relationship Type="http://schemas.openxmlformats.org/officeDocument/2006/relationships/hyperlink" Target="https://youglish.com/pronounce/%E7%AD%BE%E7%BD%B2/chinese" TargetMode="External" Id="rId844"/><Relationship Type="http://schemas.openxmlformats.org/officeDocument/2006/relationships/hyperlink" Target="https://translate.google.com/?sl=zh-CN&amp;tl=vi&amp;text=%E5%BB%B6%E6%9C%9F&amp;op=translate" TargetMode="External" Id="rId845"/><Relationship Type="http://schemas.openxmlformats.org/officeDocument/2006/relationships/hyperlink" Target="https://youglish.com/pronounce/%E5%BB%B6%E6%9C%9F/chinese" TargetMode="External" Id="rId846"/><Relationship Type="http://schemas.openxmlformats.org/officeDocument/2006/relationships/hyperlink" Target="https://translate.google.com/?sl=zh-CN&amp;tl=vi&amp;text=%E5%8F%96%E6%B6%88&amp;op=translate" TargetMode="External" Id="rId847"/><Relationship Type="http://schemas.openxmlformats.org/officeDocument/2006/relationships/hyperlink" Target="https://youglish.com/pronounce/%E5%8F%96%E6%B6%88/chinese" TargetMode="External" Id="rId848"/><Relationship Type="http://schemas.openxmlformats.org/officeDocument/2006/relationships/hyperlink" Target="https://translate.google.com/?sl=zh-CN&amp;tl=vi&amp;text=%E8%B5%94%E5%81%BF&amp;op=translate" TargetMode="External" Id="rId849"/><Relationship Type="http://schemas.openxmlformats.org/officeDocument/2006/relationships/hyperlink" Target="https://youglish.com/pronounce/%E8%B5%94%E5%81%BF/chinese" TargetMode="External" Id="rId850"/><Relationship Type="http://schemas.openxmlformats.org/officeDocument/2006/relationships/hyperlink" Target="https://translate.google.com/?sl=zh-CN&amp;tl=vi&amp;text=%E7%B4%A2%E8%B5%94&amp;op=translate" TargetMode="External" Id="rId851"/><Relationship Type="http://schemas.openxmlformats.org/officeDocument/2006/relationships/hyperlink" Target="https://youglish.com/pronounce/%E7%B4%A2%E8%B5%94/chinese" TargetMode="External" Id="rId852"/><Relationship Type="http://schemas.openxmlformats.org/officeDocument/2006/relationships/hyperlink" Target="https://translate.google.com/?sl=zh-CN&amp;tl=vi&amp;text=%E4%BB%93%E5%BA%93&amp;op=translate" TargetMode="External" Id="rId853"/><Relationship Type="http://schemas.openxmlformats.org/officeDocument/2006/relationships/hyperlink" Target="https://youglish.com/pronounce/%E4%BB%93%E5%BA%93/chinese" TargetMode="External" Id="rId854"/><Relationship Type="http://schemas.openxmlformats.org/officeDocument/2006/relationships/hyperlink" Target="https://translate.google.com/?sl=zh-CN&amp;tl=vi&amp;text=%E5%BE%88%E5%A4%9A&amp;op=translate" TargetMode="External" Id="rId855"/><Relationship Type="http://schemas.openxmlformats.org/officeDocument/2006/relationships/hyperlink" Target="https://youglish.com/pronounce/%E5%BE%88%E5%A4%9A/chinese" TargetMode="External" Id="rId856"/><Relationship Type="http://schemas.openxmlformats.org/officeDocument/2006/relationships/hyperlink" Target="https://www.youtube.com/watch?v=DVRy3l9ojq4" TargetMode="External" Id="rId857"/><Relationship Type="http://schemas.openxmlformats.org/officeDocument/2006/relationships/hyperlink" Target="https://translate.google.com/?sl=zh-CN&amp;tl=vi&amp;text=%E5%AE%8C%E7%BE%8E&amp;op=translate" TargetMode="External" Id="rId858"/><Relationship Type="http://schemas.openxmlformats.org/officeDocument/2006/relationships/hyperlink" Target="https://youglish.com/pronounce/%E5%AE%8C%E7%BE%8E/chinese" TargetMode="External" Id="rId859"/><Relationship Type="http://schemas.openxmlformats.org/officeDocument/2006/relationships/hyperlink" Target="https://www.youtube.com/watch?v=DVRy3l9ojq4" TargetMode="External" Id="rId860"/><Relationship Type="http://schemas.openxmlformats.org/officeDocument/2006/relationships/hyperlink" Target="https://translate.google.com/?sl=zh-CN&amp;tl=vi&amp;text=%E8%BE%93%E5%85%A5&amp;op=translate" TargetMode="External" Id="rId861"/><Relationship Type="http://schemas.openxmlformats.org/officeDocument/2006/relationships/hyperlink" Target="https://youglish.com/pronounce/%E8%BE%93%E5%85%A5/chinese" TargetMode="External" Id="rId862"/><Relationship Type="http://schemas.openxmlformats.org/officeDocument/2006/relationships/hyperlink" Target="https://www.youtube.com/watch?v=DVRy3l9ojq4" TargetMode="External" Id="rId863"/><Relationship Type="http://schemas.openxmlformats.org/officeDocument/2006/relationships/hyperlink" Target="https://translate.google.com/?sl=zh-CN&amp;tl=vi&amp;text=%E5%8A%9E%E6%B3%95&amp;op=translate" TargetMode="External" Id="rId864"/><Relationship Type="http://schemas.openxmlformats.org/officeDocument/2006/relationships/hyperlink" Target="https://youglish.com/pronounce/%E5%8A%9E%E6%B3%95/chinese" TargetMode="External" Id="rId865"/><Relationship Type="http://schemas.openxmlformats.org/officeDocument/2006/relationships/hyperlink" Target="https://www.youtube.com/watch?v=DVRy3l9ojq4" TargetMode="External" Id="rId866"/><Relationship Type="http://schemas.openxmlformats.org/officeDocument/2006/relationships/hyperlink" Target="https://translate.google.com/?sl=zh-CN&amp;tl=vi&amp;text=%E4%B8%8D%E4%BC%9A&amp;op=translate" TargetMode="External" Id="rId867"/><Relationship Type="http://schemas.openxmlformats.org/officeDocument/2006/relationships/hyperlink" Target="https://youglish.com/pronounce/%E4%B8%8D%E4%BC%9A/chinese" TargetMode="External" Id="rId868"/><Relationship Type="http://schemas.openxmlformats.org/officeDocument/2006/relationships/hyperlink" Target="https://www.youtube.com/watch?v=DVRy3l9ojq4" TargetMode="External" Id="rId869"/><Relationship Type="http://schemas.openxmlformats.org/officeDocument/2006/relationships/hyperlink" Target="https://translate.google.com/?sl=zh-CN&amp;tl=vi&amp;text=%E8%AF%B4%E9%94%99&amp;op=translate" TargetMode="External" Id="rId870"/><Relationship Type="http://schemas.openxmlformats.org/officeDocument/2006/relationships/hyperlink" Target="https://youglish.com/pronounce/%E8%AF%B4%E9%94%99/chinese" TargetMode="External" Id="rId871"/><Relationship Type="http://schemas.openxmlformats.org/officeDocument/2006/relationships/hyperlink" Target="https://www.youtube.com/watch?v=DVRy3l9ojq4" TargetMode="External" Id="rId872"/><Relationship Type="http://schemas.openxmlformats.org/officeDocument/2006/relationships/hyperlink" Target="https://translate.google.com/?sl=zh-CN&amp;tl=vi&amp;text=%E4%B8%80%E5%8F%A5&amp;op=translate" TargetMode="External" Id="rId873"/><Relationship Type="http://schemas.openxmlformats.org/officeDocument/2006/relationships/hyperlink" Target="https://youglish.com/pronounce/%E4%B8%80%E5%8F%A5/chinese" TargetMode="External" Id="rId874"/><Relationship Type="http://schemas.openxmlformats.org/officeDocument/2006/relationships/hyperlink" Target="https://www.youtube.com/watch?v=DVRy3l9ojq4" TargetMode="External" Id="rId875"/><Relationship Type="http://schemas.openxmlformats.org/officeDocument/2006/relationships/hyperlink" Target="https://translate.google.com/?sl=zh-CN&amp;tl=vi&amp;text=%E8%AF%AD%E8%A8%80&amp;op=translate" TargetMode="External" Id="rId876"/><Relationship Type="http://schemas.openxmlformats.org/officeDocument/2006/relationships/hyperlink" Target="https://youglish.com/pronounce/%E8%AF%AD%E8%A8%80/chinese" TargetMode="External" Id="rId877"/><Relationship Type="http://schemas.openxmlformats.org/officeDocument/2006/relationships/hyperlink" Target="https://www.youtube.com/watch?v=DVRy3l9ojq4" TargetMode="External" Id="rId878"/><Relationship Type="http://schemas.openxmlformats.org/officeDocument/2006/relationships/hyperlink" Target="https://translate.google.com/?sl=zh-CN&amp;tl=vi&amp;text=%E5%90%AC%E6%87%82&amp;op=translate" TargetMode="External" Id="rId879"/><Relationship Type="http://schemas.openxmlformats.org/officeDocument/2006/relationships/hyperlink" Target="https://youglish.com/pronounce/%E5%90%AC%E6%87%82/chinese" TargetMode="External" Id="rId880"/><Relationship Type="http://schemas.openxmlformats.org/officeDocument/2006/relationships/hyperlink" Target="https://www.youtube.com/watch?v=DVRy3l9ojq4" TargetMode="External" Id="rId881"/><Relationship Type="http://schemas.openxmlformats.org/officeDocument/2006/relationships/hyperlink" Target="https://translate.google.com/?sl=zh-CN&amp;tl=vi&amp;text=%E8%BF%99%E6%98%AF&amp;op=translate" TargetMode="External" Id="rId882"/><Relationship Type="http://schemas.openxmlformats.org/officeDocument/2006/relationships/hyperlink" Target="https://youglish.com/pronounce/%E8%BF%99%E6%98%AF/chinese" TargetMode="External" Id="rId883"/><Relationship Type="http://schemas.openxmlformats.org/officeDocument/2006/relationships/hyperlink" Target="https://www.youtube.com/watch?v=DVRy3l9ojq4" TargetMode="External" Id="rId884"/><Relationship Type="http://schemas.openxmlformats.org/officeDocument/2006/relationships/hyperlink" Target="https://translate.google.com/?sl=zh-CN&amp;tl=vi&amp;text=%E8%BE%93%E5%87%BA&amp;op=translate" TargetMode="External" Id="rId885"/><Relationship Type="http://schemas.openxmlformats.org/officeDocument/2006/relationships/hyperlink" Target="https://youglish.com/pronounce/%E8%BE%93%E5%87%BA/chinese" TargetMode="External" Id="rId886"/><Relationship Type="http://schemas.openxmlformats.org/officeDocument/2006/relationships/hyperlink" Target="https://www.youtube.com/watch?v=DVRy3l9ojq4" TargetMode="External" Id="rId887"/><Relationship Type="http://schemas.openxmlformats.org/officeDocument/2006/relationships/hyperlink" Target="https://translate.google.com/?sl=zh-CN&amp;tl=vi&amp;text=%E6%AF%94%E5%A6%82&amp;op=translate" TargetMode="External" Id="rId888"/><Relationship Type="http://schemas.openxmlformats.org/officeDocument/2006/relationships/hyperlink" Target="https://youglish.com/pronounce/%E6%AF%94%E5%A6%82/chinese" TargetMode="External" Id="rId889"/><Relationship Type="http://schemas.openxmlformats.org/officeDocument/2006/relationships/hyperlink" Target="https://www.youtube.com/watch?v=DVRy3l9ojq4" TargetMode="External" Id="rId890"/><Relationship Type="http://schemas.openxmlformats.org/officeDocument/2006/relationships/hyperlink" Target="https://translate.google.com/?sl=zh-CN&amp;tl=vi&amp;text=%E5%8E%9F%E5%9B%A0&amp;op=translate" TargetMode="External" Id="rId891"/><Relationship Type="http://schemas.openxmlformats.org/officeDocument/2006/relationships/hyperlink" Target="https://youglish.com/pronounce/%E5%8E%9F%E5%9B%A0/chinese" TargetMode="External" Id="rId892"/><Relationship Type="http://schemas.openxmlformats.org/officeDocument/2006/relationships/hyperlink" Target="https://www.youtube.com/watch?v=DVRy3l9ojq4" TargetMode="External" Id="rId893"/><Relationship Type="http://schemas.openxmlformats.org/officeDocument/2006/relationships/hyperlink" Target="https://translate.google.com/?sl=zh-CN&amp;tl=vi&amp;text=%E4%B8%8D%E8%A6%81&amp;op=translate" TargetMode="External" Id="rId894"/><Relationship Type="http://schemas.openxmlformats.org/officeDocument/2006/relationships/hyperlink" Target="https://youglish.com/pronounce/%E4%B8%8D%E8%A6%81/chinese" TargetMode="External" Id="rId895"/><Relationship Type="http://schemas.openxmlformats.org/officeDocument/2006/relationships/hyperlink" Target="https://www.youtube.com/watch?v=DVRy3l9ojq4" TargetMode="External" Id="rId896"/><Relationship Type="http://schemas.openxmlformats.org/officeDocument/2006/relationships/hyperlink" Target="https://translate.google.com/?sl=zh-CN&amp;tl=vi&amp;text=%E7%8E%8B%E9%9B%A8&amp;op=translate" TargetMode="External" Id="rId897"/><Relationship Type="http://schemas.openxmlformats.org/officeDocument/2006/relationships/hyperlink" Target="https://youglish.com/pronounce/%E7%8E%8B%E9%9B%A8/chinese" TargetMode="External" Id="rId898"/><Relationship Type="http://schemas.openxmlformats.org/officeDocument/2006/relationships/hyperlink" Target="https://www.youtube.com/watch?v=DVRy3l9ojq4" TargetMode="External" Id="rId899"/><Relationship Type="http://schemas.openxmlformats.org/officeDocument/2006/relationships/hyperlink" Target="https://translate.google.com/?sl=zh-CN&amp;tl=vi&amp;text=%E6%92%AD%E5%AE%A2&amp;op=translate" TargetMode="External" Id="rId900"/><Relationship Type="http://schemas.openxmlformats.org/officeDocument/2006/relationships/hyperlink" Target="https://youglish.com/pronounce/%E6%92%AD%E5%AE%A2/chinese" TargetMode="External" Id="rId901"/><Relationship Type="http://schemas.openxmlformats.org/officeDocument/2006/relationships/hyperlink" Target="https://www.youtube.com/watch?v=DVRy3l9ojq4" TargetMode="External" Id="rId902"/><Relationship Type="http://schemas.openxmlformats.org/officeDocument/2006/relationships/hyperlink" Target="https://translate.google.com/?sl=zh-CN&amp;tl=vi&amp;text=%E8%BF%BD%E6%B1%82&amp;op=translate" TargetMode="External" Id="rId903"/><Relationship Type="http://schemas.openxmlformats.org/officeDocument/2006/relationships/hyperlink" Target="https://youglish.com/pronounce/%E8%BF%BD%E6%B1%82/chinese" TargetMode="External" Id="rId904"/><Relationship Type="http://schemas.openxmlformats.org/officeDocument/2006/relationships/hyperlink" Target="https://www.youtube.com/watch?v=DVRy3l9ojq4" TargetMode="External" Id="rId905"/><Relationship Type="http://schemas.openxmlformats.org/officeDocument/2006/relationships/hyperlink" Target="https://translate.google.com/?sl=zh-CN&amp;tl=vi&amp;text=%E6%84%9F%E8%A7%89&amp;op=translate" TargetMode="External" Id="rId906"/><Relationship Type="http://schemas.openxmlformats.org/officeDocument/2006/relationships/hyperlink" Target="https://youglish.com/pronounce/%E6%84%9F%E8%A7%89/chinese" TargetMode="External" Id="rId907"/><Relationship Type="http://schemas.openxmlformats.org/officeDocument/2006/relationships/hyperlink" Target="https://www.youtube.com/watch?v=DVRy3l9ojq4" TargetMode="External" Id="rId908"/><Relationship Type="http://schemas.openxmlformats.org/officeDocument/2006/relationships/hyperlink" Target="https://translate.google.com/?sl=zh-CN&amp;tl=vi&amp;text=%E5%AE%8C%E5%85%A8&amp;op=translate" TargetMode="External" Id="rId909"/><Relationship Type="http://schemas.openxmlformats.org/officeDocument/2006/relationships/hyperlink" Target="https://youglish.com/pronounce/%E5%AE%8C%E5%85%A8/chinese" TargetMode="External" Id="rId910"/><Relationship Type="http://schemas.openxmlformats.org/officeDocument/2006/relationships/hyperlink" Target="https://www.youtube.com/watch?v=DVRy3l9ojq4" TargetMode="External" Id="rId911"/><Relationship Type="http://schemas.openxmlformats.org/officeDocument/2006/relationships/hyperlink" Target="https://translate.google.com/?sl=zh-CN&amp;tl=vi&amp;text=%E8%AF%AD%E6%B3%95&amp;op=translate" TargetMode="External" Id="rId912"/><Relationship Type="http://schemas.openxmlformats.org/officeDocument/2006/relationships/hyperlink" Target="https://youglish.com/pronounce/%E8%AF%AD%E6%B3%95/chinese" TargetMode="External" Id="rId913"/><Relationship Type="http://schemas.openxmlformats.org/officeDocument/2006/relationships/hyperlink" Target="https://www.youtube.com/watch?v=DVRy3l9ojq4" TargetMode="External" Id="rId914"/><Relationship Type="http://schemas.openxmlformats.org/officeDocument/2006/relationships/hyperlink" Target="https://translate.google.com/?sl=zh-CN&amp;tl=vi&amp;text=%E7%8E%9B%E4%B8%BD&amp;op=translate" TargetMode="External" Id="rId915"/><Relationship Type="http://schemas.openxmlformats.org/officeDocument/2006/relationships/hyperlink" Target="https://youglish.com/pronounce/%E7%8E%9B%E4%B8%BD/chinese" TargetMode="External" Id="rId916"/><Relationship Type="http://schemas.openxmlformats.org/officeDocument/2006/relationships/hyperlink" Target="https://www.youtube.com/watch?v=DVRy3l9ojq4" TargetMode="External" Id="rId917"/><Relationship Type="http://schemas.openxmlformats.org/officeDocument/2006/relationships/hyperlink" Target="https://translate.google.com/?sl=zh-CN&amp;tl=vi&amp;text=%E6%9D%8E%E6%98%8E&amp;op=translate" TargetMode="External" Id="rId918"/><Relationship Type="http://schemas.openxmlformats.org/officeDocument/2006/relationships/hyperlink" Target="https://youglish.com/pronounce/%E6%9D%8E%E6%98%8E/chinese" TargetMode="External" Id="rId919"/><Relationship Type="http://schemas.openxmlformats.org/officeDocument/2006/relationships/hyperlink" Target="https://www.youtube.com/watch?v=DVRy3l9ojq4" TargetMode="External" Id="rId920"/><Relationship Type="http://schemas.openxmlformats.org/officeDocument/2006/relationships/hyperlink" Target="https://translate.google.com/?sl=zh-CN&amp;tl=vi&amp;text=%E5%98%B4%E5%B7%B4&amp;op=translate" TargetMode="External" Id="rId921"/><Relationship Type="http://schemas.openxmlformats.org/officeDocument/2006/relationships/hyperlink" Target="https://youglish.com/pronounce/%E5%98%B4%E5%B7%B4/chinese" TargetMode="External" Id="rId922"/><Relationship Type="http://schemas.openxmlformats.org/officeDocument/2006/relationships/hyperlink" Target="https://www.youtube.com/watch?v=DVRy3l9ojq4" TargetMode="External" Id="rId923"/><Relationship Type="http://schemas.openxmlformats.org/officeDocument/2006/relationships/hyperlink" Target="https://translate.google.com/?sl=zh-CN&amp;tl=vi&amp;text=%E8%BF%99%E7%A7%8D&amp;op=translate" TargetMode="External" Id="rId924"/><Relationship Type="http://schemas.openxmlformats.org/officeDocument/2006/relationships/hyperlink" Target="https://youglish.com/pronounce/%E8%BF%99%E7%A7%8D/chinese" TargetMode="External" Id="rId925"/><Relationship Type="http://schemas.openxmlformats.org/officeDocument/2006/relationships/hyperlink" Target="https://www.youtube.com/watch?v=DVRy3l9ojq4" TargetMode="External" Id="rId926"/><Relationship Type="http://schemas.openxmlformats.org/officeDocument/2006/relationships/hyperlink" Target="https://translate.google.com/?sl=zh-CN&amp;tl=vi&amp;text=%E4%BA%A4%E6%B5%81&amp;op=translate" TargetMode="External" Id="rId927"/><Relationship Type="http://schemas.openxmlformats.org/officeDocument/2006/relationships/hyperlink" Target="https://youglish.com/pronounce/%E4%BA%A4%E6%B5%81/chinese" TargetMode="External" Id="rId928"/><Relationship Type="http://schemas.openxmlformats.org/officeDocument/2006/relationships/hyperlink" Target="https://www.youtube.com/watch?v=DVRy3l9ojq4" TargetMode="External" Id="rId929"/><Relationship Type="http://schemas.openxmlformats.org/officeDocument/2006/relationships/hyperlink" Target="https://translate.google.com/?sl=zh-CN&amp;tl=vi&amp;text=%E6%89%80%E6%9C%89&amp;op=translate" TargetMode="External" Id="rId930"/><Relationship Type="http://schemas.openxmlformats.org/officeDocument/2006/relationships/hyperlink" Target="https://youglish.com/pronounce/%E6%89%80%E6%9C%89/chinese" TargetMode="External" Id="rId931"/><Relationship Type="http://schemas.openxmlformats.org/officeDocument/2006/relationships/hyperlink" Target="https://www.youtube.com/watch?v=DVRy3l9ojq4" TargetMode="External" Id="rId932"/><Relationship Type="http://schemas.openxmlformats.org/officeDocument/2006/relationships/hyperlink" Target="https://translate.google.com/?sl=zh-CN&amp;tl=vi&amp;text=%E6%96%B9%E6%B3%95&amp;op=translate" TargetMode="External" Id="rId933"/><Relationship Type="http://schemas.openxmlformats.org/officeDocument/2006/relationships/hyperlink" Target="https://youglish.com/pronounce/%E6%96%B9%E6%B3%95/chinese" TargetMode="External" Id="rId934"/><Relationship Type="http://schemas.openxmlformats.org/officeDocument/2006/relationships/hyperlink" Target="https://www.youtube.com/watch?v=DVRy3l9ojq4" TargetMode="External" Id="rId935"/><Relationship Type="http://schemas.openxmlformats.org/officeDocument/2006/relationships/hyperlink" Target="https://translate.google.com/?sl=zh-CN&amp;tl=vi&amp;text=%E8%87%AA%E8%A8%80%E8%87%AA%E8%AF%AD&amp;op=translate" TargetMode="External" Id="rId936"/><Relationship Type="http://schemas.openxmlformats.org/officeDocument/2006/relationships/hyperlink" Target="https://youglish.com/pronounce/%E8%87%AA%E8%A8%80%E8%87%AA%E8%AF%AD/chinese" TargetMode="External" Id="rId937"/><Relationship Type="http://schemas.openxmlformats.org/officeDocument/2006/relationships/hyperlink" Target="https://www.youtube.com/watch?v=DVRy3l9ojq4" TargetMode="External" Id="rId938"/><Relationship Type="http://schemas.openxmlformats.org/officeDocument/2006/relationships/hyperlink" Target="https://translate.google.com/?sl=zh-CN&amp;tl=vi&amp;text=%E4%BC%99%E4%BC%B4&amp;op=translate" TargetMode="External" Id="rId939"/><Relationship Type="http://schemas.openxmlformats.org/officeDocument/2006/relationships/hyperlink" Target="https://youglish.com/pronounce/%E4%BC%99%E4%BC%B4/chinese" TargetMode="External" Id="rId940"/><Relationship Type="http://schemas.openxmlformats.org/officeDocument/2006/relationships/hyperlink" Target="https://www.youtube.com/watch?v=DVRy3l9ojq4" TargetMode="External" Id="rId941"/><Relationship Type="http://schemas.openxmlformats.org/officeDocument/2006/relationships/hyperlink" Target="https://translate.google.com/?sl=zh-CN&amp;tl=vi&amp;text=%E5%BE%88%E5%A4%A7&amp;op=translate" TargetMode="External" Id="rId942"/><Relationship Type="http://schemas.openxmlformats.org/officeDocument/2006/relationships/hyperlink" Target="https://youglish.com/pronounce/%E5%BE%88%E5%A4%A7/chinese" TargetMode="External" Id="rId943"/><Relationship Type="http://schemas.openxmlformats.org/officeDocument/2006/relationships/hyperlink" Target="https://www.youtube.com/watch?v=DVRy3l9ojq4" TargetMode="External" Id="rId944"/><Relationship Type="http://schemas.openxmlformats.org/officeDocument/2006/relationships/hyperlink" Target="https://translate.google.com/?sl=zh-CN&amp;tl=vi&amp;text=%E4%B8%8D%E6%95%A2&amp;op=translate" TargetMode="External" Id="rId945"/><Relationship Type="http://schemas.openxmlformats.org/officeDocument/2006/relationships/hyperlink" Target="https://youglish.com/pronounce/%E4%B8%8D%E6%95%A2/chinese" TargetMode="External" Id="rId946"/><Relationship Type="http://schemas.openxmlformats.org/officeDocument/2006/relationships/hyperlink" Target="https://www.youtube.com/watch?v=DVRy3l9ojq4" TargetMode="External" Id="rId947"/><Relationship Type="http://schemas.openxmlformats.org/officeDocument/2006/relationships/hyperlink" Target="https://translate.google.com/?sl=zh-CN&amp;tl=vi&amp;text=%E8%BF%99%E4%B9%88&amp;op=translate" TargetMode="External" Id="rId948"/><Relationship Type="http://schemas.openxmlformats.org/officeDocument/2006/relationships/hyperlink" Target="https://youglish.com/pronounce/%E8%BF%99%E4%B9%88/chinese" TargetMode="External" Id="rId949"/><Relationship Type="http://schemas.openxmlformats.org/officeDocument/2006/relationships/hyperlink" Target="https://www.youtube.com/watch?v=DVRy3l9ojq4" TargetMode="External" Id="rId950"/><Relationship Type="http://schemas.openxmlformats.org/officeDocument/2006/relationships/hyperlink" Target="https://translate.google.com/?sl=zh-CN&amp;tl=vi&amp;text=%E8%AF%9D%E9%A2%98&amp;op=translate" TargetMode="External" Id="rId951"/><Relationship Type="http://schemas.openxmlformats.org/officeDocument/2006/relationships/hyperlink" Target="https://youglish.com/pronounce/%E8%AF%9D%E9%A2%98/chinese" TargetMode="External" Id="rId952"/><Relationship Type="http://schemas.openxmlformats.org/officeDocument/2006/relationships/hyperlink" Target="https://www.youtube.com/watch?v=DVRy3l9ojq4" TargetMode="External" Id="rId953"/><Relationship Type="http://schemas.openxmlformats.org/officeDocument/2006/relationships/hyperlink" Target="https://translate.google.com/?sl=zh-CN&amp;tl=vi&amp;text=%E4%B9%A6%E4%B8%8A&amp;op=translate" TargetMode="External" Id="rId954"/><Relationship Type="http://schemas.openxmlformats.org/officeDocument/2006/relationships/hyperlink" Target="https://youglish.com/pronounce/%E4%B9%A6%E4%B8%8A/chinese" TargetMode="External" Id="rId955"/><Relationship Type="http://schemas.openxmlformats.org/officeDocument/2006/relationships/hyperlink" Target="https://www.youtube.com/watch?v=DVRy3l9ojq4" TargetMode="External" Id="rId956"/><Relationship Type="http://schemas.openxmlformats.org/officeDocument/2006/relationships/hyperlink" Target="https://translate.google.com/?sl=zh-CN&amp;tl=vi&amp;text=%E5%A4%AA%E5%A5%BD%E4%BA%86&amp;op=translate" TargetMode="External" Id="rId957"/><Relationship Type="http://schemas.openxmlformats.org/officeDocument/2006/relationships/hyperlink" Target="https://youglish.com/pronounce/%E5%A4%AA%E5%A5%BD%E4%BA%86/chinese" TargetMode="External" Id="rId958"/><Relationship Type="http://schemas.openxmlformats.org/officeDocument/2006/relationships/hyperlink" Target="https://www.youtube.com/watch?v=DVRy3l9ojq4" TargetMode="External" Id="rId959"/><Relationship Type="http://schemas.openxmlformats.org/officeDocument/2006/relationships/hyperlink" Target="https://translate.google.com/?sl=zh-CN&amp;tl=vi&amp;text=%E4%BB%A5%E5%90%8E&amp;op=translate" TargetMode="External" Id="rId960"/><Relationship Type="http://schemas.openxmlformats.org/officeDocument/2006/relationships/hyperlink" Target="https://youglish.com/pronounce/%E4%BB%A5%E5%90%8E/chinese" TargetMode="External" Id="rId961"/><Relationship Type="http://schemas.openxmlformats.org/officeDocument/2006/relationships/hyperlink" Target="https://www.youtube.com/watch?v=DVRy3l9ojq4" TargetMode="External" Id="rId962"/><Relationship Type="http://schemas.openxmlformats.org/officeDocument/2006/relationships/hyperlink" Target="https://translate.google.com/?sl=zh-CN&amp;tl=vi&amp;text=%E5%8B%87%E6%95%A2&amp;op=translate" TargetMode="External" Id="rId963"/><Relationship Type="http://schemas.openxmlformats.org/officeDocument/2006/relationships/hyperlink" Target="https://youglish.com/pronounce/%E5%8B%87%E6%95%A2/chinese" TargetMode="External" Id="rId964"/><Relationship Type="http://schemas.openxmlformats.org/officeDocument/2006/relationships/hyperlink" Target="https://www.youtube.com/watch?v=DVRy3l9ojq4" TargetMode="External" Id="rId965"/><Relationship Type="http://schemas.openxmlformats.org/officeDocument/2006/relationships/hyperlink" Target="https://translate.google.com/?sl=zh-CN&amp;tl=vi&amp;text=%E8%BF%87%E7%A8%8B&amp;op=translate" TargetMode="External" Id="rId966"/><Relationship Type="http://schemas.openxmlformats.org/officeDocument/2006/relationships/hyperlink" Target="https://youglish.com/pronounce/%E8%BF%87%E7%A8%8B/chinese" TargetMode="External" Id="rId967"/><Relationship Type="http://schemas.openxmlformats.org/officeDocument/2006/relationships/hyperlink" Target="https://www.youtube.com/watch?v=DVRy3l9ojq4" TargetMode="External" Id="rId968"/><Relationship Type="http://schemas.openxmlformats.org/officeDocument/2006/relationships/hyperlink" Target="https://translate.google.com/?sl=zh-CN&amp;tl=vi&amp;text=%E7%9C%8B%E4%B9%A6&amp;op=translate" TargetMode="External" Id="rId969"/><Relationship Type="http://schemas.openxmlformats.org/officeDocument/2006/relationships/hyperlink" Target="https://youglish.com/pronounce/%E7%9C%8B%E4%B9%A6/chinese" TargetMode="External" Id="rId970"/><Relationship Type="http://schemas.openxmlformats.org/officeDocument/2006/relationships/hyperlink" Target="https://www.youtube.com/watch?v=DVRy3l9ojq4" TargetMode="External" Id="rId971"/><Relationship Type="http://schemas.openxmlformats.org/officeDocument/2006/relationships/hyperlink" Target="https://translate.google.com/?sl=zh-CN&amp;tl=vi&amp;text=%E5%A4%A7%E8%84%91&amp;op=translate" TargetMode="External" Id="rId972"/><Relationship Type="http://schemas.openxmlformats.org/officeDocument/2006/relationships/hyperlink" Target="https://youglish.com/pronounce/%E5%A4%A7%E8%84%91/chinese" TargetMode="External" Id="rId973"/><Relationship Type="http://schemas.openxmlformats.org/officeDocument/2006/relationships/hyperlink" Target="https://www.youtube.com/watch?v=DVRy3l9ojq4" TargetMode="External" Id="rId974"/><Relationship Type="http://schemas.openxmlformats.org/officeDocument/2006/relationships/hyperlink" Target="https://translate.google.com/?sl=zh-CN&amp;tl=vi&amp;text=%E5%AE%8C%E5%85%A8%E6%AD%A3%E7%A1%AE&amp;op=translate" TargetMode="External" Id="rId975"/><Relationship Type="http://schemas.openxmlformats.org/officeDocument/2006/relationships/hyperlink" Target="https://youglish.com/pronounce/%E5%AE%8C%E5%85%A8%E6%AD%A3%E7%A1%AE/chinese" TargetMode="External" Id="rId976"/><Relationship Type="http://schemas.openxmlformats.org/officeDocument/2006/relationships/hyperlink" Target="https://www.youtube.com/watch?v=DVRy3l9ojq4" TargetMode="External" Id="rId977"/><Relationship Type="http://schemas.openxmlformats.org/officeDocument/2006/relationships/hyperlink" Target="https://translate.google.com/?sl=zh-CN&amp;tl=vi&amp;text=%E5%AD%A6%E8%AF%B4&amp;op=translate" TargetMode="External" Id="rId978"/><Relationship Type="http://schemas.openxmlformats.org/officeDocument/2006/relationships/hyperlink" Target="https://youglish.com/pronounce/%E5%AD%A6%E8%AF%B4/chinese" TargetMode="External" Id="rId979"/><Relationship Type="http://schemas.openxmlformats.org/officeDocument/2006/relationships/hyperlink" Target="https://www.youtube.com/watch?v=DVRy3l9ojq4" TargetMode="External" Id="rId980"/><Relationship Type="http://schemas.openxmlformats.org/officeDocument/2006/relationships/hyperlink" Target="https://translate.google.com/?sl=zh-CN&amp;tl=vi&amp;text=%E4%BD%86&amp;op=translate" TargetMode="External" Id="rId981"/><Relationship Type="http://schemas.openxmlformats.org/officeDocument/2006/relationships/hyperlink" Target="https://youglish.com/pronounce/%E4%BD%86/chinese" TargetMode="External" Id="rId982"/><Relationship Type="http://schemas.openxmlformats.org/officeDocument/2006/relationships/hyperlink" Target="https://www.youtube.com/watch?v=DVRy3l9ojq4" TargetMode="External" Id="rId983"/><Relationship Type="http://schemas.openxmlformats.org/officeDocument/2006/relationships/hyperlink" Target="https://translate.google.com/?sl=zh-CN&amp;tl=vi&amp;text=%E4%B8%80%E6%AC%A1&amp;op=translate" TargetMode="External" Id="rId984"/><Relationship Type="http://schemas.openxmlformats.org/officeDocument/2006/relationships/hyperlink" Target="https://youglish.com/pronounce/%E4%B8%80%E6%AC%A1/chinese" TargetMode="External" Id="rId985"/><Relationship Type="http://schemas.openxmlformats.org/officeDocument/2006/relationships/hyperlink" Target="https://www.youtube.com/watch?v=DVRy3l9ojq4" TargetMode="External" Id="rId986"/><Relationship Type="http://schemas.openxmlformats.org/officeDocument/2006/relationships/hyperlink" Target="https://translate.google.com/?sl=zh-CN&amp;tl=vi&amp;text=%E7%8A%AF%E9%94%99&amp;op=translate" TargetMode="External" Id="rId987"/><Relationship Type="http://schemas.openxmlformats.org/officeDocument/2006/relationships/hyperlink" Target="https://youglish.com/pronounce/%E7%8A%AF%E9%94%99/chinese" TargetMode="External" Id="rId988"/><Relationship Type="http://schemas.openxmlformats.org/officeDocument/2006/relationships/hyperlink" Target="https://www.youtube.com/watch?v=DVRy3l9ojq4" TargetMode="External" Id="rId989"/><Relationship Type="http://schemas.openxmlformats.org/officeDocument/2006/relationships/hyperlink" Target="https://translate.google.com/?sl=zh-CN&amp;tl=vi&amp;text=%E5%8D%81%E5%88%86&amp;op=translate" TargetMode="External" Id="rId990"/><Relationship Type="http://schemas.openxmlformats.org/officeDocument/2006/relationships/hyperlink" Target="https://youglish.com/pronounce/%E5%8D%81%E5%88%86/chinese" TargetMode="External" Id="rId991"/><Relationship Type="http://schemas.openxmlformats.org/officeDocument/2006/relationships/hyperlink" Target="https://www.youtube.com/watch?v=DVRy3l9ojq4" TargetMode="External" Id="rId992"/><Relationship Type="http://schemas.openxmlformats.org/officeDocument/2006/relationships/hyperlink" Target="https://translate.google.com/?sl=zh-CN&amp;tl=vi&amp;text=%E6%88%90%E5%8A%9F&amp;op=translate" TargetMode="External" Id="rId993"/><Relationship Type="http://schemas.openxmlformats.org/officeDocument/2006/relationships/hyperlink" Target="https://youglish.com/pronounce/%E6%88%90%E5%8A%9F/chinese" TargetMode="External" Id="rId994"/><Relationship Type="http://schemas.openxmlformats.org/officeDocument/2006/relationships/hyperlink" Target="https://www.youtube.com/watch?v=DVRy3l9ojq4" TargetMode="External" Id="rId995"/><Relationship Type="http://schemas.openxmlformats.org/officeDocument/2006/relationships/hyperlink" Target="https://translate.google.com/?sl=zh-CN&amp;tl=vi&amp;text=%E6%9C%89%E7%82%B9&amp;op=translate" TargetMode="External" Id="rId996"/><Relationship Type="http://schemas.openxmlformats.org/officeDocument/2006/relationships/hyperlink" Target="https://youglish.com/pronounce/%E6%9C%89%E7%82%B9/chinese" TargetMode="External" Id="rId997"/><Relationship Type="http://schemas.openxmlformats.org/officeDocument/2006/relationships/hyperlink" Target="https://www.youtube.com/watch?v=DVRy3l9ojq4" TargetMode="External" Id="rId998"/><Relationship Type="http://schemas.openxmlformats.org/officeDocument/2006/relationships/hyperlink" Target="https://translate.google.com/?sl=zh-CN&amp;tl=vi&amp;text=%E6%88%90%E4%B8%BA&amp;op=translate" TargetMode="External" Id="rId999"/><Relationship Type="http://schemas.openxmlformats.org/officeDocument/2006/relationships/hyperlink" Target="https://youglish.com/pronounce/%E6%88%90%E4%B8%BA/chinese" TargetMode="External" Id="rId1000"/><Relationship Type="http://schemas.openxmlformats.org/officeDocument/2006/relationships/hyperlink" Target="https://www.youtube.com/watch?v=DVRy3l9ojq4" TargetMode="External" Id="rId1001"/><Relationship Type="http://schemas.openxmlformats.org/officeDocument/2006/relationships/hyperlink" Target="https://translate.google.com/?sl=zh-CN&amp;tl=vi&amp;text=%E8%81%8A&amp;op=translate" TargetMode="External" Id="rId1002"/><Relationship Type="http://schemas.openxmlformats.org/officeDocument/2006/relationships/hyperlink" Target="https://youglish.com/pronounce/%E8%81%8A/chinese" TargetMode="External" Id="rId1003"/><Relationship Type="http://schemas.openxmlformats.org/officeDocument/2006/relationships/hyperlink" Target="https://www.youtube.com/watch?v=DVRy3l9ojq4" TargetMode="External" Id="rId1004"/><Relationship Type="http://schemas.openxmlformats.org/officeDocument/2006/relationships/hyperlink" Target="https://translate.google.com/?sl=zh-CN&amp;tl=vi&amp;text=%E5%BC%80%E5%8F%A3&amp;op=translate" TargetMode="External" Id="rId1005"/><Relationship Type="http://schemas.openxmlformats.org/officeDocument/2006/relationships/hyperlink" Target="https://youglish.com/pronounce/%E5%BC%80%E5%8F%A3/chinese" TargetMode="External" Id="rId1006"/><Relationship Type="http://schemas.openxmlformats.org/officeDocument/2006/relationships/hyperlink" Target="https://www.youtube.com/watch?v=DVRy3l9ojq4" TargetMode="External" Id="rId1007"/><Relationship Type="http://schemas.openxmlformats.org/officeDocument/2006/relationships/hyperlink" Target="https://translate.google.com/?sl=zh-CN&amp;tl=vi&amp;text=%E5%90%8C%E6%A0%B7&amp;op=translate" TargetMode="External" Id="rId1008"/><Relationship Type="http://schemas.openxmlformats.org/officeDocument/2006/relationships/hyperlink" Target="https://youglish.com/pronounce/%E5%90%8C%E6%A0%B7/chinese" TargetMode="External" Id="rId1009"/><Relationship Type="http://schemas.openxmlformats.org/officeDocument/2006/relationships/hyperlink" Target="https://www.youtube.com/watch?v=DVRy3l9ojq4" TargetMode="External" Id="rId1010"/><Relationship Type="http://schemas.openxmlformats.org/officeDocument/2006/relationships/hyperlink" Target="https://translate.google.com/?sl=zh-CN&amp;tl=vi&amp;text=%E4%BD%A0%E5%AD%A6&amp;op=translate" TargetMode="External" Id="rId1011"/><Relationship Type="http://schemas.openxmlformats.org/officeDocument/2006/relationships/hyperlink" Target="https://youglish.com/pronounce/%E4%BD%A0%E5%AD%A6/chinese" TargetMode="External" Id="rId1012"/><Relationship Type="http://schemas.openxmlformats.org/officeDocument/2006/relationships/hyperlink" Target="https://www.youtube.com/watch?v=DVRy3l9ojq4" TargetMode="External" Id="rId1013"/><Relationship Type="http://schemas.openxmlformats.org/officeDocument/2006/relationships/hyperlink" Target="https://translate.google.com/?sl=zh-CN&amp;tl=vi&amp;text=%E7%AC%AC%E4%B8%80%E4%B8%AA&amp;op=translate" TargetMode="External" Id="rId1014"/><Relationship Type="http://schemas.openxmlformats.org/officeDocument/2006/relationships/hyperlink" Target="https://youglish.com/pronounce/%E7%AC%AC%E4%B8%80%E4%B8%AA/chinese" TargetMode="External" Id="rId1015"/><Relationship Type="http://schemas.openxmlformats.org/officeDocument/2006/relationships/hyperlink" Target="https://www.youtube.com/watch?v=DVRy3l9ojq4" TargetMode="External" Id="rId1016"/><Relationship Type="http://schemas.openxmlformats.org/officeDocument/2006/relationships/hyperlink" Target="https://translate.google.com/?sl=zh-CN&amp;tl=vi&amp;text=%E6%83%B3%E8%B5%B7&amp;op=translate" TargetMode="External" Id="rId1017"/><Relationship Type="http://schemas.openxmlformats.org/officeDocument/2006/relationships/hyperlink" Target="https://youglish.com/pronounce/%E6%83%B3%E8%B5%B7/chinese" TargetMode="External" Id="rId1018"/><Relationship Type="http://schemas.openxmlformats.org/officeDocument/2006/relationships/hyperlink" Target="https://www.youtube.com/watch?v=DVRy3l9ojq4" TargetMode="External" Id="rId1019"/><Relationship Type="http://schemas.openxmlformats.org/officeDocument/2006/relationships/hyperlink" Target="https://translate.google.com/?sl=zh-CN&amp;tl=vi&amp;text=%E6%88%91%E5%88%9A&amp;op=translate" TargetMode="External" Id="rId1020"/><Relationship Type="http://schemas.openxmlformats.org/officeDocument/2006/relationships/hyperlink" Target="https://youglish.com/pronounce/%E6%88%91%E5%88%9A/chinese" TargetMode="External" Id="rId1021"/><Relationship Type="http://schemas.openxmlformats.org/officeDocument/2006/relationships/hyperlink" Target="https://www.youtube.com/watch?v=DVRy3l9ojq4" TargetMode="External" Id="rId1022"/><Relationship Type="http://schemas.openxmlformats.org/officeDocument/2006/relationships/hyperlink" Target="https://translate.google.com/?sl=zh-CN&amp;tl=vi&amp;text=%E8%8B%B1%E6%96%87&amp;op=translate" TargetMode="External" Id="rId1023"/><Relationship Type="http://schemas.openxmlformats.org/officeDocument/2006/relationships/hyperlink" Target="https://youglish.com/pronounce/%E8%8B%B1%E6%96%87/chinese" TargetMode="External" Id="rId1024"/><Relationship Type="http://schemas.openxmlformats.org/officeDocument/2006/relationships/hyperlink" Target="https://www.youtube.com/watch?v=DVRy3l9ojq4" TargetMode="External" Id="rId1025"/><Relationship Type="http://schemas.openxmlformats.org/officeDocument/2006/relationships/hyperlink" Target="https://translate.google.com/?sl=zh-CN&amp;tl=vi&amp;text=%E5%8D%95%E8%AF%8D&amp;op=translate" TargetMode="External" Id="rId1026"/><Relationship Type="http://schemas.openxmlformats.org/officeDocument/2006/relationships/hyperlink" Target="https://youglish.com/pronounce/%E5%8D%95%E8%AF%8D/chinese" TargetMode="External" Id="rId1027"/><Relationship Type="http://schemas.openxmlformats.org/officeDocument/2006/relationships/hyperlink" Target="https://www.youtube.com/watch?v=DVRy3l9ojq4" TargetMode="External" Id="rId1028"/><Relationship Type="http://schemas.openxmlformats.org/officeDocument/2006/relationships/hyperlink" Target="https://translate.google.com/?sl=zh-CN&amp;tl=vi&amp;text=%E8%83%BD%E7%9C%8B%E6%87%82&amp;op=translate" TargetMode="External" Id="rId1029"/><Relationship Type="http://schemas.openxmlformats.org/officeDocument/2006/relationships/hyperlink" Target="https://youglish.com/pronounce/%E8%83%BD%E7%9C%8B%E6%87%82/chinese" TargetMode="External" Id="rId1030"/><Relationship Type="http://schemas.openxmlformats.org/officeDocument/2006/relationships/hyperlink" Target="https://www.youtube.com/watch?v=DVRy3l9ojq4" TargetMode="External" Id="rId1031"/><Relationship Type="http://schemas.openxmlformats.org/officeDocument/2006/relationships/hyperlink" Target="https://translate.google.com/?sl=zh-CN&amp;tl=vi&amp;text=%E8%AF%B4%E4%B8%8D%E5%87%BA%E6%9D%A5&amp;op=translate" TargetMode="External" Id="rId1032"/><Relationship Type="http://schemas.openxmlformats.org/officeDocument/2006/relationships/hyperlink" Target="https://youglish.com/pronounce/%E8%AF%B4%E4%B8%8D%E5%87%BA%E6%9D%A5/chinese" TargetMode="External" Id="rId1033"/><Relationship Type="http://schemas.openxmlformats.org/officeDocument/2006/relationships/hyperlink" Target="https://www.youtube.com/watch?v=DVRy3l9ojq4" TargetMode="External" Id="rId1034"/><Relationship Type="http://schemas.openxmlformats.org/officeDocument/2006/relationships/hyperlink" Target="https://translate.google.com/?sl=zh-CN&amp;tl=vi&amp;text=%E5%8F%91%E9%9F%B3&amp;op=translate" TargetMode="External" Id="rId1035"/><Relationship Type="http://schemas.openxmlformats.org/officeDocument/2006/relationships/hyperlink" Target="https://youglish.com/pronounce/%E5%8F%91%E9%9F%B3/chinese" TargetMode="External" Id="rId1036"/><Relationship Type="http://schemas.openxmlformats.org/officeDocument/2006/relationships/hyperlink" Target="https://www.youtube.com/watch?v=DVRy3l9ojq4" TargetMode="External" Id="rId1037"/><Relationship Type="http://schemas.openxmlformats.org/officeDocument/2006/relationships/hyperlink" Target="https://translate.google.com/?sl=zh-CN&amp;tl=vi&amp;text=%E6%80%95&amp;op=translate" TargetMode="External" Id="rId1038"/><Relationship Type="http://schemas.openxmlformats.org/officeDocument/2006/relationships/hyperlink" Target="https://youglish.com/pronounce/%E6%80%95/chinese" TargetMode="External" Id="rId1039"/><Relationship Type="http://schemas.openxmlformats.org/officeDocument/2006/relationships/hyperlink" Target="https://www.youtube.com/watch?v=DVRy3l9ojq4" TargetMode="External" Id="rId1040"/><Relationship Type="http://schemas.openxmlformats.org/officeDocument/2006/relationships/hyperlink" Target="https://translate.google.com/?sl=zh-CN&amp;tl=vi&amp;text=%E4%B8%80%E5%A0%B5&amp;op=translate" TargetMode="External" Id="rId1041"/><Relationship Type="http://schemas.openxmlformats.org/officeDocument/2006/relationships/hyperlink" Target="https://youglish.com/pronounce/%E4%B8%80%E5%A0%B5/chinese" TargetMode="External" Id="rId1042"/><Relationship Type="http://schemas.openxmlformats.org/officeDocument/2006/relationships/hyperlink" Target="https://www.youtube.com/watch?v=DVRy3l9ojq4" TargetMode="External" Id="rId1043"/><Relationship Type="http://schemas.openxmlformats.org/officeDocument/2006/relationships/hyperlink" Target="https://translate.google.com/?sl=zh-CN&amp;tl=vi&amp;text=%E5%A2%99&amp;op=translate" TargetMode="External" Id="rId1044"/><Relationship Type="http://schemas.openxmlformats.org/officeDocument/2006/relationships/hyperlink" Target="https://youglish.com/pronounce/%E5%A2%99/chinese" TargetMode="External" Id="rId1045"/><Relationship Type="http://schemas.openxmlformats.org/officeDocument/2006/relationships/hyperlink" Target="https://www.youtube.com/watch?v=DVRy3l9ojq4" TargetMode="External" Id="rId1046"/><Relationship Type="http://schemas.openxmlformats.org/officeDocument/2006/relationships/hyperlink" Target="https://translate.google.com/?sl=zh-CN&amp;tl=vi&amp;text=%E7%BB%93%E6%9E%9C&amp;op=translate" TargetMode="External" Id="rId1047"/><Relationship Type="http://schemas.openxmlformats.org/officeDocument/2006/relationships/hyperlink" Target="https://youglish.com/pronounce/%E7%BB%93%E6%9E%9C/chinese" TargetMode="External" Id="rId1048"/><Relationship Type="http://schemas.openxmlformats.org/officeDocument/2006/relationships/hyperlink" Target="https://www.youtube.com/watch?v=DVRy3l9ojq4" TargetMode="External" Id="rId1049"/><Relationship Type="http://schemas.openxmlformats.org/officeDocument/2006/relationships/hyperlink" Target="https://translate.google.com/?sl=zh-CN&amp;tl=vi&amp;text=%E8%84%91%E5%AD%90%E9%87%8C&amp;op=translate" TargetMode="External" Id="rId1050"/><Relationship Type="http://schemas.openxmlformats.org/officeDocument/2006/relationships/hyperlink" Target="https://youglish.com/pronounce/%E8%84%91%E5%AD%90%E9%87%8C/chinese" TargetMode="External" Id="rId1051"/><Relationship Type="http://schemas.openxmlformats.org/officeDocument/2006/relationships/hyperlink" Target="https://www.youtube.com/watch?v=DVRy3l9ojq4" TargetMode="External" Id="rId1052"/><Relationship Type="http://schemas.openxmlformats.org/officeDocument/2006/relationships/hyperlink" Target="https://translate.google.com/?sl=zh-CN&amp;tl=vi&amp;text=%E6%94%B9%E5%8F%98&amp;op=translate" TargetMode="External" Id="rId1053"/><Relationship Type="http://schemas.openxmlformats.org/officeDocument/2006/relationships/hyperlink" Target="https://youglish.com/pronounce/%E6%94%B9%E5%8F%98/chinese" TargetMode="External" Id="rId1054"/><Relationship Type="http://schemas.openxmlformats.org/officeDocument/2006/relationships/hyperlink" Target="https://www.youtube.com/watch?v=DVRy3l9ojq4" TargetMode="External" Id="rId1055"/><Relationship Type="http://schemas.openxmlformats.org/officeDocument/2006/relationships/hyperlink" Target="https://translate.google.com/?sl=zh-CN&amp;tl=vi&amp;text=%E7%94%A8%E6%9D%A5&amp;op=translate" TargetMode="External" Id="rId1056"/><Relationship Type="http://schemas.openxmlformats.org/officeDocument/2006/relationships/hyperlink" Target="https://youglish.com/pronounce/%E7%94%A8%E6%9D%A5/chinese" TargetMode="External" Id="rId1057"/><Relationship Type="http://schemas.openxmlformats.org/officeDocument/2006/relationships/hyperlink" Target="https://www.youtube.com/watch?v=DVRy3l9ojq4" TargetMode="External" Id="rId1058"/><Relationship Type="http://schemas.openxmlformats.org/officeDocument/2006/relationships/hyperlink" Target="https://translate.google.com/?sl=zh-CN&amp;tl=vi&amp;text=%E8%BF%99%E6%89%8D&amp;op=translate" TargetMode="External" Id="rId1059"/><Relationship Type="http://schemas.openxmlformats.org/officeDocument/2006/relationships/hyperlink" Target="https://youglish.com/pronounce/%E8%BF%99%E6%89%8D/chinese" TargetMode="External" Id="rId1060"/><Relationship Type="http://schemas.openxmlformats.org/officeDocument/2006/relationships/hyperlink" Target="https://www.youtube.com/watch?v=DVRy3l9ojq4" TargetMode="External" Id="rId1061"/><Relationship Type="http://schemas.openxmlformats.org/officeDocument/2006/relationships/hyperlink" Target="https://translate.google.com/?sl=zh-CN&amp;tl=vi&amp;text=%E8%A1%A8%E8%BE%BE&amp;op=translate" TargetMode="External" Id="rId1062"/><Relationship Type="http://schemas.openxmlformats.org/officeDocument/2006/relationships/hyperlink" Target="https://youglish.com/pronounce/%E8%A1%A8%E8%BE%BE/chinese" TargetMode="External" Id="rId1063"/><Relationship Type="http://schemas.openxmlformats.org/officeDocument/2006/relationships/hyperlink" Target="https://www.youtube.com/watch?v=DVRy3l9ojq4" TargetMode="External" Id="rId1064"/><Relationship Type="http://schemas.openxmlformats.org/officeDocument/2006/relationships/hyperlink" Target="https://translate.google.com/?sl=zh-CN&amp;tl=vi&amp;text=%E4%B8%80%E6%AD%A5&amp;op=translate" TargetMode="External" Id="rId1065"/><Relationship Type="http://schemas.openxmlformats.org/officeDocument/2006/relationships/hyperlink" Target="https://youglish.com/pronounce/%E4%B8%80%E6%AD%A5/chinese" TargetMode="External" Id="rId1066"/><Relationship Type="http://schemas.openxmlformats.org/officeDocument/2006/relationships/hyperlink" Target="https://www.youtube.com/watch?v=DVRy3l9ojq4" TargetMode="External" Id="rId1067"/><Relationship Type="http://schemas.openxmlformats.org/officeDocument/2006/relationships/hyperlink" Target="https://translate.google.com/?sl=zh-CN&amp;tl=vi&amp;text=%E7%AC%AC%E4%BA%8C%E4%B8%AA&amp;op=translate" TargetMode="External" Id="rId1068"/><Relationship Type="http://schemas.openxmlformats.org/officeDocument/2006/relationships/hyperlink" Target="https://youglish.com/pronounce/%E7%AC%AC%E4%BA%8C%E4%B8%AA/chinese" TargetMode="External" Id="rId1069"/><Relationship Type="http://schemas.openxmlformats.org/officeDocument/2006/relationships/hyperlink" Target="https://www.youtube.com/watch?v=DVRy3l9ojq4" TargetMode="External" Id="rId1070"/><Relationship Type="http://schemas.openxmlformats.org/officeDocument/2006/relationships/hyperlink" Target="https://translate.google.com/?sl=zh-CN&amp;tl=vi&amp;text=%E6%9C%89%E7%82%B9%E5%83%8F&amp;op=translate" TargetMode="External" Id="rId1071"/><Relationship Type="http://schemas.openxmlformats.org/officeDocument/2006/relationships/hyperlink" Target="https://youglish.com/pronounce/%E6%9C%89%E7%82%B9%E5%83%8F/chinese" TargetMode="External" Id="rId1072"/><Relationship Type="http://schemas.openxmlformats.org/officeDocument/2006/relationships/hyperlink" Target="https://www.youtube.com/watch?v=DVRy3l9ojq4" TargetMode="External" Id="rId1073"/><Relationship Type="http://schemas.openxmlformats.org/officeDocument/2006/relationships/hyperlink" Target="https://translate.google.com/?sl=zh-CN&amp;tl=vi&amp;text=%E8%AF%8D&amp;op=translate" TargetMode="External" Id="rId1074"/><Relationship Type="http://schemas.openxmlformats.org/officeDocument/2006/relationships/hyperlink" Target="https://youglish.com/pronounce/%E8%AF%8D/chinese" TargetMode="External" Id="rId1075"/><Relationship Type="http://schemas.openxmlformats.org/officeDocument/2006/relationships/hyperlink" Target="https://www.youtube.com/watch?v=DVRy3l9ojq4" TargetMode="External" Id="rId1076"/><Relationship Type="http://schemas.openxmlformats.org/officeDocument/2006/relationships/hyperlink" Target="https://translate.google.com/?sl=zh-CN&amp;tl=vi&amp;text=%E5%93%88%E5%93%88&amp;op=translate" TargetMode="External" Id="rId1077"/><Relationship Type="http://schemas.openxmlformats.org/officeDocument/2006/relationships/hyperlink" Target="https://youglish.com/pronounce/%E5%93%88%E5%93%88/chinese" TargetMode="External" Id="rId1078"/><Relationship Type="http://schemas.openxmlformats.org/officeDocument/2006/relationships/hyperlink" Target="https://www.youtube.com/watch?v=DVRy3l9ojq4" TargetMode="External" Id="rId1079"/><Relationship Type="http://schemas.openxmlformats.org/officeDocument/2006/relationships/hyperlink" Target="https://translate.google.com/?sl=zh-CN&amp;tl=vi&amp;text=%E4%BB%8E%E6%9D%A5%E4%B8%8D&amp;op=translate" TargetMode="External" Id="rId1080"/><Relationship Type="http://schemas.openxmlformats.org/officeDocument/2006/relationships/hyperlink" Target="https://youglish.com/pronounce/%E4%BB%8E%E6%9D%A5%E4%B8%8D/chinese" TargetMode="External" Id="rId1081"/><Relationship Type="http://schemas.openxmlformats.org/officeDocument/2006/relationships/hyperlink" Target="https://www.youtube.com/watch?v=DVRy3l9ojq4" TargetMode="External" Id="rId1082"/><Relationship Type="http://schemas.openxmlformats.org/officeDocument/2006/relationships/hyperlink" Target="https://translate.google.com/?sl=zh-CN&amp;tl=vi&amp;text=%E6%AF%94%E6%96%B9&amp;op=translate" TargetMode="External" Id="rId1083"/><Relationship Type="http://schemas.openxmlformats.org/officeDocument/2006/relationships/hyperlink" Target="https://youglish.com/pronounce/%E6%AF%94%E6%96%B9/chinese" TargetMode="External" Id="rId1084"/><Relationship Type="http://schemas.openxmlformats.org/officeDocument/2006/relationships/hyperlink" Target="https://www.youtube.com/watch?v=DVRy3l9ojq4" TargetMode="External" Id="rId1085"/><Relationship Type="http://schemas.openxmlformats.org/officeDocument/2006/relationships/hyperlink" Target="https://translate.google.com/?sl=zh-CN&amp;tl=vi&amp;text=%E6%9C%89%E6%84%8F%E6%80%9D&amp;op=translate" TargetMode="External" Id="rId1086"/><Relationship Type="http://schemas.openxmlformats.org/officeDocument/2006/relationships/hyperlink" Target="https://youglish.com/pronounce/%E6%9C%89%E6%84%8F%E6%80%9D/chinese" TargetMode="External" Id="rId1087"/><Relationship Type="http://schemas.openxmlformats.org/officeDocument/2006/relationships/hyperlink" Target="https://www.youtube.com/watch?v=DVRy3l9ojq4" TargetMode="External" Id="rId1088"/><Relationship Type="http://schemas.openxmlformats.org/officeDocument/2006/relationships/hyperlink" Target="https://translate.google.com/?sl=zh-CN&amp;tl=vi&amp;text=%E8%A7%86%E9%A2%91&amp;op=translate" TargetMode="External" Id="rId1089"/><Relationship Type="http://schemas.openxmlformats.org/officeDocument/2006/relationships/hyperlink" Target="https://youglish.com/pronounce/%E8%A7%86%E9%A2%91/chinese" TargetMode="External" Id="rId1090"/><Relationship Type="http://schemas.openxmlformats.org/officeDocument/2006/relationships/hyperlink" Target="https://www.youtube.com/watch?v=DVRy3l9ojq4" TargetMode="External" Id="rId1091"/><Relationship Type="http://schemas.openxmlformats.org/officeDocument/2006/relationships/hyperlink" Target="https://translate.google.com/?sl=zh-CN&amp;tl=vi&amp;text=%E7%90%86%E8%AE%BA&amp;op=translate" TargetMode="External" Id="rId1092"/><Relationship Type="http://schemas.openxmlformats.org/officeDocument/2006/relationships/hyperlink" Target="https://youglish.com/pronounce/%E7%90%86%E8%AE%BA/chinese" TargetMode="External" Id="rId1093"/><Relationship Type="http://schemas.openxmlformats.org/officeDocument/2006/relationships/hyperlink" Target="https://www.youtube.com/watch?v=DVRy3l9ojq4" TargetMode="External" Id="rId1094"/><Relationship Type="http://schemas.openxmlformats.org/officeDocument/2006/relationships/hyperlink" Target="https://translate.google.com/?sl=zh-CN&amp;tl=vi&amp;text=%E5%8A%A8%E7%94%BB&amp;op=translate" TargetMode="External" Id="rId1095"/><Relationship Type="http://schemas.openxmlformats.org/officeDocument/2006/relationships/hyperlink" Target="https://youglish.com/pronounce/%E5%8A%A8%E7%94%BB/chinese" TargetMode="External" Id="rId1096"/><Relationship Type="http://schemas.openxmlformats.org/officeDocument/2006/relationships/hyperlink" Target="https://www.youtube.com/watch?v=sQ_fCWeQ83s" TargetMode="External" Id="rId1097"/><Relationship Type="http://schemas.openxmlformats.org/officeDocument/2006/relationships/hyperlink" Target="https://translate.google.com/?sl=zh-CN&amp;tl=vi&amp;text=%E6%99%BA%E5%95%86&amp;op=translate" TargetMode="External" Id="rId1098"/><Relationship Type="http://schemas.openxmlformats.org/officeDocument/2006/relationships/hyperlink" Target="https://youglish.com/pronounce/%E6%99%BA%E5%95%86/chinese" TargetMode="External" Id="rId1099"/><Relationship Type="http://schemas.openxmlformats.org/officeDocument/2006/relationships/hyperlink" Target="https://www.youtube.com/watch?v=sQ_fCWeQ83s" TargetMode="External" Id="rId1100"/><Relationship Type="http://schemas.openxmlformats.org/officeDocument/2006/relationships/hyperlink" Target="https://translate.google.com/?sl=zh-CN&amp;tl=vi&amp;text=%E8%80%83%E6%A0%B8&amp;op=translate" TargetMode="External" Id="rId1101"/><Relationship Type="http://schemas.openxmlformats.org/officeDocument/2006/relationships/hyperlink" Target="https://youglish.com/pronounce/%E8%80%83%E6%A0%B8/chinese" TargetMode="External" Id="rId1102"/><Relationship Type="http://schemas.openxmlformats.org/officeDocument/2006/relationships/hyperlink" Target="https://www.youtube.com/watch?v=sQ_fCWeQ83s" TargetMode="External" Id="rId1103"/><Relationship Type="http://schemas.openxmlformats.org/officeDocument/2006/relationships/hyperlink" Target="https://translate.google.com/?sl=zh-CN&amp;tl=vi&amp;text=%E9%80%9A%E4%B8%8D%E8%BF%87&amp;op=translate" TargetMode="External" Id="rId1104"/><Relationship Type="http://schemas.openxmlformats.org/officeDocument/2006/relationships/hyperlink" Target="https://youglish.com/pronounce/%E9%80%9A%E4%B8%8D%E8%BF%87/chinese" TargetMode="External" Id="rId1105"/><Relationship Type="http://schemas.openxmlformats.org/officeDocument/2006/relationships/hyperlink" Target="https://www.youtube.com/watch?v=sQ_fCWeQ83s" TargetMode="External" Id="rId1106"/><Relationship Type="http://schemas.openxmlformats.org/officeDocument/2006/relationships/hyperlink" Target="https://translate.google.com/?sl=zh-CN&amp;tl=vi&amp;text=%E8%9B%8B%E7%82%92%E9%A5%AD&amp;op=translate" TargetMode="External" Id="rId1107"/><Relationship Type="http://schemas.openxmlformats.org/officeDocument/2006/relationships/hyperlink" Target="https://youglish.com/pronounce/%E8%9B%8B%E7%82%92%E9%A5%AD/chinese" TargetMode="External" Id="rId1108"/><Relationship Type="http://schemas.openxmlformats.org/officeDocument/2006/relationships/hyperlink" Target="https://www.youtube.com/watch?v=sQ_fCWeQ83s" TargetMode="External" Id="rId1109"/><Relationship Type="http://schemas.openxmlformats.org/officeDocument/2006/relationships/hyperlink" Target="https://translate.google.com/?sl=zh-CN&amp;tl=vi&amp;text=%E7%8B%82%E7%8A%AC%E7%97%85&amp;op=translate" TargetMode="External" Id="rId1110"/><Relationship Type="http://schemas.openxmlformats.org/officeDocument/2006/relationships/hyperlink" Target="https://youglish.com/pronounce/%E7%8B%82%E7%8A%AC%E7%97%85/chinese" TargetMode="External" Id="rId1111"/><Relationship Type="http://schemas.openxmlformats.org/officeDocument/2006/relationships/hyperlink" Target="https://www.youtube.com/watch?v=sQ_fCWeQ83s" TargetMode="External" Id="rId1112"/><Relationship Type="http://schemas.openxmlformats.org/officeDocument/2006/relationships/hyperlink" Target="https://translate.google.com/?sl=zh-CN&amp;tl=vi&amp;text=%E8%83%8C%E9%9D%A2&amp;op=translate" TargetMode="External" Id="rId1113"/><Relationship Type="http://schemas.openxmlformats.org/officeDocument/2006/relationships/hyperlink" Target="https://youglish.com/pronounce/%E8%83%8C%E9%9D%A2/chinese" TargetMode="External" Id="rId1114"/><Relationship Type="http://schemas.openxmlformats.org/officeDocument/2006/relationships/hyperlink" Target="https://www.youtube.com/watch?v=sQ_fCWeQ83s" TargetMode="External" Id="rId1115"/><Relationship Type="http://schemas.openxmlformats.org/officeDocument/2006/relationships/hyperlink" Target="https://translate.google.com/?sl=zh-CN&amp;tl=vi&amp;text=%E6%89%93%E9%92%88&amp;op=translate" TargetMode="External" Id="rId1116"/><Relationship Type="http://schemas.openxmlformats.org/officeDocument/2006/relationships/hyperlink" Target="https://youglish.com/pronounce/%E6%89%93%E9%92%88/chinese" TargetMode="External" Id="rId1117"/><Relationship Type="http://schemas.openxmlformats.org/officeDocument/2006/relationships/hyperlink" Target="https://www.youtube.com/watch?v=sQ_fCWeQ83s" TargetMode="External" Id="rId1118"/><Relationship Type="http://schemas.openxmlformats.org/officeDocument/2006/relationships/hyperlink" Target="https://translate.google.com/?sl=zh-CN&amp;tl=vi&amp;text=%E8%80%81%E5%A4%A7&amp;op=translate" TargetMode="External" Id="rId1119"/><Relationship Type="http://schemas.openxmlformats.org/officeDocument/2006/relationships/hyperlink" Target="https://youglish.com/pronounce/%E8%80%81%E5%A4%A7/chinese" TargetMode="External" Id="rId1120"/><Relationship Type="http://schemas.openxmlformats.org/officeDocument/2006/relationships/hyperlink" Target="https://www.youtube.com/watch?v=sQ_fCWeQ83s" TargetMode="External" Id="rId1121"/><Relationship Type="http://schemas.openxmlformats.org/officeDocument/2006/relationships/hyperlink" Target="https://translate.google.com/?sl=zh-CN&amp;tl=vi&amp;text=%E7%A5%9E%E7%BB%8F%E7%97%85&amp;op=translate" TargetMode="External" Id="rId1122"/><Relationship Type="http://schemas.openxmlformats.org/officeDocument/2006/relationships/hyperlink" Target="https://youglish.com/pronounce/%E7%A5%9E%E7%BB%8F%E7%97%85/chinese" TargetMode="External" Id="rId1123"/><Relationship Type="http://schemas.openxmlformats.org/officeDocument/2006/relationships/hyperlink" Target="https://www.youtube.com/watch?v=sQ_fCWeQ83s" TargetMode="External" Id="rId1124"/><Relationship Type="http://schemas.openxmlformats.org/officeDocument/2006/relationships/hyperlink" Target="https://translate.google.com/?sl=zh-CN&amp;tl=vi&amp;text=%E9%A2%98%E7%9B%AE&amp;op=translate" TargetMode="External" Id="rId1125"/><Relationship Type="http://schemas.openxmlformats.org/officeDocument/2006/relationships/hyperlink" Target="https://youglish.com/pronounce/%E9%A2%98%E7%9B%AE/chinese" TargetMode="External" Id="rId1126"/><Relationship Type="http://schemas.openxmlformats.org/officeDocument/2006/relationships/hyperlink" Target="https://www.youtube.com/watch?v=sQ_fCWeQ83s" TargetMode="External" Id="rId1127"/><Relationship Type="http://schemas.openxmlformats.org/officeDocument/2006/relationships/hyperlink" Target="https://translate.google.com/?sl=zh-CN&amp;tl=vi&amp;text=%E5%A2%9E%E5%8A%A0&amp;op=translate" TargetMode="External" Id="rId1128"/><Relationship Type="http://schemas.openxmlformats.org/officeDocument/2006/relationships/hyperlink" Target="https://youglish.com/pronounce/%E5%A2%9E%E5%8A%A0/chinese" TargetMode="External" Id="rId1129"/><Relationship Type="http://schemas.openxmlformats.org/officeDocument/2006/relationships/hyperlink" Target="https://www.youtube.com/watch?v=sQ_fCWeQ83s" TargetMode="External" Id="rId1130"/><Relationship Type="http://schemas.openxmlformats.org/officeDocument/2006/relationships/hyperlink" Target="https://translate.google.com/?sl=zh-CN&amp;tl=vi&amp;text=%E9%9A%BE%E5%BA%A6&amp;op=translate" TargetMode="External" Id="rId1131"/><Relationship Type="http://schemas.openxmlformats.org/officeDocument/2006/relationships/hyperlink" Target="https://youglish.com/pronounce/%E9%9A%BE%E5%BA%A6/chinese" TargetMode="External" Id="rId1132"/><Relationship Type="http://schemas.openxmlformats.org/officeDocument/2006/relationships/hyperlink" Target="https://www.youtube.com/watch?v=sQ_fCWeQ83s" TargetMode="External" Id="rId1133"/><Relationship Type="http://schemas.openxmlformats.org/officeDocument/2006/relationships/hyperlink" Target="https://translate.google.com/?sl=zh-CN&amp;tl=vi&amp;text=%E8%AF%8D%E6%B1%87&amp;op=translate" TargetMode="External" Id="rId1134"/><Relationship Type="http://schemas.openxmlformats.org/officeDocument/2006/relationships/hyperlink" Target="https://youglish.com/pronounce/%E8%AF%8D%E6%B1%87/chinese" TargetMode="External" Id="rId1135"/><Relationship Type="http://schemas.openxmlformats.org/officeDocument/2006/relationships/hyperlink" Target="https://www.youtube.com/watch?v=sQ_fCWeQ83s" TargetMode="External" Id="rId1136"/><Relationship Type="http://schemas.openxmlformats.org/officeDocument/2006/relationships/hyperlink" Target="https://translate.google.com/?sl=zh-CN&amp;tl=vi&amp;text=%E5%91%86%E8%AF%9D&amp;op=translate" TargetMode="External" Id="rId1137"/><Relationship Type="http://schemas.openxmlformats.org/officeDocument/2006/relationships/hyperlink" Target="https://youglish.com/pronounce/%E5%91%86%E8%AF%9D/chinese" TargetMode="External" Id="rId1138"/><Relationship Type="http://schemas.openxmlformats.org/officeDocument/2006/relationships/hyperlink" Target="https://www.youtube.com/watch?v=sQ_fCWeQ83s" TargetMode="External" Id="rId1139"/><Relationship Type="http://schemas.openxmlformats.org/officeDocument/2006/relationships/hyperlink" Target="https://translate.google.com/?sl=zh-CN&amp;tl=vi&amp;text=%E8%A5%BF%E6%B8%B8&amp;op=translate" TargetMode="External" Id="rId1140"/><Relationship Type="http://schemas.openxmlformats.org/officeDocument/2006/relationships/hyperlink" Target="https://youglish.com/pronounce/%E8%A5%BF%E6%B8%B8/chinese" TargetMode="External" Id="rId1141"/><Relationship Type="http://schemas.openxmlformats.org/officeDocument/2006/relationships/hyperlink" Target="https://www.youtube.com/watch?v=sQ_fCWeQ83s" TargetMode="External" Id="rId1142"/></Relationships>
</file>

<file path=xl/worksheets/sheet1.xml><?xml version="1.0" encoding="utf-8"?>
<worksheet xmlns="http://schemas.openxmlformats.org/spreadsheetml/2006/main">
  <sheetPr>
    <tabColor rgb="FFC62828"/>
    <outlinePr summaryBelow="1" summaryRight="1"/>
    <pageSetUpPr/>
  </sheetPr>
  <dimension ref="A1:E12"/>
  <sheetViews>
    <sheetView workbookViewId="0">
      <pane ySplit="10" topLeftCell="A11" activePane="bottomLeft" state="frozen"/>
      <selection pane="bottomLeft" activeCell="B20" sqref="B20"/>
    </sheetView>
  </sheetViews>
  <sheetFormatPr baseColWidth="8" defaultRowHeight="14.25"/>
  <cols>
    <col width="30" customWidth="1" style="99" min="1" max="1"/>
    <col width="62" customWidth="1" style="99" min="2" max="2"/>
    <col width="40" customWidth="1" style="99" min="3" max="3"/>
    <col width="14" customWidth="1" style="99" min="4" max="4"/>
    <col width="12" customWidth="1" style="99" min="5" max="5"/>
  </cols>
  <sheetData>
    <row r="1" ht="26" customHeight="1" s="99">
      <c r="A1" s="101" t="inlineStr">
        <is>
          <t>🎬 NHẬP LINK VIDEO ➜ TỰ ĐỘNG THÊM TỪ MỚI</t>
        </is>
      </c>
    </row>
    <row r="2" ht="28.05" customHeight="1" s="99">
      <c r="A2" s="66" t="inlineStr">
        <is>
          <t>🔗 LINK VIDEO  ▸ dán vào đây</t>
        </is>
      </c>
      <c r="B2" s="65" t="inlineStr">
        <is>
          <t>https://www.youtube.com/watch?v=ZSxbxpU_qkM&amp;list=PLSLog43d4VU8hPPOu5rOBvcsmMc9l0ZjY</t>
        </is>
      </c>
      <c r="C2" s="67" t="inlineStr">
        <is>
          <t>Dán link YouTube rồi chạy HA_video.bat</t>
        </is>
      </c>
    </row>
    <row r="3" ht="20" customHeight="1" s="99">
      <c r="A3" s="66" t="inlineStr">
        <is>
          <t>🔢 Số từ mới tối đa</t>
        </is>
      </c>
      <c r="B3" t="n">
        <v>100</v>
      </c>
      <c r="C3" s="67" t="inlineStr">
        <is>
          <t>Lấy N từ có tần suất cao nhất (0 = lấy hết)</t>
        </is>
      </c>
    </row>
    <row r="4" ht="20" customHeight="1" s="99">
      <c r="A4" s="66" t="inlineStr">
        <is>
          <t>✂️ Số ký tự tối thiểu</t>
        </is>
      </c>
      <c r="B4" t="n">
        <v>1</v>
      </c>
      <c r="C4" s="67" t="inlineStr">
        <is>
          <t>2 = bỏ từ đơn 1 chữ; 1 = lấy cả từ 1 chữ</t>
        </is>
      </c>
    </row>
    <row r="5" ht="20" customHeight="1" s="99">
      <c r="A5" s="66" t="inlineStr">
        <is>
          <t>🚫 Bỏ hư từ thông dụng</t>
        </is>
      </c>
      <c r="B5" t="inlineStr">
        <is>
          <t>Có</t>
        </is>
      </c>
      <c r="C5" s="67" t="inlineStr">
        <is>
          <t>Có / Không  (的, 了, 是, 我…)</t>
        </is>
      </c>
    </row>
    <row r="6" ht="20" customHeight="1" s="99">
      <c r="A6" s="66" t="inlineStr">
        <is>
          <t>🌐 Ngôn ngữ phụ đề</t>
        </is>
      </c>
      <c r="B6" t="inlineStr">
        <is>
          <t>auto</t>
        </is>
      </c>
      <c r="C6" s="67" t="inlineStr">
        <is>
          <t>auto  hoặc  zh-Hans / zh-TW</t>
        </is>
      </c>
    </row>
    <row r="7" ht="20" customHeight="1" s="99">
      <c r="A7" s="66" t="inlineStr">
        <is>
          <t>📊 TRẠNG THÁI</t>
        </is>
      </c>
      <c r="B7" t="inlineStr">
        <is>
          <t>❌ Không tìm được chữ Hán trong video này</t>
        </is>
      </c>
      <c r="C7" s="67" t="inlineStr">
        <is>
          <t>Script tự cập nhật sau mỗi lần chạy</t>
        </is>
      </c>
    </row>
    <row r="8">
      <c r="A8" s="71" t="inlineStr">
        <is>
          <t>🎞️ Nguồn phụ đề</t>
        </is>
      </c>
      <c r="B8" t="inlineStr">
        <is>
          <t>auto</t>
        </is>
      </c>
      <c r="C8" s="98" t="inlineStr">
        <is>
          <t>auto / mota / dan / ocr</t>
        </is>
      </c>
    </row>
    <row r="9" ht="15.75" customHeight="1" s="99">
      <c r="A9" s="102" t="inlineStr">
        <is>
          <t>📜 LỊCH SỬ VIDEO ĐÃ XỬ LÝ</t>
        </is>
      </c>
    </row>
    <row r="10">
      <c r="A10" s="68" t="inlineStr">
        <is>
          <t>📅 NGÀY</t>
        </is>
      </c>
      <c r="B10" s="68" t="inlineStr">
        <is>
          <t>🎬 VIDEO</t>
        </is>
      </c>
      <c r="C10" s="68" t="inlineStr">
        <is>
          <t>🔗 LINK</t>
        </is>
      </c>
      <c r="D10" s="68" t="inlineStr">
        <is>
          <t>🆕 TỪ MỚI</t>
        </is>
      </c>
      <c r="E10" s="68" t="inlineStr">
        <is>
          <t>🔁 ĐÃ CÓ</t>
        </is>
      </c>
    </row>
    <row r="11">
      <c r="A11" t="inlineStr">
        <is>
          <t>2026-08-02 21:16</t>
        </is>
      </c>
      <c r="B11" t="inlineStr">
        <is>
          <t>HSK 1–2 | 为什么学了很久还是不会说中文？| Why You Still Can’t Speak Chinese?</t>
        </is>
      </c>
      <c r="C11" s="69" t="inlineStr">
        <is>
          <t>▶ Mở video</t>
        </is>
      </c>
      <c r="D11" s="51" t="n">
        <v>80</v>
      </c>
      <c r="E11" s="51" t="n">
        <v>167</v>
      </c>
    </row>
    <row r="12">
      <c r="A12" t="inlineStr">
        <is>
          <t>2026-08-02 21:49</t>
        </is>
      </c>
      <c r="B12" t="inlineStr">
        <is>
          <t>LẠI MUỐN TĂNG LƯƠNG NỮA SAO?  又要涨工资？ 又要漲工資？ Hoạt hình Tiếng Trung #dahuaxiyou</t>
        </is>
      </c>
      <c r="C12" s="74" t="inlineStr">
        <is>
          <t>▶ Mở video</t>
        </is>
      </c>
      <c r="D12" s="51" t="n">
        <v>16</v>
      </c>
      <c r="E12" s="51" t="n">
        <v>6</v>
      </c>
    </row>
  </sheetData>
  <mergeCells count="2">
    <mergeCell ref="A1:C1"/>
    <mergeCell ref="A9:E9"/>
  </mergeCells>
  <hyperlinks>
    <hyperlink xmlns:r="http://schemas.openxmlformats.org/officeDocument/2006/relationships" ref="B2" r:id="rId1"/>
    <hyperlink xmlns:r="http://schemas.openxmlformats.org/officeDocument/2006/relationships" ref="C11" r:id="rId2"/>
    <hyperlink xmlns:r="http://schemas.openxmlformats.org/officeDocument/2006/relationships" ref="C12" r:id="rId3"/>
  </hyperlinks>
  <pageMargins left="0.75" right="0.75" top="1" bottom="1" header="0.5" footer="0.5"/>
</worksheet>
</file>

<file path=xl/worksheets/sheet2.xml><?xml version="1.0" encoding="utf-8"?>
<worksheet xmlns="http://schemas.openxmlformats.org/spreadsheetml/2006/main">
  <sheetPr>
    <tabColor rgb="FFF9A825"/>
    <outlinePr summaryBelow="1" summaryRight="1"/>
    <pageSetUpPr/>
  </sheetPr>
  <dimension ref="A1:G203"/>
  <sheetViews>
    <sheetView zoomScale="130" zoomScaleNormal="130" workbookViewId="0">
      <pane ySplit="3" topLeftCell="A4" activePane="bottomLeft" state="frozen"/>
      <selection pane="bottomLeft" activeCell="D1" sqref="D1"/>
    </sheetView>
  </sheetViews>
  <sheetFormatPr baseColWidth="8" defaultRowHeight="14.25"/>
  <cols>
    <col width="43.46484375" customWidth="1" style="99" min="1" max="1"/>
    <col hidden="1" width="40" customWidth="1" style="99" min="2" max="2"/>
    <col width="46.19921875" customWidth="1" style="99" min="3" max="4"/>
    <col width="9.19921875" bestFit="1" customWidth="1" style="99" min="5" max="5"/>
  </cols>
  <sheetData>
    <row r="1" ht="24" customHeight="1" s="99">
      <c r="A1" s="100" t="inlineStr">
        <is>
          <t>📋 DÁN CHỮ HÁN VÀO ĐÂY (dùng khi video không có phụ đề)</t>
        </is>
      </c>
      <c r="E1" s="89">
        <f>COUNT(E4:E10485)</f>
        <v/>
      </c>
    </row>
    <row r="2" ht="25.5" customHeight="1" s="99">
      <c r="A2" s="98" t="inlineStr">
        <is>
          <t>Mỗi dòng 1 câu. Chép từ mô tả video / gõ lại chữ trên màn hình. Có lẫn tiếng Việt hay pinyin cũng được — script tự lọc.</t>
        </is>
      </c>
      <c r="E2" s="89">
        <f>COUNTIF(E4:E4100,E34)</f>
        <v/>
      </c>
    </row>
    <row r="3">
      <c r="A3" s="73" t="inlineStr">
        <is>
          <t>▼ Bắt đầu dán từ dòng 4 ▼</t>
        </is>
      </c>
      <c r="C3" s="87" t="inlineStr">
        <is>
          <t>🔊 PINYIN (tự động)</t>
        </is>
      </c>
      <c r="D3" s="87" t="inlineStr">
        <is>
          <t>🇻🇳 TIẾNG VIỆT (tự động, tra từ điển)</t>
        </is>
      </c>
      <c r="E3" t="inlineStr">
        <is>
          <t>date</t>
        </is>
      </c>
      <c r="F3" t="inlineStr">
        <is>
          <t>month</t>
        </is>
      </c>
      <c r="G3" t="inlineStr">
        <is>
          <t>year</t>
        </is>
      </c>
    </row>
    <row r="4" ht="28.5" customHeight="1" s="99">
      <c r="A4" t="inlineStr">
        <is>
          <t>今天公司里他打头很热闹</t>
        </is>
      </c>
      <c r="C4" s="88">
        <f t="array" ref="C4">IF($A4="","",_xlfn.LET(_xlpm.s,$A4,_xlpm.dC,'📚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4" s="88">
        <f t="array" ref="D4">IF($A4="","",_xlfn.LET(_xlpm.s,$A4,_xlpm.dC,'📚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E4" s="23" t="n">
        <v>46244</v>
      </c>
    </row>
    <row r="5">
      <c r="A5" t="inlineStr">
        <is>
          <t>你们 常去 哪 吃 午饭</t>
        </is>
      </c>
      <c r="C5" s="88">
        <f t="array" ref="C5">IF($A5="","",_xlfn.LET(_xlpm.s,$A5,_xlpm.dC,'📚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5" s="88">
        <f t="array" ref="D5">IF($A5="","",_xlfn.LET(_xlpm.s,$A5,_xlpm.dC,'📚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E5" s="23" t="n">
        <v>46244</v>
      </c>
    </row>
    <row r="6">
      <c r="A6" t="inlineStr">
        <is>
          <t>上课的时候你们不能说花</t>
        </is>
      </c>
      <c r="C6" s="88">
        <f t="array" ref="C6">IF($A6="","",_xlfn.LET(_xlpm.s,$A6,_xlpm.dC,'📚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6" s="88">
        <f t="array" ref="D6">IF($A6="","",_xlfn.LET(_xlpm.s,$A6,_xlpm.dC,'📚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E6" s="23" t="n">
        <v>46244</v>
      </c>
    </row>
    <row r="7">
      <c r="A7" t="inlineStr">
        <is>
          <t>今天是第一天我做这个工作</t>
        </is>
      </c>
      <c r="C7" s="88">
        <f t="array" ref="C7">IF($A7="","",_xlfn.LET(_xlpm.s,$A7,_xlpm.dC,'📚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7" s="88">
        <f t="array" ref="D7">IF($A7="","",_xlfn.LET(_xlpm.s,$A7,_xlpm.dC,'📚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E7" s="23" t="n">
        <v>46244</v>
      </c>
    </row>
    <row r="8">
      <c r="A8" t="inlineStr">
        <is>
          <t>这是第几次你们说话</t>
        </is>
      </c>
      <c r="C8" s="88">
        <f t="array" ref="C8">IF($A8="","",_xlfn.LET(_xlpm.s,$A8,_xlpm.dC,'📚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8" s="88">
        <f t="array" ref="D8">IF($A8="","",_xlfn.LET(_xlpm.s,$A8,_xlpm.dC,'📚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E8" s="23" t="n">
        <v>46244</v>
      </c>
    </row>
    <row r="9">
      <c r="A9" t="inlineStr">
        <is>
          <t>你 觉得 汉语 难学吗？</t>
        </is>
      </c>
      <c r="C9" s="88">
        <f t="array" ref="C9">IF($A9="","",_xlfn.LET(_xlpm.s,$A9,_xlpm.dC,'📚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9" s="88">
        <f t="array" ref="D9">IF($A9="","",_xlfn.LET(_xlpm.s,$A9,_xlpm.dC,'📚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E9" s="23" t="n">
        <v>46244</v>
      </c>
    </row>
    <row r="10">
      <c r="A10" t="inlineStr">
        <is>
          <t>这种 要 很男喝</t>
        </is>
      </c>
      <c r="C10" s="88">
        <f t="array" ref="C10">IF($A10="","",_xlfn.LET(_xlpm.s,$A10,_xlpm.dC,'📚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10" s="88">
        <f t="array" ref="D10">IF($A10="","",_xlfn.LET(_xlpm.s,$A10,_xlpm.dC,'📚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E10" s="23" t="n">
        <v>46244</v>
      </c>
    </row>
    <row r="11">
      <c r="A11" t="inlineStr">
        <is>
          <t>最近他学习很进步</t>
        </is>
      </c>
      <c r="C11" s="88">
        <f t="array" ref="C11">IF($A11="","",_xlfn.LET(_xlpm.s,$A11,_xlpm.dC,'📚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11" s="88">
        <f t="array" ref="D11">IF($A11="","",_xlfn.LET(_xlpm.s,$A11,_xlpm.dC,'📚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E11" s="23" t="n">
        <v>46244</v>
      </c>
    </row>
    <row r="12">
      <c r="A12" t="inlineStr">
        <is>
          <t>这个月她没有进步</t>
        </is>
      </c>
      <c r="C12" s="88">
        <f t="array" ref="C12">IF($A12="","",_xlfn.LET(_xlpm.s,$A12,_xlpm.dC,'📚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12" s="88">
        <f t="array" ref="D12">IF($A12="","",_xlfn.LET(_xlpm.s,$A12,_xlpm.dC,'📚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E12" s="23" t="n">
        <v>46244</v>
      </c>
    </row>
    <row r="13">
      <c r="A13" t="inlineStr">
        <is>
          <t>你们 要努力学汉语</t>
        </is>
      </c>
      <c r="C13" s="88">
        <f t="array" ref="C13">IF($A13="","",_xlfn.LET(_xlpm.s,$A13,_xlpm.dC,'📚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13" s="88">
        <f t="array" ref="D13">IF($A13="","",_xlfn.LET(_xlpm.s,$A13,_xlpm.dC,'📚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E13" s="23" t="n">
        <v>46244</v>
      </c>
    </row>
    <row r="14">
      <c r="A14" t="inlineStr">
        <is>
          <t>如果不努力工作</t>
        </is>
      </c>
      <c r="C14" s="88">
        <f t="array" ref="C14">IF($A14="","",_xlfn.LET(_xlpm.s,$A14,_xlpm.dC,'📚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14" s="88">
        <f t="array" ref="D14">IF($A14="","",_xlfn.LET(_xlpm.s,$A14,_xlpm.dC,'📚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E14" s="23" t="n">
        <v>46244</v>
      </c>
    </row>
    <row r="15">
      <c r="A15" t="inlineStr">
        <is>
          <t>你们的老师的发音很准</t>
        </is>
      </c>
      <c r="C15" s="88">
        <f t="array" ref="C15">IF($A15="","",_xlfn.LET(_xlpm.s,$A15,_xlpm.dC,'📚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15" s="88">
        <f t="array" ref="D15">IF($A15="","",_xlfn.LET(_xlpm.s,$A15,_xlpm.dC,'📚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E15" s="23" t="n">
        <v>46244</v>
      </c>
    </row>
    <row r="16">
      <c r="A16" t="inlineStr">
        <is>
          <t>老师可以发这音吗？</t>
        </is>
      </c>
      <c r="C16" s="88">
        <f t="array" ref="C16">IF($A16="","",_xlfn.LET(_xlpm.s,$A16,_xlpm.dC,'📚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16" s="88">
        <f t="array" ref="D16">IF($A16="","",_xlfn.LET(_xlpm.s,$A16,_xlpm.dC,'📚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E16" s="23" t="n">
        <v>46244</v>
      </c>
    </row>
    <row r="17">
      <c r="A17" t="inlineStr">
        <is>
          <t>每天 你 常 联系 口语 和听力吗</t>
        </is>
      </c>
      <c r="C17" s="88">
        <f t="array" ref="C17">IF($A17="","",_xlfn.LET(_xlpm.s,$A17,_xlpm.dC,'📚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17" s="88">
        <f t="array" ref="D17">IF($A17="","",_xlfn.LET(_xlpm.s,$A17,_xlpm.dC,'📚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E17" s="23" t="n">
        <v>46244</v>
      </c>
    </row>
    <row r="18">
      <c r="A18" t="inlineStr">
        <is>
          <t>你要写什么 书</t>
        </is>
      </c>
      <c r="C18" s="88">
        <f t="array" ref="C18">IF($A18="","",_xlfn.LET(_xlpm.s,$A18,_xlpm.dC,'📚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18" s="88">
        <f t="array" ref="D18">IF($A18="","",_xlfn.LET(_xlpm.s,$A18,_xlpm.dC,'📚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E18" s="23" t="n">
        <v>46244</v>
      </c>
    </row>
    <row r="19">
      <c r="A19" t="inlineStr">
        <is>
          <t>晚上我总是在家上网看电影</t>
        </is>
      </c>
      <c r="C19" s="88">
        <f t="array" ref="C19">IF($A19="","",_xlfn.LET(_xlpm.s,$A19,_xlpm.dC,'📚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19" s="88">
        <f t="array" ref="D19">IF($A19="","",_xlfn.LET(_xlpm.s,$A19,_xlpm.dC,'📚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E19" s="23" t="n">
        <v>46244</v>
      </c>
    </row>
    <row r="20">
      <c r="A20" t="inlineStr">
        <is>
          <t>你捐的汉语应该怎么学</t>
        </is>
      </c>
      <c r="C20" s="88">
        <f t="array" ref="C20">IF($A20="","",_xlfn.LET(_xlpm.s,$A20,_xlpm.dC,'📚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20" s="88">
        <f t="array" ref="D20">IF($A20="","",_xlfn.LET(_xlpm.s,$A20,_xlpm.dC,'📚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E20" s="23" t="n">
        <v>46244</v>
      </c>
    </row>
    <row r="21">
      <c r="A21" t="inlineStr">
        <is>
          <t>为神么现在菜我打电话</t>
        </is>
      </c>
      <c r="C21" s="88">
        <f t="array" ref="C21">IF($A21="","",_xlfn.LET(_xlpm.s,$A21,_xlpm.dC,'📚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21" s="88">
        <f t="array" ref="D21">IF($A21="","",_xlfn.LET(_xlpm.s,$A21,_xlpm.dC,'📚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E21" s="23" t="n">
        <v>46244</v>
      </c>
    </row>
    <row r="22">
      <c r="A22" t="inlineStr">
        <is>
          <t>你怎么现在才到公司</t>
        </is>
      </c>
      <c r="C22" s="88">
        <f t="array" ref="C22">IF($A22="","",_xlfn.LET(_xlpm.s,$A22,_xlpm.dC,'📚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22" s="88">
        <f t="array" ref="D22">IF($A22="","",_xlfn.LET(_xlpm.s,$A22,_xlpm.dC,'📚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E22" s="23" t="n">
        <v>46244</v>
      </c>
    </row>
    <row r="23">
      <c r="A23" t="inlineStr">
        <is>
          <t>现在你要办什么是</t>
        </is>
      </c>
      <c r="C23" s="88">
        <f t="array" ref="C23">IF($A23="","",_xlfn.LET(_xlpm.s,$A23,_xlpm.dC,'📚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23" s="88">
        <f t="array" ref="D23">IF($A23="","",_xlfn.LET(_xlpm.s,$A23,_xlpm.dC,'📚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E23" s="23" t="n">
        <v>46244</v>
      </c>
    </row>
    <row r="24">
      <c r="A24" t="inlineStr">
        <is>
          <t>每天几点你出门</t>
        </is>
      </c>
      <c r="C24" s="88">
        <f t="array" ref="C24">IF($A24="","",_xlfn.LET(_xlpm.s,$A24,_xlpm.dC,'📚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24" s="88">
        <f t="array" ref="D24">IF($A24="","",_xlfn.LET(_xlpm.s,$A24,_xlpm.dC,'📚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E24" s="23" t="n">
        <v>46244</v>
      </c>
    </row>
    <row r="25">
      <c r="A25" t="inlineStr">
        <is>
          <t>这么玩你别出门</t>
        </is>
      </c>
      <c r="C25" s="88">
        <f t="array" ref="C25">IF($A25="","",_xlfn.LET(_xlpm.s,$A25,_xlpm.dC,'📚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25" s="88">
        <f t="array" ref="D25">IF($A25="","",_xlfn.LET(_xlpm.s,$A25,_xlpm.dC,'📚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E25" s="23" t="n">
        <v>46244</v>
      </c>
    </row>
    <row r="26">
      <c r="A26" t="inlineStr">
        <is>
          <t>你们别说话了</t>
        </is>
      </c>
      <c r="C26" s="88">
        <f t="array" ref="C26">IF($A26="","",_xlfn.LET(_xlpm.s,$A26,_xlpm.dC,'📚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26" s="88">
        <f t="array" ref="D26">IF($A26="","",_xlfn.LET(_xlpm.s,$A26,_xlpm.dC,'📚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E26" s="23" t="n">
        <v>46244</v>
      </c>
    </row>
    <row r="27">
      <c r="A27" t="inlineStr">
        <is>
          <t>你们在着急什么 是</t>
        </is>
      </c>
      <c r="C27" s="88">
        <f t="array" ref="C27">IF($A27="","",_xlfn.LET(_xlpm.s,$A27,_xlpm.dC,'📚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27" s="88">
        <f t="array" ref="D27">IF($A27="","",_xlfn.LET(_xlpm.s,$A27,_xlpm.dC,'📚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E27" s="23" t="n">
        <v>46244</v>
      </c>
    </row>
    <row r="28">
      <c r="A28" t="inlineStr">
        <is>
          <t>我在着急找新工作</t>
        </is>
      </c>
      <c r="C28" s="88">
        <f t="array" ref="C28">IF($A28="","",_xlfn.LET(_xlpm.s,$A28,_xlpm.dC,'📚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28" s="88">
        <f t="array" ref="D28">IF($A28="","",_xlfn.LET(_xlpm.s,$A28,_xlpm.dC,'📚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E28" s="23" t="n">
        <v>46244</v>
      </c>
    </row>
    <row r="29">
      <c r="A29" t="inlineStr">
        <is>
          <t>你这么说， 她 更着急</t>
        </is>
      </c>
      <c r="C29" s="88">
        <f t="array" ref="C29">IF($A29="","",_xlfn.LET(_xlpm.s,$A29,_xlpm.dC,'📚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29" s="88">
        <f t="array" ref="D29">IF($A29="","",_xlfn.LET(_xlpm.s,$A29,_xlpm.dC,'📚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E29" s="23" t="n">
        <v>46244</v>
      </c>
    </row>
    <row r="30">
      <c r="A30" t="inlineStr">
        <is>
          <t>你们快来吃饭吧</t>
        </is>
      </c>
      <c r="C30" s="88">
        <f t="array" ref="C30">IF($A30="","",_xlfn.LET(_xlpm.s,$A30,_xlpm.dC,'📚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30" s="88">
        <f t="array" ref="D30">IF($A30="","",_xlfn.LET(_xlpm.s,$A30,_xlpm.dC,'📚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E30" s="23" t="n">
        <v>46244</v>
      </c>
    </row>
    <row r="31">
      <c r="A31" t="inlineStr">
        <is>
          <t>老师身体很好</t>
        </is>
      </c>
      <c r="C31" s="88">
        <f t="array" ref="C31">IF($A31="","",_xlfn.LET(_xlpm.s,$A31,_xlpm.dC,'📚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31" s="88">
        <f t="array" ref="D31">IF($A31="","",_xlfn.LET(_xlpm.s,$A31,_xlpm.dC,'📚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E31" s="23" t="n">
        <v>46244</v>
      </c>
    </row>
    <row r="32">
      <c r="A32" t="inlineStr">
        <is>
          <t>我工作很忙</t>
        </is>
      </c>
      <c r="C32" s="88">
        <f t="array" ref="C32">IF($A32="","",_xlfn.LET(_xlpm.s,$A32,_xlpm.dC,'📚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32" s="88">
        <f t="array" ref="D32">IF($A32="","",_xlfn.LET(_xlpm.s,$A32,_xlpm.dC,'📚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E32" s="23" t="n">
        <v>46244</v>
      </c>
    </row>
    <row r="33">
      <c r="A33" t="inlineStr">
        <is>
          <t>你应该多和一点水</t>
        </is>
      </c>
      <c r="C33" s="88">
        <f t="array" ref="C33">IF($A33="","",_xlfn.LET(_xlpm.s,$A33,_xlpm.dC,'📚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33" s="88">
        <f t="array" ref="D33">IF($A33="","",_xlfn.LET(_xlpm.s,$A33,_xlpm.dC,'📚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E33" s="23" t="n">
        <v>46244</v>
      </c>
    </row>
    <row r="34">
      <c r="A34" t="inlineStr">
        <is>
          <t>你们应该多说汉语</t>
        </is>
      </c>
      <c r="C34" s="88">
        <f t="array" ref="C34">IF($A34="","",_xlfn.LET(_xlpm.s,$A34,_xlpm.dC,'📚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34" s="88">
        <f t="array" ref="D34">IF($A34="","",_xlfn.LET(_xlpm.s,$A34,_xlpm.dC,'📚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E34" s="23" t="n">
        <v>46245</v>
      </c>
    </row>
    <row r="35">
      <c r="A35" t="inlineStr">
        <is>
          <t>我们多很努力学汉语</t>
        </is>
      </c>
      <c r="C35" s="88">
        <f t="array" ref="C35">IF($A35="","",_xlfn.LET(_xlpm.s,$A35,_xlpm.dC,'📚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35" s="88">
        <f t="array" ref="D35">IF($A35="","",_xlfn.LET(_xlpm.s,$A35,_xlpm.dC,'📚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E35" s="23" t="n">
        <v>46245</v>
      </c>
    </row>
    <row r="36">
      <c r="A36" t="inlineStr">
        <is>
          <t>这个是应该怎么办</t>
        </is>
      </c>
      <c r="C36" s="88">
        <f t="array" ref="C36">IF($A36="","",_xlfn.LET(_xlpm.s,$A36,_xlpm.dC,'📚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36" s="88">
        <f t="array" ref="D36">IF($A36="","",_xlfn.LET(_xlpm.s,$A36,_xlpm.dC,'📚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E36" s="23" t="n">
        <v>46245</v>
      </c>
    </row>
    <row r="37">
      <c r="A37" t="inlineStr">
        <is>
          <t>这个汉字怎么写</t>
        </is>
      </c>
      <c r="C37" s="88">
        <f t="array" ref="C37">IF($A37="","",_xlfn.LET(_xlpm.s,$A37,_xlpm.dC,'📚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37" s="88">
        <f t="array" ref="D37">IF($A37="","",_xlfn.LET(_xlpm.s,$A37,_xlpm.dC,'📚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E37" s="23" t="n">
        <v>46245</v>
      </c>
    </row>
    <row r="38">
      <c r="A38" t="inlineStr">
        <is>
          <t>我要一个小时做这个工作</t>
        </is>
      </c>
      <c r="C38" s="88">
        <f t="array" ref="C38">IF($A38="","",_xlfn.LET(_xlpm.s,$A38,_xlpm.dC,'📚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38" s="88">
        <f t="array" ref="D38">IF($A38="","",_xlfn.LET(_xlpm.s,$A38,_xlpm.dC,'📚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E38" s="23" t="n">
        <v>46245</v>
      </c>
    </row>
    <row r="39">
      <c r="A39" t="inlineStr">
        <is>
          <t>每天你工作 几 个 小时</t>
        </is>
      </c>
      <c r="C39" s="88">
        <f t="array" ref="C39">IF($A39="","",_xlfn.LET(_xlpm.s,$A39,_xlpm.dC,'📚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39" s="88">
        <f t="array" ref="D39">IF($A39="","",_xlfn.LET(_xlpm.s,$A39,_xlpm.dC,'📚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E39" s="23" t="n">
        <v>46245</v>
      </c>
    </row>
    <row r="40">
      <c r="A40" t="inlineStr">
        <is>
          <t>每天我工作十六个小时</t>
        </is>
      </c>
      <c r="C40" s="88">
        <f t="array" ref="C40">IF($A40="","",_xlfn.LET(_xlpm.s,$A40,_xlpm.dC,'📚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40" s="88">
        <f t="array" ref="D40">IF($A40="","",_xlfn.LET(_xlpm.s,$A40,_xlpm.dC,'📚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E40" s="23" t="n">
        <v>46245</v>
      </c>
    </row>
    <row r="41">
      <c r="A41" t="inlineStr">
        <is>
          <t>晚上我 常 上网看新闻</t>
        </is>
      </c>
      <c r="C41" s="88">
        <f t="array" ref="C41">IF($A41="","",_xlfn.LET(_xlpm.s,$A41,_xlpm.dC,'📚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41" s="88">
        <f t="array" ref="D41">IF($A41="","",_xlfn.LET(_xlpm.s,$A41,_xlpm.dC,'📚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E41" s="23" t="n">
        <v>46245</v>
      </c>
    </row>
    <row r="42">
      <c r="A42" t="inlineStr">
        <is>
          <t>另外， 我上网 工作</t>
        </is>
      </c>
      <c r="C42" s="88">
        <f t="array" ref="C42">IF($A42="","",_xlfn.LET(_xlpm.s,$A42,_xlpm.dC,'📚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42" s="88">
        <f t="array" ref="D42">IF($A42="","",_xlfn.LET(_xlpm.s,$A42,_xlpm.dC,'📚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E42" s="23" t="n">
        <v>46245</v>
      </c>
    </row>
    <row r="43">
      <c r="A43" t="inlineStr">
        <is>
          <t>另外， 我还上网查资料</t>
        </is>
      </c>
      <c r="C43" s="88">
        <f t="array" ref="C43">IF($A43="","",_xlfn.LET(_xlpm.s,$A43,_xlpm.dC,'📚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43" s="88">
        <f t="array" ref="D43">IF($A43="","",_xlfn.LET(_xlpm.s,$A43,_xlpm.dC,'📚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E43" s="23" t="n">
        <v>46245</v>
      </c>
    </row>
    <row r="44">
      <c r="A44" t="inlineStr">
        <is>
          <t>现在你 发给我邮件八</t>
        </is>
      </c>
      <c r="C44" s="88">
        <f t="array" ref="C44">IF($A44="","",_xlfn.LET(_xlpm.s,$A44,_xlpm.dC,'📚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44" s="88">
        <f t="array" ref="D44">IF($A44="","",_xlfn.LET(_xlpm.s,$A44,_xlpm.dC,'📚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E44" s="23" t="n">
        <v>46245</v>
      </c>
    </row>
    <row r="45">
      <c r="A45" t="inlineStr">
        <is>
          <t>现在你们要聊什么</t>
        </is>
      </c>
      <c r="C45" s="88">
        <f t="array" ref="C45">IF($A45="","",_xlfn.LET(_xlpm.s,$A45,_xlpm.dC,'📚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45" s="88">
        <f t="array" ref="D45">IF($A45="","",_xlfn.LET(_xlpm.s,$A45,_xlpm.dC,'📚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E45" s="23" t="n">
        <v>46245</v>
      </c>
    </row>
    <row r="46">
      <c r="A46" t="inlineStr">
        <is>
          <t>我常跟她聊天气</t>
        </is>
      </c>
      <c r="C46" s="88">
        <f t="array" ref="C46">IF($A46="","",_xlfn.LET(_xlpm.s,$A46,_xlpm.dC,'📚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46" s="88">
        <f t="array" ref="D46">IF($A46="","",_xlfn.LET(_xlpm.s,$A46,_xlpm.dC,'📚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E46" s="23" t="n">
        <v>46245</v>
      </c>
    </row>
    <row r="47">
      <c r="A47" t="inlineStr">
        <is>
          <t>多常时间</t>
        </is>
      </c>
      <c r="C47" s="88">
        <f t="array" ref="C47">IF($A47="","",_xlfn.LET(_xlpm.s,$A47,_xlpm.dC,'📚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47" s="88">
        <f t="array" ref="D47">IF($A47="","",_xlfn.LET(_xlpm.s,$A47,_xlpm.dC,'📚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E47" s="23" t="n">
        <v>46245</v>
      </c>
    </row>
    <row r="48">
      <c r="A48" t="inlineStr">
        <is>
          <t>每天你工作多长时间</t>
        </is>
      </c>
      <c r="C48" s="88">
        <f t="array" ref="C48">IF($A48="","",_xlfn.LET(_xlpm.s,$A48,_xlpm.dC,'📚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48" s="88">
        <f t="array" ref="D48">IF($A48="","",_xlfn.LET(_xlpm.s,$A48,_xlpm.dC,'📚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E48" s="23" t="n">
        <v>46245</v>
      </c>
    </row>
    <row r="49">
      <c r="A49" t="inlineStr">
        <is>
          <t>每次她 都 聊 很 长 时间</t>
        </is>
      </c>
      <c r="C49" s="88">
        <f t="array" ref="C49">IF($A49="","",_xlfn.LET(_xlpm.s,$A49,_xlpm.dC,'📚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49" s="88">
        <f t="array" ref="D49">IF($A49="","",_xlfn.LET(_xlpm.s,$A49,_xlpm.dC,'📚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E49" s="23" t="n">
        <v>46245</v>
      </c>
    </row>
    <row r="50">
      <c r="A50" t="inlineStr">
        <is>
          <t>这几天我的工作一直很忙</t>
        </is>
      </c>
      <c r="C50" s="88">
        <f t="array" ref="C50">IF($A50="","",_xlfn.LET(_xlpm.s,$A50,_xlpm.dC,'📚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50" s="88">
        <f t="array" ref="D50">IF($A50="","",_xlfn.LET(_xlpm.s,$A50,_xlpm.dC,'📚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E50" s="23" t="n">
        <v>46245</v>
      </c>
    </row>
    <row r="51">
      <c r="A51" t="inlineStr">
        <is>
          <t>今天我一直工作到晚上</t>
        </is>
      </c>
      <c r="C51" s="88">
        <f t="array" ref="C51">IF($A51="","",_xlfn.LET(_xlpm.s,$A51,_xlpm.dC,'📚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51" s="88">
        <f t="array" ref="D51">IF($A51="","",_xlfn.LET(_xlpm.s,$A51,_xlpm.dC,'📚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E51" s="23" t="n">
        <v>46245</v>
      </c>
    </row>
    <row r="52">
      <c r="A52" t="inlineStr">
        <is>
          <t>今天我忘给 老师 打 电话</t>
        </is>
      </c>
      <c r="C52" s="88">
        <f t="array" ref="C52">IF($A52="","",_xlfn.LET(_xlpm.s,$A52,_xlpm.dC,'📚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52" s="88">
        <f t="array" ref="D52">IF($A52="","",_xlfn.LET(_xlpm.s,$A52,_xlpm.dC,'📚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E52" s="23" t="n">
        <v>46245</v>
      </c>
    </row>
    <row r="53">
      <c r="A53" t="inlineStr">
        <is>
          <t>每天你常上网多常 时间</t>
        </is>
      </c>
      <c r="C53" s="88">
        <f t="array" ref="C53">IF($A53="","",_xlfn.LET(_xlpm.s,$A53,_xlpm.dC,'📚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53" s="88">
        <f t="array" ref="D53">IF($A53="","",_xlfn.LET(_xlpm.s,$A53,_xlpm.dC,'📚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E53" s="23" t="n">
        <v>46245</v>
      </c>
    </row>
    <row r="54">
      <c r="A54" t="inlineStr">
        <is>
          <t>你的网站是什么</t>
        </is>
      </c>
      <c r="C54" s="88">
        <f t="array" ref="C54">IF($A54="","",_xlfn.LET(_xlpm.s,$A54,_xlpm.dC,'📚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54" s="88">
        <f t="array" ref="D54">IF($A54="","",_xlfn.LET(_xlpm.s,$A54,_xlpm.dC,'📚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E54" s="23" t="n">
        <v>46245</v>
      </c>
    </row>
    <row r="55">
      <c r="A55" t="inlineStr">
        <is>
          <t>你的公司有网站 吗</t>
        </is>
      </c>
      <c r="C55" s="88">
        <f t="array" ref="C55">IF($A55="","",_xlfn.LET(_xlpm.s,$A55,_xlpm.dC,'📚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55" s="88">
        <f t="array" ref="D55">IF($A55="","",_xlfn.LET(_xlpm.s,$A55,_xlpm.dC,'📚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E55" s="23" t="n">
        <v>46245</v>
      </c>
    </row>
    <row r="56">
      <c r="A56" t="inlineStr">
        <is>
          <t>我的公司有很多网站</t>
        </is>
      </c>
      <c r="C56" s="88">
        <f t="array" ref="C56">IF($A56="","",_xlfn.LET(_xlpm.s,$A56,_xlpm.dC,'📚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56" s="88">
        <f t="array" ref="D56">IF($A56="","",_xlfn.LET(_xlpm.s,$A56,_xlpm.dC,'📚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E56" s="23" t="n">
        <v>46245</v>
      </c>
    </row>
    <row r="57">
      <c r="A57" t="inlineStr">
        <is>
          <t>你可以等我一会吗</t>
        </is>
      </c>
      <c r="C57" s="88">
        <f t="array" ref="C57">IF($A57="","",_xlfn.LET(_xlpm.s,$A57,_xlpm.dC,'📚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57" s="88">
        <f t="array" ref="D57">IF($A57="","",_xlfn.LET(_xlpm.s,$A57,_xlpm.dC,'📚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E57" s="23" t="n">
        <v>46245</v>
      </c>
    </row>
    <row r="58">
      <c r="A58" t="inlineStr">
        <is>
          <t>你们在这里等我一会吧</t>
        </is>
      </c>
      <c r="C58" s="88">
        <f t="array" ref="C58">IF($A58="","",_xlfn.LET(_xlpm.s,$A58,_xlpm.dC,'📚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58" s="88">
        <f t="array" ref="D58">IF($A58="","",_xlfn.LET(_xlpm.s,$A58,_xlpm.dC,'📚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E58" s="23" t="n">
        <v>46245</v>
      </c>
    </row>
    <row r="59">
      <c r="A59" t="inlineStr">
        <is>
          <t>你可以给我做这个事吗</t>
        </is>
      </c>
      <c r="C59" s="88">
        <f t="array" ref="C59">IF($A59="","",_xlfn.LET(_xlpm.s,$A59,_xlpm.dC,'📚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59" s="88">
        <f t="array" ref="D59">IF($A59="","",_xlfn.LET(_xlpm.s,$A59,_xlpm.dC,'📚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E59" s="23" t="n">
        <v>46245</v>
      </c>
    </row>
    <row r="60">
      <c r="A60" t="inlineStr">
        <is>
          <t>每天她都 急忙吃饭</t>
        </is>
      </c>
      <c r="C60" s="88">
        <f t="array" ref="C60">IF($A60="","",_xlfn.LET(_xlpm.s,$A60,_xlpm.dC,'📚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60" s="88">
        <f t="array" ref="D60">IF($A60="","",_xlfn.LET(_xlpm.s,$A60,_xlpm.dC,'📚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E60" s="23" t="n">
        <v>46245</v>
      </c>
    </row>
    <row r="61">
      <c r="A61" t="inlineStr">
        <is>
          <t>你在急忙做什么</t>
        </is>
      </c>
      <c r="C61" s="88">
        <f t="array" ref="C61">IF($A61="","",_xlfn.LET(_xlpm.s,$A61,_xlpm.dC,'📚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61" s="88">
        <f t="array" ref="D61">IF($A61="","",_xlfn.LET(_xlpm.s,$A61,_xlpm.dC,'📚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E61" s="23" t="n">
        <v>46245</v>
      </c>
    </row>
    <row r="62">
      <c r="A62" t="inlineStr">
        <is>
          <t>现在我要交什么费</t>
        </is>
      </c>
      <c r="C62" s="88">
        <f t="array" ref="C62">IF($A62="","",_xlfn.LET(_xlpm.s,$A62,_xlpm.dC,'📚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62" s="88">
        <f t="array" ref="D62">IF($A62="","",_xlfn.LET(_xlpm.s,$A62,_xlpm.dC,'📚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E62" s="23" t="n">
        <v>46245</v>
      </c>
    </row>
    <row r="63">
      <c r="A63" t="inlineStr">
        <is>
          <t>你可以上网叫电话费</t>
        </is>
      </c>
      <c r="C63" s="88">
        <f t="array" ref="C63">IF($A63="","",_xlfn.LET(_xlpm.s,$A63,_xlpm.dC,'📚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63" s="88">
        <f t="array" ref="D63">IF($A63="","",_xlfn.LET(_xlpm.s,$A63,_xlpm.dC,'📚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E63" s="23" t="n">
        <v>46245</v>
      </c>
    </row>
    <row r="64">
      <c r="C64" s="88">
        <f t="array" ref="C64">IF($A64="","",_xlfn.LET(_xlpm.s,$A64,_xlpm.dC,'📚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64" s="88">
        <f t="array" ref="D64">IF($A64="","",_xlfn.LET(_xlpm.s,$A64,_xlpm.dC,'📚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E64" s="23" t="n"/>
    </row>
    <row r="65">
      <c r="C65" s="88">
        <f t="array" ref="C65">IF($A65="","",_xlfn.LET(_xlpm.s,$A65,_xlpm.dC,'📚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65" s="88">
        <f t="array" ref="D65">IF($A65="","",_xlfn.LET(_xlpm.s,$A65,_xlpm.dC,'📚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E65" s="23" t="n"/>
    </row>
    <row r="66">
      <c r="C66" s="88">
        <f t="array" ref="C66">IF($A66="","",_xlfn.LET(_xlpm.s,$A66,_xlpm.dC,'📚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66" s="88">
        <f t="array" ref="D66">IF($A66="","",_xlfn.LET(_xlpm.s,$A66,_xlpm.dC,'📚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E66" s="23" t="n"/>
    </row>
    <row r="67">
      <c r="C67" s="88">
        <f t="array" ref="C67">IF($A67="","",_xlfn.LET(_xlpm.s,$A67,_xlpm.dC,'📚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67" s="88">
        <f t="array" ref="D67">IF($A67="","",_xlfn.LET(_xlpm.s,$A67,_xlpm.dC,'📚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E67" s="23" t="n"/>
    </row>
    <row r="68">
      <c r="C68" s="88">
        <f t="array" ref="C68">IF($A68="","",_xlfn.LET(_xlpm.s,$A68,_xlpm.dC,'📚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68" s="88">
        <f t="array" ref="D68">IF($A68="","",_xlfn.LET(_xlpm.s,$A68,_xlpm.dC,'📚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E68" s="23" t="n"/>
    </row>
    <row r="69">
      <c r="C69" s="88">
        <f t="array" ref="C69">IF($A69="","",_xlfn.LET(_xlpm.s,$A69,_xlpm.dC,'📚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69" s="88">
        <f t="array" ref="D69">IF($A69="","",_xlfn.LET(_xlpm.s,$A69,_xlpm.dC,'📚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E69" s="23" t="n"/>
    </row>
    <row r="70">
      <c r="C70" s="88">
        <f t="array" ref="C70">IF($A70="","",_xlfn.LET(_xlpm.s,$A70,_xlpm.dC,'📚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70" s="88">
        <f t="array" ref="D70">IF($A70="","",_xlfn.LET(_xlpm.s,$A70,_xlpm.dC,'📚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E70" s="23" t="n"/>
    </row>
    <row r="71">
      <c r="C71" s="88">
        <f t="array" ref="C71">IF($A71="","",_xlfn.LET(_xlpm.s,$A71,_xlpm.dC,'📚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71" s="88">
        <f t="array" ref="D71">IF($A71="","",_xlfn.LET(_xlpm.s,$A71,_xlpm.dC,'📚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E71" s="23" t="n"/>
    </row>
    <row r="72">
      <c r="C72" s="88">
        <f t="array" ref="C72">IF($A72="","",_xlfn.LET(_xlpm.s,$A72,_xlpm.dC,'📚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72" s="88">
        <f t="array" ref="D72">IF($A72="","",_xlfn.LET(_xlpm.s,$A72,_xlpm.dC,'📚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E72" s="23" t="n"/>
    </row>
    <row r="73">
      <c r="C73" s="88">
        <f t="array" ref="C73">IF($A73="","",_xlfn.LET(_xlpm.s,$A73,_xlpm.dC,'📚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73" s="88">
        <f t="array" ref="D73">IF($A73="","",_xlfn.LET(_xlpm.s,$A73,_xlpm.dC,'📚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E73" s="23" t="n"/>
    </row>
    <row r="74">
      <c r="C74" s="88">
        <f t="array" ref="C74">IF($A74="","",_xlfn.LET(_xlpm.s,$A74,_xlpm.dC,'📚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74" s="88">
        <f t="array" ref="D74">IF($A74="","",_xlfn.LET(_xlpm.s,$A74,_xlpm.dC,'📚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E74" s="23" t="n"/>
    </row>
    <row r="75">
      <c r="C75" s="88">
        <f t="array" ref="C75">IF($A75="","",_xlfn.LET(_xlpm.s,$A75,_xlpm.dC,'📚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75" s="88">
        <f t="array" ref="D75">IF($A75="","",_xlfn.LET(_xlpm.s,$A75,_xlpm.dC,'📚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E75" s="23" t="n"/>
    </row>
    <row r="76">
      <c r="C76" s="88">
        <f t="array" ref="C76">IF($A76="","",_xlfn.LET(_xlpm.s,$A76,_xlpm.dC,'📚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76" s="88">
        <f t="array" ref="D76">IF($A76="","",_xlfn.LET(_xlpm.s,$A76,_xlpm.dC,'📚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E76" s="23" t="n"/>
    </row>
    <row r="77">
      <c r="C77" s="88">
        <f t="array" ref="C77">IF($A77="","",_xlfn.LET(_xlpm.s,$A77,_xlpm.dC,'📚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77" s="88">
        <f t="array" ref="D77">IF($A77="","",_xlfn.LET(_xlpm.s,$A77,_xlpm.dC,'📚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E77" s="23" t="n"/>
    </row>
    <row r="78">
      <c r="C78" s="88">
        <f t="array" ref="C78">IF($A78="","",_xlfn.LET(_xlpm.s,$A78,_xlpm.dC,'📚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78" s="88">
        <f t="array" ref="D78">IF($A78="","",_xlfn.LET(_xlpm.s,$A78,_xlpm.dC,'📚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E78" s="23" t="n"/>
    </row>
    <row r="79">
      <c r="C79" s="88">
        <f t="array" ref="C79">IF($A79="","",_xlfn.LET(_xlpm.s,$A79,_xlpm.dC,'📚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79" s="88">
        <f t="array" ref="D79">IF($A79="","",_xlfn.LET(_xlpm.s,$A79,_xlpm.dC,'📚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E79" s="23" t="n"/>
    </row>
    <row r="80">
      <c r="C80" s="88">
        <f t="array" ref="C80">IF($A80="","",_xlfn.LET(_xlpm.s,$A80,_xlpm.dC,'📚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80" s="88">
        <f t="array" ref="D80">IF($A80="","",_xlfn.LET(_xlpm.s,$A80,_xlpm.dC,'📚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81">
      <c r="C81" s="88">
        <f t="array" ref="C81">IF($A81="","",_xlfn.LET(_xlpm.s,$A81,_xlpm.dC,'📚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81" s="88">
        <f t="array" ref="D81">IF($A81="","",_xlfn.LET(_xlpm.s,$A81,_xlpm.dC,'📚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82">
      <c r="C82" s="88">
        <f t="array" ref="C82">IF($A82="","",_xlfn.LET(_xlpm.s,$A82,_xlpm.dC,'📚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82" s="88">
        <f t="array" ref="D82">IF($A82="","",_xlfn.LET(_xlpm.s,$A82,_xlpm.dC,'📚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83">
      <c r="C83" s="88">
        <f t="array" ref="C83">IF($A83="","",_xlfn.LET(_xlpm.s,$A83,_xlpm.dC,'📚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83" s="88">
        <f t="array" ref="D83">IF($A83="","",_xlfn.LET(_xlpm.s,$A83,_xlpm.dC,'📚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84">
      <c r="C84" s="88">
        <f t="array" ref="C84">IF($A84="","",_xlfn.LET(_xlpm.s,$A84,_xlpm.dC,'📚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84" s="88">
        <f t="array" ref="D84">IF($A84="","",_xlfn.LET(_xlpm.s,$A84,_xlpm.dC,'📚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85">
      <c r="C85" s="88">
        <f t="array" ref="C85">IF($A85="","",_xlfn.LET(_xlpm.s,$A85,_xlpm.dC,'📚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85" s="88">
        <f t="array" ref="D85">IF($A85="","",_xlfn.LET(_xlpm.s,$A85,_xlpm.dC,'📚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86">
      <c r="C86" s="88">
        <f t="array" ref="C86">IF($A86="","",_xlfn.LET(_xlpm.s,$A86,_xlpm.dC,'📚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86" s="88">
        <f t="array" ref="D86">IF($A86="","",_xlfn.LET(_xlpm.s,$A86,_xlpm.dC,'📚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87">
      <c r="C87" s="88">
        <f t="array" ref="C87">IF($A87="","",_xlfn.LET(_xlpm.s,$A87,_xlpm.dC,'📚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87" s="88">
        <f t="array" ref="D87">IF($A87="","",_xlfn.LET(_xlpm.s,$A87,_xlpm.dC,'📚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88">
      <c r="C88" s="88">
        <f t="array" ref="C88">IF($A88="","",_xlfn.LET(_xlpm.s,$A88,_xlpm.dC,'📚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88" s="88">
        <f t="array" ref="D88">IF($A88="","",_xlfn.LET(_xlpm.s,$A88,_xlpm.dC,'📚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89">
      <c r="C89" s="88">
        <f t="array" ref="C89">IF($A89="","",_xlfn.LET(_xlpm.s,$A89,_xlpm.dC,'📚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89" s="88">
        <f t="array" ref="D89">IF($A89="","",_xlfn.LET(_xlpm.s,$A89,_xlpm.dC,'📚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90">
      <c r="C90" s="88">
        <f t="array" ref="C90">IF($A90="","",_xlfn.LET(_xlpm.s,$A90,_xlpm.dC,'📚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90" s="88">
        <f t="array" ref="D90">IF($A90="","",_xlfn.LET(_xlpm.s,$A90,_xlpm.dC,'📚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91">
      <c r="C91" s="88">
        <f t="array" ref="C91">IF($A91="","",_xlfn.LET(_xlpm.s,$A91,_xlpm.dC,'📚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91" s="88">
        <f t="array" ref="D91">IF($A91="","",_xlfn.LET(_xlpm.s,$A91,_xlpm.dC,'📚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92">
      <c r="C92" s="88">
        <f t="array" ref="C92">IF($A92="","",_xlfn.LET(_xlpm.s,$A92,_xlpm.dC,'📚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92" s="88">
        <f t="array" ref="D92">IF($A92="","",_xlfn.LET(_xlpm.s,$A92,_xlpm.dC,'📚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93">
      <c r="C93" s="88">
        <f t="array" ref="C93">IF($A93="","",_xlfn.LET(_xlpm.s,$A93,_xlpm.dC,'📚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93" s="88">
        <f t="array" ref="D93">IF($A93="","",_xlfn.LET(_xlpm.s,$A93,_xlpm.dC,'📚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94">
      <c r="C94" s="88">
        <f t="array" ref="C94">IF($A94="","",_xlfn.LET(_xlpm.s,$A94,_xlpm.dC,'📚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94" s="88">
        <f t="array" ref="D94">IF($A94="","",_xlfn.LET(_xlpm.s,$A94,_xlpm.dC,'📚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95">
      <c r="C95" s="88">
        <f t="array" ref="C95">IF($A95="","",_xlfn.LET(_xlpm.s,$A95,_xlpm.dC,'📚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95" s="88">
        <f t="array" ref="D95">IF($A95="","",_xlfn.LET(_xlpm.s,$A95,_xlpm.dC,'📚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96">
      <c r="C96" s="88">
        <f t="array" ref="C96">IF($A96="","",_xlfn.LET(_xlpm.s,$A96,_xlpm.dC,'📚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96" s="88">
        <f t="array" ref="D96">IF($A96="","",_xlfn.LET(_xlpm.s,$A96,_xlpm.dC,'📚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97">
      <c r="C97" s="88">
        <f t="array" ref="C97">IF($A97="","",_xlfn.LET(_xlpm.s,$A97,_xlpm.dC,'📚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97" s="88">
        <f t="array" ref="D97">IF($A97="","",_xlfn.LET(_xlpm.s,$A97,_xlpm.dC,'📚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98">
      <c r="C98" s="88">
        <f t="array" ref="C98">IF($A98="","",_xlfn.LET(_xlpm.s,$A98,_xlpm.dC,'📚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98" s="88">
        <f t="array" ref="D98">IF($A98="","",_xlfn.LET(_xlpm.s,$A98,_xlpm.dC,'📚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99">
      <c r="C99" s="88">
        <f t="array" ref="C99">IF($A99="","",_xlfn.LET(_xlpm.s,$A99,_xlpm.dC,'📚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99" s="88">
        <f t="array" ref="D99">IF($A99="","",_xlfn.LET(_xlpm.s,$A99,_xlpm.dC,'📚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100">
      <c r="C100" s="88">
        <f t="array" ref="C100">IF($A100="","",_xlfn.LET(_xlpm.s,$A100,_xlpm.dC,'📚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100" s="88">
        <f t="array" ref="D100">IF($A100="","",_xlfn.LET(_xlpm.s,$A100,_xlpm.dC,'📚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101">
      <c r="C101" s="88">
        <f t="array" ref="C101">IF($A101="","",_xlfn.LET(_xlpm.s,$A101,_xlpm.dC,'📚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101" s="88">
        <f t="array" ref="D101">IF($A101="","",_xlfn.LET(_xlpm.s,$A101,_xlpm.dC,'📚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102">
      <c r="C102" s="88">
        <f t="array" ref="C102">IF($A102="","",_xlfn.LET(_xlpm.s,$A102,_xlpm.dC,'📚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102" s="88">
        <f t="array" ref="D102">IF($A102="","",_xlfn.LET(_xlpm.s,$A102,_xlpm.dC,'📚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103">
      <c r="C103" s="88">
        <f t="array" ref="C103">IF($A103="","",_xlfn.LET(_xlpm.s,$A103,_xlpm.dC,'📚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103" s="88">
        <f t="array" ref="D103">IF($A103="","",_xlfn.LET(_xlpm.s,$A103,_xlpm.dC,'📚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104">
      <c r="C104" s="88">
        <f t="array" ref="C104">IF($A104="","",_xlfn.LET(_xlpm.s,$A104,_xlpm.dC,'📚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104" s="88">
        <f t="array" ref="D104">IF($A104="","",_xlfn.LET(_xlpm.s,$A104,_xlpm.dC,'📚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105">
      <c r="C105" s="88">
        <f t="array" ref="C105">IF($A105="","",_xlfn.LET(_xlpm.s,$A105,_xlpm.dC,'📚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105" s="88">
        <f t="array" ref="D105">IF($A105="","",_xlfn.LET(_xlpm.s,$A105,_xlpm.dC,'📚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106">
      <c r="C106" s="88">
        <f t="array" ref="C106">IF($A106="","",_xlfn.LET(_xlpm.s,$A106,_xlpm.dC,'📚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106" s="88">
        <f t="array" ref="D106">IF($A106="","",_xlfn.LET(_xlpm.s,$A106,_xlpm.dC,'📚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107">
      <c r="C107" s="88">
        <f t="array" ref="C107">IF($A107="","",_xlfn.LET(_xlpm.s,$A107,_xlpm.dC,'📚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107" s="88">
        <f t="array" ref="D107">IF($A107="","",_xlfn.LET(_xlpm.s,$A107,_xlpm.dC,'📚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108">
      <c r="C108" s="88">
        <f t="array" ref="C108">IF($A108="","",_xlfn.LET(_xlpm.s,$A108,_xlpm.dC,'📚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108" s="88">
        <f t="array" ref="D108">IF($A108="","",_xlfn.LET(_xlpm.s,$A108,_xlpm.dC,'📚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109">
      <c r="C109" s="88">
        <f t="array" ref="C109">IF($A109="","",_xlfn.LET(_xlpm.s,$A109,_xlpm.dC,'📚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109" s="88">
        <f t="array" ref="D109">IF($A109="","",_xlfn.LET(_xlpm.s,$A109,_xlpm.dC,'📚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110">
      <c r="C110" s="88">
        <f t="array" ref="C110">IF($A110="","",_xlfn.LET(_xlpm.s,$A110,_xlpm.dC,'📚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110" s="88">
        <f t="array" ref="D110">IF($A110="","",_xlfn.LET(_xlpm.s,$A110,_xlpm.dC,'📚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111">
      <c r="C111" s="88">
        <f t="array" ref="C111">IF($A111="","",_xlfn.LET(_xlpm.s,$A111,_xlpm.dC,'📚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111" s="88">
        <f t="array" ref="D111">IF($A111="","",_xlfn.LET(_xlpm.s,$A111,_xlpm.dC,'📚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112">
      <c r="C112" s="88">
        <f t="array" ref="C112">IF($A112="","",_xlfn.LET(_xlpm.s,$A112,_xlpm.dC,'📚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112" s="88">
        <f t="array" ref="D112">IF($A112="","",_xlfn.LET(_xlpm.s,$A112,_xlpm.dC,'📚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113">
      <c r="C113" s="88">
        <f t="array" ref="C113">IF($A113="","",_xlfn.LET(_xlpm.s,$A113,_xlpm.dC,'📚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113" s="88">
        <f t="array" ref="D113">IF($A113="","",_xlfn.LET(_xlpm.s,$A113,_xlpm.dC,'📚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114">
      <c r="C114" s="88">
        <f t="array" ref="C114">IF($A114="","",_xlfn.LET(_xlpm.s,$A114,_xlpm.dC,'📚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114" s="88">
        <f t="array" ref="D114">IF($A114="","",_xlfn.LET(_xlpm.s,$A114,_xlpm.dC,'📚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115">
      <c r="C115" s="88">
        <f t="array" ref="C115">IF($A115="","",_xlfn.LET(_xlpm.s,$A115,_xlpm.dC,'📚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115" s="88">
        <f t="array" ref="D115">IF($A115="","",_xlfn.LET(_xlpm.s,$A115,_xlpm.dC,'📚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116">
      <c r="C116" s="88">
        <f t="array" ref="C116">IF($A116="","",_xlfn.LET(_xlpm.s,$A116,_xlpm.dC,'📚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116" s="88">
        <f t="array" ref="D116">IF($A116="","",_xlfn.LET(_xlpm.s,$A116,_xlpm.dC,'📚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117">
      <c r="C117" s="88">
        <f t="array" ref="C117">IF($A117="","",_xlfn.LET(_xlpm.s,$A117,_xlpm.dC,'📚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117" s="88">
        <f t="array" ref="D117">IF($A117="","",_xlfn.LET(_xlpm.s,$A117,_xlpm.dC,'📚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118">
      <c r="C118" s="88">
        <f t="array" ref="C118">IF($A118="","",_xlfn.LET(_xlpm.s,$A118,_xlpm.dC,'📚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118" s="88">
        <f t="array" ref="D118">IF($A118="","",_xlfn.LET(_xlpm.s,$A118,_xlpm.dC,'📚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119">
      <c r="C119" s="88">
        <f t="array" ref="C119">IF($A119="","",_xlfn.LET(_xlpm.s,$A119,_xlpm.dC,'📚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119" s="88">
        <f t="array" ref="D119">IF($A119="","",_xlfn.LET(_xlpm.s,$A119,_xlpm.dC,'📚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120">
      <c r="C120" s="88">
        <f t="array" ref="C120">IF($A120="","",_xlfn.LET(_xlpm.s,$A120,_xlpm.dC,'📚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120" s="88">
        <f t="array" ref="D120">IF($A120="","",_xlfn.LET(_xlpm.s,$A120,_xlpm.dC,'📚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121">
      <c r="C121" s="88">
        <f t="array" ref="C121">IF($A121="","",_xlfn.LET(_xlpm.s,$A121,_xlpm.dC,'📚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121" s="88">
        <f t="array" ref="D121">IF($A121="","",_xlfn.LET(_xlpm.s,$A121,_xlpm.dC,'📚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122">
      <c r="C122" s="88">
        <f t="array" ref="C122">IF($A122="","",_xlfn.LET(_xlpm.s,$A122,_xlpm.dC,'📚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122" s="88">
        <f t="array" ref="D122">IF($A122="","",_xlfn.LET(_xlpm.s,$A122,_xlpm.dC,'📚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123">
      <c r="C123" s="88">
        <f t="array" ref="C123">IF($A123="","",_xlfn.LET(_xlpm.s,$A123,_xlpm.dC,'📚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123" s="88">
        <f t="array" ref="D123">IF($A123="","",_xlfn.LET(_xlpm.s,$A123,_xlpm.dC,'📚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124">
      <c r="C124" s="88">
        <f t="array" ref="C124">IF($A124="","",_xlfn.LET(_xlpm.s,$A124,_xlpm.dC,'📚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124" s="88">
        <f t="array" ref="D124">IF($A124="","",_xlfn.LET(_xlpm.s,$A124,_xlpm.dC,'📚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125">
      <c r="C125" s="88">
        <f t="array" ref="C125">IF($A125="","",_xlfn.LET(_xlpm.s,$A125,_xlpm.dC,'📚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125" s="88">
        <f t="array" ref="D125">IF($A125="","",_xlfn.LET(_xlpm.s,$A125,_xlpm.dC,'📚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126">
      <c r="C126" s="88">
        <f t="array" ref="C126">IF($A126="","",_xlfn.LET(_xlpm.s,$A126,_xlpm.dC,'📚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126" s="88">
        <f t="array" ref="D126">IF($A126="","",_xlfn.LET(_xlpm.s,$A126,_xlpm.dC,'📚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127">
      <c r="C127" s="88">
        <f t="array" ref="C127">IF($A127="","",_xlfn.LET(_xlpm.s,$A127,_xlpm.dC,'📚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127" s="88">
        <f t="array" ref="D127">IF($A127="","",_xlfn.LET(_xlpm.s,$A127,_xlpm.dC,'📚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128">
      <c r="C128" s="88">
        <f t="array" ref="C128">IF($A128="","",_xlfn.LET(_xlpm.s,$A128,_xlpm.dC,'📚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128" s="88">
        <f t="array" ref="D128">IF($A128="","",_xlfn.LET(_xlpm.s,$A128,_xlpm.dC,'📚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129">
      <c r="C129" s="88">
        <f t="array" ref="C129">IF($A129="","",_xlfn.LET(_xlpm.s,$A129,_xlpm.dC,'📚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129" s="88">
        <f t="array" ref="D129">IF($A129="","",_xlfn.LET(_xlpm.s,$A129,_xlpm.dC,'📚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130">
      <c r="C130" s="88">
        <f t="array" ref="C130">IF($A130="","",_xlfn.LET(_xlpm.s,$A130,_xlpm.dC,'📚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130" s="88">
        <f t="array" ref="D130">IF($A130="","",_xlfn.LET(_xlpm.s,$A130,_xlpm.dC,'📚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131">
      <c r="C131" s="88">
        <f t="array" ref="C131">IF($A131="","",_xlfn.LET(_xlpm.s,$A131,_xlpm.dC,'📚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131" s="88">
        <f t="array" ref="D131">IF($A131="","",_xlfn.LET(_xlpm.s,$A131,_xlpm.dC,'📚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132">
      <c r="C132" s="88">
        <f t="array" ref="C132">IF($A132="","",_xlfn.LET(_xlpm.s,$A132,_xlpm.dC,'📚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132" s="88">
        <f t="array" ref="D132">IF($A132="","",_xlfn.LET(_xlpm.s,$A132,_xlpm.dC,'📚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133">
      <c r="C133" s="88">
        <f t="array" ref="C133">IF($A133="","",_xlfn.LET(_xlpm.s,$A133,_xlpm.dC,'📚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133" s="88">
        <f t="array" ref="D133">IF($A133="","",_xlfn.LET(_xlpm.s,$A133,_xlpm.dC,'📚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134">
      <c r="C134" s="88">
        <f t="array" ref="C134">IF($A134="","",_xlfn.LET(_xlpm.s,$A134,_xlpm.dC,'📚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134" s="88">
        <f t="array" ref="D134">IF($A134="","",_xlfn.LET(_xlpm.s,$A134,_xlpm.dC,'📚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135">
      <c r="C135" s="88">
        <f t="array" ref="C135">IF($A135="","",_xlfn.LET(_xlpm.s,$A135,_xlpm.dC,'📚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135" s="88">
        <f t="array" ref="D135">IF($A135="","",_xlfn.LET(_xlpm.s,$A135,_xlpm.dC,'📚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136">
      <c r="C136" s="88">
        <f t="array" ref="C136">IF($A136="","",_xlfn.LET(_xlpm.s,$A136,_xlpm.dC,'📚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136" s="88">
        <f t="array" ref="D136">IF($A136="","",_xlfn.LET(_xlpm.s,$A136,_xlpm.dC,'📚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137">
      <c r="C137" s="88">
        <f t="array" ref="C137">IF($A137="","",_xlfn.LET(_xlpm.s,$A137,_xlpm.dC,'📚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137" s="88">
        <f t="array" ref="D137">IF($A137="","",_xlfn.LET(_xlpm.s,$A137,_xlpm.dC,'📚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138">
      <c r="C138" s="88">
        <f t="array" ref="C138">IF($A138="","",_xlfn.LET(_xlpm.s,$A138,_xlpm.dC,'📚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138" s="88">
        <f t="array" ref="D138">IF($A138="","",_xlfn.LET(_xlpm.s,$A138,_xlpm.dC,'📚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139">
      <c r="C139" s="88">
        <f t="array" ref="C139">IF($A139="","",_xlfn.LET(_xlpm.s,$A139,_xlpm.dC,'📚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139" s="88">
        <f t="array" ref="D139">IF($A139="","",_xlfn.LET(_xlpm.s,$A139,_xlpm.dC,'📚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140">
      <c r="C140" s="88">
        <f t="array" ref="C140">IF($A140="","",_xlfn.LET(_xlpm.s,$A140,_xlpm.dC,'📚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140" s="88">
        <f t="array" ref="D140">IF($A140="","",_xlfn.LET(_xlpm.s,$A140,_xlpm.dC,'📚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141">
      <c r="C141" s="88">
        <f t="array" ref="C141">IF($A141="","",_xlfn.LET(_xlpm.s,$A141,_xlpm.dC,'📚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141" s="88">
        <f t="array" ref="D141">IF($A141="","",_xlfn.LET(_xlpm.s,$A141,_xlpm.dC,'📚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142">
      <c r="C142" s="88">
        <f t="array" ref="C142">IF($A142="","",_xlfn.LET(_xlpm.s,$A142,_xlpm.dC,'📚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142" s="88">
        <f t="array" ref="D142">IF($A142="","",_xlfn.LET(_xlpm.s,$A142,_xlpm.dC,'📚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143">
      <c r="C143" s="88">
        <f t="array" ref="C143">IF($A143="","",_xlfn.LET(_xlpm.s,$A143,_xlpm.dC,'📚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143" s="88">
        <f t="array" ref="D143">IF($A143="","",_xlfn.LET(_xlpm.s,$A143,_xlpm.dC,'📚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144">
      <c r="C144" s="88">
        <f t="array" ref="C144">IF($A144="","",_xlfn.LET(_xlpm.s,$A144,_xlpm.dC,'📚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144" s="88">
        <f t="array" ref="D144">IF($A144="","",_xlfn.LET(_xlpm.s,$A144,_xlpm.dC,'📚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145">
      <c r="C145" s="88">
        <f t="array" ref="C145">IF($A145="","",_xlfn.LET(_xlpm.s,$A145,_xlpm.dC,'📚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145" s="88">
        <f t="array" ref="D145">IF($A145="","",_xlfn.LET(_xlpm.s,$A145,_xlpm.dC,'📚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146">
      <c r="C146" s="88">
        <f t="array" ref="C146">IF($A146="","",_xlfn.LET(_xlpm.s,$A146,_xlpm.dC,'📚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146" s="88">
        <f t="array" ref="D146">IF($A146="","",_xlfn.LET(_xlpm.s,$A146,_xlpm.dC,'📚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147">
      <c r="C147" s="88">
        <f t="array" ref="C147">IF($A147="","",_xlfn.LET(_xlpm.s,$A147,_xlpm.dC,'📚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147" s="88">
        <f t="array" ref="D147">IF($A147="","",_xlfn.LET(_xlpm.s,$A147,_xlpm.dC,'📚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148">
      <c r="C148" s="88">
        <f t="array" ref="C148">IF($A148="","",_xlfn.LET(_xlpm.s,$A148,_xlpm.dC,'📚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148" s="88">
        <f t="array" ref="D148">IF($A148="","",_xlfn.LET(_xlpm.s,$A148,_xlpm.dC,'📚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149">
      <c r="C149" s="88">
        <f t="array" ref="C149">IF($A149="","",_xlfn.LET(_xlpm.s,$A149,_xlpm.dC,'📚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149" s="88">
        <f t="array" ref="D149">IF($A149="","",_xlfn.LET(_xlpm.s,$A149,_xlpm.dC,'📚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150">
      <c r="C150" s="88">
        <f t="array" ref="C150">IF($A150="","",_xlfn.LET(_xlpm.s,$A150,_xlpm.dC,'📚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150" s="88">
        <f t="array" ref="D150">IF($A150="","",_xlfn.LET(_xlpm.s,$A150,_xlpm.dC,'📚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151">
      <c r="C151" s="88">
        <f t="array" ref="C151">IF($A151="","",_xlfn.LET(_xlpm.s,$A151,_xlpm.dC,'📚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151" s="88">
        <f t="array" ref="D151">IF($A151="","",_xlfn.LET(_xlpm.s,$A151,_xlpm.dC,'📚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152">
      <c r="C152" s="88">
        <f t="array" ref="C152">IF($A152="","",_xlfn.LET(_xlpm.s,$A152,_xlpm.dC,'📚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152" s="88">
        <f t="array" ref="D152">IF($A152="","",_xlfn.LET(_xlpm.s,$A152,_xlpm.dC,'📚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153">
      <c r="C153" s="88">
        <f t="array" ref="C153">IF($A153="","",_xlfn.LET(_xlpm.s,$A153,_xlpm.dC,'📚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153" s="88">
        <f t="array" ref="D153">IF($A153="","",_xlfn.LET(_xlpm.s,$A153,_xlpm.dC,'📚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154">
      <c r="C154" s="88">
        <f t="array" ref="C154">IF($A154="","",_xlfn.LET(_xlpm.s,$A154,_xlpm.dC,'📚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154" s="88">
        <f t="array" ref="D154">IF($A154="","",_xlfn.LET(_xlpm.s,$A154,_xlpm.dC,'📚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155">
      <c r="C155" s="88">
        <f t="array" ref="C155">IF($A155="","",_xlfn.LET(_xlpm.s,$A155,_xlpm.dC,'📚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155" s="88">
        <f t="array" ref="D155">IF($A155="","",_xlfn.LET(_xlpm.s,$A155,_xlpm.dC,'📚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156">
      <c r="C156" s="88">
        <f t="array" ref="C156">IF($A156="","",_xlfn.LET(_xlpm.s,$A156,_xlpm.dC,'📚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156" s="88">
        <f t="array" ref="D156">IF($A156="","",_xlfn.LET(_xlpm.s,$A156,_xlpm.dC,'📚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157">
      <c r="C157" s="88">
        <f t="array" ref="C157">IF($A157="","",_xlfn.LET(_xlpm.s,$A157,_xlpm.dC,'📚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157" s="88">
        <f t="array" ref="D157">IF($A157="","",_xlfn.LET(_xlpm.s,$A157,_xlpm.dC,'📚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158">
      <c r="C158" s="88">
        <f t="array" ref="C158">IF($A158="","",_xlfn.LET(_xlpm.s,$A158,_xlpm.dC,'📚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158" s="88">
        <f t="array" ref="D158">IF($A158="","",_xlfn.LET(_xlpm.s,$A158,_xlpm.dC,'📚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159">
      <c r="C159" s="88">
        <f t="array" ref="C159">IF($A159="","",_xlfn.LET(_xlpm.s,$A159,_xlpm.dC,'📚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159" s="88">
        <f t="array" ref="D159">IF($A159="","",_xlfn.LET(_xlpm.s,$A159,_xlpm.dC,'📚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160">
      <c r="C160" s="88">
        <f t="array" ref="C160">IF($A160="","",_xlfn.LET(_xlpm.s,$A160,_xlpm.dC,'📚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160" s="88">
        <f t="array" ref="D160">IF($A160="","",_xlfn.LET(_xlpm.s,$A160,_xlpm.dC,'📚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161">
      <c r="C161" s="88">
        <f t="array" ref="C161">IF($A161="","",_xlfn.LET(_xlpm.s,$A161,_xlpm.dC,'📚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161" s="88">
        <f t="array" ref="D161">IF($A161="","",_xlfn.LET(_xlpm.s,$A161,_xlpm.dC,'📚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162">
      <c r="C162" s="88">
        <f t="array" ref="C162">IF($A162="","",_xlfn.LET(_xlpm.s,$A162,_xlpm.dC,'📚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162" s="88">
        <f t="array" ref="D162">IF($A162="","",_xlfn.LET(_xlpm.s,$A162,_xlpm.dC,'📚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163">
      <c r="C163" s="88">
        <f t="array" ref="C163">IF($A163="","",_xlfn.LET(_xlpm.s,$A163,_xlpm.dC,'📚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163" s="88">
        <f t="array" ref="D163">IF($A163="","",_xlfn.LET(_xlpm.s,$A163,_xlpm.dC,'📚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164">
      <c r="C164" s="88">
        <f t="array" ref="C164">IF($A164="","",_xlfn.LET(_xlpm.s,$A164,_xlpm.dC,'📚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164" s="88">
        <f t="array" ref="D164">IF($A164="","",_xlfn.LET(_xlpm.s,$A164,_xlpm.dC,'📚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165">
      <c r="C165" s="88">
        <f t="array" ref="C165">IF($A165="","",_xlfn.LET(_xlpm.s,$A165,_xlpm.dC,'📚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165" s="88">
        <f t="array" ref="D165">IF($A165="","",_xlfn.LET(_xlpm.s,$A165,_xlpm.dC,'📚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166">
      <c r="C166" s="88">
        <f t="array" ref="C166">IF($A166="","",_xlfn.LET(_xlpm.s,$A166,_xlpm.dC,'📚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166" s="88">
        <f t="array" ref="D166">IF($A166="","",_xlfn.LET(_xlpm.s,$A166,_xlpm.dC,'📚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167">
      <c r="C167" s="88">
        <f t="array" ref="C167">IF($A167="","",_xlfn.LET(_xlpm.s,$A167,_xlpm.dC,'📚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167" s="88">
        <f t="array" ref="D167">IF($A167="","",_xlfn.LET(_xlpm.s,$A167,_xlpm.dC,'📚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168">
      <c r="C168" s="88">
        <f t="array" ref="C168">IF($A168="","",_xlfn.LET(_xlpm.s,$A168,_xlpm.dC,'📚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168" s="88">
        <f t="array" ref="D168">IF($A168="","",_xlfn.LET(_xlpm.s,$A168,_xlpm.dC,'📚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169">
      <c r="C169" s="88">
        <f t="array" ref="C169">IF($A169="","",_xlfn.LET(_xlpm.s,$A169,_xlpm.dC,'📚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169" s="88">
        <f t="array" ref="D169">IF($A169="","",_xlfn.LET(_xlpm.s,$A169,_xlpm.dC,'📚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170">
      <c r="C170" s="88">
        <f t="array" ref="C170">IF($A170="","",_xlfn.LET(_xlpm.s,$A170,_xlpm.dC,'📚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170" s="88">
        <f t="array" ref="D170">IF($A170="","",_xlfn.LET(_xlpm.s,$A170,_xlpm.dC,'📚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171">
      <c r="C171" s="88">
        <f t="array" ref="C171">IF($A171="","",_xlfn.LET(_xlpm.s,$A171,_xlpm.dC,'📚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171" s="88">
        <f t="array" ref="D171">IF($A171="","",_xlfn.LET(_xlpm.s,$A171,_xlpm.dC,'📚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172">
      <c r="C172" s="88">
        <f t="array" ref="C172">IF($A172="","",_xlfn.LET(_xlpm.s,$A172,_xlpm.dC,'📚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172" s="88">
        <f t="array" ref="D172">IF($A172="","",_xlfn.LET(_xlpm.s,$A172,_xlpm.dC,'📚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173">
      <c r="C173" s="88">
        <f t="array" ref="C173">IF($A173="","",_xlfn.LET(_xlpm.s,$A173,_xlpm.dC,'📚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173" s="88">
        <f t="array" ref="D173">IF($A173="","",_xlfn.LET(_xlpm.s,$A173,_xlpm.dC,'📚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174">
      <c r="C174" s="88">
        <f t="array" ref="C174">IF($A174="","",_xlfn.LET(_xlpm.s,$A174,_xlpm.dC,'📚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174" s="88">
        <f t="array" ref="D174">IF($A174="","",_xlfn.LET(_xlpm.s,$A174,_xlpm.dC,'📚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175">
      <c r="C175" s="88">
        <f t="array" ref="C175">IF($A175="","",_xlfn.LET(_xlpm.s,$A175,_xlpm.dC,'📚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175" s="88">
        <f t="array" ref="D175">IF($A175="","",_xlfn.LET(_xlpm.s,$A175,_xlpm.dC,'📚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176">
      <c r="C176" s="88">
        <f t="array" ref="C176">IF($A176="","",_xlfn.LET(_xlpm.s,$A176,_xlpm.dC,'📚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176" s="88">
        <f t="array" ref="D176">IF($A176="","",_xlfn.LET(_xlpm.s,$A176,_xlpm.dC,'📚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177">
      <c r="C177" s="88">
        <f t="array" ref="C177">IF($A177="","",_xlfn.LET(_xlpm.s,$A177,_xlpm.dC,'📚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177" s="88">
        <f t="array" ref="D177">IF($A177="","",_xlfn.LET(_xlpm.s,$A177,_xlpm.dC,'📚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178">
      <c r="C178" s="88">
        <f t="array" ref="C178">IF($A178="","",_xlfn.LET(_xlpm.s,$A178,_xlpm.dC,'📚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178" s="88">
        <f t="array" ref="D178">IF($A178="","",_xlfn.LET(_xlpm.s,$A178,_xlpm.dC,'📚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179">
      <c r="C179" s="88">
        <f t="array" ref="C179">IF($A179="","",_xlfn.LET(_xlpm.s,$A179,_xlpm.dC,'📚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179" s="88">
        <f t="array" ref="D179">IF($A179="","",_xlfn.LET(_xlpm.s,$A179,_xlpm.dC,'📚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180">
      <c r="C180" s="88">
        <f t="array" ref="C180">IF($A180="","",_xlfn.LET(_xlpm.s,$A180,_xlpm.dC,'📚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180" s="88">
        <f t="array" ref="D180">IF($A180="","",_xlfn.LET(_xlpm.s,$A180,_xlpm.dC,'📚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181">
      <c r="C181" s="88">
        <f t="array" ref="C181">IF($A181="","",_xlfn.LET(_xlpm.s,$A181,_xlpm.dC,'📚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181" s="88">
        <f t="array" ref="D181">IF($A181="","",_xlfn.LET(_xlpm.s,$A181,_xlpm.dC,'📚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182">
      <c r="C182" s="88">
        <f t="array" ref="C182">IF($A182="","",_xlfn.LET(_xlpm.s,$A182,_xlpm.dC,'📚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182" s="88">
        <f t="array" ref="D182">IF($A182="","",_xlfn.LET(_xlpm.s,$A182,_xlpm.dC,'📚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183">
      <c r="C183" s="88">
        <f t="array" ref="C183">IF($A183="","",_xlfn.LET(_xlpm.s,$A183,_xlpm.dC,'📚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183" s="88">
        <f t="array" ref="D183">IF($A183="","",_xlfn.LET(_xlpm.s,$A183,_xlpm.dC,'📚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184">
      <c r="C184" s="88">
        <f t="array" ref="C184">IF($A184="","",_xlfn.LET(_xlpm.s,$A184,_xlpm.dC,'📚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184" s="88">
        <f t="array" ref="D184">IF($A184="","",_xlfn.LET(_xlpm.s,$A184,_xlpm.dC,'📚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185">
      <c r="C185" s="88">
        <f t="array" ref="C185">IF($A185="","",_xlfn.LET(_xlpm.s,$A185,_xlpm.dC,'📚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185" s="88">
        <f t="array" ref="D185">IF($A185="","",_xlfn.LET(_xlpm.s,$A185,_xlpm.dC,'📚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186">
      <c r="C186" s="88">
        <f t="array" ref="C186">IF($A186="","",_xlfn.LET(_xlpm.s,$A186,_xlpm.dC,'📚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186" s="88">
        <f t="array" ref="D186">IF($A186="","",_xlfn.LET(_xlpm.s,$A186,_xlpm.dC,'📚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187">
      <c r="C187" s="88">
        <f t="array" ref="C187">IF($A187="","",_xlfn.LET(_xlpm.s,$A187,_xlpm.dC,'📚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187" s="88">
        <f t="array" ref="D187">IF($A187="","",_xlfn.LET(_xlpm.s,$A187,_xlpm.dC,'📚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188">
      <c r="C188" s="88">
        <f t="array" ref="C188">IF($A188="","",_xlfn.LET(_xlpm.s,$A188,_xlpm.dC,'📚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188" s="88">
        <f t="array" ref="D188">IF($A188="","",_xlfn.LET(_xlpm.s,$A188,_xlpm.dC,'📚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189">
      <c r="C189" s="88">
        <f t="array" ref="C189">IF($A189="","",_xlfn.LET(_xlpm.s,$A189,_xlpm.dC,'📚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189" s="88">
        <f t="array" ref="D189">IF($A189="","",_xlfn.LET(_xlpm.s,$A189,_xlpm.dC,'📚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190">
      <c r="C190" s="88">
        <f t="array" ref="C190">IF($A190="","",_xlfn.LET(_xlpm.s,$A190,_xlpm.dC,'📚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190" s="88">
        <f t="array" ref="D190">IF($A190="","",_xlfn.LET(_xlpm.s,$A190,_xlpm.dC,'📚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191">
      <c r="C191" s="88">
        <f t="array" ref="C191">IF($A191="","",_xlfn.LET(_xlpm.s,$A191,_xlpm.dC,'📚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191" s="88">
        <f t="array" ref="D191">IF($A191="","",_xlfn.LET(_xlpm.s,$A191,_xlpm.dC,'📚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192">
      <c r="C192" s="88">
        <f t="array" ref="C192">IF($A192="","",_xlfn.LET(_xlpm.s,$A192,_xlpm.dC,'📚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192" s="88">
        <f t="array" ref="D192">IF($A192="","",_xlfn.LET(_xlpm.s,$A192,_xlpm.dC,'📚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193">
      <c r="C193" s="88">
        <f t="array" ref="C193">IF($A193="","",_xlfn.LET(_xlpm.s,$A193,_xlpm.dC,'📚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193" s="88">
        <f t="array" ref="D193">IF($A193="","",_xlfn.LET(_xlpm.s,$A193,_xlpm.dC,'📚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194">
      <c r="C194" s="88">
        <f t="array" ref="C194">IF($A194="","",_xlfn.LET(_xlpm.s,$A194,_xlpm.dC,'📚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194" s="88">
        <f t="array" ref="D194">IF($A194="","",_xlfn.LET(_xlpm.s,$A194,_xlpm.dC,'📚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195">
      <c r="C195" s="88">
        <f t="array" ref="C195">IF($A195="","",_xlfn.LET(_xlpm.s,$A195,_xlpm.dC,'📚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195" s="88">
        <f t="array" ref="D195">IF($A195="","",_xlfn.LET(_xlpm.s,$A195,_xlpm.dC,'📚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196">
      <c r="C196" s="88">
        <f t="array" ref="C196">IF($A196="","",_xlfn.LET(_xlpm.s,$A196,_xlpm.dC,'📚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196" s="88">
        <f t="array" ref="D196">IF($A196="","",_xlfn.LET(_xlpm.s,$A196,_xlpm.dC,'📚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197">
      <c r="C197" s="88">
        <f t="array" ref="C197">IF($A197="","",_xlfn.LET(_xlpm.s,$A197,_xlpm.dC,'📚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197" s="88">
        <f t="array" ref="D197">IF($A197="","",_xlfn.LET(_xlpm.s,$A197,_xlpm.dC,'📚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198">
      <c r="C198" s="88">
        <f t="array" ref="C198">IF($A198="","",_xlfn.LET(_xlpm.s,$A198,_xlpm.dC,'📚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198" s="88">
        <f t="array" ref="D198">IF($A198="","",_xlfn.LET(_xlpm.s,$A198,_xlpm.dC,'📚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199">
      <c r="C199" s="88">
        <f t="array" ref="C199">IF($A199="","",_xlfn.LET(_xlpm.s,$A199,_xlpm.dC,'📚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199" s="88">
        <f t="array" ref="D199">IF($A199="","",_xlfn.LET(_xlpm.s,$A199,_xlpm.dC,'📚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200">
      <c r="C200" s="88">
        <f t="array" ref="C200">IF($A200="","",_xlfn.LET(_xlpm.s,$A200,_xlpm.dC,'📚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200" s="88">
        <f t="array" ref="D200">IF($A200="","",_xlfn.LET(_xlpm.s,$A200,_xlpm.dC,'📚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201">
      <c r="C201" s="88">
        <f t="array" ref="C201">IF($A201="","",_xlfn.LET(_xlpm.s,$A201,_xlpm.dC,'📚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201" s="88">
        <f t="array" ref="D201">IF($A201="","",_xlfn.LET(_xlpm.s,$A201,_xlpm.dC,'📚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202">
      <c r="C202" s="88">
        <f t="array" ref="C202">IF($A202="","",_xlfn.LET(_xlpm.s,$A202,_xlpm.dC,'📚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202" s="88">
        <f t="array" ref="D202">IF($A202="","",_xlfn.LET(_xlpm.s,$A202,_xlpm.dC,'📚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row r="203">
      <c r="C203" s="88">
        <f t="array" ref="C203">IF($A203="","",_xlfn.LET(_xlpm.s,$A203,_xlpm.dC,'📚 Từ Vựng HSK'!$C$4:$C$1025,_xlpm.dP,'📚 Từ Vựng HSK'!$D$4:$D$1025,_xlpm.dV,'📚 Từ Vựng HSK'!$E$4:$E$1025,_xlpm.md,1,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c r="D203" s="88">
        <f t="array" ref="D203">IF($A203="","",_xlfn.LET(_xlpm.s,$A203,_xlpm.dC,'📚 Từ Vựng HSK'!$C$4:$C$1025,_xlpm.dP,'📚 Từ Vựng HSK'!$D$4:$D$1025,_xlpm.dV,'📚 Từ Vựng HSK'!$E$4:$E$1025,_xlpm.md,2,_xlpm.res,_xlfn.REDUCE("0|",_xlfn.SEQUENCE(LEN(_xlpm.s)),_xlfn.LAMBDA(_xlpm.acc,_xlpm.idx,_xlfn.LET(_xlpm.sk,VALUE(LEFT(_xlpm.acc,FIND("|",_xlpm.acc)-1)),_xlpm.str,MID(_xlpm.acc,FIND("|",_xlpm.acc)+1,9999),IF(_xlpm.sk&gt;0,(_xlpm.sk-1)&amp;"|"&amp;_xlpm.str,_xlfn.LET(_xlpm.ka,MID(_xlpm.s,_xlpm.idx,4),_xlpm.kb,MID(_xlpm.s,_xlpm.idx,3),_xlpm.kc,MID(_xlpm.s,_xlpm.idx,2),_xlpm.kd,MID(_xlpm.s,_xlpm.idx,1),_xlpm.pa,IF(LEN(_xlpm.ka)=4,IFERROR(MATCH(_xlpm.ka,_xlpm.dC,0),0),0),_xlpm.pb,IF(LEN(_xlpm.kb)=3,IFERROR(MATCH(_xlpm.kb,_xlpm.dC,0),0),0),_xlpm.pc,IF(LEN(_xlpm.kc)=2,IFERROR(MATCH(_xlpm.kc,_xlpm.dC,0),0),0),_xlpm.pd,IFERROR(MATCH(_xlpm.kd,_xlpm.dC,0),0),_xlpm.pos,IF(_xlpm.pa&gt;0,_xlpm.pa,IF(_xlpm.pb&gt;0,_xlpm.pb,IF(_xlpm.pc&gt;0,_xlpm.pc,_xlpm.pd))),_xlpm.len,IF(_xlpm.pa&gt;0,4,IF(_xlpm.pb&gt;0,3,IF(_xlpm.pc&gt;0,2,1))),_xlpm.wrd,IF(_xlpm.pos=0,_xlpm.kd,IF(_xlpm.md=1,INDEX(_xlpm.dP,_xlpm.pos),INDEX(_xlpm.dV,_xlpm.pos))),_xlpm.sep,IF(_xlpm.str="","",IF(_xlpm.md=1," "," / ")),(_xlpm.len-1)&amp;"|"&amp;_xlpm.str&amp;_xlpm.sep&amp;_xlpm.wrd))))),MID(_xlpm.res,FIND("|",_xlpm.res)+1,9999)))</f>
        <v/>
      </c>
    </row>
  </sheetData>
  <mergeCells count="2">
    <mergeCell ref="A2:B2"/>
    <mergeCell ref="A1:B1"/>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filterMode="1">
    <outlinePr summaryBelow="1" summaryRight="1"/>
    <pageSetUpPr/>
  </sheetPr>
  <dimension ref="A1:W1025"/>
  <sheetViews>
    <sheetView zoomScale="130" zoomScaleNormal="130" workbookViewId="0">
      <pane ySplit="3" topLeftCell="A1023" activePane="bottomLeft" state="frozen"/>
      <selection pane="bottomLeft" activeCell="G1003" sqref="G1003"/>
    </sheetView>
  </sheetViews>
  <sheetFormatPr baseColWidth="8" defaultRowHeight="14.25"/>
  <cols>
    <col width="4" customWidth="1" style="99" min="1" max="1"/>
    <col width="8" customWidth="1" style="78" min="2" max="2"/>
    <col width="12" customWidth="1" style="78" min="3" max="3"/>
    <col width="14" customWidth="1" style="78" min="4" max="4"/>
    <col width="15.86328125" customWidth="1" style="78" min="5" max="5"/>
    <col hidden="1" width="16" customWidth="1" style="99" min="6" max="6"/>
    <col width="16" customWidth="1" style="77" min="7" max="7"/>
    <col width="12" customWidth="1" style="77" min="8" max="8"/>
    <col hidden="1" outlineLevel="1" width="14" customWidth="1" style="51" min="9" max="10"/>
    <col hidden="1" collapsed="1" width="8" customWidth="1" style="99" min="11" max="11"/>
    <col hidden="1" width="8" customWidth="1" style="99" min="12" max="17"/>
    <col hidden="1" width="13" customWidth="1" style="99" min="18" max="18"/>
    <col hidden="1" width="28" customWidth="1" style="99" min="19" max="19"/>
    <col width="53.1328125" customWidth="1" style="99" min="20" max="20"/>
    <col hidden="1" width="26.6640625" customWidth="1" style="99" min="21" max="21"/>
    <col width="25.796875" customWidth="1" style="99" min="22" max="22"/>
    <col width="30.796875" customWidth="1" style="99" min="23" max="23"/>
  </cols>
  <sheetData>
    <row r="1">
      <c r="F1">
        <f>COUNTA(F4:F5780)</f>
        <v/>
      </c>
      <c r="G1" s="77">
        <f>SUBTOTAL(103,G4:G5820)</f>
        <v/>
      </c>
      <c r="H1" s="77">
        <f>COUNTIF(H4:H5780,"*Đúng*")&amp;" đúng / "&amp;COUNTA(G4:G5780)&amp;" đã viết"</f>
        <v/>
      </c>
      <c r="K1">
        <f>COUNTA(K4:K502)</f>
        <v/>
      </c>
      <c r="L1">
        <f>COUNTA(L4:L502)</f>
        <v/>
      </c>
      <c r="M1">
        <f>COUNTA(M4:M502)</f>
        <v/>
      </c>
      <c r="N1">
        <f>COUNTA(N4:N502)</f>
        <v/>
      </c>
      <c r="O1">
        <f>COUNTA(O4:O502)</f>
        <v/>
      </c>
      <c r="P1">
        <f>COUNTA(P4:P502)</f>
        <v/>
      </c>
      <c r="Q1">
        <f>COUNTA(Q4:Q502)</f>
        <v/>
      </c>
      <c r="U1">
        <f>COUNTA(U4:U5780)&amp;" từ"</f>
        <v/>
      </c>
    </row>
    <row r="2" ht="30" customHeight="1" s="99">
      <c r="A2" s="50" t="inlineStr">
        <is>
          <t>🀄 TỪ VỰNG HSK1 + HSK2 — 575 TỪ | Chiết tự · Chủ đề · Tự chấm | Cập nhật 2026-08-02</t>
        </is>
      </c>
    </row>
    <row r="3">
      <c r="A3" s="1" t="inlineStr">
        <is>
          <t>STT</t>
        </is>
      </c>
      <c r="B3" s="1" t="inlineStr">
        <is>
          <t>CẤP ĐỘ</t>
        </is>
      </c>
      <c r="C3" s="1" t="inlineStr">
        <is>
          <t>🀄 HÁN TỰ</t>
        </is>
      </c>
      <c r="D3" s="1" t="inlineStr">
        <is>
          <t>🔊 PINYIN</t>
        </is>
      </c>
      <c r="E3" s="1" t="inlineStr">
        <is>
          <t>🇻🇳 TIẾNG VIỆT</t>
        </is>
      </c>
      <c r="F3" s="1" t="inlineStr">
        <is>
          <t>📝 VIẾT THỬ 1</t>
        </is>
      </c>
      <c r="G3" s="1" t="inlineStr">
        <is>
          <t>📝 VIẾT THỬ 2</t>
        </is>
      </c>
      <c r="H3" s="1" t="inlineStr">
        <is>
          <t>✅ ĐÁP ÁN</t>
        </is>
      </c>
      <c r="I3" s="1" t="inlineStr">
        <is>
          <t>🎵 AUDIO</t>
        </is>
      </c>
      <c r="J3" s="1" t="inlineStr">
        <is>
          <t>🌐 YOUGLISH</t>
        </is>
      </c>
      <c r="K3" s="1" t="inlineStr">
        <is>
          <t>DAY 1</t>
        </is>
      </c>
      <c r="L3" s="1" t="inlineStr">
        <is>
          <t>DAY 2</t>
        </is>
      </c>
      <c r="M3" s="1" t="inlineStr">
        <is>
          <t>DAY 3</t>
        </is>
      </c>
      <c r="N3" s="1" t="inlineStr">
        <is>
          <t>DAY 4</t>
        </is>
      </c>
      <c r="O3" s="1" t="inlineStr">
        <is>
          <t>DAY 5</t>
        </is>
      </c>
      <c r="P3" s="1" t="inlineStr">
        <is>
          <t>DAY 6</t>
        </is>
      </c>
      <c r="Q3" s="1" t="inlineStr">
        <is>
          <t>DAY 7</t>
        </is>
      </c>
      <c r="R3" s="1" t="inlineStr">
        <is>
          <t>📅 NGÀY THÊM</t>
        </is>
      </c>
      <c r="S3" s="16" t="inlineStr">
        <is>
          <t>⚠️ GHI CHÚ</t>
        </is>
      </c>
      <c r="T3" s="19" t="inlineStr">
        <is>
          <t>🧩 CHIẾT TỰ &amp; Ý NGHĨA HÁN TỰ</t>
        </is>
      </c>
      <c r="U3" s="20" t="inlineStr">
        <is>
          <t>📂 CHỦ ĐỀ</t>
        </is>
      </c>
      <c r="V3" s="62" t="inlineStr">
        <is>
          <t>💡 CÂU VÍ DỤ (Hán tự)</t>
        </is>
      </c>
      <c r="W3" s="62" t="inlineStr">
        <is>
          <t>🔤 PINYIN &amp; NGHĨA</t>
        </is>
      </c>
    </row>
    <row r="4" hidden="1" ht="58.15" customHeight="1" s="99">
      <c r="A4" s="2" t="n">
        <v>7</v>
      </c>
      <c r="B4" s="3" t="inlineStr">
        <is>
          <t>HSK1</t>
        </is>
      </c>
      <c r="C4" s="4" t="inlineStr">
        <is>
          <t>白天</t>
        </is>
      </c>
      <c r="D4" s="5" t="inlineStr">
        <is>
          <t>báitiān</t>
        </is>
      </c>
      <c r="E4" s="6" t="inlineStr">
        <is>
          <t>ban ngày</t>
        </is>
      </c>
      <c r="F4" s="7" t="inlineStr">
        <is>
          <t>白天</t>
        </is>
      </c>
      <c r="G4" s="7" t="inlineStr">
        <is>
          <t>白天</t>
        </is>
      </c>
      <c r="H4" s="8">
        <f>IF(TRIM($G4)="","",IF(EXACT(TRIM($G4),TRIM($C4)),"✅ Đúng","❌ Sai"))</f>
        <v/>
      </c>
      <c r="I4" s="9">
        <f>HYPERLINK("https://translate.google.com/translate_tts?ie=UTF-8&amp;tl=zh-CN&amp;client=tw-ob&amp;q=白天","▶")</f>
        <v/>
      </c>
      <c r="J4" s="9">
        <f>HYPERLINK("https://youglish.com/pronounce/白天/chinese","🔍")</f>
        <v/>
      </c>
      <c r="K4" s="10" t="n"/>
      <c r="L4" s="11" t="n"/>
      <c r="M4" s="10" t="n"/>
      <c r="N4" s="11" t="n"/>
      <c r="O4" s="10" t="n"/>
      <c r="P4" s="11" t="n"/>
      <c r="Q4" s="10" t="n"/>
      <c r="R4" s="12" t="inlineStr">
        <is>
          <t>2026-06-17</t>
        </is>
      </c>
      <c r="S4" s="17" t="n"/>
      <c r="T4" s="21" t="inlineStr">
        <is>
          <t>白 [BẠCH] · trắng; rõ ràng; uổng công
    ↳ Chiết tự: bộ 白 (bạch) — hình tia nắng đầu tiên ló rạng
天 [THIÊN] · trời, ngày, thiên nhiên
    ↳ Chiết tự: bộ 大 (đại – người) + 一 (nhất) trên đầu — khoảng cao nhất trên đầu người</t>
        </is>
      </c>
      <c r="U4" s="22" t="inlineStr">
        <is>
          <t>⏰ Thời gian &amp; Ngày tháng</t>
        </is>
      </c>
      <c r="V4" s="63" t="inlineStr">
        <is>
          <t>白天很热，晚上很凉。</t>
        </is>
      </c>
      <c r="W4" s="64" t="inlineStr">
        <is>
          <t>Báitiān hěn rè, wǎnshang hěn liáng.
Ban ngày rất nóng, buổi tối thì mát.</t>
        </is>
      </c>
    </row>
    <row r="5" hidden="1" ht="69.75" customHeight="1" s="99">
      <c r="A5" s="2" t="n">
        <v>11</v>
      </c>
      <c r="B5" s="3" t="inlineStr">
        <is>
          <t>HSK1</t>
        </is>
      </c>
      <c r="C5" s="4" t="inlineStr">
        <is>
          <t>半年</t>
        </is>
      </c>
      <c r="D5" s="5" t="inlineStr">
        <is>
          <t>bànnián</t>
        </is>
      </c>
      <c r="E5" s="6" t="inlineStr">
        <is>
          <t>nửa năm</t>
        </is>
      </c>
      <c r="F5" s="7" t="inlineStr">
        <is>
          <t>半年</t>
        </is>
      </c>
      <c r="G5" s="7" t="inlineStr">
        <is>
          <t>半年</t>
        </is>
      </c>
      <c r="H5" s="8">
        <f>IF(TRIM($G5)="","",IF(EXACT(TRIM($G5),TRIM($C5)),"✅ Đúng","❌ Sai"))</f>
        <v/>
      </c>
      <c r="I5" s="9">
        <f>HYPERLINK("https://translate.google.com/translate_tts?ie=UTF-8&amp;tl=zh-CN&amp;client=tw-ob&amp;q=半年","▶")</f>
        <v/>
      </c>
      <c r="J5" s="9">
        <f>HYPERLINK("https://youglish.com/pronounce/半年/chinese","🔍")</f>
        <v/>
      </c>
      <c r="K5" s="10" t="n"/>
      <c r="L5" s="11" t="n"/>
      <c r="M5" s="10" t="n"/>
      <c r="N5" s="11" t="n"/>
      <c r="O5" s="10" t="n"/>
      <c r="P5" s="11" t="n"/>
      <c r="Q5" s="10" t="n"/>
      <c r="R5" s="12" t="inlineStr">
        <is>
          <t>2026-06-17</t>
        </is>
      </c>
      <c r="S5" s="17" t="n"/>
      <c r="T5" s="21" t="inlineStr">
        <is>
          <t>半 [BÁN] · một nửa, phân nửa
    ↳ Chiết tự: bộ 八 (bát – chia) + 牛 (ngưu – con trâu) — xẻ đôi con trâu
年 [NIÊN] · năm, tuổi
    ↳ Chiết tự: bộ 干 (can) + 丿 — hình người gánh lúa chín, một vụ lúa là một năm</t>
        </is>
      </c>
      <c r="U5" s="22" t="inlineStr">
        <is>
          <t>⏰ Thời gian &amp; Ngày tháng</t>
        </is>
      </c>
      <c r="V5" s="63" t="inlineStr">
        <is>
          <t>我学中文已经半年了。</t>
        </is>
      </c>
      <c r="W5" s="64" t="inlineStr">
        <is>
          <t>Wǒ xué Zhōngwén yǐjīng bànnián le.
Tôi học tiếng Trung đã nửa năm rồi.</t>
        </is>
      </c>
    </row>
    <row r="6" hidden="1" ht="69.75" customHeight="1" s="99">
      <c r="A6" s="2" t="n">
        <v>12</v>
      </c>
      <c r="B6" s="3" t="inlineStr">
        <is>
          <t>HSK1</t>
        </is>
      </c>
      <c r="C6" s="4" t="inlineStr">
        <is>
          <t>半天</t>
        </is>
      </c>
      <c r="D6" s="5" t="inlineStr">
        <is>
          <t>bàntiān</t>
        </is>
      </c>
      <c r="E6" s="6" t="inlineStr">
        <is>
          <t>nửa ngày</t>
        </is>
      </c>
      <c r="F6" s="7" t="inlineStr">
        <is>
          <t>半天</t>
        </is>
      </c>
      <c r="G6" s="7" t="inlineStr">
        <is>
          <t>半天</t>
        </is>
      </c>
      <c r="H6" s="8">
        <f>IF(TRIM($G6)="","",IF(EXACT(TRIM($G6),TRIM($C6)),"✅ Đúng","❌ Sai"))</f>
        <v/>
      </c>
      <c r="I6" s="9">
        <f>HYPERLINK("https://translate.google.com/translate_tts?ie=UTF-8&amp;tl=zh-CN&amp;client=tw-ob&amp;q=半天","▶")</f>
        <v/>
      </c>
      <c r="J6" s="9">
        <f>HYPERLINK("https://youglish.com/pronounce/半天/chinese","🔍")</f>
        <v/>
      </c>
      <c r="K6" s="10" t="n"/>
      <c r="L6" s="11" t="n"/>
      <c r="M6" s="10" t="n"/>
      <c r="N6" s="11" t="n"/>
      <c r="O6" s="10" t="n"/>
      <c r="P6" s="11" t="n"/>
      <c r="Q6" s="10" t="n"/>
      <c r="R6" s="12" t="inlineStr">
        <is>
          <t>2026-06-17</t>
        </is>
      </c>
      <c r="S6" s="18" t="n"/>
      <c r="T6" s="21" t="inlineStr">
        <is>
          <t>半 [BÁN] · một nửa, phân nửa
    ↳ Chiết tự: bộ 八 (bát – chia) + 牛 (ngưu – con trâu) — xẻ đôi con trâu
天 [THIÊN] · trời, ngày, thiên nhiên
    ↳ Chiết tự: bộ 大 (đại – người) + 一 (nhất) trên đầu — khoảng cao nhất trên đầu người</t>
        </is>
      </c>
      <c r="U6" s="22" t="inlineStr">
        <is>
          <t>⏰ Thời gian &amp; Ngày tháng</t>
        </is>
      </c>
      <c r="V6" s="63" t="inlineStr">
        <is>
          <t>我等了你半天。</t>
        </is>
      </c>
      <c r="W6" s="64" t="inlineStr">
        <is>
          <t>Wǒ děng le nǐ bàntiān.
Tôi đợi bạn cả nửa ngày.</t>
        </is>
      </c>
    </row>
    <row r="7" hidden="1" ht="34.9" customHeight="1" s="99">
      <c r="A7" s="2" t="n">
        <v>76</v>
      </c>
      <c r="B7" s="25" t="inlineStr">
        <is>
          <t>HSK1+2</t>
        </is>
      </c>
      <c r="C7" s="4" t="inlineStr">
        <is>
          <t>点</t>
        </is>
      </c>
      <c r="D7" s="5" t="inlineStr">
        <is>
          <t>diǎn</t>
        </is>
      </c>
      <c r="E7" s="6" t="inlineStr">
        <is>
          <t>ít, chút, hơi; giờ</t>
        </is>
      </c>
      <c r="F7" s="7" t="n"/>
      <c r="G7" s="7" t="inlineStr">
        <is>
          <t>点</t>
        </is>
      </c>
      <c r="H7" s="8">
        <f>IF(TRIM($G7)="","",IF(EXACT(TRIM($G7),TRIM($C7)),"✅ Đúng","❌ Sai"))</f>
        <v/>
      </c>
      <c r="I7" s="9">
        <f>HYPERLINK("https://translate.google.com/translate_tts?ie=UTF-8&amp;tl=zh-CN&amp;client=tw-ob&amp;q=点","▶")</f>
        <v/>
      </c>
      <c r="J7" s="9">
        <f>HYPERLINK("https://youglish.com/pronounce/点/chinese","🔍")</f>
        <v/>
      </c>
      <c r="K7" s="10" t="n"/>
      <c r="L7" s="11" t="n"/>
      <c r="M7" s="10" t="n"/>
      <c r="N7" s="11" t="n"/>
      <c r="O7" s="10" t="n"/>
      <c r="P7" s="11" t="n"/>
      <c r="Q7" s="10" t="n"/>
      <c r="R7" s="12" t="inlineStr">
        <is>
          <t>2026-06-17</t>
        </is>
      </c>
      <c r="S7" s="18" t="n"/>
      <c r="T7" s="21" t="inlineStr">
        <is>
          <t>点 [ĐIỂM] · chấm, điểm; giờ; gọi món
    ↳ Chiết tự: giản thể của 點: bộ 灬 (hỏa – lửa) + 占 (chiếm – âm đọc) — chấm đen do lửa, đốm nhỏ</t>
        </is>
      </c>
      <c r="U7" s="22" t="inlineStr">
        <is>
          <t>⏰ Thời gian &amp; Ngày tháng</t>
        </is>
      </c>
      <c r="V7" s="63" t="inlineStr">
        <is>
          <t>现在是八点半。</t>
        </is>
      </c>
      <c r="W7" s="64" t="inlineStr">
        <is>
          <t>Xiànzài shì bā diǎn bàn.
Bây giờ là tám giờ ba mươi.</t>
        </is>
      </c>
    </row>
    <row r="8" hidden="1" ht="34.9" customHeight="1" s="99">
      <c r="A8" s="2" t="n">
        <v>147</v>
      </c>
      <c r="B8" s="3" t="inlineStr">
        <is>
          <t>HSK1</t>
        </is>
      </c>
      <c r="C8" s="4" t="inlineStr">
        <is>
          <t>后</t>
        </is>
      </c>
      <c r="D8" s="5" t="inlineStr">
        <is>
          <t>hòu</t>
        </is>
      </c>
      <c r="E8" s="6" t="inlineStr">
        <is>
          <t>sau</t>
        </is>
      </c>
      <c r="F8" s="7" t="inlineStr">
        <is>
          <t>后</t>
        </is>
      </c>
      <c r="G8" s="7" t="inlineStr">
        <is>
          <t>后</t>
        </is>
      </c>
      <c r="H8" s="8">
        <f>IF(TRIM($G8)="","",IF(EXACT(TRIM($G8),TRIM($C8)),"✅ Đúng","❌ Sai"))</f>
        <v/>
      </c>
      <c r="I8" s="9">
        <f>HYPERLINK("https://translate.google.com/translate_tts?ie=UTF-8&amp;tl=zh-CN&amp;client=tw-ob&amp;q=后","▶")</f>
        <v/>
      </c>
      <c r="J8" s="9">
        <f>HYPERLINK("https://youglish.com/pronounce/后/chinese","🔍")</f>
        <v/>
      </c>
      <c r="K8" s="10" t="n"/>
      <c r="L8" s="11" t="n"/>
      <c r="M8" s="10" t="n"/>
      <c r="N8" s="11" t="n"/>
      <c r="O8" s="10" t="n"/>
      <c r="P8" s="11" t="n"/>
      <c r="Q8" s="10" t="n"/>
      <c r="R8" s="12" t="inlineStr">
        <is>
          <t>2026-06-17</t>
        </is>
      </c>
      <c r="S8" s="17" t="n"/>
      <c r="T8" s="21" t="inlineStr">
        <is>
          <t>后 [HẬU] · phía sau, sau này; hoàng hậu
    ↳ Chiết tự: bộ 厂 (hán) + 一 + 口 (khẩu) — người quay ngoái lại phía sau</t>
        </is>
      </c>
      <c r="U8" s="22" t="inlineStr">
        <is>
          <t>⏰ Thời gian &amp; Ngày tháng</t>
        </is>
      </c>
      <c r="V8" s="63" t="inlineStr">
        <is>
          <t>吃饭后我去散步。</t>
        </is>
      </c>
      <c r="W8" s="64" t="inlineStr">
        <is>
          <t>Chīfàn hòu wǒ qù sànbù.
Sau khi ăn cơm tôi đi dạo.</t>
        </is>
      </c>
    </row>
    <row r="9" hidden="1" ht="69.75" customHeight="1" s="99">
      <c r="A9" s="2" t="n">
        <v>149</v>
      </c>
      <c r="B9" s="3" t="inlineStr">
        <is>
          <t>HSK1</t>
        </is>
      </c>
      <c r="C9" s="4" t="inlineStr">
        <is>
          <t>后天</t>
        </is>
      </c>
      <c r="D9" s="5" t="inlineStr">
        <is>
          <t>hòutiān</t>
        </is>
      </c>
      <c r="E9" s="6" t="inlineStr">
        <is>
          <t>ngày kia</t>
        </is>
      </c>
      <c r="F9" s="7" t="inlineStr">
        <is>
          <t>后天</t>
        </is>
      </c>
      <c r="G9" s="7" t="inlineStr">
        <is>
          <t>后天</t>
        </is>
      </c>
      <c r="H9" s="8">
        <f>IF(TRIM($G9)="","",IF(EXACT(TRIM($G9),TRIM($C9)),"✅ Đúng","❌ Sai"))</f>
        <v/>
      </c>
      <c r="I9" s="9">
        <f>HYPERLINK("https://translate.google.com/translate_tts?ie=UTF-8&amp;tl=zh-CN&amp;client=tw-ob&amp;q=后天","▶")</f>
        <v/>
      </c>
      <c r="J9" s="9">
        <f>HYPERLINK("https://youglish.com/pronounce/后天/chinese","🔍")</f>
        <v/>
      </c>
      <c r="K9" s="10" t="n"/>
      <c r="L9" s="11" t="n"/>
      <c r="M9" s="10" t="n"/>
      <c r="N9" s="11" t="n"/>
      <c r="O9" s="10" t="n"/>
      <c r="P9" s="11" t="n"/>
      <c r="Q9" s="10" t="n"/>
      <c r="R9" s="12" t="inlineStr">
        <is>
          <t>2026-06-17</t>
        </is>
      </c>
      <c r="S9" s="17" t="n"/>
      <c r="T9" s="21" t="inlineStr">
        <is>
          <t>后 [HẬU] · phía sau, sau này; hoàng hậu
    ↳ Chiết tự: bộ 厂 (hán) + 一 + 口 (khẩu) — người quay ngoái lại phía sau
天 [THIÊN] · trời, ngày, thiên nhiên
    ↳ Chiết tự: bộ 大 (đại – người) + 一 (nhất) trên đầu — khoảng cao nhất trên đầu người</t>
        </is>
      </c>
      <c r="U9" s="22" t="inlineStr">
        <is>
          <t>⏰ Thời gian &amp; Ngày tháng</t>
        </is>
      </c>
      <c r="V9" s="63" t="inlineStr">
        <is>
          <t>后天是我的生日。</t>
        </is>
      </c>
      <c r="W9" s="64" t="inlineStr">
        <is>
          <t>Hòutiān shì wǒ de shēngri.
Ngày mai nữa là sinh nhật tôi.</t>
        </is>
      </c>
    </row>
    <row r="10" hidden="1" ht="34.9" customHeight="1" s="99">
      <c r="A10" s="2" t="n">
        <v>172</v>
      </c>
      <c r="B10" s="3" t="inlineStr">
        <is>
          <t>HSK1</t>
        </is>
      </c>
      <c r="C10" s="4" t="inlineStr">
        <is>
          <t>间</t>
        </is>
      </c>
      <c r="D10" s="5" t="inlineStr">
        <is>
          <t>jiān</t>
        </is>
      </c>
      <c r="E10" s="6" t="inlineStr">
        <is>
          <t>giữa</t>
        </is>
      </c>
      <c r="F10" s="7" t="n"/>
      <c r="G10" s="7" t="inlineStr">
        <is>
          <t>间</t>
        </is>
      </c>
      <c r="H10" s="8">
        <f>IF(TRIM($G10)="","",IF(EXACT(TRIM($G10),TRIM($C10)),"✅ Đúng","❌ Sai"))</f>
        <v/>
      </c>
      <c r="I10" s="9">
        <f>HYPERLINK("https://translate.google.com/translate_tts?ie=UTF-8&amp;tl=zh-CN&amp;client=tw-ob&amp;q=间","▶")</f>
        <v/>
      </c>
      <c r="J10" s="9">
        <f>HYPERLINK("https://youglish.com/pronounce/间/chinese","🔍")</f>
        <v/>
      </c>
      <c r="K10" s="10" t="n"/>
      <c r="L10" s="11" t="n"/>
      <c r="M10" s="10" t="n"/>
      <c r="N10" s="11" t="n"/>
      <c r="O10" s="10" t="n"/>
      <c r="P10" s="11" t="n"/>
      <c r="Q10" s="10" t="n"/>
      <c r="R10" s="12" t="inlineStr">
        <is>
          <t>2026-06-17</t>
        </is>
      </c>
      <c r="S10" s="18" t="n"/>
      <c r="T10" s="21" t="inlineStr">
        <is>
          <t>间 [GIAN] · khoảng giữa; gian (lượng từ phòng)
    ↳ Chiết tự: giản thể của 間: bộ 门 (môn – cửa) + 日 (nhật – mặt trời) — nắng lọt qua khe cửa</t>
        </is>
      </c>
      <c r="U10" s="22" t="inlineStr">
        <is>
          <t>⏰ Thời gian &amp; Ngày tháng</t>
        </is>
      </c>
      <c r="V10" s="63" t="inlineStr">
        <is>
          <t>这两天之间没有休息。</t>
        </is>
      </c>
      <c r="W10" s="64" t="inlineStr">
        <is>
          <t>Zhè liǎng tiān zhījiān méiyǒu xiūxi.
Giữa hai ngày này không có nghỉ.</t>
        </is>
      </c>
    </row>
    <row r="11" hidden="1" ht="69.75" customHeight="1" s="99">
      <c r="A11" s="2" t="n">
        <v>180</v>
      </c>
      <c r="B11" s="3" t="inlineStr">
        <is>
          <t>HSK1</t>
        </is>
      </c>
      <c r="C11" s="4" t="inlineStr">
        <is>
          <t>今年</t>
        </is>
      </c>
      <c r="D11" s="5" t="inlineStr">
        <is>
          <t>jīnnián</t>
        </is>
      </c>
      <c r="E11" s="6" t="inlineStr">
        <is>
          <t>năm nay</t>
        </is>
      </c>
      <c r="F11" s="13" t="inlineStr">
        <is>
          <t>今年</t>
        </is>
      </c>
      <c r="G11" s="7" t="inlineStr">
        <is>
          <t>今年</t>
        </is>
      </c>
      <c r="H11" s="8">
        <f>IF(TRIM($G11)="","",IF(EXACT(TRIM($G11),TRIM($C11)),"✅ Đúng","❌ Sai"))</f>
        <v/>
      </c>
      <c r="I11" s="9">
        <f>HYPERLINK("https://translate.google.com/translate_tts?ie=UTF-8&amp;tl=zh-CN&amp;client=tw-ob&amp;q=今年","▶")</f>
        <v/>
      </c>
      <c r="J11" s="9">
        <f>HYPERLINK("https://youglish.com/pronounce/今年/chinese","🔍")</f>
        <v/>
      </c>
      <c r="K11" s="10" t="n"/>
      <c r="L11" s="11" t="n"/>
      <c r="M11" s="10" t="n"/>
      <c r="N11" s="11" t="n"/>
      <c r="O11" s="10" t="n"/>
      <c r="P11" s="11" t="n"/>
      <c r="Q11" s="10" t="n"/>
      <c r="R11" s="12" t="inlineStr">
        <is>
          <t>2026-06-17</t>
        </is>
      </c>
      <c r="S11" s="18" t="n"/>
      <c r="T11" s="21" t="inlineStr">
        <is>
          <t>今 [KIM] · nay, hiện nay
    ↳ Chiết tự: bộ 人 (nhân) trùm lên 一 (nhất) — khoảnh khắc đang ở ngay dưới ta
年 [NIÊN] · năm, tuổi
    ↳ Chiết tự: bộ 干 (can) + 丿 — hình người gánh lúa chín, một vụ lúa là một năm</t>
        </is>
      </c>
      <c r="U11" s="22" t="inlineStr">
        <is>
          <t>⏰ Thời gian &amp; Ngày tháng</t>
        </is>
      </c>
      <c r="V11" s="63" t="inlineStr">
        <is>
          <t>今年我二十岁。</t>
        </is>
      </c>
      <c r="W11" s="64" t="inlineStr">
        <is>
          <t>Jīnnián wǒ èrshí suì.
Năm nay tôi hai mươi tuổi.</t>
        </is>
      </c>
    </row>
    <row r="12" hidden="1" ht="69.75" customHeight="1" s="99">
      <c r="A12" s="2" t="n">
        <v>181</v>
      </c>
      <c r="B12" s="25" t="inlineStr">
        <is>
          <t>HSK1+2</t>
        </is>
      </c>
      <c r="C12" s="4" t="inlineStr">
        <is>
          <t>今天</t>
        </is>
      </c>
      <c r="D12" s="5" t="inlineStr">
        <is>
          <t>jīntiān</t>
        </is>
      </c>
      <c r="E12" s="6" t="inlineStr">
        <is>
          <t>ngày hôm nay</t>
        </is>
      </c>
      <c r="F12" s="13" t="inlineStr">
        <is>
          <t>今天</t>
        </is>
      </c>
      <c r="G12" s="7" t="inlineStr">
        <is>
          <t>今天</t>
        </is>
      </c>
      <c r="H12" s="8">
        <f>IF(TRIM($G12)="","",IF(EXACT(TRIM($G12),TRIM($C12)),"✅ Đúng","❌ Sai"))</f>
        <v/>
      </c>
      <c r="I12" s="9">
        <f>HYPERLINK("https://translate.google.com/translate_tts?ie=UTF-8&amp;tl=zh-CN&amp;client=tw-ob&amp;q=今天","▶")</f>
        <v/>
      </c>
      <c r="J12" s="9">
        <f>HYPERLINK("https://youglish.com/pronounce/今天/chinese","🔍")</f>
        <v/>
      </c>
      <c r="K12" s="10" t="n"/>
      <c r="L12" s="11" t="n"/>
      <c r="M12" s="10" t="n"/>
      <c r="N12" s="11" t="n"/>
      <c r="O12" s="10" t="n"/>
      <c r="P12" s="11" t="n"/>
      <c r="Q12" s="10" t="n"/>
      <c r="R12" s="12" t="inlineStr">
        <is>
          <t>2026-06-17</t>
        </is>
      </c>
      <c r="S12" s="17" t="n"/>
      <c r="T12" s="21" t="inlineStr">
        <is>
          <t>今 [KIM] · nay, hiện nay
    ↳ Chiết tự: bộ 人 (nhân) trùm lên 一 (nhất) — khoảnh khắc đang ở ngay dưới ta
天 [THIÊN] · trời, ngày, thiên nhiên
    ↳ Chiết tự: bộ 大 (đại – người) + 一 (nhất) trên đầu — khoảng cao nhất trên đầu người</t>
        </is>
      </c>
      <c r="U12" s="22" t="inlineStr">
        <is>
          <t>⏰ Thời gian &amp; Ngày tháng</t>
        </is>
      </c>
      <c r="V12" s="63" t="inlineStr">
        <is>
          <t>今天天气很好。</t>
        </is>
      </c>
      <c r="W12" s="64" t="inlineStr">
        <is>
          <t>Jīntiān tiānqì hěn hǎo.
Hôm nay thời tiết rất đẹp.</t>
        </is>
      </c>
    </row>
    <row r="13" hidden="1" ht="69.75" customHeight="1" s="99">
      <c r="A13" s="2" t="n">
        <v>222</v>
      </c>
      <c r="B13" s="60" t="inlineStr">
        <is>
          <t>HSK1+3</t>
        </is>
      </c>
      <c r="C13" s="4" t="inlineStr">
        <is>
          <t>马上</t>
        </is>
      </c>
      <c r="D13" s="5" t="inlineStr">
        <is>
          <t>mǎshàng</t>
        </is>
      </c>
      <c r="E13" s="6" t="inlineStr">
        <is>
          <t>ngay lập tức</t>
        </is>
      </c>
      <c r="F13" s="7" t="n"/>
      <c r="G13" s="7" t="inlineStr">
        <is>
          <t>马上</t>
        </is>
      </c>
      <c r="H13" s="8">
        <f>IF(TRIM($G13)="","",IF(EXACT(TRIM($G13),TRIM($C13)),"✅ Đúng","❌ Sai"))</f>
        <v/>
      </c>
      <c r="I13" s="9">
        <f>HYPERLINK("https://translate.google.com/translate_tts?ie=UTF-8&amp;tl=zh-CN&amp;client=tw-ob&amp;q=马上","▶")</f>
        <v/>
      </c>
      <c r="J13" s="9">
        <f>HYPERLINK("https://youglish.com/pronounce/马上/chinese","🔍")</f>
        <v/>
      </c>
      <c r="K13" s="10" t="n"/>
      <c r="L13" s="11" t="n"/>
      <c r="M13" s="10" t="n"/>
      <c r="N13" s="11" t="n"/>
      <c r="O13" s="10" t="n"/>
      <c r="P13" s="11" t="n"/>
      <c r="Q13" s="10" t="n"/>
      <c r="R13" s="12" t="inlineStr">
        <is>
          <t>2026-06-17</t>
        </is>
      </c>
      <c r="S13" s="18" t="n"/>
      <c r="T13" s="21" t="inlineStr">
        <is>
          <t>马 [MÃ] · con ngựa
    ↳ Chiết tự: giản thể của 馬: bộ 马 (mã) — hình ngựa có bờm và bốn vó
上 [THƯỢNG] · ở trên, lên, trước đó
    ↳ Chiết tự: bộ 一 (nhất – mặt đất) + vạch chỉ hướng lên — chữ chỉ sự</t>
        </is>
      </c>
      <c r="U13" s="22" t="inlineStr">
        <is>
          <t>⏰ Thời gian &amp; Ngày tháng</t>
        </is>
      </c>
      <c r="V13" s="63" t="inlineStr">
        <is>
          <t>我马上就来。</t>
        </is>
      </c>
      <c r="W13" s="64" t="inlineStr">
        <is>
          <t>Wǒ mǎshàng jiù lái.
Tôi đến ngay đây.</t>
        </is>
      </c>
    </row>
    <row r="14" hidden="1" ht="69.75" customHeight="1" s="99">
      <c r="A14" s="2" t="n">
        <v>233</v>
      </c>
      <c r="B14" s="3" t="inlineStr">
        <is>
          <t>HSK1</t>
        </is>
      </c>
      <c r="C14" s="4" t="inlineStr">
        <is>
          <t>每天</t>
        </is>
      </c>
      <c r="D14" s="5" t="inlineStr">
        <is>
          <t>měitiān</t>
        </is>
      </c>
      <c r="E14" s="6" t="inlineStr">
        <is>
          <t>mỗi ngày</t>
        </is>
      </c>
      <c r="F14" s="13" t="inlineStr">
        <is>
          <t>每天</t>
        </is>
      </c>
      <c r="G14" s="7" t="inlineStr">
        <is>
          <t>每天</t>
        </is>
      </c>
      <c r="H14" s="8">
        <f>IF(TRIM($G14)="","",IF(EXACT(TRIM($G14),TRIM($C14)),"✅ Đúng","❌ Sai"))</f>
        <v/>
      </c>
      <c r="I14" s="9">
        <f>HYPERLINK("https://translate.google.com/translate_tts?ie=UTF-8&amp;tl=zh-CN&amp;client=tw-ob&amp;q=每天","▶")</f>
        <v/>
      </c>
      <c r="J14" s="9">
        <f>HYPERLINK("https://youglish.com/pronounce/每天/chinese","🔍")</f>
        <v/>
      </c>
      <c r="K14" s="10" t="n"/>
      <c r="L14" s="11" t="n"/>
      <c r="M14" s="10" t="n"/>
      <c r="N14" s="11" t="n"/>
      <c r="O14" s="10" t="n"/>
      <c r="P14" s="11" t="n"/>
      <c r="Q14" s="10" t="n"/>
      <c r="R14" s="12" t="inlineStr">
        <is>
          <t>2026-06-17</t>
        </is>
      </c>
      <c r="S14" s="17" t="n"/>
      <c r="T14" s="21" t="inlineStr">
        <is>
          <t>每 [MỖI] · mỗi, từng
    ↳ Chiết tự: bộ 母 (mẫu – người mẹ) + 丿 — từng người mẹ, từng cái một
天 [THIÊN] · trời, ngày, thiên nhiên
    ↳ Chiết tự: bộ 大 (đại – người) + 一 (nhất) trên đầu — khoảng cao nhất trên đầu người</t>
        </is>
      </c>
      <c r="U14" s="22" t="inlineStr">
        <is>
          <t>⏰ Thời gian &amp; Ngày tháng</t>
        </is>
      </c>
      <c r="V14" s="63" t="inlineStr">
        <is>
          <t>我每天六点起床。</t>
        </is>
      </c>
      <c r="W14" s="64" t="inlineStr">
        <is>
          <t>Wǒ měitiān liù diǎn qǐchuáng.
Tôi dậy lúc sáu giờ mỗi ngày.</t>
        </is>
      </c>
    </row>
    <row r="15" hidden="1" ht="69.75" customHeight="1" s="99">
      <c r="A15" s="2" t="n">
        <v>243</v>
      </c>
      <c r="B15" s="25" t="inlineStr">
        <is>
          <t>HSK1+2</t>
        </is>
      </c>
      <c r="C15" s="4" t="inlineStr">
        <is>
          <t>明天</t>
        </is>
      </c>
      <c r="D15" s="5" t="inlineStr">
        <is>
          <t>míngtiān</t>
        </is>
      </c>
      <c r="E15" s="6" t="inlineStr">
        <is>
          <t>ngày mai</t>
        </is>
      </c>
      <c r="F15" s="13" t="inlineStr">
        <is>
          <t>明天</t>
        </is>
      </c>
      <c r="G15" s="7" t="inlineStr">
        <is>
          <t>明天</t>
        </is>
      </c>
      <c r="H15" s="8">
        <f>IF(TRIM($G15)="","",IF(EXACT(TRIM($G15),TRIM($C15)),"✅ Đúng","❌ Sai"))</f>
        <v/>
      </c>
      <c r="I15" s="9">
        <f>HYPERLINK("https://translate.google.com/translate_tts?ie=UTF-8&amp;tl=zh-CN&amp;client=tw-ob&amp;q=明天","▶")</f>
        <v/>
      </c>
      <c r="J15" s="9">
        <f>HYPERLINK("https://youglish.com/pronounce/明天/chinese","🔍")</f>
        <v/>
      </c>
      <c r="K15" s="10" t="n"/>
      <c r="L15" s="11" t="n"/>
      <c r="M15" s="10" t="n"/>
      <c r="N15" s="11" t="n"/>
      <c r="O15" s="10" t="n"/>
      <c r="P15" s="11" t="n"/>
      <c r="Q15" s="10" t="n"/>
      <c r="R15" s="12" t="inlineStr">
        <is>
          <t>2026-06-17</t>
        </is>
      </c>
      <c r="S15" s="17" t="n"/>
      <c r="T15" s="21" t="inlineStr">
        <is>
          <t>明 [MINH] · sáng sủa, rõ ràng; ngày mai
    ↳ Chiết tự: bộ 日 (nhật – mặt trời) + 月 (nguyệt – mặt trăng) — hai nguồn sáng hợp lại
天 [THIÊN] · trời, ngày, thiên nhiên
    ↳ Chiết tự: bộ 大 (đại – người) + 一 (nhất) trên đầu — khoảng cao nhất trên đầu người</t>
        </is>
      </c>
      <c r="U15" s="22" t="inlineStr">
        <is>
          <t>⏰ Thời gian &amp; Ngày tháng</t>
        </is>
      </c>
      <c r="V15" s="63" t="inlineStr">
        <is>
          <t>明天我们去学校。</t>
        </is>
      </c>
      <c r="W15" s="64" t="inlineStr">
        <is>
          <t>Míngtiān wǒmen qù xuéxiào.
Mai chúng tôi đi đến trường.</t>
        </is>
      </c>
    </row>
    <row r="16" hidden="1" ht="34.9" customHeight="1" s="99">
      <c r="A16" s="2" t="n">
        <v>263</v>
      </c>
      <c r="B16" s="25" t="inlineStr">
        <is>
          <t>HSK1+2</t>
        </is>
      </c>
      <c r="C16" s="4" t="inlineStr">
        <is>
          <t>年</t>
        </is>
      </c>
      <c r="D16" s="5" t="inlineStr">
        <is>
          <t>nián</t>
        </is>
      </c>
      <c r="E16" s="6" t="inlineStr">
        <is>
          <t>năm</t>
        </is>
      </c>
      <c r="F16" s="13" t="inlineStr">
        <is>
          <t>年</t>
        </is>
      </c>
      <c r="G16" s="7" t="inlineStr">
        <is>
          <t>年</t>
        </is>
      </c>
      <c r="H16" s="8">
        <f>IF(TRIM($G16)="","",IF(EXACT(TRIM($G16),TRIM($C16)),"✅ Đúng","❌ Sai"))</f>
        <v/>
      </c>
      <c r="I16" s="9">
        <f>HYPERLINK("https://translate.google.com/translate_tts?ie=UTF-8&amp;tl=zh-CN&amp;client=tw-ob&amp;q=年","▶")</f>
        <v/>
      </c>
      <c r="J16" s="9">
        <f>HYPERLINK("https://youglish.com/pronounce/年/chinese","🔍")</f>
        <v/>
      </c>
      <c r="K16" s="10" t="n"/>
      <c r="L16" s="11" t="n"/>
      <c r="M16" s="10" t="n"/>
      <c r="N16" s="11" t="n"/>
      <c r="O16" s="10" t="n"/>
      <c r="P16" s="11" t="n"/>
      <c r="Q16" s="10" t="n"/>
      <c r="R16" s="12" t="inlineStr">
        <is>
          <t>2026-06-17</t>
        </is>
      </c>
      <c r="S16" s="17" t="n"/>
      <c r="T16" s="21" t="inlineStr">
        <is>
          <t>年 [NIÊN] · năm, tuổi
    ↳ Chiết tự: bộ 干 (can) + 丿 — hình người gánh lúa chín, một vụ lúa là một năm</t>
        </is>
      </c>
      <c r="U16" s="22" t="inlineStr">
        <is>
          <t>⏰ Thời gian &amp; Ngày tháng</t>
        </is>
      </c>
      <c r="V16" s="63" t="inlineStr">
        <is>
          <t>我在中国住了三年。</t>
        </is>
      </c>
      <c r="W16" s="64" t="inlineStr">
        <is>
          <t>Wǒ zài Zhōngguó zhù le sān nián.
Tôi đã ở Trung Quốc ba năm.</t>
        </is>
      </c>
    </row>
    <row r="17" hidden="1" ht="69.75" customHeight="1" s="99">
      <c r="A17" s="2" t="n">
        <v>283</v>
      </c>
      <c r="B17" s="3" t="inlineStr">
        <is>
          <t>HSK1</t>
        </is>
      </c>
      <c r="C17" s="4" t="inlineStr">
        <is>
          <t>前天</t>
        </is>
      </c>
      <c r="D17" s="5" t="inlineStr">
        <is>
          <t>qiántiān</t>
        </is>
      </c>
      <c r="E17" s="6" t="inlineStr">
        <is>
          <t>hôm kia</t>
        </is>
      </c>
      <c r="F17" s="13" t="inlineStr">
        <is>
          <t>前天</t>
        </is>
      </c>
      <c r="G17" s="7" t="inlineStr">
        <is>
          <t>前天</t>
        </is>
      </c>
      <c r="H17" s="8">
        <f>IF(TRIM($G17)="","",IF(EXACT(TRIM($G17),TRIM($C17)),"✅ Đúng","❌ Sai"))</f>
        <v/>
      </c>
      <c r="I17" s="9">
        <f>HYPERLINK("https://translate.google.com/translate_tts?ie=UTF-8&amp;tl=zh-CN&amp;client=tw-ob&amp;q=前天","▶")</f>
        <v/>
      </c>
      <c r="J17" s="9">
        <f>HYPERLINK("https://youglish.com/pronounce/前天/chinese","🔍")</f>
        <v/>
      </c>
      <c r="K17" s="10" t="n"/>
      <c r="L17" s="11" t="n"/>
      <c r="M17" s="10" t="n"/>
      <c r="N17" s="11" t="n"/>
      <c r="O17" s="10" t="n"/>
      <c r="P17" s="11" t="n"/>
      <c r="Q17" s="10" t="n"/>
      <c r="R17" s="12" t="inlineStr">
        <is>
          <t>2026-06-17</t>
        </is>
      </c>
      <c r="S17" s="18" t="n"/>
      <c r="T17" s="21" t="inlineStr">
        <is>
          <t>前 [TIỀN] · phía trước, trước đây
    ↳ Chiết tự: bộ 丷 (bát) + 月 (nguyệt/nhục) + 刂 (đao đứng) — thuyền và bàn chân tiến lên phía trước
天 [THIÊN] · trời, ngày, thiên nhiên
    ↳ Chiết tự: bộ 大 (đại – người) + 一 (nhất) trên đầu — khoảng cao nhất trên đầu người</t>
        </is>
      </c>
      <c r="U17" s="22" t="inlineStr">
        <is>
          <t>⏰ Thời gian &amp; Ngày tháng</t>
        </is>
      </c>
      <c r="V17" s="63" t="inlineStr">
        <is>
          <t>前天我看了一部电影。</t>
        </is>
      </c>
      <c r="W17" s="64" t="inlineStr">
        <is>
          <t>Qiántiān wǒ kàn le yí bù diànyǐng.
Hôm trước nữa tôi xem một bộ phim.</t>
        </is>
      </c>
    </row>
    <row r="18" hidden="1" ht="69.75" customHeight="1" s="99">
      <c r="A18" s="2" t="n">
        <v>293</v>
      </c>
      <c r="B18" s="25" t="inlineStr">
        <is>
          <t>HSK1+2</t>
        </is>
      </c>
      <c r="C18" s="4" t="inlineStr">
        <is>
          <t>去年</t>
        </is>
      </c>
      <c r="D18" s="5" t="inlineStr">
        <is>
          <t>qùnián</t>
        </is>
      </c>
      <c r="E18" s="6" t="inlineStr">
        <is>
          <t>năm ngoái</t>
        </is>
      </c>
      <c r="F18" s="13" t="inlineStr">
        <is>
          <t>去年</t>
        </is>
      </c>
      <c r="G18" s="7" t="inlineStr">
        <is>
          <t>去年</t>
        </is>
      </c>
      <c r="H18" s="8">
        <f>IF(TRIM($G18)="","",IF(EXACT(TRIM($G18),TRIM($C18)),"✅ Đúng","❌ Sai"))</f>
        <v/>
      </c>
      <c r="I18" s="9">
        <f>HYPERLINK("https://translate.google.com/translate_tts?ie=UTF-8&amp;tl=zh-CN&amp;client=tw-ob&amp;q=去年","▶")</f>
        <v/>
      </c>
      <c r="J18" s="9">
        <f>HYPERLINK("https://youglish.com/pronounce/去年/chinese","🔍")</f>
        <v/>
      </c>
      <c r="K18" s="10" t="n"/>
      <c r="L18" s="11" t="n"/>
      <c r="M18" s="10" t="n"/>
      <c r="N18" s="11" t="n"/>
      <c r="O18" s="10" t="n"/>
      <c r="P18" s="11" t="n"/>
      <c r="Q18" s="10" t="n"/>
      <c r="R18" s="12" t="inlineStr">
        <is>
          <t>2026-06-17</t>
        </is>
      </c>
      <c r="S18" s="18" t="n"/>
      <c r="T18" s="21" t="inlineStr">
        <is>
          <t>去 [KHỨ] · đi, rời khỏi; đã qua
    ↳ Chiết tự: bộ 土 (thổ – đất) + 厶 (tư) — người rời khỏi chỗ đất mà đi
年 [NIÊN] · năm, tuổi
    ↳ Chiết tự: bộ 干 (can) + 丿 — hình người gánh lúa chín, một vụ lúa là một năm</t>
        </is>
      </c>
      <c r="U18" s="22" t="inlineStr">
        <is>
          <t>⏰ Thời gian &amp; Ngày tháng</t>
        </is>
      </c>
      <c r="V18" s="63" t="inlineStr">
        <is>
          <t>去年我去了北京。</t>
        </is>
      </c>
      <c r="W18" s="64" t="inlineStr">
        <is>
          <t>Qùnián wǒ qù le Běijīng.
Năm ngoái tôi đã đi Bắc Kinh.</t>
        </is>
      </c>
    </row>
    <row r="19" hidden="1" ht="23.25" customHeight="1" s="99">
      <c r="A19" s="2" t="n">
        <v>298</v>
      </c>
      <c r="B19" s="25" t="inlineStr">
        <is>
          <t>HSK1+2</t>
        </is>
      </c>
      <c r="C19" s="4" t="inlineStr">
        <is>
          <t>日</t>
        </is>
      </c>
      <c r="D19" s="5" t="inlineStr">
        <is>
          <t>rì</t>
        </is>
      </c>
      <c r="E19" s="6" t="inlineStr">
        <is>
          <t>ngày</t>
        </is>
      </c>
      <c r="F19" s="13" t="inlineStr">
        <is>
          <t>日</t>
        </is>
      </c>
      <c r="G19" s="7" t="inlineStr">
        <is>
          <t>日</t>
        </is>
      </c>
      <c r="H19" s="8">
        <f>IF(TRIM($G19)="","",IF(EXACT(TRIM($G19),TRIM($C19)),"✅ Đúng","❌ Sai"))</f>
        <v/>
      </c>
      <c r="I19" s="9">
        <f>HYPERLINK("https://translate.google.com/translate_tts?ie=UTF-8&amp;tl=zh-CN&amp;client=tw-ob&amp;q=日","▶")</f>
        <v/>
      </c>
      <c r="J19" s="9">
        <f>HYPERLINK("https://youglish.com/pronounce/日/chinese","🔍")</f>
        <v/>
      </c>
      <c r="K19" s="10" t="n"/>
      <c r="L19" s="11" t="n"/>
      <c r="M19" s="10" t="n"/>
      <c r="N19" s="11" t="n"/>
      <c r="O19" s="10" t="n"/>
      <c r="P19" s="11" t="n"/>
      <c r="Q19" s="10" t="n"/>
      <c r="R19" s="12" t="inlineStr">
        <is>
          <t>2026-06-17</t>
        </is>
      </c>
      <c r="S19" s="17" t="n"/>
      <c r="T19" s="21" t="inlineStr">
        <is>
          <t>日 [NHẬT] · mặt trời, ngày
    ↳ Chiết tự: bộ 日 (nhật) — hình mặt trời tròn có chấm giữa</t>
        </is>
      </c>
      <c r="U19" s="22" t="inlineStr">
        <is>
          <t>⏰ Thời gian &amp; Ngày tháng</t>
        </is>
      </c>
      <c r="V19" s="63" t="inlineStr">
        <is>
          <t>今天是五月一日。</t>
        </is>
      </c>
      <c r="W19" s="64" t="inlineStr">
        <is>
          <t>Jīntiān shì wǔ yuè yī rì.
Hôm nay là ngày 1 tháng 5.</t>
        </is>
      </c>
    </row>
    <row r="20" hidden="1" ht="58.15" customHeight="1" s="99">
      <c r="A20" s="2" t="n">
        <v>299</v>
      </c>
      <c r="B20" s="3" t="inlineStr">
        <is>
          <t>HSK1</t>
        </is>
      </c>
      <c r="C20" s="4" t="inlineStr">
        <is>
          <t>日期</t>
        </is>
      </c>
      <c r="D20" s="5" t="inlineStr">
        <is>
          <t>rìqī</t>
        </is>
      </c>
      <c r="E20" s="6" t="inlineStr">
        <is>
          <t>ngày (xác định)</t>
        </is>
      </c>
      <c r="F20" s="7" t="n"/>
      <c r="G20" s="7" t="inlineStr">
        <is>
          <t xml:space="preserve">日期 </t>
        </is>
      </c>
      <c r="H20" s="8">
        <f>IF(TRIM($G20)="","",IF(EXACT(TRIM($G20),TRIM($C20)),"✅ Đúng","❌ Sai"))</f>
        <v/>
      </c>
      <c r="I20" s="9">
        <f>HYPERLINK("https://translate.google.com/translate_tts?ie=UTF-8&amp;tl=zh-CN&amp;client=tw-ob&amp;q=日期","▶")</f>
        <v/>
      </c>
      <c r="J20" s="9">
        <f>HYPERLINK("https://youglish.com/pronounce/日期/chinese","🔍")</f>
        <v/>
      </c>
      <c r="K20" s="10" t="n"/>
      <c r="L20" s="11" t="n"/>
      <c r="M20" s="10" t="n"/>
      <c r="N20" s="11" t="n"/>
      <c r="O20" s="10" t="n"/>
      <c r="P20" s="11" t="n"/>
      <c r="Q20" s="10" t="n"/>
      <c r="R20" s="12" t="inlineStr">
        <is>
          <t>2026-06-17</t>
        </is>
      </c>
      <c r="S20" s="18" t="n"/>
      <c r="T20" s="21" t="inlineStr">
        <is>
          <t>日 [NHẬT] · mặt trời, ngày
    ↳ Chiết tự: bộ 日 (nhật) — hình mặt trời tròn có chấm giữa
期 [KỲ] · kỳ hạn, thời kỳ, mong đợi
    ↳ Chiết tự: bộ 其 (kỳ – âm đọc) + 月 (nguyệt – tháng) — mốc tính theo tháng</t>
        </is>
      </c>
      <c r="U20" s="22" t="inlineStr">
        <is>
          <t>⏰ Thời gian &amp; Ngày tháng</t>
        </is>
      </c>
      <c r="V20" s="63" t="inlineStr">
        <is>
          <t>请写上今天的日期。</t>
        </is>
      </c>
      <c r="W20" s="64" t="inlineStr">
        <is>
          <t>Qǐng xiě shàng jīntiān de rìqī.
Xin viết ngày tháng hôm nay vào.</t>
        </is>
      </c>
    </row>
    <row r="21" hidden="1" ht="69.75" customHeight="1" s="99">
      <c r="A21" s="2" t="n">
        <v>312</v>
      </c>
      <c r="B21" s="25" t="inlineStr">
        <is>
          <t>HSK1+2</t>
        </is>
      </c>
      <c r="C21" s="4" t="inlineStr">
        <is>
          <t>上午</t>
        </is>
      </c>
      <c r="D21" s="5" t="inlineStr">
        <is>
          <t>shàngwǔ</t>
        </is>
      </c>
      <c r="E21" s="6" t="inlineStr">
        <is>
          <t>buổi sáng</t>
        </is>
      </c>
      <c r="F21" s="13" t="inlineStr">
        <is>
          <t>上午</t>
        </is>
      </c>
      <c r="G21" s="7" t="inlineStr">
        <is>
          <t>上午</t>
        </is>
      </c>
      <c r="H21" s="8">
        <f>IF(TRIM($G21)="","",IF(EXACT(TRIM($G21),TRIM($C21)),"✅ Đúng","❌ Sai"))</f>
        <v/>
      </c>
      <c r="I21" s="9">
        <f>HYPERLINK("https://translate.google.com/translate_tts?ie=UTF-8&amp;tl=zh-CN&amp;client=tw-ob&amp;q=上午","▶")</f>
        <v/>
      </c>
      <c r="J21" s="9">
        <f>HYPERLINK("https://youglish.com/pronounce/上午/chinese","🔍")</f>
        <v/>
      </c>
      <c r="K21" s="10" t="n"/>
      <c r="L21" s="11" t="n"/>
      <c r="M21" s="10" t="n"/>
      <c r="N21" s="11" t="n"/>
      <c r="O21" s="10" t="n"/>
      <c r="P21" s="11" t="n"/>
      <c r="Q21" s="10" t="n"/>
      <c r="R21" s="12" t="inlineStr">
        <is>
          <t>2026-06-17</t>
        </is>
      </c>
      <c r="S21" s="17" t="n"/>
      <c r="T21" s="21" t="inlineStr">
        <is>
          <t>上 [THƯỢNG] · ở trên, lên, trước đó
    ↳ Chiết tự: bộ 一 (nhất – mặt đất) + vạch chỉ hướng lên — chữ chỉ sự
午 [NGỌ] · giờ Ngọ, buổi trưa
    ↳ Chiết tự: bộ 十 (thập) + 丿 (phiệt) — hình cái chày, mượn chỉ giữa trưa</t>
        </is>
      </c>
      <c r="U21" s="22" t="inlineStr">
        <is>
          <t>⏰ Thời gian &amp; Ngày tháng</t>
        </is>
      </c>
      <c r="V21" s="63" t="inlineStr">
        <is>
          <t>上午我有两节课。</t>
        </is>
      </c>
      <c r="W21" s="64" t="inlineStr">
        <is>
          <t>Shàngwǔ wǒ yǒu liǎng jié kè.
Buổi sáng tôi có hai tiết học.</t>
        </is>
      </c>
    </row>
    <row r="22" hidden="1" ht="46.5" customHeight="1" s="99">
      <c r="A22" s="2" t="n">
        <v>321</v>
      </c>
      <c r="B22" s="25" t="inlineStr">
        <is>
          <t>HSK1+2</t>
        </is>
      </c>
      <c r="C22" s="4" t="inlineStr">
        <is>
          <t>生日</t>
        </is>
      </c>
      <c r="D22" s="5" t="inlineStr">
        <is>
          <t>shēngrì</t>
        </is>
      </c>
      <c r="E22" s="6" t="inlineStr">
        <is>
          <t>sinh nhật</t>
        </is>
      </c>
      <c r="F22" s="7" t="n"/>
      <c r="G22" s="7" t="inlineStr">
        <is>
          <t>生日</t>
        </is>
      </c>
      <c r="H22" s="8">
        <f>IF(TRIM($G22)="","",IF(EXACT(TRIM($G22),TRIM($C22)),"✅ Đúng","❌ Sai"))</f>
        <v/>
      </c>
      <c r="I22" s="9">
        <f>HYPERLINK("https://translate.google.com/translate_tts?ie=UTF-8&amp;tl=zh-CN&amp;client=tw-ob&amp;q=生日","▶")</f>
        <v/>
      </c>
      <c r="J22" s="9">
        <f>HYPERLINK("https://youglish.com/pronounce/生日/chinese","🔍")</f>
        <v/>
      </c>
      <c r="K22" s="10" t="n"/>
      <c r="L22" s="11" t="n"/>
      <c r="M22" s="10" t="n"/>
      <c r="N22" s="11" t="n"/>
      <c r="O22" s="10" t="n"/>
      <c r="P22" s="11" t="n"/>
      <c r="Q22" s="10" t="n"/>
      <c r="R22" s="12" t="inlineStr">
        <is>
          <t>2026-06-17</t>
        </is>
      </c>
      <c r="S22" s="18" t="n"/>
      <c r="T22" s="21" t="inlineStr">
        <is>
          <t>生 [SINH] · sinh ra, sống; học trò; sống (chưa chín)
    ↳ Chiết tự: bộ 生 (sinh) — hình mầm cây nhú lên khỏi mặt đất
日 [NHẬT] · mặt trời, ngày
    ↳ Chiết tự: bộ 日 (nhật) — hình mặt trời tròn có chấm giữa</t>
        </is>
      </c>
      <c r="U22" s="22" t="inlineStr">
        <is>
          <t>⏰ Thời gian &amp; Ngày tháng</t>
        </is>
      </c>
      <c r="V22" s="63" t="inlineStr">
        <is>
          <t>祝你生日快乐！</t>
        </is>
      </c>
      <c r="W22" s="64" t="inlineStr">
        <is>
          <t>Zhù nǐ shēngri kuàilè!
Chúc bạn sinh nhật vui vẻ!</t>
        </is>
      </c>
    </row>
    <row r="23" ht="69.75" customHeight="1" s="99">
      <c r="A23" s="2" t="n">
        <v>323</v>
      </c>
      <c r="B23" s="25" t="inlineStr">
        <is>
          <t>HSK1+2</t>
        </is>
      </c>
      <c r="C23" s="4" t="inlineStr">
        <is>
          <t>时候</t>
        </is>
      </c>
      <c r="D23" s="5" t="inlineStr">
        <is>
          <t>shíhòu</t>
        </is>
      </c>
      <c r="E23" s="6" t="inlineStr">
        <is>
          <t>thời gian, lúc</t>
        </is>
      </c>
      <c r="F23" s="13" t="inlineStr">
        <is>
          <t>时候</t>
        </is>
      </c>
      <c r="G23" s="7" t="n"/>
      <c r="H23" s="8">
        <f>IF(TRIM($G23)="","",IF(EXACT(TRIM($G23),TRIM($C23)),"✅ Đúng","❌ Sai"))</f>
        <v/>
      </c>
      <c r="I23" s="9">
        <f>HYPERLINK("https://translate.google.com/translate_tts?ie=UTF-8&amp;tl=zh-CN&amp;client=tw-ob&amp;q=时候","▶")</f>
        <v/>
      </c>
      <c r="J23" s="9">
        <f>HYPERLINK("https://youglish.com/pronounce/时候/chinese","🔍")</f>
        <v/>
      </c>
      <c r="K23" s="10" t="n"/>
      <c r="L23" s="11" t="n"/>
      <c r="M23" s="10" t="n"/>
      <c r="N23" s="11" t="n"/>
      <c r="O23" s="10" t="n"/>
      <c r="P23" s="11" t="n"/>
      <c r="Q23" s="10" t="n"/>
      <c r="R23" s="12" t="inlineStr">
        <is>
          <t>2026-06-17</t>
        </is>
      </c>
      <c r="S23" s="18" t="n"/>
      <c r="T23" s="21" t="inlineStr">
        <is>
          <t>时 [THÌ / THỜI] · thời gian; giờ; lúc
    ↳ Chiết tự: giản thể của 時: bộ 日 (nhật – mặt trời) + 寸 (thốn – tấc) — đo bóng nắng mà tính giờ
候 [HẬU] · đợi chờ; thời điểm
    ↳ Chiết tự: bộ 亻 (nhân đứng – người) + 侯 (hầu – âm đọc) — người đứng canh đợi</t>
        </is>
      </c>
      <c r="U23" s="22" t="inlineStr">
        <is>
          <t>⏰ Thời gian &amp; Ngày tháng</t>
        </is>
      </c>
      <c r="V23" s="63" t="inlineStr">
        <is>
          <t>小的时候我很爱唱歌。</t>
        </is>
      </c>
      <c r="W23" s="64" t="inlineStr">
        <is>
          <t>Xiǎo de shíhou wǒ hěn ài chànggē.
Lúc còn nhỏ tôi rất thích ca hát.</t>
        </is>
      </c>
    </row>
    <row r="24" hidden="1" ht="69.75" customHeight="1" s="99">
      <c r="A24" s="2" t="n">
        <v>324</v>
      </c>
      <c r="B24" s="25" t="inlineStr">
        <is>
          <t>HSK1+2</t>
        </is>
      </c>
      <c r="C24" s="4" t="inlineStr">
        <is>
          <t>时间</t>
        </is>
      </c>
      <c r="D24" s="5" t="inlineStr">
        <is>
          <t>shíjiān</t>
        </is>
      </c>
      <c r="E24" s="6" t="inlineStr">
        <is>
          <t>thời gian</t>
        </is>
      </c>
      <c r="F24" s="13" t="inlineStr">
        <is>
          <t>时间</t>
        </is>
      </c>
      <c r="G24" s="7" t="inlineStr">
        <is>
          <t>时间</t>
        </is>
      </c>
      <c r="H24" s="8">
        <f>IF(TRIM($G24)="","",IF(EXACT(TRIM($G24),TRIM($C24)),"✅ Đúng","❌ Sai"))</f>
        <v/>
      </c>
      <c r="I24" s="9">
        <f>HYPERLINK("https://translate.google.com/translate_tts?ie=UTF-8&amp;tl=zh-CN&amp;client=tw-ob&amp;q=时间","▶")</f>
        <v/>
      </c>
      <c r="J24" s="9">
        <f>HYPERLINK("https://youglish.com/pronounce/时间/chinese","🔍")</f>
        <v/>
      </c>
      <c r="K24" s="10" t="n"/>
      <c r="L24" s="11" t="n"/>
      <c r="M24" s="10" t="n"/>
      <c r="N24" s="11" t="n"/>
      <c r="O24" s="10" t="n"/>
      <c r="P24" s="11" t="n"/>
      <c r="Q24" s="10" t="n"/>
      <c r="R24" s="12" t="inlineStr">
        <is>
          <t>2026-06-17</t>
        </is>
      </c>
      <c r="S24" s="17" t="n"/>
      <c r="T24" s="21" t="inlineStr">
        <is>
          <t>时 [THÌ / THỜI] · thời gian; giờ; lúc
    ↳ Chiết tự: giản thể của 時: bộ 日 (nhật – mặt trời) + 寸 (thốn – tấc) — đo bóng nắng mà tính giờ
间 [GIAN] · khoảng giữa; gian (lượng từ phòng)
    ↳ Chiết tự: giản thể của 間: bộ 门 (môn – cửa) + 日 (nhật – mặt trời) — nắng lọt qua khe cửa</t>
        </is>
      </c>
      <c r="U24" s="22" t="inlineStr">
        <is>
          <t>⏰ Thời gian &amp; Ngày tháng</t>
        </is>
      </c>
      <c r="V24" s="63" t="inlineStr">
        <is>
          <t>我没有时间休息。</t>
        </is>
      </c>
      <c r="W24" s="64" t="inlineStr">
        <is>
          <t>Wǒ méiyǒu shíjiān xiūxi.
Tôi không có thời gian nghỉ.</t>
        </is>
      </c>
    </row>
    <row r="25" hidden="1" ht="34.9" customHeight="1" s="99">
      <c r="A25" s="2" t="n">
        <v>349</v>
      </c>
      <c r="B25" s="3" t="inlineStr">
        <is>
          <t>HSK1</t>
        </is>
      </c>
      <c r="C25" s="4" t="inlineStr">
        <is>
          <t>天</t>
        </is>
      </c>
      <c r="D25" s="5" t="inlineStr">
        <is>
          <t>tiān</t>
        </is>
      </c>
      <c r="E25" s="6" t="inlineStr">
        <is>
          <t>trời</t>
        </is>
      </c>
      <c r="F25" s="13" t="inlineStr">
        <is>
          <t>天</t>
        </is>
      </c>
      <c r="G25" s="7" t="inlineStr">
        <is>
          <t>天</t>
        </is>
      </c>
      <c r="H25" s="8">
        <f>IF(TRIM($G25)="","",IF(EXACT(TRIM($G25),TRIM($C25)),"✅ Đúng","❌ Sai"))</f>
        <v/>
      </c>
      <c r="I25" s="9">
        <f>HYPERLINK("https://translate.google.com/translate_tts?ie=UTF-8&amp;tl=zh-CN&amp;client=tw-ob&amp;q=天","▶")</f>
        <v/>
      </c>
      <c r="J25" s="9">
        <f>HYPERLINK("https://youglish.com/pronounce/天/chinese","🔍")</f>
        <v/>
      </c>
      <c r="K25" s="10" t="n"/>
      <c r="L25" s="11" t="n"/>
      <c r="M25" s="10" t="n"/>
      <c r="N25" s="11" t="n"/>
      <c r="O25" s="10" t="n"/>
      <c r="P25" s="11" t="n"/>
      <c r="Q25" s="10" t="n"/>
      <c r="R25" s="12" t="inlineStr">
        <is>
          <t>2026-06-17</t>
        </is>
      </c>
      <c r="S25" s="18" t="n"/>
      <c r="T25" s="21" t="inlineStr">
        <is>
          <t>天 [THIÊN] · trời, ngày, thiên nhiên
    ↳ Chiết tự: bộ 大 (đại – người) + 一 (nhất) trên đầu — khoảng cao nhất trên đầu người</t>
        </is>
      </c>
      <c r="U25" s="22" t="inlineStr">
        <is>
          <t>⏰ Thời gian &amp; Ngày tháng</t>
        </is>
      </c>
      <c r="V25" s="63" t="inlineStr">
        <is>
          <t>一个星期有七天。</t>
        </is>
      </c>
      <c r="W25" s="64" t="inlineStr">
        <is>
          <t>Yí ge xīngqī yǒu qī tiān.
Một tuần có bảy ngày.</t>
        </is>
      </c>
    </row>
    <row r="26" hidden="1" ht="34.9" customHeight="1" s="99">
      <c r="A26" s="2" t="n">
        <v>362</v>
      </c>
      <c r="B26" s="3" t="inlineStr">
        <is>
          <t>HSK1</t>
        </is>
      </c>
      <c r="C26" s="4" t="inlineStr">
        <is>
          <t>晚</t>
        </is>
      </c>
      <c r="D26" s="5" t="inlineStr">
        <is>
          <t>wǎn</t>
        </is>
      </c>
      <c r="E26" s="6" t="inlineStr">
        <is>
          <t>buổi tối, muộn</t>
        </is>
      </c>
      <c r="F26" s="13" t="inlineStr">
        <is>
          <t>玩</t>
        </is>
      </c>
      <c r="G26" s="7" t="inlineStr">
        <is>
          <t>晚</t>
        </is>
      </c>
      <c r="H26" s="8">
        <f>IF(TRIM($G26)="","",IF(EXACT(TRIM($G26),TRIM($C26)),"✅ Đúng","❌ Sai"))</f>
        <v/>
      </c>
      <c r="I26" s="9">
        <f>HYPERLINK("https://translate.google.com/translate_tts?ie=UTF-8&amp;tl=zh-CN&amp;client=tw-ob&amp;q=晚","▶")</f>
        <v/>
      </c>
      <c r="J26" s="9">
        <f>HYPERLINK("https://youglish.com/pronounce/晚/chinese","🔍")</f>
        <v/>
      </c>
      <c r="K26" s="10" t="n"/>
      <c r="L26" s="11" t="n"/>
      <c r="M26" s="10" t="n"/>
      <c r="N26" s="11" t="n"/>
      <c r="O26" s="10" t="n"/>
      <c r="P26" s="11" t="n"/>
      <c r="Q26" s="10" t="n"/>
      <c r="R26" s="12" t="inlineStr">
        <is>
          <t>2026-06-17</t>
        </is>
      </c>
      <c r="S26" s="17" t="n"/>
      <c r="T26" s="21" t="inlineStr">
        <is>
          <t>晚 [VÃN] · muộn, tối, buổi tối
    ↳ Chiết tự: bộ 日 (nhật – mặt trời) + 免 (miễn – âm đọc) — mặt trời đã khuất</t>
        </is>
      </c>
      <c r="U26" s="22" t="inlineStr">
        <is>
          <t>⏰ Thời gian &amp; Ngày tháng</t>
        </is>
      </c>
      <c r="V26" s="63" t="inlineStr">
        <is>
          <t>对不起，我来晚了。</t>
        </is>
      </c>
      <c r="W26" s="64" t="inlineStr">
        <is>
          <t>Duìbuqǐ, wǒ lái wǎn le.
Xin lỗi, tôi đến muộn rồi.</t>
        </is>
      </c>
    </row>
    <row r="27" hidden="1" ht="69.75" customHeight="1" s="99">
      <c r="A27" s="2" t="n">
        <v>364</v>
      </c>
      <c r="B27" s="25" t="inlineStr">
        <is>
          <t>HSK1+2</t>
        </is>
      </c>
      <c r="C27" s="4" t="inlineStr">
        <is>
          <t>晚上</t>
        </is>
      </c>
      <c r="D27" s="5" t="inlineStr">
        <is>
          <t>wǎnshang</t>
        </is>
      </c>
      <c r="E27" s="6" t="inlineStr">
        <is>
          <t>buổi tối</t>
        </is>
      </c>
      <c r="F27" s="13" t="inlineStr">
        <is>
          <t>晚上</t>
        </is>
      </c>
      <c r="G27" s="7" t="inlineStr">
        <is>
          <t>晚上</t>
        </is>
      </c>
      <c r="H27" s="8">
        <f>IF(TRIM($G27)="","",IF(EXACT(TRIM($G27),TRIM($C27)),"✅ Đúng","❌ Sai"))</f>
        <v/>
      </c>
      <c r="I27" s="9">
        <f>HYPERLINK("https://translate.google.com/translate_tts?ie=UTF-8&amp;tl=zh-CN&amp;client=tw-ob&amp;q=晚上","▶")</f>
        <v/>
      </c>
      <c r="J27" s="9">
        <f>HYPERLINK("https://youglish.com/pronounce/晚上/chinese","🔍")</f>
        <v/>
      </c>
      <c r="K27" s="10" t="n"/>
      <c r="L27" s="11" t="n"/>
      <c r="M27" s="10" t="n"/>
      <c r="N27" s="11" t="n"/>
      <c r="O27" s="10" t="n"/>
      <c r="P27" s="11" t="n"/>
      <c r="Q27" s="10" t="n"/>
      <c r="R27" s="12" t="inlineStr">
        <is>
          <t>2026-06-17</t>
        </is>
      </c>
      <c r="S27" s="17" t="n"/>
      <c r="T27" s="21" t="inlineStr">
        <is>
          <t>晚 [VÃN] · muộn, tối, buổi tối
    ↳ Chiết tự: bộ 日 (nhật – mặt trời) + 免 (miễn – âm đọc) — mặt trời đã khuất
上 [THƯỢNG] · ở trên, lên, trước đó
    ↳ Chiết tự: bộ 一 (nhất – mặt đất) + vạch chỉ hướng lên — chữ chỉ sự</t>
        </is>
      </c>
      <c r="U27" s="22" t="inlineStr">
        <is>
          <t>⏰ Thời gian &amp; Ngày tháng</t>
        </is>
      </c>
      <c r="V27" s="63" t="inlineStr">
        <is>
          <t>晚上我常常看书。</t>
        </is>
      </c>
      <c r="W27" s="64" t="inlineStr">
        <is>
          <t>Wǎnshang wǒ chángcháng kànshū.
Buổi tối tôi thường đọc sách.</t>
        </is>
      </c>
    </row>
    <row r="28" hidden="1" ht="69.75" customHeight="1" s="99">
      <c r="A28" s="2" t="n">
        <v>385</v>
      </c>
      <c r="B28" s="25" t="inlineStr">
        <is>
          <t>HSK1+2</t>
        </is>
      </c>
      <c r="C28" s="4" t="inlineStr">
        <is>
          <t>下午</t>
        </is>
      </c>
      <c r="D28" s="5" t="inlineStr">
        <is>
          <t>xiàwǔ</t>
        </is>
      </c>
      <c r="E28" s="6" t="inlineStr">
        <is>
          <t>buổi chiều</t>
        </is>
      </c>
      <c r="F28" s="13" t="inlineStr">
        <is>
          <t>下午</t>
        </is>
      </c>
      <c r="G28" s="7" t="inlineStr">
        <is>
          <t>下午</t>
        </is>
      </c>
      <c r="H28" s="8">
        <f>IF(TRIM($G28)="","",IF(EXACT(TRIM($G28),TRIM($C28)),"✅ Đúng","❌ Sai"))</f>
        <v/>
      </c>
      <c r="I28" s="9">
        <f>HYPERLINK("https://translate.google.com/translate_tts?ie=UTF-8&amp;tl=zh-CN&amp;client=tw-ob&amp;q=下午","▶")</f>
        <v/>
      </c>
      <c r="J28" s="9">
        <f>HYPERLINK("https://youglish.com/pronounce/下午/chinese","🔍")</f>
        <v/>
      </c>
      <c r="K28" s="10" t="n"/>
      <c r="L28" s="11" t="n"/>
      <c r="M28" s="10" t="n"/>
      <c r="N28" s="11" t="n"/>
      <c r="O28" s="10" t="n"/>
      <c r="P28" s="11" t="n"/>
      <c r="Q28" s="10" t="n"/>
      <c r="R28" s="12" t="inlineStr">
        <is>
          <t>2026-06-17</t>
        </is>
      </c>
      <c r="S28" s="18" t="n"/>
      <c r="T28" s="21" t="inlineStr">
        <is>
          <t>下 [HẠ] · ở dưới, xuống, kém hơn
    ↳ Chiết tự: bộ 一 (nhất – mặt đất) + vạch chỉ hướng xuống — chữ chỉ sự
午 [NGỌ] · giờ Ngọ, buổi trưa
    ↳ Chiết tự: bộ 十 (thập) + 丿 (phiệt) — hình cái chày, mượn chỉ giữa trưa</t>
        </is>
      </c>
      <c r="U28" s="22" t="inlineStr">
        <is>
          <t>⏰ Thời gian &amp; Ngày tháng</t>
        </is>
      </c>
      <c r="V28" s="63" t="inlineStr">
        <is>
          <t>下午三点我们见面。</t>
        </is>
      </c>
      <c r="W28" s="64" t="inlineStr">
        <is>
          <t>Xiàwǔ sān diǎn wǒmen jiànmiàn.
Ba giờ chiều chúng ta gặp nhau.</t>
        </is>
      </c>
    </row>
    <row r="29" hidden="1" ht="34.9" customHeight="1" s="99">
      <c r="A29" s="2" t="n">
        <v>387</v>
      </c>
      <c r="B29" s="60" t="inlineStr">
        <is>
          <t>HSK1+3</t>
        </is>
      </c>
      <c r="C29" s="4" t="inlineStr">
        <is>
          <t>先</t>
        </is>
      </c>
      <c r="D29" s="5" t="inlineStr">
        <is>
          <t>xiān</t>
        </is>
      </c>
      <c r="E29" s="6" t="inlineStr">
        <is>
          <t>trước</t>
        </is>
      </c>
      <c r="F29" s="7" t="n"/>
      <c r="G29" s="7" t="inlineStr">
        <is>
          <t>先</t>
        </is>
      </c>
      <c r="H29" s="8">
        <f>IF(TRIM($G29)="","",IF(EXACT(TRIM($G29),TRIM($C29)),"✅ Đúng","❌ Sai"))</f>
        <v/>
      </c>
      <c r="I29" s="9">
        <f>HYPERLINK("https://translate.google.com/translate_tts?ie=UTF-8&amp;tl=zh-CN&amp;client=tw-ob&amp;q=先","▶")</f>
        <v/>
      </c>
      <c r="J29" s="9">
        <f>HYPERLINK("https://youglish.com/pronounce/先/chinese","🔍")</f>
        <v/>
      </c>
      <c r="K29" s="10" t="n"/>
      <c r="L29" s="11" t="n"/>
      <c r="M29" s="10" t="n"/>
      <c r="N29" s="11" t="n"/>
      <c r="O29" s="10" t="n"/>
      <c r="P29" s="11" t="n"/>
      <c r="Q29" s="10" t="n"/>
      <c r="R29" s="12" t="inlineStr">
        <is>
          <t>2026-06-17</t>
        </is>
      </c>
      <c r="S29" s="18" t="n"/>
      <c r="T29" s="21" t="inlineStr">
        <is>
          <t>先 [TIÊN] · trước, trước tiên, tổ tiên
    ↳ Chiết tự: bộ 之 (chi – bàn chân) + 儿 (nhân đi – người) — bàn chân vượt lên trước người</t>
        </is>
      </c>
      <c r="U29" s="22" t="inlineStr">
        <is>
          <t>⏰ Thời gian &amp; Ngày tháng</t>
        </is>
      </c>
      <c r="V29" s="63" t="inlineStr">
        <is>
          <t>你先走，我一会儿到。</t>
        </is>
      </c>
      <c r="W29" s="64" t="inlineStr">
        <is>
          <t>Nǐ xiān zǒu, wǒ yíhuìr dào.
Bạn đi trước, tôi tới ngay.</t>
        </is>
      </c>
    </row>
    <row r="30" hidden="1" ht="69.75" customHeight="1" s="99">
      <c r="A30" s="2" t="n">
        <v>389</v>
      </c>
      <c r="B30" s="25" t="inlineStr">
        <is>
          <t>HSK1+2</t>
        </is>
      </c>
      <c r="C30" s="4" t="inlineStr">
        <is>
          <t>现在</t>
        </is>
      </c>
      <c r="D30" s="5" t="inlineStr">
        <is>
          <t>xiànzài</t>
        </is>
      </c>
      <c r="E30" s="6" t="inlineStr">
        <is>
          <t>hiện tại, bây giờ</t>
        </is>
      </c>
      <c r="F30" s="7" t="n"/>
      <c r="G30" s="7" t="inlineStr">
        <is>
          <t>现在</t>
        </is>
      </c>
      <c r="H30" s="8">
        <f>IF(TRIM($G30)="","",IF(EXACT(TRIM($G30),TRIM($C30)),"✅ Đúng","❌ Sai"))</f>
        <v/>
      </c>
      <c r="I30" s="9">
        <f>HYPERLINK("https://translate.google.com/translate_tts?ie=UTF-8&amp;tl=zh-CN&amp;client=tw-ob&amp;q=现在","▶")</f>
        <v/>
      </c>
      <c r="J30" s="9">
        <f>HYPERLINK("https://youglish.com/pronounce/现在/chinese","🔍")</f>
        <v/>
      </c>
      <c r="K30" s="10" t="n"/>
      <c r="L30" s="11" t="n"/>
      <c r="M30" s="10" t="n"/>
      <c r="N30" s="11" t="n"/>
      <c r="O30" s="10" t="n"/>
      <c r="P30" s="11" t="n"/>
      <c r="Q30" s="10" t="n"/>
      <c r="R30" s="12" t="inlineStr">
        <is>
          <t>2026-06-17</t>
        </is>
      </c>
      <c r="S30" s="18" t="n"/>
      <c r="T30" s="21" t="inlineStr">
        <is>
          <t>现 [HIỆN] · hiện ra, hiện tại
    ↳ Chiết tự: giản thể của 現: bộ 王 (ngọc) + 见 (kiến – trông thấy) — ngọc lộ ra trước mắt
在 [TẠI] · ở tại, đang
    ↳ Chiết tự: bộ 土 (thổ – đất) + 才 (tài – âm đọc) — mầm cây tồn tại trên đất</t>
        </is>
      </c>
      <c r="U30" s="22" t="inlineStr">
        <is>
          <t>⏰ Thời gian &amp; Ngày tháng</t>
        </is>
      </c>
      <c r="V30" s="63" t="inlineStr">
        <is>
          <t>现在几点了？</t>
        </is>
      </c>
      <c r="W30" s="64" t="inlineStr">
        <is>
          <t>Xiànzài jǐ diǎn le?
Bây giờ mấy giờ rồi?</t>
        </is>
      </c>
    </row>
    <row r="31" hidden="1" ht="58.15" customHeight="1" s="99">
      <c r="A31" s="2" t="n">
        <v>395</v>
      </c>
      <c r="B31" s="25" t="inlineStr">
        <is>
          <t>HSK1+2</t>
        </is>
      </c>
      <c r="C31" s="4" t="inlineStr">
        <is>
          <t>小时</t>
        </is>
      </c>
      <c r="D31" s="5" t="inlineStr">
        <is>
          <t>xiǎoshí</t>
        </is>
      </c>
      <c r="E31" s="6" t="inlineStr">
        <is>
          <t>giờ đồng hồ</t>
        </is>
      </c>
      <c r="F31" s="7" t="n"/>
      <c r="G31" s="7" t="inlineStr">
        <is>
          <t>小时</t>
        </is>
      </c>
      <c r="H31" s="8">
        <f>IF(TRIM($G31)="","",IF(EXACT(TRIM($G31),TRIM($C31)),"✅ Đúng","❌ Sai"))</f>
        <v/>
      </c>
      <c r="I31" s="9">
        <f>HYPERLINK("https://translate.google.com/translate_tts?ie=UTF-8&amp;tl=zh-CN&amp;client=tw-ob&amp;q=小时","▶")</f>
        <v/>
      </c>
      <c r="J31" s="9">
        <f>HYPERLINK("https://youglish.com/pronounce/小时/chinese","🔍")</f>
        <v/>
      </c>
      <c r="K31" s="10" t="n"/>
      <c r="L31" s="11" t="n"/>
      <c r="M31" s="10" t="n"/>
      <c r="N31" s="11" t="n"/>
      <c r="O31" s="10" t="n"/>
      <c r="P31" s="11" t="n"/>
      <c r="Q31" s="10" t="n"/>
      <c r="R31" s="12" t="inlineStr">
        <is>
          <t>2026-06-17</t>
        </is>
      </c>
      <c r="S31" s="18" t="n"/>
      <c r="T31" s="21" t="inlineStr">
        <is>
          <t>小 [TIỂU] · nhỏ bé
    ↳ Chiết tự: bộ 小 (tiểu) — ba nét tách vụn ra, ý nhỏ
时 [THÌ / THỜI] · thời gian; giờ; lúc
    ↳ Chiết tự: giản thể của 時: bộ 日 (nhật – mặt trời) + 寸 (thốn – tấc) — đo bóng nắng mà tính giờ</t>
        </is>
      </c>
      <c r="U31" s="22" t="inlineStr">
        <is>
          <t>⏰ Thời gian &amp; Ngày tháng</t>
        </is>
      </c>
      <c r="V31" s="63" t="inlineStr">
        <is>
          <t>我每天工作八小时。</t>
        </is>
      </c>
      <c r="W31" s="64" t="inlineStr">
        <is>
          <t>Wǒ měitiān gōngzuò bā xiǎoshí.
Tôi làm việc tám tiếng mỗi ngày.</t>
        </is>
      </c>
    </row>
    <row r="32" hidden="1" ht="69.75" customHeight="1" s="99">
      <c r="A32" s="2" t="n">
        <v>402</v>
      </c>
      <c r="B32" s="3" t="inlineStr">
        <is>
          <t>HSK1</t>
        </is>
      </c>
      <c r="C32" s="4" t="inlineStr">
        <is>
          <t>新年</t>
        </is>
      </c>
      <c r="D32" s="5" t="inlineStr">
        <is>
          <t>xīnnián</t>
        </is>
      </c>
      <c r="E32" s="6" t="inlineStr">
        <is>
          <t>năm mới</t>
        </is>
      </c>
      <c r="F32" s="7" t="inlineStr">
        <is>
          <t>新年</t>
        </is>
      </c>
      <c r="G32" s="7" t="inlineStr">
        <is>
          <t>新年</t>
        </is>
      </c>
      <c r="H32" s="8">
        <f>IF(TRIM($G32)="","",IF(EXACT(TRIM($G32),TRIM($C32)),"✅ Đúng","❌ Sai"))</f>
        <v/>
      </c>
      <c r="I32" s="9">
        <f>HYPERLINK("https://translate.google.com/translate_tts?ie=UTF-8&amp;tl=zh-CN&amp;client=tw-ob&amp;q=新年","▶")</f>
        <v/>
      </c>
      <c r="J32" s="9">
        <f>HYPERLINK("https://youglish.com/pronounce/新年/chinese","🔍")</f>
        <v/>
      </c>
      <c r="K32" s="10" t="n"/>
      <c r="L32" s="11" t="n"/>
      <c r="M32" s="10" t="n"/>
      <c r="N32" s="11" t="n"/>
      <c r="O32" s="10" t="n"/>
      <c r="P32" s="11" t="n"/>
      <c r="Q32" s="10" t="n"/>
      <c r="R32" s="12" t="inlineStr">
        <is>
          <t>2026-06-17</t>
        </is>
      </c>
      <c r="S32" s="17" t="n"/>
      <c r="T32" s="21" t="inlineStr">
        <is>
          <t>新 [TÂN] · mới mẻ
    ↳ Chiết tự: bộ 亲 (thân) + 斤 (cân – cái rìu) — lấy rìu đẽo cây tươi, gỗ mới
年 [NIÊN] · năm, tuổi
    ↳ Chiết tự: bộ 干 (can) + 丿 — hình người gánh lúa chín, một vụ lúa là một năm</t>
        </is>
      </c>
      <c r="U32" s="22" t="inlineStr">
        <is>
          <t>⏰ Thời gian &amp; Ngày tháng</t>
        </is>
      </c>
      <c r="V32" s="63" t="inlineStr">
        <is>
          <t>新年快乐！</t>
        </is>
      </c>
      <c r="W32" s="64" t="inlineStr">
        <is>
          <t>Xīnnián kuàilè!
Chúc mừng năm mới!</t>
        </is>
      </c>
    </row>
    <row r="33" hidden="1" ht="69.75" customHeight="1" s="99">
      <c r="A33" s="2" t="n">
        <v>403</v>
      </c>
      <c r="B33" s="25" t="inlineStr">
        <is>
          <t>HSK1+2</t>
        </is>
      </c>
      <c r="C33" s="4" t="inlineStr">
        <is>
          <t>星期</t>
        </is>
      </c>
      <c r="D33" s="5" t="inlineStr">
        <is>
          <t>xīngqī</t>
        </is>
      </c>
      <c r="E33" s="6" t="inlineStr">
        <is>
          <t>tuần, thứ</t>
        </is>
      </c>
      <c r="F33" s="7" t="inlineStr">
        <is>
          <t>星期</t>
        </is>
      </c>
      <c r="G33" s="7" t="inlineStr">
        <is>
          <t>星期</t>
        </is>
      </c>
      <c r="H33" s="8">
        <f>IF(TRIM($G33)="","",IF(EXACT(TRIM($G33),TRIM($C33)),"✅ Đúng","❌ Sai"))</f>
        <v/>
      </c>
      <c r="I33" s="9">
        <f>HYPERLINK("https://translate.google.com/translate_tts?ie=UTF-8&amp;tl=zh-CN&amp;client=tw-ob&amp;q=星期","▶")</f>
        <v/>
      </c>
      <c r="J33" s="9">
        <f>HYPERLINK("https://youglish.com/pronounce/星期/chinese","🔍")</f>
        <v/>
      </c>
      <c r="K33" s="10" t="n"/>
      <c r="L33" s="11" t="n"/>
      <c r="M33" s="10" t="n"/>
      <c r="N33" s="11" t="n"/>
      <c r="O33" s="10" t="n"/>
      <c r="P33" s="11" t="n"/>
      <c r="Q33" s="10" t="n"/>
      <c r="R33" s="12" t="inlineStr">
        <is>
          <t>2026-06-17</t>
        </is>
      </c>
      <c r="S33" s="18" t="n"/>
      <c r="T33" s="21" t="inlineStr">
        <is>
          <t>星 [TINH] · ngôi sao
    ↳ Chiết tự: bộ 日 (nhật – vầng sáng) + 生 (sinh – âm đọc) — những đốm sáng sinh ra trên trời
期 [KỲ] · kỳ hạn, thời kỳ, mong đợi
    ↳ Chiết tự: bộ 其 (kỳ – âm đọc) + 月 (nguyệt – tháng) — mốc tính theo tháng</t>
        </is>
      </c>
      <c r="U33" s="22" t="inlineStr">
        <is>
          <t>⏰ Thời gian &amp; Ngày tháng</t>
        </is>
      </c>
      <c r="V33" s="63" t="inlineStr">
        <is>
          <t>下个星期我很忙。</t>
        </is>
      </c>
      <c r="W33" s="64" t="inlineStr">
        <is>
          <t>Xià ge xīngqī wǒ hěn máng.
Tuần sau tôi rất bận.</t>
        </is>
      </c>
    </row>
    <row r="34" hidden="1" ht="93" customHeight="1" s="99">
      <c r="A34" s="2" t="n">
        <v>404</v>
      </c>
      <c r="B34" s="3" t="inlineStr">
        <is>
          <t>HSK1</t>
        </is>
      </c>
      <c r="C34" s="4" t="inlineStr">
        <is>
          <t>星期日</t>
        </is>
      </c>
      <c r="D34" s="5" t="inlineStr">
        <is>
          <t>xīngqīrì</t>
        </is>
      </c>
      <c r="E34" s="6" t="inlineStr">
        <is>
          <t>chủ nhật</t>
        </is>
      </c>
      <c r="F34" s="7" t="inlineStr">
        <is>
          <t>星期日</t>
        </is>
      </c>
      <c r="G34" s="7" t="inlineStr">
        <is>
          <t>星期日</t>
        </is>
      </c>
      <c r="H34" s="8">
        <f>IF(TRIM($G34)="","",IF(EXACT(TRIM($G34),TRIM($C34)),"✅ Đúng","❌ Sai"))</f>
        <v/>
      </c>
      <c r="I34" s="9">
        <f>HYPERLINK("https://translate.google.com/translate_tts?ie=UTF-8&amp;tl=zh-CN&amp;client=tw-ob&amp;q=星期日","▶")</f>
        <v/>
      </c>
      <c r="J34" s="9">
        <f>HYPERLINK("https://youglish.com/pronounce/星期日/chinese","🔍")</f>
        <v/>
      </c>
      <c r="K34" s="10" t="n"/>
      <c r="L34" s="11" t="n"/>
      <c r="M34" s="10" t="n"/>
      <c r="N34" s="11" t="n"/>
      <c r="O34" s="10" t="n"/>
      <c r="P34" s="11" t="n"/>
      <c r="Q34" s="10" t="n"/>
      <c r="R34" s="12" t="inlineStr">
        <is>
          <t>2026-06-17</t>
        </is>
      </c>
      <c r="S34" s="17" t="n"/>
      <c r="T34" s="21" t="inlineStr">
        <is>
          <t>星 [TINH] · ngôi sao
    ↳ Chiết tự: bộ 日 (nhật – vầng sáng) + 生 (sinh – âm đọc) — những đốm sáng sinh ra trên trời
期 [KỲ] · kỳ hạn, thời kỳ, mong đợi
    ↳ Chiết tự: bộ 其 (kỳ – âm đọc) + 月 (nguyệt – tháng) — mốc tính theo tháng
日 [NHẬT] · mặt trời, ngày
    ↳ Chiết tự: bộ 日 (nhật) — hình mặt trời tròn có chấm giữa</t>
        </is>
      </c>
      <c r="U34" s="22" t="inlineStr">
        <is>
          <t>⏰ Thời gian &amp; Ngày tháng</t>
        </is>
      </c>
      <c r="V34" s="63" t="inlineStr">
        <is>
          <t>星期日我不上班。</t>
        </is>
      </c>
      <c r="W34" s="64" t="inlineStr">
        <is>
          <t>Xīngqīrì wǒ bú shàngbān.
Chủ nhật tôi không đi làm.</t>
        </is>
      </c>
    </row>
    <row r="35" hidden="1" ht="104.65" customHeight="1" s="99">
      <c r="A35" s="2" t="n">
        <v>405</v>
      </c>
      <c r="B35" s="3" t="inlineStr">
        <is>
          <t>HSK1</t>
        </is>
      </c>
      <c r="C35" s="4" t="inlineStr">
        <is>
          <t>星期天</t>
        </is>
      </c>
      <c r="D35" s="5" t="inlineStr">
        <is>
          <t>xīngqītiān</t>
        </is>
      </c>
      <c r="E35" s="6" t="inlineStr">
        <is>
          <t>chủ nhật</t>
        </is>
      </c>
      <c r="F35" s="7" t="inlineStr">
        <is>
          <t>星期天</t>
        </is>
      </c>
      <c r="G35" s="7" t="inlineStr">
        <is>
          <t>星期天</t>
        </is>
      </c>
      <c r="H35" s="8">
        <f>IF(TRIM($G35)="","",IF(EXACT(TRIM($G35),TRIM($C35)),"✅ Đúng","❌ Sai"))</f>
        <v/>
      </c>
      <c r="I35" s="9">
        <f>HYPERLINK("https://translate.google.com/translate_tts?ie=UTF-8&amp;tl=zh-CN&amp;client=tw-ob&amp;q=星期天","▶")</f>
        <v/>
      </c>
      <c r="J35" s="9">
        <f>HYPERLINK("https://youglish.com/pronounce/星期天/chinese","🔍")</f>
        <v/>
      </c>
      <c r="K35" s="10" t="n"/>
      <c r="L35" s="11" t="n"/>
      <c r="M35" s="10" t="n"/>
      <c r="N35" s="11" t="n"/>
      <c r="O35" s="10" t="n"/>
      <c r="P35" s="11" t="n"/>
      <c r="Q35" s="10" t="n"/>
      <c r="R35" s="12" t="inlineStr">
        <is>
          <t>2026-06-17</t>
        </is>
      </c>
      <c r="S35" s="18" t="n"/>
      <c r="T35" s="21" t="inlineStr">
        <is>
          <t>星 [TINH] · ngôi sao
    ↳ Chiết tự: bộ 日 (nhật – vầng sáng) + 生 (sinh – âm đọc) — những đốm sáng sinh ra trên trời
期 [KỲ] · kỳ hạn, thời kỳ, mong đợi
    ↳ Chiết tự: bộ 其 (kỳ – âm đọc) + 月 (nguyệt – tháng) — mốc tính theo tháng
天 [THIÊN] · trời, ngày, thiên nhiên
    ↳ Chiết tự: bộ 大 (đại – người) + 一 (nhất) trên đầu — khoảng cao nhất trên đầu người</t>
        </is>
      </c>
      <c r="U35" s="22" t="inlineStr">
        <is>
          <t>⏰ Thời gian &amp; Ngày tháng</t>
        </is>
      </c>
      <c r="V35" s="63" t="inlineStr">
        <is>
          <t>星期天我们去公园。</t>
        </is>
      </c>
      <c r="W35" s="64" t="inlineStr">
        <is>
          <t>Xīngqītiān wǒmen qù gōngyuán.
Chủ nhật chúng tôi đi công viên.</t>
        </is>
      </c>
    </row>
    <row r="36" ht="104.65" customHeight="1" s="99">
      <c r="A36" s="2" t="n">
        <v>422</v>
      </c>
      <c r="B36" s="60" t="inlineStr">
        <is>
          <t>HSK1+3</t>
        </is>
      </c>
      <c r="C36" s="4" t="inlineStr">
        <is>
          <t>一会儿</t>
        </is>
      </c>
      <c r="D36" s="5" t="inlineStr">
        <is>
          <t>yíhuìr</t>
        </is>
      </c>
      <c r="E36" s="6" t="inlineStr">
        <is>
          <t>một chốc</t>
        </is>
      </c>
      <c r="F36" s="7" t="n"/>
      <c r="G36" s="7" t="n"/>
      <c r="H36" s="8">
        <f>IF(TRIM($G36)="","",IF(EXACT(TRIM($G36),TRIM($C36)),"✅ Đúng","❌ Sai"))</f>
        <v/>
      </c>
      <c r="I36" s="9">
        <f>HYPERLINK("https://translate.google.com/translate_tts?ie=UTF-8&amp;tl=zh-CN&amp;client=tw-ob&amp;q=一会儿","▶")</f>
        <v/>
      </c>
      <c r="J36" s="9">
        <f>HYPERLINK("https://youglish.com/pronounce/一会儿/chinese","🔍")</f>
        <v/>
      </c>
      <c r="K36" s="10" t="n"/>
      <c r="L36" s="11" t="n"/>
      <c r="M36" s="10" t="n"/>
      <c r="N36" s="11" t="n"/>
      <c r="O36" s="10" t="n"/>
      <c r="P36" s="11" t="n"/>
      <c r="Q36" s="10" t="n"/>
      <c r="R36" s="12" t="inlineStr">
        <is>
          <t>2026-06-17</t>
        </is>
      </c>
      <c r="S36" s="17" t="n"/>
      <c r="T36" s="21" t="inlineStr">
        <is>
          <t>一 [NHẤT] · số một, thứ nhất, toàn bộ
    ↳ Chiết tự: một nét ngang 一 (nhất) — chữ chỉ sự, vạch một gạch là số 1
会 [HỘI] · biết làm; họp, hội
    ↳ Chiết tự: giản thể của 會: bộ 人 (nhân – người) + 云 (vân – mây) — người tụ như mây thì thành hội, hội đủ thì biết
儿 [NHI] · trẻ con; hậu tố danh từ
    ↳ Chiết tự: giản thể của 兒: bộ 儿 (nhân đi – hai chân người) — hình trẻ thóp đầu chưa liền</t>
        </is>
      </c>
      <c r="U36" s="22" t="inlineStr">
        <is>
          <t>⏰ Thời gian &amp; Ngày tháng</t>
        </is>
      </c>
      <c r="V36" s="63" t="inlineStr">
        <is>
          <t>请等一会儿。</t>
        </is>
      </c>
      <c r="W36" s="64" t="inlineStr">
        <is>
          <t>Qǐng děng yíhuìr.
Xin đợi một lát.</t>
        </is>
      </c>
    </row>
    <row r="37" hidden="1" ht="104.65" customHeight="1" s="99">
      <c r="A37" s="2" t="n">
        <v>434</v>
      </c>
      <c r="B37" s="3" t="inlineStr">
        <is>
          <t>HSK1</t>
        </is>
      </c>
      <c r="C37" s="4" t="inlineStr">
        <is>
          <t>有时候</t>
        </is>
      </c>
      <c r="D37" s="5" t="inlineStr">
        <is>
          <t>yǒushíhou</t>
        </is>
      </c>
      <c r="E37" s="6" t="inlineStr">
        <is>
          <t>có lúc</t>
        </is>
      </c>
      <c r="F37" s="7" t="n"/>
      <c r="G37" s="7" t="inlineStr">
        <is>
          <t>有时候</t>
        </is>
      </c>
      <c r="H37" s="8">
        <f>IF(TRIM($G37)="","",IF(EXACT(TRIM($G37),TRIM($C37)),"✅ Đúng","❌ Sai"))</f>
        <v/>
      </c>
      <c r="I37" s="9">
        <f>HYPERLINK("https://translate.google.com/translate_tts?ie=UTF-8&amp;tl=zh-CN&amp;client=tw-ob&amp;q=有时候","▶")</f>
        <v/>
      </c>
      <c r="J37" s="9">
        <f>HYPERLINK("https://youglish.com/pronounce/有时候/chinese","🔍")</f>
        <v/>
      </c>
      <c r="K37" s="10" t="n"/>
      <c r="L37" s="11" t="n"/>
      <c r="M37" s="10" t="n"/>
      <c r="N37" s="11" t="n"/>
      <c r="O37" s="10" t="n"/>
      <c r="P37" s="11" t="n"/>
      <c r="Q37" s="10" t="n"/>
      <c r="R37" s="12" t="inlineStr">
        <is>
          <t>2026-06-17</t>
        </is>
      </c>
      <c r="S37" s="17" t="n"/>
      <c r="T37" s="21" t="inlineStr">
        <is>
          <t>有 [HỮU] · có, sở hữu
    ↳ Chiết tự: bộ 又 (hựu – bàn tay) + 月 (nhục – miếng thịt) — tay cầm miếng thịt là có của
时 [THÌ / THỜI] · thời gian; giờ; lúc
    ↳ Chiết tự: giản thể của 時: bộ 日 (nhật – mặt trời) + 寸 (thốn – tấc) — đo bóng nắng mà tính giờ
候 [HẬU] · đợi chờ; thời điểm
    ↳ Chiết tự: bộ 亻 (nhân đứng – người) + 侯 (hầu – âm đọc) — người đứng canh đợi</t>
        </is>
      </c>
      <c r="U37" s="22" t="inlineStr">
        <is>
          <t>⏰ Thời gian &amp; Ngày tháng</t>
        </is>
      </c>
      <c r="V37" s="63" t="inlineStr">
        <is>
          <t>有时候我自己做饭。</t>
        </is>
      </c>
      <c r="W37" s="64" t="inlineStr">
        <is>
          <t>Yǒushíhou wǒ zìjǐ zuòfàn.
Có lúc tôi tự nấu cơm.</t>
        </is>
      </c>
    </row>
    <row r="38" hidden="1" ht="23.25" customHeight="1" s="99">
      <c r="A38" s="2" t="n">
        <v>442</v>
      </c>
      <c r="B38" s="25" t="inlineStr">
        <is>
          <t>HSK1+2</t>
        </is>
      </c>
      <c r="C38" s="4" t="inlineStr">
        <is>
          <t>月</t>
        </is>
      </c>
      <c r="D38" s="5" t="inlineStr">
        <is>
          <t>yuè</t>
        </is>
      </c>
      <c r="E38" s="6" t="inlineStr">
        <is>
          <t>tháng, mặt trăng</t>
        </is>
      </c>
      <c r="F38" s="7" t="inlineStr">
        <is>
          <t>月</t>
        </is>
      </c>
      <c r="G38" s="7" t="inlineStr">
        <is>
          <t>月</t>
        </is>
      </c>
      <c r="H38" s="8">
        <f>IF(TRIM($G38)="","",IF(EXACT(TRIM($G38),TRIM($C38)),"✅ Đúng","❌ Sai"))</f>
        <v/>
      </c>
      <c r="I38" s="9">
        <f>HYPERLINK("https://translate.google.com/translate_tts?ie=UTF-8&amp;tl=zh-CN&amp;client=tw-ob&amp;q=月","▶")</f>
        <v/>
      </c>
      <c r="J38" s="9">
        <f>HYPERLINK("https://youglish.com/pronounce/月/chinese","🔍")</f>
        <v/>
      </c>
      <c r="K38" s="10" t="n"/>
      <c r="L38" s="11" t="n"/>
      <c r="M38" s="10" t="n"/>
      <c r="N38" s="11" t="n"/>
      <c r="O38" s="10" t="n"/>
      <c r="P38" s="11" t="n"/>
      <c r="Q38" s="10" t="n"/>
      <c r="R38" s="12" t="inlineStr">
        <is>
          <t>2026-06-17</t>
        </is>
      </c>
      <c r="S38" s="17" t="n"/>
      <c r="T38" s="21" t="inlineStr">
        <is>
          <t>月 [NGUYỆT] · mặt trăng, tháng
    ↳ Chiết tự: bộ 月 (nguyệt) — hình vầng trăng khuyết</t>
        </is>
      </c>
      <c r="U38" s="22" t="inlineStr">
        <is>
          <t>⏰ Thời gian &amp; Ngày tháng</t>
        </is>
      </c>
      <c r="V38" s="63" t="inlineStr">
        <is>
          <t>一年有十二个月。</t>
        </is>
      </c>
      <c r="W38" s="64" t="inlineStr">
        <is>
          <t>Yì nián yǒu shí'èr ge yuè.
Một năm có mười hai tháng.</t>
        </is>
      </c>
    </row>
    <row r="39" ht="34.9" customHeight="1" s="99">
      <c r="A39" s="2" t="n">
        <v>443</v>
      </c>
      <c r="B39" s="60" t="inlineStr">
        <is>
          <t>HSK1+3</t>
        </is>
      </c>
      <c r="C39" s="4" t="inlineStr">
        <is>
          <t>再</t>
        </is>
      </c>
      <c r="D39" s="5" t="inlineStr">
        <is>
          <t>zài</t>
        </is>
      </c>
      <c r="E39" s="6" t="inlineStr">
        <is>
          <t>lại</t>
        </is>
      </c>
      <c r="F39" s="7" t="n"/>
      <c r="G39" s="7" t="n"/>
      <c r="H39" s="8">
        <f>IF(TRIM($G39)="","",IF(EXACT(TRIM($G39),TRIM($C39)),"✅ Đúng","❌ Sai"))</f>
        <v/>
      </c>
      <c r="I39" s="9">
        <f>HYPERLINK("https://translate.google.com/translate_tts?ie=UTF-8&amp;tl=zh-CN&amp;client=tw-ob&amp;q=再","▶")</f>
        <v/>
      </c>
      <c r="J39" s="9">
        <f>HYPERLINK("https://youglish.com/pronounce/再/chinese","🔍")</f>
        <v/>
      </c>
      <c r="K39" s="10" t="n"/>
      <c r="L39" s="11" t="n"/>
      <c r="M39" s="10" t="n"/>
      <c r="N39" s="11" t="n"/>
      <c r="O39" s="10" t="n"/>
      <c r="P39" s="11" t="n"/>
      <c r="Q39" s="10" t="n"/>
      <c r="R39" s="12" t="inlineStr">
        <is>
          <t>2026-06-17</t>
        </is>
      </c>
      <c r="S39" s="18" t="n"/>
      <c r="T39" s="21" t="inlineStr">
        <is>
          <t>再 [TÁI] · lại, lần nữa
    ↳ Chiết tự: bộ 冂 (quynh) + 一 (nhất) + 土 — chồng thêm một lớp nữa</t>
        </is>
      </c>
      <c r="U39" s="22" t="inlineStr">
        <is>
          <t>⏰ Thời gian &amp; Ngày tháng</t>
        </is>
      </c>
      <c r="V39" s="63" t="inlineStr">
        <is>
          <t>请再说一次。</t>
        </is>
      </c>
      <c r="W39" s="64" t="inlineStr">
        <is>
          <t>Qǐng zài shuō yí cì.
Xin nói lại một lần nữa.</t>
        </is>
      </c>
    </row>
    <row r="40" hidden="1" ht="34.9" customHeight="1" s="99">
      <c r="A40" s="2" t="n">
        <v>447</v>
      </c>
      <c r="B40" s="3" t="inlineStr">
        <is>
          <t>HSK1</t>
        </is>
      </c>
      <c r="C40" s="4" t="inlineStr">
        <is>
          <t>早</t>
        </is>
      </c>
      <c r="D40" s="5" t="inlineStr">
        <is>
          <t>zǎo</t>
        </is>
      </c>
      <c r="E40" s="6" t="inlineStr">
        <is>
          <t>sớm</t>
        </is>
      </c>
      <c r="F40" s="7" t="inlineStr">
        <is>
          <t>早</t>
        </is>
      </c>
      <c r="G40" s="7" t="inlineStr">
        <is>
          <t>早</t>
        </is>
      </c>
      <c r="H40" s="8">
        <f>IF(TRIM($G40)="","",IF(EXACT(TRIM($G40),TRIM($C40)),"✅ Đúng","❌ Sai"))</f>
        <v/>
      </c>
      <c r="I40" s="9">
        <f>HYPERLINK("https://translate.google.com/translate_tts?ie=UTF-8&amp;tl=zh-CN&amp;client=tw-ob&amp;q=早","▶")</f>
        <v/>
      </c>
      <c r="J40" s="9">
        <f>HYPERLINK("https://youglish.com/pronounce/早/chinese","🔍")</f>
        <v/>
      </c>
      <c r="K40" s="10" t="n"/>
      <c r="L40" s="11" t="n"/>
      <c r="M40" s="10" t="n"/>
      <c r="N40" s="11" t="n"/>
      <c r="O40" s="10" t="n"/>
      <c r="P40" s="11" t="n"/>
      <c r="Q40" s="10" t="n"/>
      <c r="R40" s="12" t="inlineStr">
        <is>
          <t>2026-06-17</t>
        </is>
      </c>
      <c r="S40" s="18" t="n"/>
      <c r="T40" s="21" t="inlineStr">
        <is>
          <t>早 [TẢO] · sớm, buổi sáng
    ↳ Chiết tự: bộ 日 (nhật – mặt trời) + 十 (thập) — mặt trời vừa nhô lên ngọn cỏ</t>
        </is>
      </c>
      <c r="U40" s="22" t="inlineStr">
        <is>
          <t>⏰ Thời gian &amp; Ngày tháng</t>
        </is>
      </c>
      <c r="V40" s="63" t="inlineStr">
        <is>
          <t>你今天来得很早。</t>
        </is>
      </c>
      <c r="W40" s="64" t="inlineStr">
        <is>
          <t>Nǐ jīntiān lái de hěn zǎo.
Hôm nay bạn đến rất sớm.</t>
        </is>
      </c>
    </row>
    <row r="41" hidden="1" ht="69.75" customHeight="1" s="99">
      <c r="A41" s="2" t="n">
        <v>449</v>
      </c>
      <c r="B41" s="25" t="inlineStr">
        <is>
          <t>HSK1+2</t>
        </is>
      </c>
      <c r="C41" s="4" t="inlineStr">
        <is>
          <t>早上</t>
        </is>
      </c>
      <c r="D41" s="5" t="inlineStr">
        <is>
          <t>zǎoshàng</t>
        </is>
      </c>
      <c r="E41" s="6" t="inlineStr">
        <is>
          <t>buổi sáng</t>
        </is>
      </c>
      <c r="F41" s="7" t="inlineStr">
        <is>
          <t>早上</t>
        </is>
      </c>
      <c r="G41" s="7" t="inlineStr">
        <is>
          <t>早上</t>
        </is>
      </c>
      <c r="H41" s="8">
        <f>IF(TRIM($G41)="","",IF(EXACT(TRIM($G41),TRIM($C41)),"✅ Đúng","❌ Sai"))</f>
        <v/>
      </c>
      <c r="I41" s="9">
        <f>HYPERLINK("https://translate.google.com/translate_tts?ie=UTF-8&amp;tl=zh-CN&amp;client=tw-ob&amp;q=早上","▶")</f>
        <v/>
      </c>
      <c r="J41" s="9">
        <f>HYPERLINK("https://youglish.com/pronounce/早上/chinese","🔍")</f>
        <v/>
      </c>
      <c r="K41" s="10" t="n"/>
      <c r="L41" s="11" t="n"/>
      <c r="M41" s="10" t="n"/>
      <c r="N41" s="11" t="n"/>
      <c r="O41" s="10" t="n"/>
      <c r="P41" s="11" t="n"/>
      <c r="Q41" s="10" t="n"/>
      <c r="R41" s="12" t="inlineStr">
        <is>
          <t>2026-06-17</t>
        </is>
      </c>
      <c r="S41" s="18" t="n"/>
      <c r="T41" s="21" t="inlineStr">
        <is>
          <t>早 [TẢO] · sớm, buổi sáng
    ↳ Chiết tự: bộ 日 (nhật – mặt trời) + 十 (thập) — mặt trời vừa nhô lên ngọn cỏ
上 [THƯỢNG] · ở trên, lên, trước đó
    ↳ Chiết tự: bộ 一 (nhất – mặt đất) + vạch chỉ hướng lên — chữ chỉ sự</t>
        </is>
      </c>
      <c r="U41" s="22" t="inlineStr">
        <is>
          <t>⏰ Thời gian &amp; Ngày tháng</t>
        </is>
      </c>
      <c r="V41" s="63" t="inlineStr">
        <is>
          <t>早上我喝一杯牛奶。</t>
        </is>
      </c>
      <c r="W41" s="64" t="inlineStr">
        <is>
          <t>Zǎoshang wǒ hē yì bēi niúnǎi.
Buổi sáng tôi uống một cốc sữa.</t>
        </is>
      </c>
    </row>
    <row r="42" hidden="1" ht="69.75" customHeight="1" s="99">
      <c r="A42" s="2" t="n">
        <v>470</v>
      </c>
      <c r="B42" s="25" t="inlineStr">
        <is>
          <t>HSK1+2</t>
        </is>
      </c>
      <c r="C42" s="4" t="inlineStr">
        <is>
          <t>中午</t>
        </is>
      </c>
      <c r="D42" s="5" t="inlineStr">
        <is>
          <t>zhōngwǔ</t>
        </is>
      </c>
      <c r="E42" s="6" t="inlineStr">
        <is>
          <t>buổi trưa</t>
        </is>
      </c>
      <c r="F42" s="7" t="inlineStr">
        <is>
          <t>中午</t>
        </is>
      </c>
      <c r="G42" s="7" t="inlineStr">
        <is>
          <t>中午</t>
        </is>
      </c>
      <c r="H42" s="8">
        <f>IF(TRIM($G42)="","",IF(EXACT(TRIM($G42),TRIM($C42)),"✅ Đúng","❌ Sai"))</f>
        <v/>
      </c>
      <c r="I42" s="9">
        <f>HYPERLINK("https://translate.google.com/translate_tts?ie=UTF-8&amp;tl=zh-CN&amp;client=tw-ob&amp;q=中午","▶")</f>
        <v/>
      </c>
      <c r="J42" s="9">
        <f>HYPERLINK("https://youglish.com/pronounce/中午/chinese","🔍")</f>
        <v/>
      </c>
      <c r="K42" s="10" t="n"/>
      <c r="L42" s="11" t="n"/>
      <c r="M42" s="10" t="n"/>
      <c r="N42" s="11" t="n"/>
      <c r="O42" s="10" t="n"/>
      <c r="P42" s="11" t="n"/>
      <c r="Q42" s="10" t="n"/>
      <c r="R42" s="12" t="inlineStr">
        <is>
          <t>2026-06-17</t>
        </is>
      </c>
      <c r="S42" s="17" t="n"/>
      <c r="T42" s="21" t="inlineStr">
        <is>
          <t>中 [TRUNG] · ở giữa; Trung Quốc
    ↳ Chiết tự: bộ 丨 (cổn – nét sổ) xuyên chính giữa 口 (khẩu – khung vuông) — chữ chỉ sự
午 [NGỌ] · giờ Ngọ, buổi trưa
    ↳ Chiết tự: bộ 十 (thập) + 丿 (phiệt) — hình cái chày, mượn chỉ giữa trưa</t>
        </is>
      </c>
      <c r="U42" s="22" t="inlineStr">
        <is>
          <t>⏰ Thời gian &amp; Ngày tháng</t>
        </is>
      </c>
      <c r="V42" s="63" t="inlineStr">
        <is>
          <t>中午我在公司吃饭。</t>
        </is>
      </c>
      <c r="W42" s="64" t="inlineStr">
        <is>
          <t>Zhōngwǔ wǒ zài gōngsī chīfàn.
Buổi trưa tôi ăn cơm ở công ty.</t>
        </is>
      </c>
    </row>
    <row r="43" hidden="1" ht="58.15" customHeight="1" s="99">
      <c r="A43" s="2" t="n">
        <v>484</v>
      </c>
      <c r="B43" s="60" t="inlineStr">
        <is>
          <t>HSK1+3</t>
        </is>
      </c>
      <c r="C43" s="4" t="inlineStr">
        <is>
          <t>最后</t>
        </is>
      </c>
      <c r="D43" s="5" t="inlineStr">
        <is>
          <t>zuìhòu</t>
        </is>
      </c>
      <c r="E43" s="6" t="inlineStr">
        <is>
          <t>cuối cùng</t>
        </is>
      </c>
      <c r="F43" s="7" t="n"/>
      <c r="G43" s="7" t="inlineStr">
        <is>
          <t>最后</t>
        </is>
      </c>
      <c r="H43" s="8">
        <f>IF(TRIM($G43)="","",IF(EXACT(TRIM($G43),TRIM($C43)),"✅ Đúng","❌ Sai"))</f>
        <v/>
      </c>
      <c r="I43" s="9">
        <f>HYPERLINK("https://translate.google.com/translate_tts?ie=UTF-8&amp;tl=zh-CN&amp;client=tw-ob&amp;q=最后","▶")</f>
        <v/>
      </c>
      <c r="J43" s="9">
        <f>HYPERLINK("https://youglish.com/pronounce/最后/chinese","🔍")</f>
        <v/>
      </c>
      <c r="K43" s="10" t="n"/>
      <c r="L43" s="11" t="n"/>
      <c r="M43" s="10" t="n"/>
      <c r="N43" s="11" t="n"/>
      <c r="O43" s="10" t="n"/>
      <c r="P43" s="11" t="n"/>
      <c r="Q43" s="10" t="n"/>
      <c r="R43" s="12" t="inlineStr">
        <is>
          <t>2026-06-17</t>
        </is>
      </c>
      <c r="S43" s="17" t="n"/>
      <c r="T43" s="21" t="inlineStr">
        <is>
          <t>最 [TỐI] · nhất, hơn cả
    ↳ Chiết tự: bộ 曰 (viết) + 取 (thủ – lấy) — chọn lấy cái đứng đầu
后 [HẬU] · phía sau, sau này; hoàng hậu
    ↳ Chiết tự: bộ 厂 (hán) + 一 + 口 (khẩu) — người quay ngoái lại phía sau</t>
        </is>
      </c>
      <c r="U43" s="22" t="inlineStr">
        <is>
          <t>⏰ Thời gian &amp; Ngày tháng</t>
        </is>
      </c>
      <c r="V43" s="63" t="inlineStr">
        <is>
          <t>最后我们决定去海边。</t>
        </is>
      </c>
      <c r="W43" s="64" t="inlineStr">
        <is>
          <t>Zuìhòu wǒmen juédìng qù hǎibiān.
Cuối cùng chúng tôi quyết định đi biển.</t>
        </is>
      </c>
    </row>
    <row r="44" hidden="1" ht="69.75" customHeight="1" s="99">
      <c r="A44" s="2" t="n">
        <v>485</v>
      </c>
      <c r="B44" s="25" t="inlineStr">
        <is>
          <t>HSK1+2</t>
        </is>
      </c>
      <c r="C44" s="4" t="inlineStr">
        <is>
          <t>昨天</t>
        </is>
      </c>
      <c r="D44" s="5" t="inlineStr">
        <is>
          <t>zuótiān</t>
        </is>
      </c>
      <c r="E44" s="6" t="inlineStr">
        <is>
          <t>hôm qua</t>
        </is>
      </c>
      <c r="F44" s="7" t="inlineStr">
        <is>
          <t>昨天</t>
        </is>
      </c>
      <c r="G44" s="7" t="inlineStr">
        <is>
          <t>昨天</t>
        </is>
      </c>
      <c r="H44" s="8">
        <f>IF(TRIM($G44)="","",IF(EXACT(TRIM($G44),TRIM($C44)),"✅ Đúng","❌ Sai"))</f>
        <v/>
      </c>
      <c r="I44" s="9">
        <f>HYPERLINK("https://translate.google.com/translate_tts?ie=UTF-8&amp;tl=zh-CN&amp;client=tw-ob&amp;q=昨天","▶")</f>
        <v/>
      </c>
      <c r="J44" s="9">
        <f>HYPERLINK("https://youglish.com/pronounce/昨天/chinese","🔍")</f>
        <v/>
      </c>
      <c r="K44" s="10" t="n"/>
      <c r="L44" s="11" t="n"/>
      <c r="M44" s="10" t="n"/>
      <c r="N44" s="11" t="n"/>
      <c r="O44" s="10" t="n"/>
      <c r="P44" s="11" t="n"/>
      <c r="Q44" s="10" t="n"/>
      <c r="R44" s="12" t="inlineStr">
        <is>
          <t>2026-06-17</t>
        </is>
      </c>
      <c r="S44" s="18" t="n"/>
      <c r="T44" s="21" t="inlineStr">
        <is>
          <t>昨 [TẠC] · hôm qua, ngày trước
    ↳ Chiết tự: bộ 日 (nhật – ngày) + 乍 (sạ – vừa mới) — cái ngày vừa qua
天 [THIÊN] · trời, ngày, thiên nhiên
    ↳ Chiết tự: bộ 大 (đại – người) + 一 (nhất) trên đầu — khoảng cao nhất trên đầu người</t>
        </is>
      </c>
      <c r="U44" s="22" t="inlineStr">
        <is>
          <t>⏰ Thời gian &amp; Ngày tháng</t>
        </is>
      </c>
      <c r="V44" s="63" t="inlineStr">
        <is>
          <t>昨天我没去上课。</t>
        </is>
      </c>
      <c r="W44" s="64" t="inlineStr">
        <is>
          <t>Zuótiān wǒ méi qù shàngkè.
Hôm qua tôi không đi học.</t>
        </is>
      </c>
    </row>
    <row r="45" hidden="1" ht="70.5" customHeight="1" s="99">
      <c r="A45" s="26" t="n">
        <v>501</v>
      </c>
      <c r="B45" s="28" t="inlineStr">
        <is>
          <t>HSK2</t>
        </is>
      </c>
      <c r="C45" s="26" t="inlineStr">
        <is>
          <t>分钟</t>
        </is>
      </c>
      <c r="D45" s="26" t="inlineStr">
        <is>
          <t>fēnzhōng</t>
        </is>
      </c>
      <c r="E45" s="26" t="inlineStr">
        <is>
          <t>phút</t>
        </is>
      </c>
      <c r="F45" s="26" t="n"/>
      <c r="G45" s="7" t="inlineStr">
        <is>
          <t>分钟</t>
        </is>
      </c>
      <c r="H45" s="8">
        <f>IF(TRIM($G45)="","",IF(EXACT(TRIM($G45),TRIM($C45)),"✅ Đúng","❌ Sai"))</f>
        <v/>
      </c>
      <c r="I45" s="52" t="inlineStr">
        <is>
          <t>▶</t>
        </is>
      </c>
      <c r="J45" s="52" t="inlineStr">
        <is>
          <t>🔍</t>
        </is>
      </c>
      <c r="K45" s="26" t="n"/>
      <c r="L45" s="26" t="n"/>
      <c r="M45" s="26" t="n"/>
      <c r="N45" s="26" t="n"/>
      <c r="O45" s="26" t="n"/>
      <c r="P45" s="26" t="n"/>
      <c r="Q45" s="26" t="n"/>
      <c r="R45" s="39" t="n">
        <v>46236</v>
      </c>
      <c r="S45" s="41" t="n"/>
      <c r="T45" s="47" t="inlineStr">
        <is>
          <t>分 [PHÂN] · chia; phút; phần
    ↳ Chiết tự: bộ 八 (bát – chia) + 刀 (đao – con dao) — lấy dao cắt làm hai
钟 [CHUNG] · cái chuông; đồng hồ, phút
    ↳ Chiết tự: giản thể của 鐘: bộ 钅 (kim – kim loại) + 中 (trung – âm đọc) — chuông đồng báo giờ</t>
        </is>
      </c>
      <c r="U45" s="44" t="inlineStr">
        <is>
          <t>⏰ Thời gian &amp; Ngày tháng</t>
        </is>
      </c>
      <c r="V45" s="63" t="inlineStr">
        <is>
          <t>请给我五分钟。</t>
        </is>
      </c>
      <c r="W45" s="64" t="inlineStr">
        <is>
          <t>Qǐng gěi wǒ wǔ fēnzhōng.
Cho tôi năm phút.</t>
        </is>
      </c>
    </row>
    <row r="46" hidden="1" ht="58.9" customHeight="1" s="99">
      <c r="A46" s="26" t="n">
        <v>564</v>
      </c>
      <c r="B46" s="28" t="inlineStr">
        <is>
          <t>HSK2</t>
        </is>
      </c>
      <c r="C46" s="26" t="inlineStr">
        <is>
          <t>已经</t>
        </is>
      </c>
      <c r="D46" s="26" t="inlineStr">
        <is>
          <t>yǐjīng</t>
        </is>
      </c>
      <c r="E46" s="26" t="inlineStr">
        <is>
          <t>đã, đã rồi</t>
        </is>
      </c>
      <c r="F46" s="26" t="n"/>
      <c r="G46" s="7" t="inlineStr">
        <is>
          <t>已经</t>
        </is>
      </c>
      <c r="H46" s="8">
        <f>IF(TRIM($G46)="","",IF(EXACT(TRIM($G46),TRIM($C46)),"✅ Đúng","❌ Sai"))</f>
        <v/>
      </c>
      <c r="I46" s="52" t="inlineStr">
        <is>
          <t>▶</t>
        </is>
      </c>
      <c r="J46" s="52" t="inlineStr">
        <is>
          <t>🔍</t>
        </is>
      </c>
      <c r="K46" s="26" t="n"/>
      <c r="L46" s="26" t="n"/>
      <c r="M46" s="26" t="n"/>
      <c r="N46" s="26" t="n"/>
      <c r="O46" s="26" t="n"/>
      <c r="P46" s="26" t="n"/>
      <c r="Q46" s="26" t="n"/>
      <c r="R46" s="39" t="n">
        <v>46236</v>
      </c>
      <c r="S46" s="41" t="n"/>
      <c r="T46" s="47" t="inlineStr">
        <is>
          <t>已 [DĨ] · đã, đã rồi
    ↳ Chiết tự: bộ 己 (kỷ) biến thể — chữ chỉ sự, việc đã dứt
经 [KINH] · trải qua, đã; kinh điển; sợi dọc
    ↳ Chiết tự: giản thể của 經: bộ 纟 (mịch – sợi tơ) + 巠 (kinh – âm đọc) — sợi dọc của tấm vải, cái xuyên suốt</t>
        </is>
      </c>
      <c r="U46" s="44" t="inlineStr">
        <is>
          <t>⏰ Thời gian &amp; Ngày tháng</t>
        </is>
      </c>
      <c r="V46" s="63" t="inlineStr">
        <is>
          <t>他已经走了。</t>
        </is>
      </c>
      <c r="W46" s="64" t="inlineStr">
        <is>
          <t>Tā yǐjīng zǒu le.
Anh ấy đã đi rồi.</t>
        </is>
      </c>
    </row>
    <row r="47" hidden="1" ht="34.9" customHeight="1" s="99">
      <c r="A47" s="2" t="n">
        <v>28</v>
      </c>
      <c r="B47" s="3" t="inlineStr">
        <is>
          <t>HSK1</t>
        </is>
      </c>
      <c r="C47" s="4" t="inlineStr">
        <is>
          <t>病</t>
        </is>
      </c>
      <c r="D47" s="5" t="inlineStr">
        <is>
          <t>bìng</t>
        </is>
      </c>
      <c r="E47" s="6" t="inlineStr">
        <is>
          <t>bệnh</t>
        </is>
      </c>
      <c r="F47" s="13" t="inlineStr">
        <is>
          <t>病</t>
        </is>
      </c>
      <c r="G47" s="7" t="inlineStr">
        <is>
          <t>病</t>
        </is>
      </c>
      <c r="H47" s="8">
        <f>IF(TRIM($G47)="","",IF(EXACT(TRIM($G47),TRIM($C47)),"✅ Đúng","❌ Sai"))</f>
        <v/>
      </c>
      <c r="I47" s="9">
        <f>HYPERLINK("https://translate.google.com/translate_tts?ie=UTF-8&amp;tl=zh-CN&amp;client=tw-ob&amp;q=病","▶")</f>
        <v/>
      </c>
      <c r="J47" s="9">
        <f>HYPERLINK("https://youglish.com/pronounce/病/chinese","🔍")</f>
        <v/>
      </c>
      <c r="K47" s="10" t="n"/>
      <c r="L47" s="11" t="n"/>
      <c r="M47" s="10" t="n"/>
      <c r="N47" s="11" t="n"/>
      <c r="O47" s="10" t="n"/>
      <c r="P47" s="11" t="n"/>
      <c r="Q47" s="10" t="n"/>
      <c r="R47" s="12" t="inlineStr">
        <is>
          <t>2026-06-17</t>
        </is>
      </c>
      <c r="S47" s="18" t="n"/>
      <c r="T47" s="21" t="inlineStr">
        <is>
          <t>病 [BỆNH] · bệnh tật, ốm
    ↳ Chiết tự: bộ 疒 (nạch – người ốm dựa giường) + 丙 (bính – âm đọc) — nằm liệt trên giường bệnh</t>
        </is>
      </c>
      <c r="U47" s="22" t="inlineStr">
        <is>
          <t>⚕️ Sức khỏe &amp; Cơ thể</t>
        </is>
      </c>
      <c r="V47" s="63" t="inlineStr">
        <is>
          <t>他的病好了。</t>
        </is>
      </c>
      <c r="W47" s="64" t="inlineStr">
        <is>
          <t>Tā de bìng hǎo le.
Bệnh của anh ấy đã khỏi.</t>
        </is>
      </c>
    </row>
    <row r="48" hidden="1" ht="69.75" customHeight="1" s="99">
      <c r="A48" s="2" t="n">
        <v>193</v>
      </c>
      <c r="B48" s="3" t="inlineStr">
        <is>
          <t>HSK1</t>
        </is>
      </c>
      <c r="C48" s="4" t="inlineStr">
        <is>
          <t>看病</t>
        </is>
      </c>
      <c r="D48" s="5" t="inlineStr">
        <is>
          <t>kànbìng</t>
        </is>
      </c>
      <c r="E48" s="6" t="inlineStr">
        <is>
          <t>khám bệnh</t>
        </is>
      </c>
      <c r="F48" s="13" t="inlineStr">
        <is>
          <t>看病</t>
        </is>
      </c>
      <c r="G48" s="7" t="inlineStr">
        <is>
          <t>看病</t>
        </is>
      </c>
      <c r="H48" s="8">
        <f>IF(TRIM($G48)="","",IF(EXACT(TRIM($G48),TRIM($C48)),"✅ Đúng","❌ Sai"))</f>
        <v/>
      </c>
      <c r="I48" s="9">
        <f>HYPERLINK("https://translate.google.com/translate_tts?ie=UTF-8&amp;tl=zh-CN&amp;client=tw-ob&amp;q=看病","▶")</f>
        <v/>
      </c>
      <c r="J48" s="9">
        <f>HYPERLINK("https://youglish.com/pronounce/看病/chinese","🔍")</f>
        <v/>
      </c>
      <c r="K48" s="10" t="n"/>
      <c r="L48" s="11" t="n"/>
      <c r="M48" s="10" t="n"/>
      <c r="N48" s="11" t="n"/>
      <c r="O48" s="10" t="n"/>
      <c r="P48" s="11" t="n"/>
      <c r="Q48" s="10" t="n"/>
      <c r="R48" s="12" t="inlineStr">
        <is>
          <t>2026-06-17</t>
        </is>
      </c>
      <c r="S48" s="17" t="n"/>
      <c r="T48" s="21" t="inlineStr">
        <is>
          <t>看 [KHÁN] · nhìn, xem, trông coi
    ↳ Chiết tự: bộ 手 (thủ – bàn tay) đặt trên 目 (mục – con mắt) — che tay lên mắt mà ngóng
病 [BỆNH] · bệnh tật, ốm
    ↳ Chiết tự: bộ 疒 (nạch – người ốm dựa giường) + 丙 (bính – âm đọc) — nằm liệt trên giường bệnh</t>
        </is>
      </c>
      <c r="U48" s="22" t="inlineStr">
        <is>
          <t>⚕️ Sức khỏe &amp; Cơ thể</t>
        </is>
      </c>
      <c r="V48" s="63" t="inlineStr">
        <is>
          <t>我去医院看病。</t>
        </is>
      </c>
      <c r="W48" s="64" t="inlineStr">
        <is>
          <t>Wǒ qù yīyuàn kànbìng.
Tôi đi bệnh viện khám bệnh.</t>
        </is>
      </c>
    </row>
    <row r="49" hidden="1" ht="23.25" customHeight="1" s="99">
      <c r="A49" s="2" t="n">
        <v>203</v>
      </c>
      <c r="B49" s="60" t="inlineStr">
        <is>
          <t>HSK1+3</t>
        </is>
      </c>
      <c r="C49" s="4" t="inlineStr">
        <is>
          <t>口</t>
        </is>
      </c>
      <c r="D49" s="5" t="inlineStr">
        <is>
          <t>kǒu</t>
        </is>
      </c>
      <c r="E49" s="6" t="inlineStr">
        <is>
          <t>miệng</t>
        </is>
      </c>
      <c r="F49" s="7" t="inlineStr">
        <is>
          <t>口</t>
        </is>
      </c>
      <c r="G49" s="7" t="inlineStr">
        <is>
          <t>口</t>
        </is>
      </c>
      <c r="H49" s="8">
        <f>IF(TRIM($G49)="","",IF(EXACT(TRIM($G49),TRIM($C49)),"✅ Đúng","❌ Sai"))</f>
        <v/>
      </c>
      <c r="I49" s="9">
        <f>HYPERLINK("https://translate.google.com/translate_tts?ie=UTF-8&amp;tl=zh-CN&amp;client=tw-ob&amp;q=口","▶")</f>
        <v/>
      </c>
      <c r="J49" s="9">
        <f>HYPERLINK("https://youglish.com/pronounce/口/chinese","🔍")</f>
        <v/>
      </c>
      <c r="K49" s="10" t="n"/>
      <c r="L49" s="11" t="n"/>
      <c r="M49" s="10" t="n"/>
      <c r="N49" s="11" t="n"/>
      <c r="O49" s="10" t="n"/>
      <c r="P49" s="11" t="n"/>
      <c r="Q49" s="10" t="n"/>
      <c r="R49" s="12" t="inlineStr">
        <is>
          <t>2026-06-17</t>
        </is>
      </c>
      <c r="S49" s="17" t="n"/>
      <c r="T49" s="21" t="inlineStr">
        <is>
          <t>口 [KHẨU] · cái miệng; cửa, nhân khẩu
    ↳ Chiết tự: bộ 口 (khẩu) — hình cái miệng mở</t>
        </is>
      </c>
      <c r="U49" s="22" t="inlineStr">
        <is>
          <t>⚕️ Sức khỏe &amp; Cơ thể</t>
        </is>
      </c>
      <c r="V49" s="63" t="inlineStr">
        <is>
          <t>请张开口。</t>
        </is>
      </c>
      <c r="W49" s="64" t="inlineStr">
        <is>
          <t>Qǐng zhāngkāi kǒu.
Xin mở miệng ra.</t>
        </is>
      </c>
    </row>
    <row r="50" ht="58.15" customHeight="1" s="99">
      <c r="A50" s="2" t="n">
        <v>317</v>
      </c>
      <c r="B50" s="25" t="inlineStr">
        <is>
          <t>HSK1+2</t>
        </is>
      </c>
      <c r="C50" s="4" t="inlineStr">
        <is>
          <t>身体</t>
        </is>
      </c>
      <c r="D50" s="5" t="inlineStr">
        <is>
          <t>shēntǐ</t>
        </is>
      </c>
      <c r="E50" s="6" t="inlineStr">
        <is>
          <t>cơ thể, sức khỏe</t>
        </is>
      </c>
      <c r="F50" s="7" t="n"/>
      <c r="G50" s="7" t="n"/>
      <c r="H50" s="8">
        <f>IF(TRIM($G50)="","",IF(EXACT(TRIM($G50),TRIM($C50)),"✅ Đúng","❌ Sai"))</f>
        <v/>
      </c>
      <c r="I50" s="9">
        <f>HYPERLINK("https://translate.google.com/translate_tts?ie=UTF-8&amp;tl=zh-CN&amp;client=tw-ob&amp;q=身体","▶")</f>
        <v/>
      </c>
      <c r="J50" s="9">
        <f>HYPERLINK("https://youglish.com/pronounce/身体/chinese","🔍")</f>
        <v/>
      </c>
      <c r="K50" s="10" t="n"/>
      <c r="L50" s="11" t="n"/>
      <c r="M50" s="10" t="n"/>
      <c r="N50" s="11" t="n"/>
      <c r="O50" s="10" t="n"/>
      <c r="P50" s="11" t="n"/>
      <c r="Q50" s="10" t="n"/>
      <c r="R50" s="12" t="inlineStr">
        <is>
          <t>2026-06-17</t>
        </is>
      </c>
      <c r="S50" s="18" t="n"/>
      <c r="T50" s="21" t="inlineStr">
        <is>
          <t>身 [THÂN] · thân thể, bản thân
    ↳ Chiết tự: bộ 身 (thân) — hình người có bụng lớn, chỉ cơ thể
体 [THỂ] · thân thể, hình thể
    ↳ Chiết tự: giản thể của 體: bộ 亻 (nhân đứng – người) + 本 (bản – gốc) — cái gốc của con người</t>
        </is>
      </c>
      <c r="U50" s="22" t="inlineStr">
        <is>
          <t>⚕️ Sức khỏe &amp; Cơ thể</t>
        </is>
      </c>
      <c r="V50" s="63" t="inlineStr">
        <is>
          <t>你要注意身体。</t>
        </is>
      </c>
      <c r="W50" s="64" t="inlineStr">
        <is>
          <t>Nǐ yào zhùyì shēntǐ.
Bạn phải chú ý sức khỏe.</t>
        </is>
      </c>
    </row>
    <row r="51" ht="58.15" customHeight="1" s="99">
      <c r="A51" s="2" t="n">
        <v>319</v>
      </c>
      <c r="B51" s="25" t="inlineStr">
        <is>
          <t>HSK1+2</t>
        </is>
      </c>
      <c r="C51" s="4" t="inlineStr">
        <is>
          <t>生病</t>
        </is>
      </c>
      <c r="D51" s="5" t="inlineStr">
        <is>
          <t>shēngbìng</t>
        </is>
      </c>
      <c r="E51" s="6" t="inlineStr">
        <is>
          <t>bị ốm</t>
        </is>
      </c>
      <c r="F51" s="7" t="n"/>
      <c r="G51" s="7" t="n"/>
      <c r="H51" s="8">
        <f>IF(TRIM($G51)="","",IF(EXACT(TRIM($G51),TRIM($C51)),"✅ Đúng","❌ Sai"))</f>
        <v/>
      </c>
      <c r="I51" s="9">
        <f>HYPERLINK("https://translate.google.com/translate_tts?ie=UTF-8&amp;tl=zh-CN&amp;client=tw-ob&amp;q=生病","▶")</f>
        <v/>
      </c>
      <c r="J51" s="9">
        <f>HYPERLINK("https://youglish.com/pronounce/生病/chinese","🔍")</f>
        <v/>
      </c>
      <c r="K51" s="10" t="n"/>
      <c r="L51" s="11" t="n"/>
      <c r="M51" s="10" t="n"/>
      <c r="N51" s="11" t="n"/>
      <c r="O51" s="10" t="n"/>
      <c r="P51" s="11" t="n"/>
      <c r="Q51" s="10" t="n"/>
      <c r="R51" s="12" t="inlineStr">
        <is>
          <t>2026-06-17</t>
        </is>
      </c>
      <c r="S51" s="18" t="n"/>
      <c r="T51" s="21" t="inlineStr">
        <is>
          <t>生 [SINH] · sinh ra, sống; học trò; sống (chưa chín)
    ↳ Chiết tự: bộ 生 (sinh) — hình mầm cây nhú lên khỏi mặt đất
病 [BỆNH] · bệnh tật, ốm
    ↳ Chiết tự: bộ 疒 (nạch – người ốm dựa giường) + 丙 (bính – âm đọc) — nằm liệt trên giường bệnh</t>
        </is>
      </c>
      <c r="U51" s="22" t="inlineStr">
        <is>
          <t>⚕️ Sức khỏe &amp; Cơ thể</t>
        </is>
      </c>
      <c r="V51" s="63" t="inlineStr">
        <is>
          <t>妈妈生病了。</t>
        </is>
      </c>
      <c r="W51" s="64" t="inlineStr">
        <is>
          <t>Māma shēngbìng le.
Mẹ bị bệnh rồi.</t>
        </is>
      </c>
    </row>
    <row r="52" hidden="1" ht="23.25" customHeight="1" s="99">
      <c r="A52" s="2" t="n">
        <v>329</v>
      </c>
      <c r="B52" s="3" t="inlineStr">
        <is>
          <t>HSK1</t>
        </is>
      </c>
      <c r="C52" s="4" t="inlineStr">
        <is>
          <t>手</t>
        </is>
      </c>
      <c r="D52" s="5" t="inlineStr">
        <is>
          <t>shǒu</t>
        </is>
      </c>
      <c r="E52" s="6" t="inlineStr">
        <is>
          <t>tay</t>
        </is>
      </c>
      <c r="F52" s="13" t="inlineStr">
        <is>
          <t>收</t>
        </is>
      </c>
      <c r="G52" s="7" t="inlineStr">
        <is>
          <t>手</t>
        </is>
      </c>
      <c r="H52" s="8">
        <f>IF(TRIM($G52)="","",IF(EXACT(TRIM($G52),TRIM($C52)),"✅ Đúng","❌ Sai"))</f>
        <v/>
      </c>
      <c r="I52" s="9">
        <f>HYPERLINK("https://translate.google.com/translate_tts?ie=UTF-8&amp;tl=zh-CN&amp;client=tw-ob&amp;q=手","▶")</f>
        <v/>
      </c>
      <c r="J52" s="9">
        <f>HYPERLINK("https://youglish.com/pronounce/手/chinese","🔍")</f>
        <v/>
      </c>
      <c r="K52" s="10" t="n"/>
      <c r="L52" s="11" t="n"/>
      <c r="M52" s="10" t="n"/>
      <c r="N52" s="11" t="n"/>
      <c r="O52" s="10" t="n"/>
      <c r="P52" s="11" t="n"/>
      <c r="Q52" s="10" t="n"/>
      <c r="R52" s="12" t="inlineStr">
        <is>
          <t>2026-06-17</t>
        </is>
      </c>
      <c r="S52" s="18" t="n"/>
      <c r="T52" s="21" t="inlineStr">
        <is>
          <t>手 [THỦ] · bàn tay; người làm nghề
    ↳ Chiết tự: bộ 手 (thủ) — hình bàn tay xòe năm ngón</t>
        </is>
      </c>
      <c r="U52" s="22" t="inlineStr">
        <is>
          <t>⚕️ Sức khỏe &amp; Cơ thể</t>
        </is>
      </c>
      <c r="V52" s="63" t="inlineStr">
        <is>
          <t>请洗手。</t>
        </is>
      </c>
      <c r="W52" s="64" t="inlineStr">
        <is>
          <t>Qǐng xǐ shǒu.
Xin hãy rửa tay.</t>
        </is>
      </c>
    </row>
    <row r="53" ht="70.5" customHeight="1" s="99">
      <c r="A53" s="26" t="n">
        <v>560</v>
      </c>
      <c r="B53" s="79" t="inlineStr">
        <is>
          <t>HSK2</t>
        </is>
      </c>
      <c r="C53" s="80" t="inlineStr">
        <is>
          <t>眼睛</t>
        </is>
      </c>
      <c r="D53" s="80" t="inlineStr">
        <is>
          <t>yǎnjing</t>
        </is>
      </c>
      <c r="E53" s="80" t="inlineStr">
        <is>
          <t>mắt</t>
        </is>
      </c>
      <c r="F53" s="26" t="n"/>
      <c r="G53" s="7" t="n"/>
      <c r="H53" s="8">
        <f>IF(TRIM($G53)="","",IF(EXACT(TRIM($G53),TRIM($C53)),"✅ Đúng","❌ Sai"))</f>
        <v/>
      </c>
      <c r="I53" s="52" t="inlineStr">
        <is>
          <t>▶</t>
        </is>
      </c>
      <c r="J53" s="52" t="inlineStr">
        <is>
          <t>🔍</t>
        </is>
      </c>
      <c r="K53" s="26" t="n"/>
      <c r="L53" s="26" t="n"/>
      <c r="M53" s="26" t="n"/>
      <c r="N53" s="26" t="n"/>
      <c r="O53" s="26" t="n"/>
      <c r="P53" s="26" t="n"/>
      <c r="Q53" s="26" t="n"/>
      <c r="R53" s="39" t="n">
        <v>46236</v>
      </c>
      <c r="S53" s="41" t="n"/>
      <c r="T53" s="47" t="inlineStr">
        <is>
          <t>眼 [NHÃN] · con mắt
    ↳ Chiết tự: bộ 目 (mục – con mắt) + 艮 (cấn – âm đọc) — hình thanh
睛 [TINH] · con ngươi (眼睛 = mắt)
    ↳ Chiết tự: bộ 目 (mục – con mắt) + 青 (thanh – âm đọc) — hình thanh</t>
        </is>
      </c>
      <c r="U53" s="44" t="inlineStr">
        <is>
          <t>⚕️ Sức khỏe &amp; Cơ thể</t>
        </is>
      </c>
      <c r="V53" s="63" t="inlineStr">
        <is>
          <t>她的眼睛很大。</t>
        </is>
      </c>
      <c r="W53" s="64" t="inlineStr">
        <is>
          <t>Tā de yǎnjing hěn dà.
Mắt cô ấy rất to.</t>
        </is>
      </c>
    </row>
    <row r="54" ht="35.65" customHeight="1" s="99">
      <c r="A54" s="26" t="n">
        <v>562</v>
      </c>
      <c r="B54" s="79" t="inlineStr">
        <is>
          <t>HSK2</t>
        </is>
      </c>
      <c r="C54" s="80" t="inlineStr">
        <is>
          <t>药</t>
        </is>
      </c>
      <c r="D54" s="80" t="inlineStr">
        <is>
          <t>yào</t>
        </is>
      </c>
      <c r="E54" s="80" t="inlineStr">
        <is>
          <t>thuốc</t>
        </is>
      </c>
      <c r="F54" s="26" t="n"/>
      <c r="G54" s="7" t="n"/>
      <c r="H54" s="8">
        <f>IF(TRIM($G54)="","",IF(EXACT(TRIM($G54),TRIM($C54)),"✅ Đúng","❌ Sai"))</f>
        <v/>
      </c>
      <c r="I54" s="52" t="inlineStr">
        <is>
          <t>▶</t>
        </is>
      </c>
      <c r="J54" s="52" t="inlineStr">
        <is>
          <t>🔍</t>
        </is>
      </c>
      <c r="K54" s="26" t="n"/>
      <c r="L54" s="26" t="n"/>
      <c r="M54" s="26" t="n"/>
      <c r="N54" s="26" t="n"/>
      <c r="O54" s="26" t="n"/>
      <c r="P54" s="26" t="n"/>
      <c r="Q54" s="26" t="n"/>
      <c r="R54" s="39" t="n">
        <v>46236</v>
      </c>
      <c r="S54" s="41" t="n"/>
      <c r="T54" s="47" t="inlineStr">
        <is>
          <t>药 [DƯỢC] · thuốc, dược phẩm
    ↳ Chiết tự: giản thể của 藥: bộ 艹 (thảo – cây cỏ) + 约 (ước – âm đọc) — cây cỏ chữa bệnh</t>
        </is>
      </c>
      <c r="U54" s="44" t="inlineStr">
        <is>
          <t>⚕️ Sức khỏe &amp; Cơ thể</t>
        </is>
      </c>
      <c r="V54" s="63" t="inlineStr">
        <is>
          <t>吃了药就好了。</t>
        </is>
      </c>
      <c r="W54" s="64" t="inlineStr">
        <is>
          <t>Chī le yào jiù hǎo le.
Uống thuốc là khỏi thôi.</t>
        </is>
      </c>
    </row>
    <row r="55" hidden="1" ht="34.9" customHeight="1" s="99">
      <c r="A55" s="2" t="n">
        <v>110</v>
      </c>
      <c r="B55" s="3" t="inlineStr">
        <is>
          <t>HSK1</t>
        </is>
      </c>
      <c r="C55" s="4" t="inlineStr">
        <is>
          <t>风</t>
        </is>
      </c>
      <c r="D55" s="5" t="inlineStr">
        <is>
          <t>fēng</t>
        </is>
      </c>
      <c r="E55" s="6" t="inlineStr">
        <is>
          <t>gió</t>
        </is>
      </c>
      <c r="F55" s="7" t="inlineStr">
        <is>
          <t>风</t>
        </is>
      </c>
      <c r="G55" s="7" t="inlineStr">
        <is>
          <t>风</t>
        </is>
      </c>
      <c r="H55" s="8">
        <f>IF(TRIM($G55)="","",IF(EXACT(TRIM($G55),TRIM($C55)),"✅ Đúng","❌ Sai"))</f>
        <v/>
      </c>
      <c r="I55" s="9">
        <f>HYPERLINK("https://translate.google.com/translate_tts?ie=UTF-8&amp;tl=zh-CN&amp;client=tw-ob&amp;q=风","▶")</f>
        <v/>
      </c>
      <c r="J55" s="9">
        <f>HYPERLINK("https://youglish.com/pronounce/风/chinese","🔍")</f>
        <v/>
      </c>
      <c r="K55" s="10" t="n"/>
      <c r="L55" s="11" t="n"/>
      <c r="M55" s="10" t="n"/>
      <c r="N55" s="11" t="n"/>
      <c r="O55" s="10" t="n"/>
      <c r="P55" s="11" t="n"/>
      <c r="Q55" s="10" t="n"/>
      <c r="R55" s="12" t="inlineStr">
        <is>
          <t>2026-06-17</t>
        </is>
      </c>
      <c r="S55" s="18" t="n"/>
      <c r="T55" s="21" t="inlineStr">
        <is>
          <t>风 [PHONG] · gió; phong cách
    ↳ Chiết tự: giản thể của 風: bộ 几 (kỷ) + 虫 (trùng) — luồng khí cuốn sinh ra sâu bọ</t>
        </is>
      </c>
      <c r="U55" s="22" t="inlineStr">
        <is>
          <t>🌤️ Thiên nhiên &amp; Thời tiết</t>
        </is>
      </c>
      <c r="V55" s="63" t="inlineStr">
        <is>
          <t>今天风很大。</t>
        </is>
      </c>
      <c r="W55" s="64" t="inlineStr">
        <is>
          <t>Jīntiān fēng hěn dà.
Hôm nay gió rất to.</t>
        </is>
      </c>
    </row>
    <row r="56" hidden="1" ht="23.25" customHeight="1" s="99">
      <c r="A56" s="2" t="n">
        <v>302</v>
      </c>
      <c r="B56" s="3" t="inlineStr">
        <is>
          <t>HSK1</t>
        </is>
      </c>
      <c r="C56" s="4" t="inlineStr">
        <is>
          <t>山</t>
        </is>
      </c>
      <c r="D56" s="5" t="inlineStr">
        <is>
          <t>shān</t>
        </is>
      </c>
      <c r="E56" s="6" t="inlineStr">
        <is>
          <t>núi</t>
        </is>
      </c>
      <c r="F56" s="13" t="inlineStr">
        <is>
          <t>山</t>
        </is>
      </c>
      <c r="G56" s="7" t="inlineStr">
        <is>
          <t>山</t>
        </is>
      </c>
      <c r="H56" s="8">
        <f>IF(TRIM($G56)="","",IF(EXACT(TRIM($G56),TRIM($C56)),"✅ Đúng","❌ Sai"))</f>
        <v/>
      </c>
      <c r="I56" s="9">
        <f>HYPERLINK("https://translate.google.com/translate_tts?ie=UTF-8&amp;tl=zh-CN&amp;client=tw-ob&amp;q=山","▶")</f>
        <v/>
      </c>
      <c r="J56" s="9">
        <f>HYPERLINK("https://youglish.com/pronounce/山/chinese","🔍")</f>
        <v/>
      </c>
      <c r="K56" s="10" t="n"/>
      <c r="L56" s="11" t="n"/>
      <c r="M56" s="10" t="n"/>
      <c r="N56" s="11" t="n"/>
      <c r="O56" s="10" t="n"/>
      <c r="P56" s="11" t="n"/>
      <c r="Q56" s="10" t="n"/>
      <c r="R56" s="12" t="inlineStr">
        <is>
          <t>2026-06-17</t>
        </is>
      </c>
      <c r="S56" s="17" t="n"/>
      <c r="T56" s="21" t="inlineStr">
        <is>
          <t>山 [SƠN] · núi non
    ↳ Chiết tự: bộ 山 (sơn) — hình ba ngọn núi nhô lên</t>
        </is>
      </c>
      <c r="U56" s="22" t="inlineStr">
        <is>
          <t>🌤️ Thiên nhiên &amp; Thời tiết</t>
        </is>
      </c>
      <c r="V56" s="63" t="inlineStr">
        <is>
          <t>我们明天去爬山。</t>
        </is>
      </c>
      <c r="W56" s="64" t="inlineStr">
        <is>
          <t>Wǒmen míngtiān qù pá shān.
Mai chúng tôi đi leo núi.</t>
        </is>
      </c>
    </row>
    <row r="57" hidden="1" ht="58.15" customHeight="1" s="99">
      <c r="A57" s="2" t="n">
        <v>350</v>
      </c>
      <c r="B57" s="25" t="inlineStr">
        <is>
          <t>HSK1+2</t>
        </is>
      </c>
      <c r="C57" s="4" t="inlineStr">
        <is>
          <t>天气</t>
        </is>
      </c>
      <c r="D57" s="5" t="inlineStr">
        <is>
          <t>tiānqì</t>
        </is>
      </c>
      <c r="E57" s="6" t="inlineStr">
        <is>
          <t>thời tiết</t>
        </is>
      </c>
      <c r="F57" s="13" t="inlineStr">
        <is>
          <t>天气</t>
        </is>
      </c>
      <c r="G57" s="7" t="inlineStr">
        <is>
          <t>天气</t>
        </is>
      </c>
      <c r="H57" s="8">
        <f>IF(TRIM($G57)="","",IF(EXACT(TRIM($G57),TRIM($C57)),"✅ Đúng","❌ Sai"))</f>
        <v/>
      </c>
      <c r="I57" s="9">
        <f>HYPERLINK("https://translate.google.com/translate_tts?ie=UTF-8&amp;tl=zh-CN&amp;client=tw-ob&amp;q=天气","▶")</f>
        <v/>
      </c>
      <c r="J57" s="9">
        <f>HYPERLINK("https://youglish.com/pronounce/天气/chinese","🔍")</f>
        <v/>
      </c>
      <c r="K57" s="10" t="n"/>
      <c r="L57" s="11" t="n"/>
      <c r="M57" s="10" t="n"/>
      <c r="N57" s="11" t="n"/>
      <c r="O57" s="10" t="n"/>
      <c r="P57" s="11" t="n"/>
      <c r="Q57" s="10" t="n"/>
      <c r="R57" s="12" t="inlineStr">
        <is>
          <t>2026-06-17</t>
        </is>
      </c>
      <c r="S57" s="17" t="n"/>
      <c r="T57" s="21" t="inlineStr">
        <is>
          <t>天 [THIÊN] · trời, ngày, thiên nhiên
    ↳ Chiết tự: bộ 大 (đại – người) + 一 (nhất) trên đầu — khoảng cao nhất trên đầu người
气 [KHÍ] · hơi, không khí; tức giận
    ↳ Chiết tự: giản thể của 氣: bộ 气 (khí) — hình làn hơi bốc lên</t>
        </is>
      </c>
      <c r="U57" s="22" t="inlineStr">
        <is>
          <t>🌤️ Thiên nhiên &amp; Thời tiết</t>
        </is>
      </c>
      <c r="V57" s="63" t="inlineStr">
        <is>
          <t>今天的天气很冷。</t>
        </is>
      </c>
      <c r="W57" s="64" t="inlineStr">
        <is>
          <t>Jīntiān de tiānqì hěn lěng.
Thời tiết hôm nay rất lạnh.</t>
        </is>
      </c>
    </row>
    <row r="58" hidden="1" ht="58.15" customHeight="1" s="99">
      <c r="A58" s="2" t="n">
        <v>386</v>
      </c>
      <c r="B58" s="25" t="inlineStr">
        <is>
          <t>HSK1+2</t>
        </is>
      </c>
      <c r="C58" s="4" t="inlineStr">
        <is>
          <t>下雨</t>
        </is>
      </c>
      <c r="D58" s="5" t="inlineStr">
        <is>
          <t>xiàyǔ</t>
        </is>
      </c>
      <c r="E58" s="6" t="inlineStr">
        <is>
          <t>đổ mưa</t>
        </is>
      </c>
      <c r="F58" s="7" t="n"/>
      <c r="G58" s="7" t="inlineStr">
        <is>
          <t>下雨</t>
        </is>
      </c>
      <c r="H58" s="8">
        <f>IF(TRIM($G58)="","",IF(EXACT(TRIM($G58),TRIM($C58)),"✅ Đúng","❌ Sai"))</f>
        <v/>
      </c>
      <c r="I58" s="9">
        <f>HYPERLINK("https://translate.google.com/translate_tts?ie=UTF-8&amp;tl=zh-CN&amp;client=tw-ob&amp;q=下雨","▶")</f>
        <v/>
      </c>
      <c r="J58" s="9">
        <f>HYPERLINK("https://youglish.com/pronounce/下雨/chinese","🔍")</f>
        <v/>
      </c>
      <c r="K58" s="10" t="n"/>
      <c r="L58" s="11" t="n"/>
      <c r="M58" s="10" t="n"/>
      <c r="N58" s="11" t="n"/>
      <c r="O58" s="10" t="n"/>
      <c r="P58" s="11" t="n"/>
      <c r="Q58" s="10" t="n"/>
      <c r="R58" s="12" t="inlineStr">
        <is>
          <t>2026-06-17</t>
        </is>
      </c>
      <c r="S58" s="17" t="n"/>
      <c r="T58" s="21" t="inlineStr">
        <is>
          <t>下 [HẠ] · ở dưới, xuống, kém hơn
    ↳ Chiết tự: bộ 一 (nhất – mặt đất) + vạch chỉ hướng xuống — chữ chỉ sự
雨 [VŨ] · mưa
    ↳ Chiết tự: bộ 雨 (vũ) — hình giọt mưa rơi dưới đám mây</t>
        </is>
      </c>
      <c r="U58" s="22" t="inlineStr">
        <is>
          <t>🌤️ Thiên nhiên &amp; Thời tiết</t>
        </is>
      </c>
      <c r="V58" s="63" t="inlineStr">
        <is>
          <t>外边下雨了。</t>
        </is>
      </c>
      <c r="W58" s="64" t="inlineStr">
        <is>
          <t>Wàibian xià yǔ le.
Bên ngoài trời mưa rồi.</t>
        </is>
      </c>
    </row>
    <row r="59" hidden="1" ht="23.25" customHeight="1" s="99">
      <c r="A59" s="2" t="n">
        <v>439</v>
      </c>
      <c r="B59" s="3" t="inlineStr">
        <is>
          <t>HSK1</t>
        </is>
      </c>
      <c r="C59" s="4" t="inlineStr">
        <is>
          <t>雨</t>
        </is>
      </c>
      <c r="D59" s="5" t="inlineStr">
        <is>
          <t>yǔ</t>
        </is>
      </c>
      <c r="E59" s="6" t="inlineStr">
        <is>
          <t>mưa</t>
        </is>
      </c>
      <c r="F59" s="7" t="n"/>
      <c r="G59" s="7" t="inlineStr">
        <is>
          <t>雨</t>
        </is>
      </c>
      <c r="H59" s="8">
        <f>IF(TRIM($G59)="","",IF(EXACT(TRIM($G59),TRIM($C59)),"✅ Đúng","❌ Sai"))</f>
        <v/>
      </c>
      <c r="I59" s="9">
        <f>HYPERLINK("https://translate.google.com/translate_tts?ie=UTF-8&amp;tl=zh-CN&amp;client=tw-ob&amp;q=雨","▶")</f>
        <v/>
      </c>
      <c r="J59" s="9">
        <f>HYPERLINK("https://youglish.com/pronounce/雨/chinese","🔍")</f>
        <v/>
      </c>
      <c r="K59" s="10" t="n"/>
      <c r="L59" s="11" t="n"/>
      <c r="M59" s="10" t="n"/>
      <c r="N59" s="11" t="n"/>
      <c r="O59" s="10" t="n"/>
      <c r="P59" s="11" t="n"/>
      <c r="Q59" s="10" t="n"/>
      <c r="R59" s="12" t="inlineStr">
        <is>
          <t>2026-06-17</t>
        </is>
      </c>
      <c r="S59" s="18" t="n"/>
      <c r="T59" s="21" t="inlineStr">
        <is>
          <t>雨 [VŨ] · mưa
    ↳ Chiết tự: bộ 雨 (vũ) — hình giọt mưa rơi dưới đám mây</t>
        </is>
      </c>
      <c r="U59" s="22" t="inlineStr">
        <is>
          <t>🌤️ Thiên nhiên &amp; Thời tiết</t>
        </is>
      </c>
      <c r="V59" s="63" t="inlineStr">
        <is>
          <t>雨越来越大。</t>
        </is>
      </c>
      <c r="W59" s="64" t="inlineStr">
        <is>
          <t>Yǔ yuè lái yuè dà.
Mưa càng lúc càng to.</t>
        </is>
      </c>
    </row>
    <row r="60" hidden="1" ht="35.65" customHeight="1" s="99">
      <c r="A60" s="26" t="n">
        <v>541</v>
      </c>
      <c r="B60" s="28" t="inlineStr">
        <is>
          <t>HSK2</t>
        </is>
      </c>
      <c r="C60" s="26" t="inlineStr">
        <is>
          <t>晴</t>
        </is>
      </c>
      <c r="D60" s="26" t="inlineStr">
        <is>
          <t>qíng</t>
        </is>
      </c>
      <c r="E60" s="26" t="inlineStr">
        <is>
          <t>nắng, quang đãng</t>
        </is>
      </c>
      <c r="F60" s="26" t="n"/>
      <c r="G60" s="7" t="inlineStr">
        <is>
          <t>晴</t>
        </is>
      </c>
      <c r="H60" s="8">
        <f>IF(TRIM($G60)="","",IF(EXACT(TRIM($G60),TRIM($C60)),"✅ Đúng","❌ Sai"))</f>
        <v/>
      </c>
      <c r="I60" s="52" t="inlineStr">
        <is>
          <t>▶</t>
        </is>
      </c>
      <c r="J60" s="52" t="inlineStr">
        <is>
          <t>🔍</t>
        </is>
      </c>
      <c r="K60" s="26" t="n"/>
      <c r="L60" s="26" t="n"/>
      <c r="M60" s="26" t="n"/>
      <c r="N60" s="26" t="n"/>
      <c r="O60" s="26" t="n"/>
      <c r="P60" s="26" t="n"/>
      <c r="Q60" s="26" t="n"/>
      <c r="R60" s="39" t="n">
        <v>46236</v>
      </c>
      <c r="S60" s="41" t="n"/>
      <c r="T60" s="47" t="inlineStr">
        <is>
          <t>晴 [TÌNH] · trời quang, nắng ráo
    ↳ Chiết tự: bộ 日 (nhật – mặt trời) + 青 (thanh – xanh) — mặt trời trên nền trời xanh</t>
        </is>
      </c>
      <c r="U60" s="44" t="inlineStr">
        <is>
          <t>🌤️ Thiên nhiên &amp; Thời tiết</t>
        </is>
      </c>
      <c r="V60" s="63" t="inlineStr">
        <is>
          <t>今天是晴天。</t>
        </is>
      </c>
      <c r="W60" s="64" t="inlineStr">
        <is>
          <t>Jīntiān shì qíngtiān.
Hôm nay là ngày nắng.</t>
        </is>
      </c>
    </row>
    <row r="61" hidden="1" ht="35.65" customHeight="1" s="99">
      <c r="A61" s="26" t="n">
        <v>558</v>
      </c>
      <c r="B61" s="28" t="inlineStr">
        <is>
          <t>HSK2</t>
        </is>
      </c>
      <c r="C61" s="26" t="inlineStr">
        <is>
          <t>雪</t>
        </is>
      </c>
      <c r="D61" s="26" t="inlineStr">
        <is>
          <t>xuě</t>
        </is>
      </c>
      <c r="E61" s="26" t="inlineStr">
        <is>
          <t>tuyết</t>
        </is>
      </c>
      <c r="F61" s="26" t="n"/>
      <c r="G61" s="7" t="inlineStr">
        <is>
          <t>雪</t>
        </is>
      </c>
      <c r="H61" s="8">
        <f>IF(TRIM($G61)="","",IF(EXACT(TRIM($G61),TRIM($C61)),"✅ Đúng","❌ Sai"))</f>
        <v/>
      </c>
      <c r="I61" s="52" t="inlineStr">
        <is>
          <t>▶</t>
        </is>
      </c>
      <c r="J61" s="52" t="inlineStr">
        <is>
          <t>🔍</t>
        </is>
      </c>
      <c r="K61" s="26" t="n"/>
      <c r="L61" s="26" t="n"/>
      <c r="M61" s="26" t="n"/>
      <c r="N61" s="26" t="n"/>
      <c r="O61" s="26" t="n"/>
      <c r="P61" s="26" t="n"/>
      <c r="Q61" s="26" t="n"/>
      <c r="R61" s="39" t="n">
        <v>46236</v>
      </c>
      <c r="S61" s="41" t="n"/>
      <c r="T61" s="47" t="inlineStr">
        <is>
          <t>雪 [TUYẾT] · tuyết; rửa sạch (雪耻)
    ↳ Chiết tự: bộ 雨 (vũ – mưa) + 彐 (kệ – bàn tay) — mưa đông cầm nắm được</t>
        </is>
      </c>
      <c r="U61" s="44" t="inlineStr">
        <is>
          <t>🌤️ Thiên nhiên &amp; Thời tiết</t>
        </is>
      </c>
      <c r="V61" s="63" t="inlineStr">
        <is>
          <t>北京冬天常下雪。</t>
        </is>
      </c>
      <c r="W61" s="64" t="inlineStr">
        <is>
          <t>Běijīng dōngtiān cháng xià xuě.
Bắc Kinh mùa đông thường có tuyết.</t>
        </is>
      </c>
    </row>
    <row r="62" ht="35.65" customHeight="1" s="99">
      <c r="A62" s="26" t="n">
        <v>566</v>
      </c>
      <c r="B62" s="79" t="inlineStr">
        <is>
          <t>HSK2</t>
        </is>
      </c>
      <c r="C62" s="80" t="inlineStr">
        <is>
          <t>阴</t>
        </is>
      </c>
      <c r="D62" s="80" t="inlineStr">
        <is>
          <t>yīn</t>
        </is>
      </c>
      <c r="E62" s="80" t="inlineStr">
        <is>
          <t>âm u, râm mát</t>
        </is>
      </c>
      <c r="F62" s="26" t="n"/>
      <c r="G62" s="7" t="n"/>
      <c r="H62" s="8">
        <f>IF(TRIM($G62)="","",IF(EXACT(TRIM($G62),TRIM($C62)),"✅ Đúng","❌ Sai"))</f>
        <v/>
      </c>
      <c r="I62" s="52" t="inlineStr">
        <is>
          <t>▶</t>
        </is>
      </c>
      <c r="J62" s="52" t="inlineStr">
        <is>
          <t>🔍</t>
        </is>
      </c>
      <c r="K62" s="26" t="n"/>
      <c r="L62" s="26" t="n"/>
      <c r="M62" s="26" t="n"/>
      <c r="N62" s="26" t="n"/>
      <c r="O62" s="26" t="n"/>
      <c r="P62" s="26" t="n"/>
      <c r="Q62" s="26" t="n"/>
      <c r="R62" s="39" t="n">
        <v>46236</v>
      </c>
      <c r="S62" s="41" t="n"/>
      <c r="T62" s="47" t="inlineStr">
        <is>
          <t>阴 [ÂM] · râm mát, u ám; âm (đối với dương)
    ↳ Chiết tự: giản thể của 陰: bộ 阝 (phụ – gò đất) + 月 (nguyệt – mặt trăng) — sườn núi khuất nắng</t>
        </is>
      </c>
      <c r="U62" s="44" t="inlineStr">
        <is>
          <t>🌤️ Thiên nhiên &amp; Thời tiết</t>
        </is>
      </c>
      <c r="V62" s="63" t="inlineStr">
        <is>
          <t>今天天气有点儿阴。</t>
        </is>
      </c>
      <c r="W62" s="64" t="inlineStr">
        <is>
          <t>Jīntiān tiānqì yǒudiǎnr yīn.
Hôm nay trời hơi âm u.</t>
        </is>
      </c>
    </row>
    <row r="63" hidden="1" ht="58.15" customHeight="1" s="99">
      <c r="A63" s="2" t="n">
        <v>16</v>
      </c>
      <c r="B63" s="3" t="inlineStr">
        <is>
          <t>HSK1</t>
        </is>
      </c>
      <c r="C63" s="4" t="inlineStr">
        <is>
          <t>包子</t>
        </is>
      </c>
      <c r="D63" s="5" t="inlineStr">
        <is>
          <t>bāozi</t>
        </is>
      </c>
      <c r="E63" s="6" t="inlineStr">
        <is>
          <t>bánh bao</t>
        </is>
      </c>
      <c r="F63" s="7" t="n"/>
      <c r="G63" s="7" t="inlineStr">
        <is>
          <t>包子</t>
        </is>
      </c>
      <c r="H63" s="8">
        <f>IF(TRIM($G63)="","",IF(EXACT(TRIM($G63),TRIM($C63)),"✅ Đúng","❌ Sai"))</f>
        <v/>
      </c>
      <c r="I63" s="9">
        <f>HYPERLINK("https://translate.google.com/translate_tts?ie=UTF-8&amp;tl=zh-CN&amp;client=tw-ob&amp;q=包子","▶")</f>
        <v/>
      </c>
      <c r="J63" s="9">
        <f>HYPERLINK("https://youglish.com/pronounce/包子/chinese","🔍")</f>
        <v/>
      </c>
      <c r="K63" s="10" t="n"/>
      <c r="L63" s="11" t="n"/>
      <c r="M63" s="10" t="n"/>
      <c r="N63" s="11" t="n"/>
      <c r="O63" s="10" t="n"/>
      <c r="P63" s="11" t="n"/>
      <c r="Q63" s="10" t="n"/>
      <c r="R63" s="12" t="inlineStr">
        <is>
          <t>2026-06-17</t>
        </is>
      </c>
      <c r="S63" s="18" t="n"/>
      <c r="T63" s="21" t="inlineStr">
        <is>
          <t>包 [BAO] · bao bọc, gói; cái túi
    ↳ Chiết tự: bộ 勹 (bao – ôm bọc) + 巳 (tị – thai nhi) — bụng mẹ bọc lấy thai
子 [TỬ] · con cái; hậu tố danh từ; ngài
    ↳ Chiết tự: bộ 子 (tử) — hình em bé quấn tã, hai tay giơ lên</t>
        </is>
      </c>
      <c r="U63" s="22" t="inlineStr">
        <is>
          <t>🍜 Ăn uống</t>
        </is>
      </c>
      <c r="V63" s="63" t="inlineStr">
        <is>
          <t>我早上吃了两个包子。</t>
        </is>
      </c>
      <c r="W63" s="64" t="inlineStr">
        <is>
          <t>Wǒ zǎoshang chī le liǎng ge bāozi.
Sáng nay tôi ăn hai cái bánh bao.</t>
        </is>
      </c>
    </row>
    <row r="64" hidden="1" ht="23.25" customHeight="1" s="99">
      <c r="A64" s="2" t="n">
        <v>17</v>
      </c>
      <c r="B64" s="3" t="inlineStr">
        <is>
          <t>HSK1</t>
        </is>
      </c>
      <c r="C64" s="4" t="inlineStr">
        <is>
          <t>杯</t>
        </is>
      </c>
      <c r="D64" s="5" t="inlineStr">
        <is>
          <t>bēi</t>
        </is>
      </c>
      <c r="E64" s="6" t="inlineStr">
        <is>
          <t>cốc, ly</t>
        </is>
      </c>
      <c r="F64" s="13" t="inlineStr">
        <is>
          <t>杯</t>
        </is>
      </c>
      <c r="G64" s="7" t="inlineStr">
        <is>
          <t>杯</t>
        </is>
      </c>
      <c r="H64" s="8">
        <f>IF(TRIM($G64)="","",IF(EXACT(TRIM($G64),TRIM($C64)),"✅ Đúng","❌ Sai"))</f>
        <v/>
      </c>
      <c r="I64" s="9">
        <f>HYPERLINK("https://translate.google.com/translate_tts?ie=UTF-8&amp;tl=zh-CN&amp;client=tw-ob&amp;q=杯","▶")</f>
        <v/>
      </c>
      <c r="J64" s="9">
        <f>HYPERLINK("https://youglish.com/pronounce/杯/chinese","🔍")</f>
        <v/>
      </c>
      <c r="K64" s="10" t="n"/>
      <c r="L64" s="11" t="n"/>
      <c r="M64" s="10" t="n"/>
      <c r="N64" s="11" t="n"/>
      <c r="O64" s="10" t="n"/>
      <c r="P64" s="11" t="n"/>
      <c r="Q64" s="10" t="n"/>
      <c r="R64" s="12" t="inlineStr">
        <is>
          <t>2026-06-17</t>
        </is>
      </c>
      <c r="S64" s="17" t="n"/>
      <c r="T64" s="21" t="inlineStr">
        <is>
          <t>杯 [BÔI] · cái chén, cái cốc
    ↳ Chiết tự: bộ 木 (mộc – gỗ) + 不 (bất – âm đọc) — chén khắc từ gỗ</t>
        </is>
      </c>
      <c r="U64" s="22" t="inlineStr">
        <is>
          <t>🍜 Ăn uống</t>
        </is>
      </c>
      <c r="V64" s="63" t="inlineStr">
        <is>
          <t>请给我一杯水。</t>
        </is>
      </c>
      <c r="W64" s="64" t="inlineStr">
        <is>
          <t>Qǐng gěi wǒ yì bēi shuǐ.
Cho tôi một cốc nước.</t>
        </is>
      </c>
    </row>
    <row r="65" hidden="1" ht="46.5" customHeight="1" s="99">
      <c r="A65" s="2" t="n">
        <v>18</v>
      </c>
      <c r="B65" s="25" t="inlineStr">
        <is>
          <t>HSK1+2</t>
        </is>
      </c>
      <c r="C65" s="4" t="inlineStr">
        <is>
          <t>杯子</t>
        </is>
      </c>
      <c r="D65" s="5" t="inlineStr">
        <is>
          <t>bēizi</t>
        </is>
      </c>
      <c r="E65" s="6" t="inlineStr">
        <is>
          <t>cốc, chén, ly</t>
        </is>
      </c>
      <c r="F65" s="7" t="n"/>
      <c r="G65" s="7" t="inlineStr">
        <is>
          <t>杯子</t>
        </is>
      </c>
      <c r="H65" s="8">
        <f>IF(TRIM($G65)="","",IF(EXACT(TRIM($G65),TRIM($C65)),"✅ Đúng","❌ Sai"))</f>
        <v/>
      </c>
      <c r="I65" s="9">
        <f>HYPERLINK("https://translate.google.com/translate_tts?ie=UTF-8&amp;tl=zh-CN&amp;client=tw-ob&amp;q=杯子","▶")</f>
        <v/>
      </c>
      <c r="J65" s="9">
        <f>HYPERLINK("https://youglish.com/pronounce/杯子/chinese","🔍")</f>
        <v/>
      </c>
      <c r="K65" s="10" t="n"/>
      <c r="L65" s="11" t="n"/>
      <c r="M65" s="10" t="n"/>
      <c r="N65" s="11" t="n"/>
      <c r="O65" s="10" t="n"/>
      <c r="P65" s="11" t="n"/>
      <c r="Q65" s="10" t="n"/>
      <c r="R65" s="12" t="inlineStr">
        <is>
          <t>2026-06-17</t>
        </is>
      </c>
      <c r="S65" s="18" t="n"/>
      <c r="T65" s="21" t="inlineStr">
        <is>
          <t>杯 [BÔI] · cái chén, cái cốc
    ↳ Chiết tự: bộ 木 (mộc – gỗ) + 不 (bất – âm đọc) — chén khắc từ gỗ
子 [TỬ] · con cái; hậu tố danh từ; ngài
    ↳ Chiết tự: bộ 子 (tử) — hình em bé quấn tã, hai tay giơ lên</t>
        </is>
      </c>
      <c r="U65" s="22" t="inlineStr">
        <is>
          <t>🍜 Ăn uống</t>
        </is>
      </c>
      <c r="V65" s="63" t="inlineStr">
        <is>
          <t>这个杯子很漂亮。</t>
        </is>
      </c>
      <c r="W65" s="64" t="inlineStr">
        <is>
          <t>Zhège bēizi hěn piàoliang.
Cái cốc này rất đẹp.</t>
        </is>
      </c>
    </row>
    <row r="66" hidden="1" ht="34.9" customHeight="1" s="99">
      <c r="A66" s="2" t="n">
        <v>35</v>
      </c>
      <c r="B66" s="25" t="inlineStr">
        <is>
          <t>HSK1+2</t>
        </is>
      </c>
      <c r="C66" s="4" t="inlineStr">
        <is>
          <t>菜</t>
        </is>
      </c>
      <c r="D66" s="5" t="inlineStr">
        <is>
          <t>cài</t>
        </is>
      </c>
      <c r="E66" s="6" t="inlineStr">
        <is>
          <t>đồ ăn, món ăn</t>
        </is>
      </c>
      <c r="F66" s="7" t="inlineStr">
        <is>
          <t>菜</t>
        </is>
      </c>
      <c r="G66" s="7" t="inlineStr">
        <is>
          <t>菜</t>
        </is>
      </c>
      <c r="H66" s="8">
        <f>IF(TRIM($G66)="","",IF(EXACT(TRIM($G66),TRIM($C66)),"✅ Đúng","❌ Sai"))</f>
        <v/>
      </c>
      <c r="I66" s="9">
        <f>HYPERLINK("https://translate.google.com/translate_tts?ie=UTF-8&amp;tl=zh-CN&amp;client=tw-ob&amp;q=菜","▶")</f>
        <v/>
      </c>
      <c r="J66" s="9">
        <f>HYPERLINK("https://youglish.com/pronounce/菜/chinese","🔍")</f>
        <v/>
      </c>
      <c r="K66" s="10" t="n"/>
      <c r="L66" s="11" t="n"/>
      <c r="M66" s="10" t="n"/>
      <c r="N66" s="11" t="n"/>
      <c r="O66" s="10" t="n"/>
      <c r="P66" s="11" t="n"/>
      <c r="Q66" s="10" t="n"/>
      <c r="R66" s="12" t="inlineStr">
        <is>
          <t>2026-06-17</t>
        </is>
      </c>
      <c r="S66" s="17" t="n"/>
      <c r="T66" s="21" t="inlineStr">
        <is>
          <t>菜 [THÁI] · rau; món ăn
    ↳ Chiết tự: bộ 艹 (thảo – cây cỏ) + 采 (thái – hái) — thứ cỏ cây hái về ăn</t>
        </is>
      </c>
      <c r="U66" s="22" t="inlineStr">
        <is>
          <t>🍜 Ăn uống</t>
        </is>
      </c>
      <c r="V66" s="63" t="inlineStr">
        <is>
          <t>这个菜很好吃。</t>
        </is>
      </c>
      <c r="W66" s="64" t="inlineStr">
        <is>
          <t>Zhège cài hěn hǎochī.
Món này rất ngon.</t>
        </is>
      </c>
    </row>
    <row r="67" hidden="1" ht="34.9" customHeight="1" s="99">
      <c r="A67" s="2" t="n">
        <v>37</v>
      </c>
      <c r="B67" s="25" t="inlineStr">
        <is>
          <t>HSK1+2</t>
        </is>
      </c>
      <c r="C67" s="4" t="inlineStr">
        <is>
          <t>茶</t>
        </is>
      </c>
      <c r="D67" s="5" t="inlineStr">
        <is>
          <t>chá</t>
        </is>
      </c>
      <c r="E67" s="6" t="inlineStr">
        <is>
          <t>trà</t>
        </is>
      </c>
      <c r="F67" s="7" t="inlineStr">
        <is>
          <t>茶</t>
        </is>
      </c>
      <c r="G67" s="7" t="inlineStr">
        <is>
          <t>茶</t>
        </is>
      </c>
      <c r="H67" s="8">
        <f>IF(TRIM($G67)="","",IF(EXACT(TRIM($G67),TRIM($C67)),"✅ Đúng","❌ Sai"))</f>
        <v/>
      </c>
      <c r="I67" s="9">
        <f>HYPERLINK("https://translate.google.com/translate_tts?ie=UTF-8&amp;tl=zh-CN&amp;client=tw-ob&amp;q=茶","▶")</f>
        <v/>
      </c>
      <c r="J67" s="9">
        <f>HYPERLINK("https://youglish.com/pronounce/茶/chinese","🔍")</f>
        <v/>
      </c>
      <c r="K67" s="10" t="n"/>
      <c r="L67" s="11" t="n"/>
      <c r="M67" s="10" t="n"/>
      <c r="N67" s="11" t="n"/>
      <c r="O67" s="10" t="n"/>
      <c r="P67" s="11" t="n"/>
      <c r="Q67" s="10" t="n"/>
      <c r="R67" s="12" t="inlineStr">
        <is>
          <t>2026-06-17</t>
        </is>
      </c>
      <c r="S67" s="17" t="n"/>
      <c r="T67" s="21" t="inlineStr">
        <is>
          <t>茶 [TRÀ] · trà, chè
    ↳ Chiết tự: bộ 艹 (thảo – cây cỏ) + 人 (nhân) + 木 (mộc – cây) — lá cây người hái pha uống</t>
        </is>
      </c>
      <c r="U67" s="22" t="inlineStr">
        <is>
          <t>🍜 Ăn uống</t>
        </is>
      </c>
      <c r="V67" s="63" t="inlineStr">
        <is>
          <t>我喜欢喝中国茶。</t>
        </is>
      </c>
      <c r="W67" s="64" t="inlineStr">
        <is>
          <t>Wǒ xǐhuan hē Zhōngguó chá.
Tôi thích uống trà Trung Quốc.</t>
        </is>
      </c>
    </row>
    <row r="68" hidden="1" ht="34.9" customHeight="1" s="99">
      <c r="A68" s="2" t="n">
        <v>46</v>
      </c>
      <c r="B68" s="25" t="inlineStr">
        <is>
          <t>HSK1+2</t>
        </is>
      </c>
      <c r="C68" s="4" t="inlineStr">
        <is>
          <t>吃</t>
        </is>
      </c>
      <c r="D68" s="5" t="inlineStr">
        <is>
          <t>chī</t>
        </is>
      </c>
      <c r="E68" s="6" t="inlineStr">
        <is>
          <t>ăn</t>
        </is>
      </c>
      <c r="F68" s="7" t="inlineStr">
        <is>
          <t>吃</t>
        </is>
      </c>
      <c r="G68" s="7" t="inlineStr">
        <is>
          <t>吃</t>
        </is>
      </c>
      <c r="H68" s="8">
        <f>IF(TRIM($G68)="","",IF(EXACT(TRIM($G68),TRIM($C68)),"✅ Đúng","❌ Sai"))</f>
        <v/>
      </c>
      <c r="I68" s="9">
        <f>HYPERLINK("https://translate.google.com/translate_tts?ie=UTF-8&amp;tl=zh-CN&amp;client=tw-ob&amp;q=吃","▶")</f>
        <v/>
      </c>
      <c r="J68" s="9">
        <f>HYPERLINK("https://youglish.com/pronounce/吃/chinese","🔍")</f>
        <v/>
      </c>
      <c r="K68" s="10" t="n"/>
      <c r="L68" s="11" t="n"/>
      <c r="M68" s="10" t="n"/>
      <c r="N68" s="11" t="n"/>
      <c r="O68" s="10" t="n"/>
      <c r="P68" s="11" t="n"/>
      <c r="Q68" s="10" t="n"/>
      <c r="R68" s="12" t="inlineStr">
        <is>
          <t>2026-06-17</t>
        </is>
      </c>
      <c r="S68" s="18" t="n"/>
      <c r="T68" s="21" t="inlineStr">
        <is>
          <t>吃 [NGẬT] · ăn, nuốt
    ↳ Chiết tự: bộ 口 (khẩu – miệng) + 乞 (khất – xin) — đưa thức ăn vào miệng</t>
        </is>
      </c>
      <c r="U68" s="22" t="inlineStr">
        <is>
          <t>🍜 Ăn uống</t>
        </is>
      </c>
      <c r="V68" s="63" t="inlineStr">
        <is>
          <t>你想吃什么？</t>
        </is>
      </c>
      <c r="W68" s="64" t="inlineStr">
        <is>
          <t>Nǐ xiǎng chī shénme?
Bạn muốn ăn gì?</t>
        </is>
      </c>
    </row>
    <row r="69" hidden="1" ht="69.75" customHeight="1" s="99">
      <c r="A69" s="2" t="n">
        <v>47</v>
      </c>
      <c r="B69" s="3" t="inlineStr">
        <is>
          <t>HSK1</t>
        </is>
      </c>
      <c r="C69" s="4" t="inlineStr">
        <is>
          <t>吃饭</t>
        </is>
      </c>
      <c r="D69" s="5" t="inlineStr">
        <is>
          <t>chīfàn</t>
        </is>
      </c>
      <c r="E69" s="6" t="inlineStr">
        <is>
          <t>ăn cơm</t>
        </is>
      </c>
      <c r="F69" s="7" t="inlineStr">
        <is>
          <t>吃饭</t>
        </is>
      </c>
      <c r="G69" s="7" t="inlineStr">
        <is>
          <t>吃饭</t>
        </is>
      </c>
      <c r="H69" s="8">
        <f>IF(TRIM($G69)="","",IF(EXACT(TRIM($G69),TRIM($C69)),"✅ Đúng","❌ Sai"))</f>
        <v/>
      </c>
      <c r="I69" s="9">
        <f>HYPERLINK("https://translate.google.com/translate_tts?ie=UTF-8&amp;tl=zh-CN&amp;client=tw-ob&amp;q=吃饭","▶")</f>
        <v/>
      </c>
      <c r="J69" s="9">
        <f>HYPERLINK("https://youglish.com/pronounce/吃饭/chinese","🔍")</f>
        <v/>
      </c>
      <c r="K69" s="10" t="n"/>
      <c r="L69" s="11" t="n"/>
      <c r="M69" s="10" t="n"/>
      <c r="N69" s="11" t="n"/>
      <c r="O69" s="10" t="n"/>
      <c r="P69" s="11" t="n"/>
      <c r="Q69" s="10" t="n"/>
      <c r="R69" s="12" t="inlineStr">
        <is>
          <t>2026-06-17</t>
        </is>
      </c>
      <c r="S69" s="17" t="n"/>
      <c r="T69" s="21" t="inlineStr">
        <is>
          <t>吃 [NGẬT] · ăn, nuốt
    ↳ Chiết tự: bộ 口 (khẩu – miệng) + 乞 (khất – xin) — đưa thức ăn vào miệng
饭 [PHẠN] · cơm, bữa ăn
    ↳ Chiết tự: giản thể của 飯: bộ 饣 (thực – ăn) + 反 (phản – âm đọc) — bữa cơm</t>
        </is>
      </c>
      <c r="U69" s="22" t="inlineStr">
        <is>
          <t>🍜 Ăn uống</t>
        </is>
      </c>
      <c r="V69" s="63" t="inlineStr">
        <is>
          <t>我们一起吃饭吧。</t>
        </is>
      </c>
      <c r="W69" s="64" t="inlineStr">
        <is>
          <t>Wǒmen yìqǐ chīfàn ba.
Chúng ta cùng ăn cơm nhé.</t>
        </is>
      </c>
    </row>
    <row r="70" hidden="1" ht="34.9" customHeight="1" s="99">
      <c r="A70" s="2" t="n">
        <v>96</v>
      </c>
      <c r="B70" s="60" t="inlineStr">
        <is>
          <t>HSK1+3</t>
        </is>
      </c>
      <c r="C70" s="4" t="inlineStr">
        <is>
          <t>饿</t>
        </is>
      </c>
      <c r="D70" s="5" t="inlineStr">
        <is>
          <t>è</t>
        </is>
      </c>
      <c r="E70" s="6" t="inlineStr">
        <is>
          <t>đói</t>
        </is>
      </c>
      <c r="F70" s="7" t="n"/>
      <c r="G70" s="7" t="inlineStr">
        <is>
          <t>饿</t>
        </is>
      </c>
      <c r="H70" s="8">
        <f>IF(TRIM($G70)="","",IF(EXACT(TRIM($G70),TRIM($C70)),"✅ Đúng","❌ Sai"))</f>
        <v/>
      </c>
      <c r="I70" s="9">
        <f>HYPERLINK("https://translate.google.com/translate_tts?ie=UTF-8&amp;tl=zh-CN&amp;client=tw-ob&amp;q=饿","▶")</f>
        <v/>
      </c>
      <c r="J70" s="9">
        <f>HYPERLINK("https://youglish.com/pronounce/饿/chinese","🔍")</f>
        <v/>
      </c>
      <c r="K70" s="10" t="n"/>
      <c r="L70" s="11" t="n"/>
      <c r="M70" s="10" t="n"/>
      <c r="N70" s="11" t="n"/>
      <c r="O70" s="10" t="n"/>
      <c r="P70" s="11" t="n"/>
      <c r="Q70" s="10" t="n"/>
      <c r="R70" s="12" t="inlineStr">
        <is>
          <t>2026-06-17</t>
        </is>
      </c>
      <c r="S70" s="18" t="n"/>
      <c r="T70" s="21" t="inlineStr">
        <is>
          <t>饿 [NGẠ] · đói
    ↳ Chiết tự: giản thể của 餓: bộ 饣 (thực – ăn) + 我 (ngã – tôi) — bản thân cần ăn</t>
        </is>
      </c>
      <c r="U70" s="22" t="inlineStr">
        <is>
          <t>🍜 Ăn uống</t>
        </is>
      </c>
      <c r="V70" s="63" t="inlineStr">
        <is>
          <t>我有点儿饿了。</t>
        </is>
      </c>
      <c r="W70" s="64" t="inlineStr">
        <is>
          <t>Wǒ yǒudiǎnr è le.
Tôi hơi đói rồi.</t>
        </is>
      </c>
    </row>
    <row r="71" hidden="1" ht="34.9" customHeight="1" s="99">
      <c r="A71" s="2" t="n">
        <v>99</v>
      </c>
      <c r="B71" s="3" t="inlineStr">
        <is>
          <t>HSK1</t>
        </is>
      </c>
      <c r="C71" s="4" t="inlineStr">
        <is>
          <t>饭</t>
        </is>
      </c>
      <c r="D71" s="5" t="inlineStr">
        <is>
          <t>fàn</t>
        </is>
      </c>
      <c r="E71" s="6" t="inlineStr">
        <is>
          <t>cơm</t>
        </is>
      </c>
      <c r="F71" s="7" t="inlineStr">
        <is>
          <t>饭</t>
        </is>
      </c>
      <c r="G71" s="7" t="inlineStr">
        <is>
          <t>饭</t>
        </is>
      </c>
      <c r="H71" s="8">
        <f>IF(TRIM($G71)="","",IF(EXACT(TRIM($G71),TRIM($C71)),"✅ Đúng","❌ Sai"))</f>
        <v/>
      </c>
      <c r="I71" s="9">
        <f>HYPERLINK("https://translate.google.com/translate_tts?ie=UTF-8&amp;tl=zh-CN&amp;client=tw-ob&amp;q=饭","▶")</f>
        <v/>
      </c>
      <c r="J71" s="9">
        <f>HYPERLINK("https://youglish.com/pronounce/饭/chinese","🔍")</f>
        <v/>
      </c>
      <c r="K71" s="10" t="n"/>
      <c r="L71" s="11" t="n"/>
      <c r="M71" s="10" t="n"/>
      <c r="N71" s="11" t="n"/>
      <c r="O71" s="10" t="n"/>
      <c r="P71" s="11" t="n"/>
      <c r="Q71" s="10" t="n"/>
      <c r="R71" s="12" t="inlineStr">
        <is>
          <t>2026-06-17</t>
        </is>
      </c>
      <c r="S71" s="17" t="n"/>
      <c r="T71" s="21" t="inlineStr">
        <is>
          <t>饭 [PHẠN] · cơm, bữa ăn
    ↳ Chiết tự: giản thể của 飯: bộ 饣 (thực – ăn) + 反 (phản – âm đọc) — bữa cơm</t>
        </is>
      </c>
      <c r="U71" s="22" t="inlineStr">
        <is>
          <t>🍜 Ăn uống</t>
        </is>
      </c>
      <c r="V71" s="63" t="inlineStr">
        <is>
          <t>饭已经做好了。</t>
        </is>
      </c>
      <c r="W71" s="64" t="inlineStr">
        <is>
          <t>Fàn yǐjīng zuò hǎo le.
Cơm đã nấu xong rồi.</t>
        </is>
      </c>
    </row>
    <row r="72" hidden="1" ht="69.75" customHeight="1" s="99">
      <c r="A72" s="2" t="n">
        <v>100</v>
      </c>
      <c r="B72" s="25" t="inlineStr">
        <is>
          <t>HSK1+2</t>
        </is>
      </c>
      <c r="C72" s="4" t="inlineStr">
        <is>
          <t>饭店</t>
        </is>
      </c>
      <c r="D72" s="5" t="inlineStr">
        <is>
          <t>fàndiàn</t>
        </is>
      </c>
      <c r="E72" s="6" t="inlineStr">
        <is>
          <t>quán ăn / nhà hàng</t>
        </is>
      </c>
      <c r="F72" s="13" t="inlineStr">
        <is>
          <t>饭店</t>
        </is>
      </c>
      <c r="G72" s="7" t="inlineStr">
        <is>
          <t>饭店</t>
        </is>
      </c>
      <c r="H72" s="8">
        <f>IF(TRIM($G72)="","",IF(EXACT(TRIM($G72),TRIM($C72)),"✅ Đúng","❌ Sai"))</f>
        <v/>
      </c>
      <c r="I72" s="9">
        <f>HYPERLINK("https://translate.google.com/translate_tts?ie=UTF-8&amp;tl=zh-CN&amp;client=tw-ob&amp;q=饭店","▶")</f>
        <v/>
      </c>
      <c r="J72" s="9">
        <f>HYPERLINK("https://youglish.com/pronounce/饭店/chinese","🔍")</f>
        <v/>
      </c>
      <c r="K72" s="10" t="n"/>
      <c r="L72" s="11" t="n"/>
      <c r="M72" s="10" t="n"/>
      <c r="N72" s="11" t="n"/>
      <c r="O72" s="10" t="n"/>
      <c r="P72" s="11" t="n"/>
      <c r="Q72" s="10" t="n"/>
      <c r="R72" s="12" t="inlineStr">
        <is>
          <t>2026-06-17</t>
        </is>
      </c>
      <c r="S72" s="18" t="n"/>
      <c r="T72" s="21" t="inlineStr">
        <is>
          <t>饭 [PHẠN] · cơm, bữa ăn
    ↳ Chiết tự: giản thể của 飯: bộ 饣 (thực – ăn) + 反 (phản – âm đọc) — bữa cơm
店 [ĐIẾM] · cửa hàng, quán
    ↳ Chiết tự: bộ 广 (nghiễm – mái nhà) + 占 (chiếm – âm đọc) — mái nhà chiếm chỗ bày bán</t>
        </is>
      </c>
      <c r="U72" s="22" t="inlineStr">
        <is>
          <t>🍜 Ăn uống</t>
        </is>
      </c>
      <c r="V72" s="63" t="inlineStr">
        <is>
          <t>这家饭店的菜很好。</t>
        </is>
      </c>
      <c r="W72" s="64" t="inlineStr">
        <is>
          <t>Zhè jiā fàndiàn de cài hěn hǎo.
Món ăn của nhà hàng này rất ngon.</t>
        </is>
      </c>
    </row>
    <row r="73" hidden="1" ht="69.75" customHeight="1" s="99">
      <c r="A73" s="2" t="n">
        <v>139</v>
      </c>
      <c r="B73" s="25" t="inlineStr">
        <is>
          <t>HSK1+2</t>
        </is>
      </c>
      <c r="C73" s="4" t="inlineStr">
        <is>
          <t>好吃</t>
        </is>
      </c>
      <c r="D73" s="5" t="inlineStr">
        <is>
          <t>hǎochī</t>
        </is>
      </c>
      <c r="E73" s="6" t="inlineStr">
        <is>
          <t>ngon</t>
        </is>
      </c>
      <c r="F73" s="7" t="inlineStr">
        <is>
          <t>好吃</t>
        </is>
      </c>
      <c r="G73" s="7" t="inlineStr">
        <is>
          <t>好吃</t>
        </is>
      </c>
      <c r="H73" s="8">
        <f>IF(TRIM($G73)="","",IF(EXACT(TRIM($G73),TRIM($C73)),"✅ Đúng","❌ Sai"))</f>
        <v/>
      </c>
      <c r="I73" s="9">
        <f>HYPERLINK("https://translate.google.com/translate_tts?ie=UTF-8&amp;tl=zh-CN&amp;client=tw-ob&amp;q=好吃","▶")</f>
        <v/>
      </c>
      <c r="J73" s="9">
        <f>HYPERLINK("https://youglish.com/pronounce/好吃/chinese","🔍")</f>
        <v/>
      </c>
      <c r="K73" s="10" t="n"/>
      <c r="L73" s="11" t="n"/>
      <c r="M73" s="10" t="n"/>
      <c r="N73" s="11" t="n"/>
      <c r="O73" s="10" t="n"/>
      <c r="P73" s="11" t="n"/>
      <c r="Q73" s="10" t="n"/>
      <c r="R73" s="12" t="inlineStr">
        <is>
          <t>2026-06-17</t>
        </is>
      </c>
      <c r="S73" s="17" t="n"/>
      <c r="T73" s="21" t="inlineStr">
        <is>
          <t>好 [HẢO / HIẾU] · tốt đẹp; thích, yêu
    ↳ Chiết tự: bộ 女 (nữ – mẹ) + 子 (tử – con) — mẹ bồng con là cảnh tốt đẹp nhất
吃 [NGẬT] · ăn, nuốt
    ↳ Chiết tự: bộ 口 (khẩu – miệng) + 乞 (khất – xin) — đưa thức ăn vào miệng</t>
        </is>
      </c>
      <c r="U73" s="22" t="inlineStr">
        <is>
          <t>🍜 Ăn uống</t>
        </is>
      </c>
      <c r="V73" s="63" t="inlineStr">
        <is>
          <t>妈妈做的菜真好吃。</t>
        </is>
      </c>
      <c r="W73" s="64" t="inlineStr">
        <is>
          <t>Māma zuò de cài zhēn hǎochī.
Món mẹ nấu thật ngon.</t>
        </is>
      </c>
    </row>
    <row r="74" hidden="1" ht="34.9" customHeight="1" s="99">
      <c r="A74" s="2" t="n">
        <v>144</v>
      </c>
      <c r="B74" s="25" t="inlineStr">
        <is>
          <t>HSK1+2</t>
        </is>
      </c>
      <c r="C74" s="4" t="inlineStr">
        <is>
          <t>喝</t>
        </is>
      </c>
      <c r="D74" s="5" t="inlineStr">
        <is>
          <t>hē</t>
        </is>
      </c>
      <c r="E74" s="6" t="inlineStr">
        <is>
          <t>uống</t>
        </is>
      </c>
      <c r="F74" s="7" t="inlineStr">
        <is>
          <t>喝</t>
        </is>
      </c>
      <c r="G74" s="7" t="inlineStr">
        <is>
          <t>喝</t>
        </is>
      </c>
      <c r="H74" s="8">
        <f>IF(TRIM($G74)="","",IF(EXACT(TRIM($G74),TRIM($C74)),"✅ Đúng","❌ Sai"))</f>
        <v/>
      </c>
      <c r="I74" s="9">
        <f>HYPERLINK("https://translate.google.com/translate_tts?ie=UTF-8&amp;tl=zh-CN&amp;client=tw-ob&amp;q=喝","▶")</f>
        <v/>
      </c>
      <c r="J74" s="9">
        <f>HYPERLINK("https://youglish.com/pronounce/喝/chinese","🔍")</f>
        <v/>
      </c>
      <c r="K74" s="10" t="n"/>
      <c r="L74" s="11" t="n"/>
      <c r="M74" s="10" t="n"/>
      <c r="N74" s="11" t="n"/>
      <c r="O74" s="10" t="n"/>
      <c r="P74" s="11" t="n"/>
      <c r="Q74" s="10" t="n"/>
      <c r="R74" s="12" t="inlineStr">
        <is>
          <t>2026-06-17</t>
        </is>
      </c>
      <c r="S74" s="18" t="n"/>
      <c r="T74" s="21" t="inlineStr">
        <is>
          <t>喝 [HÁT] · uống
    ↳ Chiết tự: bộ 口 (khẩu – miệng) + 曷 (hạt – âm đọc) — đưa nước qua miệng</t>
        </is>
      </c>
      <c r="U74" s="22" t="inlineStr">
        <is>
          <t>🍜 Ăn uống</t>
        </is>
      </c>
      <c r="V74" s="63" t="inlineStr">
        <is>
          <t>你要喝什么？</t>
        </is>
      </c>
      <c r="W74" s="64" t="inlineStr">
        <is>
          <t>Nǐ yào hē shénme?
Bạn muốn uống gì?</t>
        </is>
      </c>
    </row>
    <row r="75" ht="69.75" customHeight="1" s="99">
      <c r="A75" s="2" t="n">
        <v>164</v>
      </c>
      <c r="B75" s="25" t="inlineStr">
        <is>
          <t>HSK1+2</t>
        </is>
      </c>
      <c r="C75" s="4" t="inlineStr">
        <is>
          <t>鸡蛋</t>
        </is>
      </c>
      <c r="D75" s="5" t="inlineStr">
        <is>
          <t>jīdàn</t>
        </is>
      </c>
      <c r="E75" s="6" t="inlineStr">
        <is>
          <t>trứng gà</t>
        </is>
      </c>
      <c r="F75" s="7" t="n"/>
      <c r="G75" s="7" t="n"/>
      <c r="H75" s="8">
        <f>IF(TRIM($G75)="","",IF(EXACT(TRIM($G75),TRIM($C75)),"✅ Đúng","❌ Sai"))</f>
        <v/>
      </c>
      <c r="I75" s="9">
        <f>HYPERLINK("https://translate.google.com/translate_tts?ie=UTF-8&amp;tl=zh-CN&amp;client=tw-ob&amp;q=鸡蛋","▶")</f>
        <v/>
      </c>
      <c r="J75" s="9">
        <f>HYPERLINK("https://youglish.com/pronounce/鸡蛋/chinese","🔍")</f>
        <v/>
      </c>
      <c r="K75" s="10" t="n"/>
      <c r="L75" s="11" t="n"/>
      <c r="M75" s="10" t="n"/>
      <c r="N75" s="11" t="n"/>
      <c r="O75" s="10" t="n"/>
      <c r="P75" s="11" t="n"/>
      <c r="Q75" s="10" t="n"/>
      <c r="R75" s="12" t="inlineStr">
        <is>
          <t>2026-06-17</t>
        </is>
      </c>
      <c r="S75" s="18" t="n"/>
      <c r="T75" s="21" t="inlineStr">
        <is>
          <t>鸡 [KÊ] · con gà
    ↳ Chiết tự: giản thể của 雞: bộ 又 (hựu) + 鸟 (điểu – con chim) — loài chim nuôi trong nhà
蛋 [ĐẢN] · quả trứng
    ↳ Chiết tự: bộ 疋 (sơ) + 虫 (trùng – sâu bọ/loài vật) — vật do loài vật đẻ ra</t>
        </is>
      </c>
      <c r="U75" s="22" t="inlineStr">
        <is>
          <t>🍜 Ăn uống</t>
        </is>
      </c>
      <c r="V75" s="63" t="inlineStr">
        <is>
          <t>我每天吃一个鸡蛋。</t>
        </is>
      </c>
      <c r="W75" s="64" t="inlineStr">
        <is>
          <t>Wǒ měitiān chī yí ge jīdàn.
Mỗi ngày tôi ăn một quả trứng.</t>
        </is>
      </c>
    </row>
    <row r="76" hidden="1" ht="23.25" customHeight="1" s="99">
      <c r="A76" s="2" t="n">
        <v>198</v>
      </c>
      <c r="B76" s="60" t="inlineStr">
        <is>
          <t>HSK1+3</t>
        </is>
      </c>
      <c r="C76" s="4" t="inlineStr">
        <is>
          <t>渴</t>
        </is>
      </c>
      <c r="D76" s="5" t="inlineStr">
        <is>
          <t>kě</t>
        </is>
      </c>
      <c r="E76" s="6" t="inlineStr">
        <is>
          <t>khát</t>
        </is>
      </c>
      <c r="F76" s="7" t="inlineStr">
        <is>
          <t>渴</t>
        </is>
      </c>
      <c r="G76" s="7" t="inlineStr">
        <is>
          <t>渴</t>
        </is>
      </c>
      <c r="H76" s="8">
        <f>IF(TRIM($G76)="","",IF(EXACT(TRIM($G76),TRIM($C76)),"✅ Đúng","❌ Sai"))</f>
        <v/>
      </c>
      <c r="I76" s="9">
        <f>HYPERLINK("https://translate.google.com/translate_tts?ie=UTF-8&amp;tl=zh-CN&amp;client=tw-ob&amp;q=渴","▶")</f>
        <v/>
      </c>
      <c r="J76" s="9">
        <f>HYPERLINK("https://youglish.com/pronounce/渴/chinese","🔍")</f>
        <v/>
      </c>
      <c r="K76" s="10" t="n"/>
      <c r="L76" s="11" t="n"/>
      <c r="M76" s="10" t="n"/>
      <c r="N76" s="11" t="n"/>
      <c r="O76" s="10" t="n"/>
      <c r="P76" s="11" t="n"/>
      <c r="Q76" s="10" t="n"/>
      <c r="R76" s="12" t="inlineStr">
        <is>
          <t>2026-06-17</t>
        </is>
      </c>
      <c r="S76" s="18" t="n"/>
      <c r="T76" s="21" t="inlineStr">
        <is>
          <t>渴 [KHÁT] · khát nước, khao khát
    ↳ Chiết tự: bộ 氵 (thủy – nước) + 曷 (hạt – âm đọc) — thèm nước</t>
        </is>
      </c>
      <c r="U76" s="22" t="inlineStr">
        <is>
          <t>🍜 Ăn uống</t>
        </is>
      </c>
      <c r="V76" s="63" t="inlineStr">
        <is>
          <t>我很渴，想喝水。</t>
        </is>
      </c>
      <c r="W76" s="64" t="inlineStr">
        <is>
          <t>Wǒ hěn kě, xiǎng hē shuǐ.
Tôi rất khát, muốn uống nước.</t>
        </is>
      </c>
    </row>
    <row r="77" hidden="1" ht="58.15" customHeight="1" s="99">
      <c r="A77" s="2" t="n">
        <v>239</v>
      </c>
      <c r="B77" s="60" t="inlineStr">
        <is>
          <t>HSK1+2+3</t>
        </is>
      </c>
      <c r="C77" s="4" t="inlineStr">
        <is>
          <t>米饭</t>
        </is>
      </c>
      <c r="D77" s="5" t="inlineStr">
        <is>
          <t>mǐfàn</t>
        </is>
      </c>
      <c r="E77" s="6" t="inlineStr">
        <is>
          <t>cơm</t>
        </is>
      </c>
      <c r="F77" s="13" t="inlineStr">
        <is>
          <t>米饭</t>
        </is>
      </c>
      <c r="G77" s="7" t="inlineStr">
        <is>
          <t>米饭</t>
        </is>
      </c>
      <c r="H77" s="8">
        <f>IF(TRIM($G77)="","",IF(EXACT(TRIM($G77),TRIM($C77)),"✅ Đúng","❌ Sai"))</f>
        <v/>
      </c>
      <c r="I77" s="9">
        <f>HYPERLINK("https://translate.google.com/translate_tts?ie=UTF-8&amp;tl=zh-CN&amp;client=tw-ob&amp;q=米饭","▶")</f>
        <v/>
      </c>
      <c r="J77" s="9">
        <f>HYPERLINK("https://youglish.com/pronounce/米饭/chinese","🔍")</f>
        <v/>
      </c>
      <c r="K77" s="10" t="n"/>
      <c r="L77" s="11" t="n"/>
      <c r="M77" s="10" t="n"/>
      <c r="N77" s="11" t="n"/>
      <c r="O77" s="10" t="n"/>
      <c r="P77" s="11" t="n"/>
      <c r="Q77" s="10" t="n"/>
      <c r="R77" s="12" t="inlineStr">
        <is>
          <t>2026-06-17</t>
        </is>
      </c>
      <c r="S77" s="17" t="n"/>
      <c r="T77" s="21" t="inlineStr">
        <is>
          <t>米 [MỄ] · gạo; mét
    ↳ Chiết tự: bộ 米 (mễ) — hình các hạt gạo rơi quanh
饭 [PHẠN] · cơm, bữa ăn
    ↳ Chiết tự: giản thể của 飯: bộ 饣 (thực – ăn) + 反 (phản – âm đọc) — bữa cơm</t>
        </is>
      </c>
      <c r="U77" s="22" t="inlineStr">
        <is>
          <t>🍜 Ăn uống</t>
        </is>
      </c>
      <c r="V77" s="63" t="inlineStr">
        <is>
          <t>请给我一碗米饭。</t>
        </is>
      </c>
      <c r="W77" s="64" t="inlineStr">
        <is>
          <t>Qǐng gěi wǒ yì wǎn mǐfàn.
Cho tôi một bát cơm.</t>
        </is>
      </c>
    </row>
    <row r="78" hidden="1" ht="34.9" customHeight="1" s="99">
      <c r="A78" s="2" t="n">
        <v>240</v>
      </c>
      <c r="B78" s="3" t="inlineStr">
        <is>
          <t>HSK1</t>
        </is>
      </c>
      <c r="C78" s="4" t="inlineStr">
        <is>
          <t>面</t>
        </is>
      </c>
      <c r="D78" s="5" t="inlineStr">
        <is>
          <t>miàn</t>
        </is>
      </c>
      <c r="E78" s="6" t="inlineStr">
        <is>
          <t>mặt; mì</t>
        </is>
      </c>
      <c r="F78" s="13" t="inlineStr">
        <is>
          <t>面</t>
        </is>
      </c>
      <c r="G78" s="7" t="inlineStr">
        <is>
          <t>面</t>
        </is>
      </c>
      <c r="H78" s="8">
        <f>IF(TRIM($G78)="","",IF(EXACT(TRIM($G78),TRIM($C78)),"✅ Đúng","❌ Sai"))</f>
        <v/>
      </c>
      <c r="I78" s="9">
        <f>HYPERLINK("https://translate.google.com/translate_tts?ie=UTF-8&amp;tl=zh-CN&amp;client=tw-ob&amp;q=面","▶")</f>
        <v/>
      </c>
      <c r="J78" s="9">
        <f>HYPERLINK("https://youglish.com/pronounce/面/chinese","🔍")</f>
        <v/>
      </c>
      <c r="K78" s="10" t="n"/>
      <c r="L78" s="11" t="n"/>
      <c r="M78" s="10" t="n"/>
      <c r="N78" s="11" t="n"/>
      <c r="O78" s="10" t="n"/>
      <c r="P78" s="11" t="n"/>
      <c r="Q78" s="10" t="n"/>
      <c r="R78" s="12" t="inlineStr">
        <is>
          <t>2026-06-17</t>
        </is>
      </c>
      <c r="S78" s="18" t="n"/>
      <c r="T78" s="21" t="inlineStr">
        <is>
          <t>面 [DIỆN] · mặt, bề mặt, phía; sợi mì
    ↳ Chiết tự: bộ 面 (diện) — hình khuôn mặt có con mắt; giản thể gộp cả 麵 (mì)</t>
        </is>
      </c>
      <c r="U78" s="22" t="inlineStr">
        <is>
          <t>🍜 Ăn uống</t>
        </is>
      </c>
      <c r="V78" s="63" t="inlineStr">
        <is>
          <t>我不太喜欢吃面。</t>
        </is>
      </c>
      <c r="W78" s="64" t="inlineStr">
        <is>
          <t>Wǒ bú tài xǐhuan chī miàn.
Tôi không thích ăn mì lắm.</t>
        </is>
      </c>
    </row>
    <row r="79" hidden="1" ht="69.75" customHeight="1" s="99">
      <c r="A79" s="2" t="n">
        <v>241</v>
      </c>
      <c r="B79" s="60" t="inlineStr">
        <is>
          <t>HSK1+3</t>
        </is>
      </c>
      <c r="C79" s="4" t="inlineStr">
        <is>
          <t>面包</t>
        </is>
      </c>
      <c r="D79" s="5" t="inlineStr">
        <is>
          <t>miànbāo</t>
        </is>
      </c>
      <c r="E79" s="6" t="inlineStr">
        <is>
          <t>bánh mì</t>
        </is>
      </c>
      <c r="F79" s="13" t="inlineStr">
        <is>
          <t>面包</t>
        </is>
      </c>
      <c r="G79" s="7" t="inlineStr">
        <is>
          <t>面包</t>
        </is>
      </c>
      <c r="H79" s="8">
        <f>IF(TRIM($G79)="","",IF(EXACT(TRIM($G79),TRIM($C79)),"✅ Đúng","❌ Sai"))</f>
        <v/>
      </c>
      <c r="I79" s="9">
        <f>HYPERLINK("https://translate.google.com/translate_tts?ie=UTF-8&amp;tl=zh-CN&amp;client=tw-ob&amp;q=面包","▶")</f>
        <v/>
      </c>
      <c r="J79" s="9">
        <f>HYPERLINK("https://youglish.com/pronounce/面包/chinese","🔍")</f>
        <v/>
      </c>
      <c r="K79" s="10" t="n"/>
      <c r="L79" s="11" t="n"/>
      <c r="M79" s="10" t="n"/>
      <c r="N79" s="11" t="n"/>
      <c r="O79" s="10" t="n"/>
      <c r="P79" s="11" t="n"/>
      <c r="Q79" s="10" t="n"/>
      <c r="R79" s="12" t="inlineStr">
        <is>
          <t>2026-06-17</t>
        </is>
      </c>
      <c r="S79" s="17" t="n"/>
      <c r="T79" s="21" t="inlineStr">
        <is>
          <t>面 [DIỆN] · mặt, bề mặt, phía; sợi mì
    ↳ Chiết tự: bộ 面 (diện) — hình khuôn mặt có con mắt; giản thể gộp cả 麵 (mì)
包 [BAO] · bao bọc, gói; cái túi
    ↳ Chiết tự: bộ 勹 (bao – ôm bọc) + 巳 (tị – thai nhi) — bụng mẹ bọc lấy thai</t>
        </is>
      </c>
      <c r="U79" s="22" t="inlineStr">
        <is>
          <t>🍜 Ăn uống</t>
        </is>
      </c>
      <c r="V79" s="63" t="inlineStr">
        <is>
          <t>早上我吃面包。</t>
        </is>
      </c>
      <c r="W79" s="64" t="inlineStr">
        <is>
          <t>Zǎoshang wǒ chī miànbāo.
Buổi sáng tôi ăn bánh mì.</t>
        </is>
      </c>
    </row>
    <row r="80" hidden="1" ht="69.75" customHeight="1" s="99">
      <c r="A80" s="2" t="n">
        <v>242</v>
      </c>
      <c r="B80" s="3" t="inlineStr">
        <is>
          <t>HSK1</t>
        </is>
      </c>
      <c r="C80" s="4" t="inlineStr">
        <is>
          <t>面条</t>
        </is>
      </c>
      <c r="D80" s="5" t="inlineStr">
        <is>
          <t>miàntiáo</t>
        </is>
      </c>
      <c r="E80" s="6" t="inlineStr">
        <is>
          <t>mì sợi</t>
        </is>
      </c>
      <c r="F80" s="13" t="inlineStr">
        <is>
          <t>面条</t>
        </is>
      </c>
      <c r="G80" s="7" t="inlineStr">
        <is>
          <t>面条</t>
        </is>
      </c>
      <c r="H80" s="8">
        <f>IF(TRIM($G80)="","",IF(EXACT(TRIM($G80),TRIM($C80)),"✅ Đúng","❌ Sai"))</f>
        <v/>
      </c>
      <c r="I80" s="9">
        <f>HYPERLINK("https://translate.google.com/translate_tts?ie=UTF-8&amp;tl=zh-CN&amp;client=tw-ob&amp;q=面条","▶")</f>
        <v/>
      </c>
      <c r="J80" s="9">
        <f>HYPERLINK("https://youglish.com/pronounce/面条/chinese","🔍")</f>
        <v/>
      </c>
      <c r="K80" s="10" t="n"/>
      <c r="L80" s="11" t="n"/>
      <c r="M80" s="10" t="n"/>
      <c r="N80" s="11" t="n"/>
      <c r="O80" s="10" t="n"/>
      <c r="P80" s="11" t="n"/>
      <c r="Q80" s="10" t="n"/>
      <c r="R80" s="12" t="inlineStr">
        <is>
          <t>2026-06-17</t>
        </is>
      </c>
      <c r="S80" s="18" t="n"/>
      <c r="T80" s="21" t="inlineStr">
        <is>
          <t>面 [DIỆN] · mặt, bề mặt, phía; sợi mì
    ↳ Chiết tự: bộ 面 (diện) — hình khuôn mặt có con mắt; giản thể gộp cả 麵 (mì)
条 [ĐIỀU] · điều khoản; sợi, dải (lượng từ)
    ↳ Chiết tự: giản thể của 條: bộ 攸 (du) + 木 (mộc – cây) — nhánh cây nhỏ và dài</t>
        </is>
      </c>
      <c r="U80" s="22" t="inlineStr">
        <is>
          <t>🍜 Ăn uống</t>
        </is>
      </c>
      <c r="V80" s="63" t="inlineStr">
        <is>
          <t>这里的面条很好吃。</t>
        </is>
      </c>
      <c r="W80" s="64" t="inlineStr">
        <is>
          <t>Zhèli de miàntiáo hěn hǎochī.
Mì ở đây rất ngon.</t>
        </is>
      </c>
    </row>
    <row r="81" hidden="1" ht="58.15" customHeight="1" s="99">
      <c r="A81" s="2" t="n">
        <v>265</v>
      </c>
      <c r="B81" s="25" t="inlineStr">
        <is>
          <t>HSK1+2</t>
        </is>
      </c>
      <c r="C81" s="4" t="inlineStr">
        <is>
          <t>牛奶</t>
        </is>
      </c>
      <c r="D81" s="5" t="inlineStr">
        <is>
          <t>niúnǎi</t>
        </is>
      </c>
      <c r="E81" s="6" t="inlineStr">
        <is>
          <t>sữa bò</t>
        </is>
      </c>
      <c r="F81" s="13" t="inlineStr">
        <is>
          <t>牛奶</t>
        </is>
      </c>
      <c r="G81" s="7" t="inlineStr">
        <is>
          <t>牛奶</t>
        </is>
      </c>
      <c r="H81" s="8">
        <f>IF(TRIM($G81)="","",IF(EXACT(TRIM($G81),TRIM($C81)),"✅ Đúng","❌ Sai"))</f>
        <v/>
      </c>
      <c r="I81" s="9">
        <f>HYPERLINK("https://translate.google.com/translate_tts?ie=UTF-8&amp;tl=zh-CN&amp;client=tw-ob&amp;q=牛奶","▶")</f>
        <v/>
      </c>
      <c r="J81" s="9">
        <f>HYPERLINK("https://youglish.com/pronounce/牛奶/chinese","🔍")</f>
        <v/>
      </c>
      <c r="K81" s="10" t="n"/>
      <c r="L81" s="11" t="n"/>
      <c r="M81" s="10" t="n"/>
      <c r="N81" s="11" t="n"/>
      <c r="O81" s="10" t="n"/>
      <c r="P81" s="11" t="n"/>
      <c r="Q81" s="10" t="n"/>
      <c r="R81" s="12" t="inlineStr">
        <is>
          <t>2026-06-17</t>
        </is>
      </c>
      <c r="S81" s="17" t="n"/>
      <c r="T81" s="21" t="inlineStr">
        <is>
          <t>牛 [NGƯU] · con bò, con trâu
    ↳ Chiết tự: bộ 牛 (ngưu) — hình đầu trâu có hai sừng
奶 [NÃI] · sữa; bà nội
    ↳ Chiết tự: bộ 女 (nữ – phụ nữ) + 乃 (nãi – âm đọc) — người mẹ cho bú</t>
        </is>
      </c>
      <c r="U81" s="22" t="inlineStr">
        <is>
          <t>🍜 Ăn uống</t>
        </is>
      </c>
      <c r="V81" s="63" t="inlineStr">
        <is>
          <t>孩子每天喝牛奶。</t>
        </is>
      </c>
      <c r="W81" s="64" t="inlineStr">
        <is>
          <t>Háizi měitiān hē niúnǎi.
Đứa trẻ uống sữa mỗi ngày.</t>
        </is>
      </c>
    </row>
    <row r="82" hidden="1" ht="23.25" customHeight="1" s="99">
      <c r="A82" s="2" t="n">
        <v>300</v>
      </c>
      <c r="B82" s="3" t="inlineStr">
        <is>
          <t>HSK1</t>
        </is>
      </c>
      <c r="C82" s="4" t="inlineStr">
        <is>
          <t>肉</t>
        </is>
      </c>
      <c r="D82" s="5" t="inlineStr">
        <is>
          <t>ròu</t>
        </is>
      </c>
      <c r="E82" s="6" t="inlineStr">
        <is>
          <t>thịt</t>
        </is>
      </c>
      <c r="F82" s="7" t="n"/>
      <c r="G82" s="7" t="inlineStr">
        <is>
          <t>肉</t>
        </is>
      </c>
      <c r="H82" s="8">
        <f>IF(TRIM($G82)="","",IF(EXACT(TRIM($G82),TRIM($C82)),"✅ Đúng","❌ Sai"))</f>
        <v/>
      </c>
      <c r="I82" s="9">
        <f>HYPERLINK("https://translate.google.com/translate_tts?ie=UTF-8&amp;tl=zh-CN&amp;client=tw-ob&amp;q=肉","▶")</f>
        <v/>
      </c>
      <c r="J82" s="9">
        <f>HYPERLINK("https://youglish.com/pronounce/肉/chinese","🔍")</f>
        <v/>
      </c>
      <c r="K82" s="10" t="n"/>
      <c r="L82" s="11" t="n"/>
      <c r="M82" s="10" t="n"/>
      <c r="N82" s="11" t="n"/>
      <c r="O82" s="10" t="n"/>
      <c r="P82" s="11" t="n"/>
      <c r="Q82" s="10" t="n"/>
      <c r="R82" s="12" t="inlineStr">
        <is>
          <t>2026-06-17</t>
        </is>
      </c>
      <c r="S82" s="17" t="n"/>
      <c r="T82" s="21" t="inlineStr">
        <is>
          <t>肉 [NHỤC] · thịt
    ↳ Chiết tự: bộ 肉 (nhục) — hình miếng thịt có thớ</t>
        </is>
      </c>
      <c r="U82" s="22" t="inlineStr">
        <is>
          <t>🍜 Ăn uống</t>
        </is>
      </c>
      <c r="V82" s="63" t="inlineStr">
        <is>
          <t>我不吃肉。</t>
        </is>
      </c>
      <c r="W82" s="64" t="inlineStr">
        <is>
          <t>Wǒ bù chī ròu.
Tôi không ăn thịt.</t>
        </is>
      </c>
    </row>
    <row r="83" hidden="1" ht="23.25" customHeight="1" s="99">
      <c r="A83" s="2" t="n">
        <v>335</v>
      </c>
      <c r="B83" s="25" t="inlineStr">
        <is>
          <t>HSK1+2</t>
        </is>
      </c>
      <c r="C83" s="4" t="inlineStr">
        <is>
          <t>水</t>
        </is>
      </c>
      <c r="D83" s="5" t="inlineStr">
        <is>
          <t>shuǐ</t>
        </is>
      </c>
      <c r="E83" s="6" t="inlineStr">
        <is>
          <t>nước</t>
        </is>
      </c>
      <c r="F83" s="13" t="inlineStr">
        <is>
          <t>水</t>
        </is>
      </c>
      <c r="G83" s="7" t="inlineStr">
        <is>
          <t>水</t>
        </is>
      </c>
      <c r="H83" s="8">
        <f>IF(TRIM($G83)="","",IF(EXACT(TRIM($G83),TRIM($C83)),"✅ Đúng","❌ Sai"))</f>
        <v/>
      </c>
      <c r="I83" s="9">
        <f>HYPERLINK("https://translate.google.com/translate_tts?ie=UTF-8&amp;tl=zh-CN&amp;client=tw-ob&amp;q=水","▶")</f>
        <v/>
      </c>
      <c r="J83" s="9">
        <f>HYPERLINK("https://youglish.com/pronounce/水/chinese","🔍")</f>
        <v/>
      </c>
      <c r="K83" s="10" t="n"/>
      <c r="L83" s="11" t="n"/>
      <c r="M83" s="10" t="n"/>
      <c r="N83" s="11" t="n"/>
      <c r="O83" s="10" t="n"/>
      <c r="P83" s="11" t="n"/>
      <c r="Q83" s="10" t="n"/>
      <c r="R83" s="12" t="inlineStr">
        <is>
          <t>2026-06-17</t>
        </is>
      </c>
      <c r="S83" s="18" t="n"/>
      <c r="T83" s="21" t="inlineStr">
        <is>
          <t>水 [THỦY] · nước
    ↳ Chiết tự: bộ 水 (thủy) — hình dòng nước chảy có nhánh</t>
        </is>
      </c>
      <c r="U83" s="22" t="inlineStr">
        <is>
          <t>🍜 Ăn uống</t>
        </is>
      </c>
      <c r="V83" s="63" t="inlineStr">
        <is>
          <t>请喝点儿水。</t>
        </is>
      </c>
      <c r="W83" s="64" t="inlineStr">
        <is>
          <t>Qǐng hē diǎnr shuǐ.
Uống chút nước đi.</t>
        </is>
      </c>
    </row>
    <row r="84" hidden="1" ht="58.15" customHeight="1" s="99">
      <c r="A84" s="2" t="n">
        <v>336</v>
      </c>
      <c r="B84" s="25" t="inlineStr">
        <is>
          <t>HSK1+2</t>
        </is>
      </c>
      <c r="C84" s="4" t="inlineStr">
        <is>
          <t>水果</t>
        </is>
      </c>
      <c r="D84" s="5" t="inlineStr">
        <is>
          <t>shuǐguǒ</t>
        </is>
      </c>
      <c r="E84" s="6" t="inlineStr">
        <is>
          <t>hoa quả, trái cây</t>
        </is>
      </c>
      <c r="F84" s="7" t="n"/>
      <c r="G84" s="7" t="inlineStr">
        <is>
          <t>水果</t>
        </is>
      </c>
      <c r="H84" s="8">
        <f>IF(TRIM($G84)="","",IF(EXACT(TRIM($G84),TRIM($C84)),"✅ Đúng","❌ Sai"))</f>
        <v/>
      </c>
      <c r="I84" s="9">
        <f>HYPERLINK("https://translate.google.com/translate_tts?ie=UTF-8&amp;tl=zh-CN&amp;client=tw-ob&amp;q=水果","▶")</f>
        <v/>
      </c>
      <c r="J84" s="9">
        <f>HYPERLINK("https://youglish.com/pronounce/水果/chinese","🔍")</f>
        <v/>
      </c>
      <c r="K84" s="10" t="n"/>
      <c r="L84" s="11" t="n"/>
      <c r="M84" s="10" t="n"/>
      <c r="N84" s="11" t="n"/>
      <c r="O84" s="10" t="n"/>
      <c r="P84" s="11" t="n"/>
      <c r="Q84" s="10" t="n"/>
      <c r="R84" s="12" t="inlineStr">
        <is>
          <t>2026-06-17</t>
        </is>
      </c>
      <c r="S84" s="17" t="n"/>
      <c r="T84" s="21" t="inlineStr">
        <is>
          <t>水 [THỦY] · nước
    ↳ Chiết tự: bộ 水 (thủy) — hình dòng nước chảy có nhánh
果 [QUẢ] · quả, kết quả, quả nhiên
    ↳ Chiết tự: bộ 木 (mộc – cây) + 田 (điền – hình quả tròn) — cây kết trái trên ngọn</t>
        </is>
      </c>
      <c r="U84" s="22" t="inlineStr">
        <is>
          <t>🍜 Ăn uống</t>
        </is>
      </c>
      <c r="V84" s="63" t="inlineStr">
        <is>
          <t>我喜欢吃水果。</t>
        </is>
      </c>
      <c r="W84" s="64" t="inlineStr">
        <is>
          <t>Wǒ xǐhuan chī shuǐguǒ.
Tôi thích ăn trái cây.</t>
        </is>
      </c>
    </row>
    <row r="85" hidden="1" ht="69.75" customHeight="1" s="99">
      <c r="A85" s="2" t="n">
        <v>363</v>
      </c>
      <c r="B85" s="3" t="inlineStr">
        <is>
          <t>HSK1</t>
        </is>
      </c>
      <c r="C85" s="4" t="inlineStr">
        <is>
          <t>晚饭</t>
        </is>
      </c>
      <c r="D85" s="5" t="inlineStr">
        <is>
          <t>wǎnfàn</t>
        </is>
      </c>
      <c r="E85" s="6" t="inlineStr">
        <is>
          <t>bữa tối</t>
        </is>
      </c>
      <c r="F85" s="13" t="inlineStr">
        <is>
          <t>晚饭</t>
        </is>
      </c>
      <c r="G85" s="7" t="inlineStr">
        <is>
          <t>晚饭</t>
        </is>
      </c>
      <c r="H85" s="8">
        <f>IF(TRIM($G85)="","",IF(EXACT(TRIM($G85),TRIM($C85)),"✅ Đúng","❌ Sai"))</f>
        <v/>
      </c>
      <c r="I85" s="9">
        <f>HYPERLINK("https://translate.google.com/translate_tts?ie=UTF-8&amp;tl=zh-CN&amp;client=tw-ob&amp;q=晚饭","▶")</f>
        <v/>
      </c>
      <c r="J85" s="9">
        <f>HYPERLINK("https://youglish.com/pronounce/晚饭/chinese","🔍")</f>
        <v/>
      </c>
      <c r="K85" s="10" t="n"/>
      <c r="L85" s="11" t="n"/>
      <c r="M85" s="10" t="n"/>
      <c r="N85" s="11" t="n"/>
      <c r="O85" s="10" t="n"/>
      <c r="P85" s="11" t="n"/>
      <c r="Q85" s="10" t="n"/>
      <c r="R85" s="12" t="inlineStr">
        <is>
          <t>2026-06-17</t>
        </is>
      </c>
      <c r="S85" s="18" t="n"/>
      <c r="T85" s="21" t="inlineStr">
        <is>
          <t>晚 [VÃN] · muộn, tối, buổi tối
    ↳ Chiết tự: bộ 日 (nhật – mặt trời) + 免 (miễn – âm đọc) — mặt trời đã khuất
饭 [PHẠN] · cơm, bữa ăn
    ↳ Chiết tự: giản thể của 飯: bộ 饣 (thực – ăn) + 反 (phản – âm đọc) — bữa cơm</t>
        </is>
      </c>
      <c r="U85" s="22" t="inlineStr">
        <is>
          <t>🍜 Ăn uống</t>
        </is>
      </c>
      <c r="V85" s="63" t="inlineStr">
        <is>
          <t>晚饭你想吃什么？</t>
        </is>
      </c>
      <c r="W85" s="64" t="inlineStr">
        <is>
          <t>Wǎnfàn nǐ xiǎng chī shénme?
Cơm tối bạn muốn ăn gì?</t>
        </is>
      </c>
    </row>
    <row r="86" hidden="1" ht="69.75" customHeight="1" s="99">
      <c r="A86" s="2" t="n">
        <v>373</v>
      </c>
      <c r="B86" s="3" t="inlineStr">
        <is>
          <t>HSK1</t>
        </is>
      </c>
      <c r="C86" s="4" t="inlineStr">
        <is>
          <t>午饭</t>
        </is>
      </c>
      <c r="D86" s="5" t="inlineStr">
        <is>
          <t>wǔfàn</t>
        </is>
      </c>
      <c r="E86" s="6" t="inlineStr">
        <is>
          <t>bữa trưa</t>
        </is>
      </c>
      <c r="F86" s="13" t="inlineStr">
        <is>
          <t>午饭</t>
        </is>
      </c>
      <c r="G86" s="7" t="inlineStr">
        <is>
          <t>午饭</t>
        </is>
      </c>
      <c r="H86" s="8">
        <f>IF(TRIM($G86)="","",IF(EXACT(TRIM($G86),TRIM($C86)),"✅ Đúng","❌ Sai"))</f>
        <v/>
      </c>
      <c r="I86" s="9">
        <f>HYPERLINK("https://translate.google.com/translate_tts?ie=UTF-8&amp;tl=zh-CN&amp;client=tw-ob&amp;q=午饭","▶")</f>
        <v/>
      </c>
      <c r="J86" s="9">
        <f>HYPERLINK("https://youglish.com/pronounce/午饭/chinese","🔍")</f>
        <v/>
      </c>
      <c r="K86" s="10" t="n"/>
      <c r="L86" s="11" t="n"/>
      <c r="M86" s="10" t="n"/>
      <c r="N86" s="11" t="n"/>
      <c r="O86" s="10" t="n"/>
      <c r="P86" s="11" t="n"/>
      <c r="Q86" s="10" t="n"/>
      <c r="R86" s="12" t="inlineStr">
        <is>
          <t>2026-06-17</t>
        </is>
      </c>
      <c r="S86" s="18" t="n"/>
      <c r="T86" s="21" t="inlineStr">
        <is>
          <t>午 [NGỌ] · giờ Ngọ, buổi trưa
    ↳ Chiết tự: bộ 十 (thập) + 丿 (phiệt) — hình cái chày, mượn chỉ giữa trưa
饭 [PHẠN] · cơm, bữa ăn
    ↳ Chiết tự: giản thể của 飯: bộ 饣 (thực – ăn) + 反 (phản – âm đọc) — bữa cơm</t>
        </is>
      </c>
      <c r="U86" s="22" t="inlineStr">
        <is>
          <t>🍜 Ăn uống</t>
        </is>
      </c>
      <c r="V86" s="63" t="inlineStr">
        <is>
          <t>午饭我在公司吃。</t>
        </is>
      </c>
      <c r="W86" s="64" t="inlineStr">
        <is>
          <t>Wǔfàn wǒ zài gōngsī chī.
Cơm trưa tôi ăn ở công ty.</t>
        </is>
      </c>
    </row>
    <row r="87" hidden="1" ht="69.75" customHeight="1" s="99">
      <c r="A87" s="2" t="n">
        <v>448</v>
      </c>
      <c r="B87" s="3" t="inlineStr">
        <is>
          <t>HSK1</t>
        </is>
      </c>
      <c r="C87" s="4" t="inlineStr">
        <is>
          <t>早饭</t>
        </is>
      </c>
      <c r="D87" s="5" t="inlineStr">
        <is>
          <t>zǎofàn</t>
        </is>
      </c>
      <c r="E87" s="6" t="inlineStr">
        <is>
          <t>bữa sáng</t>
        </is>
      </c>
      <c r="F87" s="7" t="inlineStr">
        <is>
          <t>早饭</t>
        </is>
      </c>
      <c r="G87" s="7" t="inlineStr">
        <is>
          <t>早饭</t>
        </is>
      </c>
      <c r="H87" s="8">
        <f>IF(TRIM($G87)="","",IF(EXACT(TRIM($G87),TRIM($C87)),"✅ Đúng","❌ Sai"))</f>
        <v/>
      </c>
      <c r="I87" s="9">
        <f>HYPERLINK("https://translate.google.com/translate_tts?ie=UTF-8&amp;tl=zh-CN&amp;client=tw-ob&amp;q=早饭","▶")</f>
        <v/>
      </c>
      <c r="J87" s="9">
        <f>HYPERLINK("https://youglish.com/pronounce/早饭/chinese","🔍")</f>
        <v/>
      </c>
      <c r="K87" s="10" t="n"/>
      <c r="L87" s="11" t="n"/>
      <c r="M87" s="10" t="n"/>
      <c r="N87" s="11" t="n"/>
      <c r="O87" s="10" t="n"/>
      <c r="P87" s="11" t="n"/>
      <c r="Q87" s="10" t="n"/>
      <c r="R87" s="12" t="inlineStr">
        <is>
          <t>2026-06-17</t>
        </is>
      </c>
      <c r="S87" s="17" t="n"/>
      <c r="T87" s="21" t="inlineStr">
        <is>
          <t>早 [TẢO] · sớm, buổi sáng
    ↳ Chiết tự: bộ 日 (nhật – mặt trời) + 十 (thập) — mặt trời vừa nhô lên ngọn cỏ
饭 [PHẠN] · cơm, bữa ăn
    ↳ Chiết tự: giản thể của 飯: bộ 饣 (thực – ăn) + 反 (phản – âm đọc) — bữa cơm</t>
        </is>
      </c>
      <c r="U87" s="22" t="inlineStr">
        <is>
          <t>🍜 Ăn uống</t>
        </is>
      </c>
      <c r="V87" s="63" t="inlineStr">
        <is>
          <t>我没吃早饭。</t>
        </is>
      </c>
      <c r="W87" s="64" t="inlineStr">
        <is>
          <t>Wǒ méi chī zǎofàn.
Tôi chưa ăn sáng.</t>
        </is>
      </c>
    </row>
    <row r="88" ht="70.5" customHeight="1" s="99">
      <c r="A88" s="26" t="n">
        <v>506</v>
      </c>
      <c r="B88" s="79" t="inlineStr">
        <is>
          <t>HSK2</t>
        </is>
      </c>
      <c r="C88" s="80" t="inlineStr">
        <is>
          <t>苹果</t>
        </is>
      </c>
      <c r="D88" s="80" t="inlineStr">
        <is>
          <t>píngguǒ</t>
        </is>
      </c>
      <c r="E88" s="80" t="inlineStr">
        <is>
          <t>quả táo</t>
        </is>
      </c>
      <c r="F88" s="26" t="n"/>
      <c r="G88" s="7" t="inlineStr">
        <is>
          <t>苹果</t>
        </is>
      </c>
      <c r="H88" s="8">
        <f>IF(TRIM($G88)="","",IF(EXACT(TRIM($G88),TRIM($C88)),"✅ Đúng","❌ Sai"))</f>
        <v/>
      </c>
      <c r="I88" s="52" t="inlineStr">
        <is>
          <t>▶</t>
        </is>
      </c>
      <c r="J88" s="52" t="inlineStr">
        <is>
          <t>🔍</t>
        </is>
      </c>
      <c r="K88" s="26" t="n"/>
      <c r="L88" s="26" t="n"/>
      <c r="M88" s="26" t="n"/>
      <c r="N88" s="26" t="n"/>
      <c r="O88" s="26" t="n"/>
      <c r="P88" s="26" t="n"/>
      <c r="Q88" s="26" t="n"/>
      <c r="R88" s="39" t="n">
        <v>46236</v>
      </c>
      <c r="S88" s="41" t="n"/>
      <c r="T88" s="47" t="inlineStr">
        <is>
          <t>苹 [BÌNH] · quả táo (苹果)
    ↳ Chiết tự: giản thể của 蘋: bộ 艹 (thảo – cây cỏ) + 平 (bình – âm đọc) — hình thanh
果 [QUẢ] · quả, kết quả, quả nhiên
    ↳ Chiết tự: bộ 木 (mộc – cây) + 田 (điền – hình quả tròn) — cây kết trái trên ngọn</t>
        </is>
      </c>
      <c r="U88" s="44" t="inlineStr">
        <is>
          <t>🍜 Ăn uống</t>
        </is>
      </c>
      <c r="V88" s="63" t="inlineStr">
        <is>
          <t>这个苹果很甜。</t>
        </is>
      </c>
      <c r="W88" s="64" t="inlineStr">
        <is>
          <t>Zhège píngguǒ hěn tián.
Quả táo này rất ngọt.</t>
        </is>
      </c>
    </row>
    <row r="89" hidden="1" ht="70.5" customHeight="1" s="99">
      <c r="A89" s="26" t="n">
        <v>530</v>
      </c>
      <c r="B89" s="79" t="inlineStr">
        <is>
          <t>HSK2</t>
        </is>
      </c>
      <c r="C89" s="80" t="inlineStr">
        <is>
          <t>咖啡</t>
        </is>
      </c>
      <c r="D89" s="80" t="inlineStr">
        <is>
          <t>kāfēi</t>
        </is>
      </c>
      <c r="E89" s="80" t="inlineStr">
        <is>
          <t>cà phê</t>
        </is>
      </c>
      <c r="F89" s="26" t="n"/>
      <c r="G89" s="13" t="inlineStr">
        <is>
          <t>咖啡</t>
        </is>
      </c>
      <c r="H89" s="8">
        <f>IF(TRIM($G89)="","",IF(EXACT(TRIM($G89),TRIM($C89)),"✅ Đúng","❌ Sai"))</f>
        <v/>
      </c>
      <c r="I89" s="52" t="inlineStr">
        <is>
          <t>▶</t>
        </is>
      </c>
      <c r="J89" s="52" t="inlineStr">
        <is>
          <t>🔍</t>
        </is>
      </c>
      <c r="K89" s="26" t="n"/>
      <c r="L89" s="26" t="n"/>
      <c r="M89" s="26" t="n"/>
      <c r="N89" s="26" t="n"/>
      <c r="O89" s="26" t="n"/>
      <c r="P89" s="26" t="n"/>
      <c r="Q89" s="26" t="n"/>
      <c r="R89" s="39" t="n">
        <v>46236</v>
      </c>
      <c r="S89" s="41" t="n"/>
      <c r="T89" s="47" t="inlineStr">
        <is>
          <t>咖 [CA] · cà (咖啡 = cà phê)
    ↳ Chiết tự: bộ 口 (khẩu – miệng) + 加 (gia – âm đọc) — chữ phiên âm
啡 [PHÊ] · phê (咖啡 = cà phê)
    ↳ Chiết tự: bộ 口 (khẩu – miệng) + 非 (phi – âm đọc) — chữ phiên âm</t>
        </is>
      </c>
      <c r="U89" s="44" t="inlineStr">
        <is>
          <t>🍜 Ăn uống</t>
        </is>
      </c>
      <c r="V89" s="63" t="inlineStr">
        <is>
          <t>我想喝一杯咖啡。</t>
        </is>
      </c>
      <c r="W89" s="64" t="inlineStr">
        <is>
          <t>Wǒ xiǎng hē yì bēi kāfēi.
Tôi muốn uống một tách cà phê.</t>
        </is>
      </c>
    </row>
    <row r="90" hidden="1" ht="58.9" customHeight="1" s="99">
      <c r="A90" s="26" t="n">
        <v>555</v>
      </c>
      <c r="B90" s="79" t="inlineStr">
        <is>
          <t>HSK2</t>
        </is>
      </c>
      <c r="C90" s="80" t="inlineStr">
        <is>
          <t>西瓜</t>
        </is>
      </c>
      <c r="D90" s="80" t="inlineStr">
        <is>
          <t>xīguā</t>
        </is>
      </c>
      <c r="E90" s="80" t="inlineStr">
        <is>
          <t>dưa hấu</t>
        </is>
      </c>
      <c r="F90" s="26" t="n"/>
      <c r="G90" s="13" t="inlineStr">
        <is>
          <t>西瓜</t>
        </is>
      </c>
      <c r="H90" s="8">
        <f>IF(TRIM($G90)="","",IF(EXACT(TRIM($G90),TRIM($C90)),"✅ Đúng","❌ Sai"))</f>
        <v/>
      </c>
      <c r="I90" s="52" t="inlineStr">
        <is>
          <t>▶</t>
        </is>
      </c>
      <c r="J90" s="52" t="inlineStr">
        <is>
          <t>🔍</t>
        </is>
      </c>
      <c r="K90" s="26" t="n"/>
      <c r="L90" s="26" t="n"/>
      <c r="M90" s="26" t="n"/>
      <c r="N90" s="26" t="n"/>
      <c r="O90" s="26" t="n"/>
      <c r="P90" s="26" t="n"/>
      <c r="Q90" s="26" t="n"/>
      <c r="R90" s="39" t="n">
        <v>46236</v>
      </c>
      <c r="S90" s="41" t="n"/>
      <c r="T90" s="47" t="inlineStr">
        <is>
          <t>西 [TÂY] · hướng tây; phương Tây
    ↳ Chiết tự: bộ 覀/西 (tây) — hình tổ chim, chim về tổ khi mặt trời lặn ở phía tây
瓜 [QUA] · quả dưa, quả bầu bí
    ↳ Chiết tự: bộ 瓜 (qua) — hình dây leo có quả treo</t>
        </is>
      </c>
      <c r="U90" s="44" t="inlineStr">
        <is>
          <t>🍜 Ăn uống</t>
        </is>
      </c>
      <c r="V90" s="63" t="inlineStr">
        <is>
          <t>夏天我爱吃西瓜。</t>
        </is>
      </c>
      <c r="W90" s="64" t="inlineStr">
        <is>
          <t>Xiàtiān wǒ ài chī xīguā.
Mùa hè tôi thích ăn dưa hấu.</t>
        </is>
      </c>
    </row>
    <row r="91" ht="47.25" customHeight="1" s="99">
      <c r="A91" s="26" t="n">
        <v>561</v>
      </c>
      <c r="B91" s="79" t="inlineStr">
        <is>
          <t>HSK2</t>
        </is>
      </c>
      <c r="C91" s="80" t="inlineStr">
        <is>
          <t>羊肉</t>
        </is>
      </c>
      <c r="D91" s="80" t="inlineStr">
        <is>
          <t>yángròu</t>
        </is>
      </c>
      <c r="E91" s="80" t="inlineStr">
        <is>
          <t>thịt cừu, thịt dê</t>
        </is>
      </c>
      <c r="F91" s="26" t="n"/>
      <c r="G91" s="7" t="n"/>
      <c r="H91" s="8">
        <f>IF(TRIM($G91)="","",IF(EXACT(TRIM($G91),TRIM($C91)),"✅ Đúng","❌ Sai"))</f>
        <v/>
      </c>
      <c r="I91" s="52" t="inlineStr">
        <is>
          <t>▶</t>
        </is>
      </c>
      <c r="J91" s="52" t="inlineStr">
        <is>
          <t>🔍</t>
        </is>
      </c>
      <c r="K91" s="26" t="n"/>
      <c r="L91" s="26" t="n"/>
      <c r="M91" s="26" t="n"/>
      <c r="N91" s="26" t="n"/>
      <c r="O91" s="26" t="n"/>
      <c r="P91" s="26" t="n"/>
      <c r="Q91" s="26" t="n"/>
      <c r="R91" s="39" t="n">
        <v>46236</v>
      </c>
      <c r="S91" s="41" t="n"/>
      <c r="T91" s="47" t="inlineStr">
        <is>
          <t>羊 [DƯƠNG] · con dê, con cừu
    ↳ Chiết tự: bộ 羊 (dương) — hình đầu dê có hai sừng cong
肉 [NHỤC] · thịt
    ↳ Chiết tự: bộ 肉 (nhục) — hình miếng thịt có thớ</t>
        </is>
      </c>
      <c r="U91" s="44" t="inlineStr">
        <is>
          <t>🍜 Ăn uống</t>
        </is>
      </c>
      <c r="V91" s="63" t="inlineStr">
        <is>
          <t>他不吃羊肉。</t>
        </is>
      </c>
      <c r="W91" s="64" t="inlineStr">
        <is>
          <t>Tā bù chī yángròu.
Anh ấy không ăn thịt cừu.</t>
        </is>
      </c>
    </row>
    <row r="92" hidden="1" ht="35.65" customHeight="1" s="99">
      <c r="A92" s="26" t="n">
        <v>570</v>
      </c>
      <c r="B92" s="79" t="inlineStr">
        <is>
          <t>HSK2</t>
        </is>
      </c>
      <c r="C92" s="80" t="inlineStr">
        <is>
          <t>鱼</t>
        </is>
      </c>
      <c r="D92" s="80" t="inlineStr">
        <is>
          <t>yú</t>
        </is>
      </c>
      <c r="E92" s="80" t="inlineStr">
        <is>
          <t>con cá</t>
        </is>
      </c>
      <c r="F92" s="26" t="n"/>
      <c r="G92" s="13" t="inlineStr">
        <is>
          <t>鱼</t>
        </is>
      </c>
      <c r="H92" s="8">
        <f>IF(TRIM($G92)="","",IF(EXACT(TRIM($G92),TRIM($C92)),"✅ Đúng","❌ Sai"))</f>
        <v/>
      </c>
      <c r="I92" s="52" t="inlineStr">
        <is>
          <t>▶</t>
        </is>
      </c>
      <c r="J92" s="52" t="inlineStr">
        <is>
          <t>🔍</t>
        </is>
      </c>
      <c r="K92" s="26" t="n"/>
      <c r="L92" s="26" t="n"/>
      <c r="M92" s="26" t="n"/>
      <c r="N92" s="26" t="n"/>
      <c r="O92" s="26" t="n"/>
      <c r="P92" s="26" t="n"/>
      <c r="Q92" s="26" t="n"/>
      <c r="R92" s="39" t="n">
        <v>46236</v>
      </c>
      <c r="S92" s="41" t="n"/>
      <c r="T92" s="47" t="inlineStr">
        <is>
          <t>鱼 [NGƯ] · con cá
    ↳ Chiết tự: giản thể của 魚: bộ 鱼 (ngư) — hình con cá có đầu, vảy và đuôi</t>
        </is>
      </c>
      <c r="U92" s="44" t="inlineStr">
        <is>
          <t>🍜 Ăn uống</t>
        </is>
      </c>
      <c r="V92" s="63" t="inlineStr">
        <is>
          <t>这条鱼很新鲜。</t>
        </is>
      </c>
      <c r="W92" s="64" t="inlineStr">
        <is>
          <t>Zhè tiáo yú hěn xīnxiān.
Con cá này rất tươi.</t>
        </is>
      </c>
    </row>
    <row r="93" hidden="1" ht="23.25" customHeight="1" s="99">
      <c r="A93" s="2" t="n">
        <v>6</v>
      </c>
      <c r="B93" s="25" t="inlineStr">
        <is>
          <t>HSK1+2</t>
        </is>
      </c>
      <c r="C93" s="4" t="inlineStr">
        <is>
          <t>白</t>
        </is>
      </c>
      <c r="D93" s="5" t="inlineStr">
        <is>
          <t>bái</t>
        </is>
      </c>
      <c r="E93" s="6" t="inlineStr">
        <is>
          <t>trắng</t>
        </is>
      </c>
      <c r="F93" s="7" t="n"/>
      <c r="G93" s="7" t="inlineStr">
        <is>
          <t>白</t>
        </is>
      </c>
      <c r="H93" s="8">
        <f>IF(TRIM($G93)="","",IF(EXACT(TRIM($G93),TRIM($C93)),"✅ Đúng","❌ Sai"))</f>
        <v/>
      </c>
      <c r="I93" s="9">
        <f>HYPERLINK("https://translate.google.com/translate_tts?ie=UTF-8&amp;tl=zh-CN&amp;client=tw-ob&amp;q=白","▶")</f>
        <v/>
      </c>
      <c r="J93" s="9">
        <f>HYPERLINK("https://youglish.com/pronounce/白/chinese","🔍")</f>
        <v/>
      </c>
      <c r="K93" s="10" t="n"/>
      <c r="L93" s="11" t="n"/>
      <c r="M93" s="10" t="n"/>
      <c r="N93" s="11" t="n"/>
      <c r="O93" s="10" t="n"/>
      <c r="P93" s="11" t="n"/>
      <c r="Q93" s="10" t="n"/>
      <c r="R93" s="12" t="inlineStr">
        <is>
          <t>2026-06-17</t>
        </is>
      </c>
      <c r="S93" s="18" t="n"/>
      <c r="T93" s="21" t="inlineStr">
        <is>
          <t>白 [BẠCH] · trắng; rõ ràng; uổng công
    ↳ Chiết tự: bộ 白 (bạch) — hình tia nắng đầu tiên ló rạng</t>
        </is>
      </c>
      <c r="U93" s="22" t="inlineStr">
        <is>
          <t>🎨 Tính từ &amp; Trạng thái</t>
        </is>
      </c>
      <c r="V93" s="63" t="inlineStr">
        <is>
          <t>她穿着白衣服。</t>
        </is>
      </c>
      <c r="W93" s="64" t="inlineStr">
        <is>
          <t>Tā chuān zhe bái yīfu.
Cô ấy mặc áo trắng.</t>
        </is>
      </c>
    </row>
    <row r="94" hidden="1" ht="23.25" customHeight="1" s="99">
      <c r="A94" s="2" t="n">
        <v>24</v>
      </c>
      <c r="B94" s="25" t="inlineStr">
        <is>
          <t>HSK1+2</t>
        </is>
      </c>
      <c r="C94" s="4" t="inlineStr">
        <is>
          <t>比</t>
        </is>
      </c>
      <c r="D94" s="5" t="inlineStr">
        <is>
          <t>bǐ</t>
        </is>
      </c>
      <c r="E94" s="6" t="inlineStr">
        <is>
          <t>so, so với</t>
        </is>
      </c>
      <c r="F94" s="7" t="n"/>
      <c r="G94" s="7" t="inlineStr">
        <is>
          <t>比</t>
        </is>
      </c>
      <c r="H94" s="8">
        <f>IF(TRIM($G94)="","",IF(EXACT(TRIM($G94),TRIM($C94)),"✅ Đúng","❌ Sai"))</f>
        <v/>
      </c>
      <c r="I94" s="9">
        <f>HYPERLINK("https://translate.google.com/translate_tts?ie=UTF-8&amp;tl=zh-CN&amp;client=tw-ob&amp;q=比","▶")</f>
        <v/>
      </c>
      <c r="J94" s="9">
        <f>HYPERLINK("https://youglish.com/pronounce/比/chinese","🔍")</f>
        <v/>
      </c>
      <c r="K94" s="10" t="n"/>
      <c r="L94" s="11" t="n"/>
      <c r="M94" s="10" t="n"/>
      <c r="N94" s="11" t="n"/>
      <c r="O94" s="10" t="n"/>
      <c r="P94" s="11" t="n"/>
      <c r="Q94" s="10" t="n"/>
      <c r="R94" s="12" t="inlineStr">
        <is>
          <t>2026-06-17</t>
        </is>
      </c>
      <c r="S94" s="18" t="n"/>
      <c r="T94" s="21" t="inlineStr">
        <is>
          <t>比 [TỶ] · so sánh, tỉ lệ
    ↳ Chiết tự: bộ 比 (tỷ) — hai người đứng sát nhau để so</t>
        </is>
      </c>
      <c r="U94" s="22" t="inlineStr">
        <is>
          <t>🎨 Tính từ &amp; Trạng thái</t>
        </is>
      </c>
      <c r="V94" s="63" t="inlineStr">
        <is>
          <t>今天比昨天冷。</t>
        </is>
      </c>
      <c r="W94" s="64" t="inlineStr">
        <is>
          <t>Jīntiān bǐ zuótiān lěng.
Hôm nay lạnh hơn hôm qua.</t>
        </is>
      </c>
    </row>
    <row r="95" hidden="1" ht="34.9" customHeight="1" s="99">
      <c r="A95" s="2" t="n">
        <v>25</v>
      </c>
      <c r="B95" s="25" t="inlineStr">
        <is>
          <t>HSK1+2</t>
        </is>
      </c>
      <c r="C95" s="4" t="inlineStr">
        <is>
          <t>别</t>
        </is>
      </c>
      <c r="D95" s="5" t="inlineStr">
        <is>
          <t>bié</t>
        </is>
      </c>
      <c r="E95" s="6" t="inlineStr">
        <is>
          <t>đừng, không được</t>
        </is>
      </c>
      <c r="F95" s="7" t="n"/>
      <c r="G95" s="7" t="inlineStr">
        <is>
          <t>别</t>
        </is>
      </c>
      <c r="H95" s="8">
        <f>IF(TRIM($G95)="","",IF(EXACT(TRIM($G95),TRIM($C95)),"✅ Đúng","❌ Sai"))</f>
        <v/>
      </c>
      <c r="I95" s="9">
        <f>HYPERLINK("https://translate.google.com/translate_tts?ie=UTF-8&amp;tl=zh-CN&amp;client=tw-ob&amp;q=别","▶")</f>
        <v/>
      </c>
      <c r="J95" s="9">
        <f>HYPERLINK("https://youglish.com/pronounce/别/chinese","🔍")</f>
        <v/>
      </c>
      <c r="K95" s="10" t="n"/>
      <c r="L95" s="11" t="n"/>
      <c r="M95" s="10" t="n"/>
      <c r="N95" s="11" t="n"/>
      <c r="O95" s="10" t="n"/>
      <c r="P95" s="11" t="n"/>
      <c r="Q95" s="10" t="n"/>
      <c r="R95" s="12" t="inlineStr">
        <is>
          <t>2026-06-17</t>
        </is>
      </c>
      <c r="S95" s="17" t="n"/>
      <c r="T95" s="21" t="inlineStr">
        <is>
          <t>别 [BIỆT] · chia lìa, khác biệt; đừng
    ↳ Chiết tự: bộ 另 (lánh – khác) + 刂 (đao đứng – dao) — dùng dao tách xương ra riêng</t>
        </is>
      </c>
      <c r="U95" s="22" t="inlineStr">
        <is>
          <t>🎨 Tính từ &amp; Trạng thái</t>
        </is>
      </c>
      <c r="V95" s="63" t="inlineStr">
        <is>
          <t>别忘了带钱包。</t>
        </is>
      </c>
      <c r="W95" s="64" t="inlineStr">
        <is>
          <t>Bié wàng le dài qiánbāo.
Đừng quên mang ví.</t>
        </is>
      </c>
    </row>
    <row r="96" hidden="1" ht="69.75" customHeight="1" s="99">
      <c r="A96" s="2" t="n">
        <v>26</v>
      </c>
      <c r="B96" s="3" t="inlineStr">
        <is>
          <t>HSK1</t>
        </is>
      </c>
      <c r="C96" s="4" t="inlineStr">
        <is>
          <t>别的</t>
        </is>
      </c>
      <c r="D96" s="5" t="inlineStr">
        <is>
          <t>biéde</t>
        </is>
      </c>
      <c r="E96" s="6" t="inlineStr">
        <is>
          <t>cái khác</t>
        </is>
      </c>
      <c r="F96" s="7" t="n"/>
      <c r="G96" s="7" t="inlineStr">
        <is>
          <t>别的</t>
        </is>
      </c>
      <c r="H96" s="8">
        <f>IF(TRIM($G96)="","",IF(EXACT(TRIM($G96),TRIM($C96)),"✅ Đúng","❌ Sai"))</f>
        <v/>
      </c>
      <c r="I96" s="9">
        <f>HYPERLINK("https://translate.google.com/translate_tts?ie=UTF-8&amp;tl=zh-CN&amp;client=tw-ob&amp;q=别的","▶")</f>
        <v/>
      </c>
      <c r="J96" s="9">
        <f>HYPERLINK("https://youglish.com/pronounce/别的/chinese","🔍")</f>
        <v/>
      </c>
      <c r="K96" s="10" t="n"/>
      <c r="L96" s="11" t="n"/>
      <c r="M96" s="10" t="n"/>
      <c r="N96" s="11" t="n"/>
      <c r="O96" s="10" t="n"/>
      <c r="P96" s="11" t="n"/>
      <c r="Q96" s="10" t="n"/>
      <c r="R96" s="12" t="inlineStr">
        <is>
          <t>2026-06-17</t>
        </is>
      </c>
      <c r="S96" s="18" t="n"/>
      <c r="T96" s="21" t="inlineStr">
        <is>
          <t>别 [BIỆT] · chia lìa, khác biệt; đừng
    ↳ Chiết tự: bộ 另 (lánh – khác) + 刂 (đao đứng – dao) — dùng dao tách xương ra riêng
的 [ĐÍCH] · của, thuộc về (trợ từ); đích xác
    ↳ Chiết tự: bộ 白 (bạch – trắng) + 勺 (chước – cái muôi) — vốn nghĩa "cái đích trắng", mượn làm trợ từ</t>
        </is>
      </c>
      <c r="U96" s="22" t="inlineStr">
        <is>
          <t>🎨 Tính từ &amp; Trạng thái</t>
        </is>
      </c>
      <c r="V96" s="63" t="inlineStr">
        <is>
          <t>你还有别的问题吗？</t>
        </is>
      </c>
      <c r="W96" s="64" t="inlineStr">
        <is>
          <t>Nǐ hái yǒu biéde wèntí ma?
Bạn còn câu hỏi nào khác không?</t>
        </is>
      </c>
    </row>
    <row r="97" hidden="1" ht="58.15" customHeight="1" s="99">
      <c r="A97" s="2" t="n">
        <v>30</v>
      </c>
      <c r="B97" s="3" t="inlineStr">
        <is>
          <t>HSK1</t>
        </is>
      </c>
      <c r="C97" s="4" t="inlineStr">
        <is>
          <t>不大</t>
        </is>
      </c>
      <c r="D97" s="5" t="inlineStr">
        <is>
          <t>búdà</t>
        </is>
      </c>
      <c r="E97" s="6" t="inlineStr">
        <is>
          <t>nhỏ, không lớn</t>
        </is>
      </c>
      <c r="F97" s="13" t="inlineStr">
        <is>
          <t>不大</t>
        </is>
      </c>
      <c r="G97" s="7" t="inlineStr">
        <is>
          <t>不大</t>
        </is>
      </c>
      <c r="H97" s="8">
        <f>IF(TRIM($G97)="","",IF(EXACT(TRIM($G97),TRIM($C97)),"✅ Đúng","❌ Sai"))</f>
        <v/>
      </c>
      <c r="I97" s="9">
        <f>HYPERLINK("https://translate.google.com/translate_tts?ie=UTF-8&amp;tl=zh-CN&amp;client=tw-ob&amp;q=不大","▶")</f>
        <v/>
      </c>
      <c r="J97" s="9">
        <f>HYPERLINK("https://youglish.com/pronounce/不大/chinese","🔍")</f>
        <v/>
      </c>
      <c r="K97" s="10" t="n"/>
      <c r="L97" s="11" t="n"/>
      <c r="M97" s="10" t="n"/>
      <c r="N97" s="11" t="n"/>
      <c r="O97" s="10" t="n"/>
      <c r="P97" s="11" t="n"/>
      <c r="Q97" s="10" t="n"/>
      <c r="R97" s="12" t="inlineStr">
        <is>
          <t>2026-06-17</t>
        </is>
      </c>
      <c r="S97" s="18" t="n"/>
      <c r="T97" s="21" t="inlineStr">
        <is>
          <t>不 [BẤT] · không, chẳng (phủ định)
    ↳ Chiết tự: bộ 一 (nhất – vòm trời) + 丿 (phiệt) — chim bay lên đụng trời, không qua được
大 [ĐẠI] · to lớn, vĩ đại
    ↳ Chiết tự: bộ 大 (đại) — hình người dang rộng hai tay hai chân</t>
        </is>
      </c>
      <c r="U97" s="22" t="inlineStr">
        <is>
          <t>🎨 Tính từ &amp; Trạng thái</t>
        </is>
      </c>
      <c r="V97" s="63" t="inlineStr">
        <is>
          <t>这个房间不大。</t>
        </is>
      </c>
      <c r="W97" s="64" t="inlineStr">
        <is>
          <t>Zhège fángjiān bú dà.
Căn phòng này không to.</t>
        </is>
      </c>
    </row>
    <row r="98" hidden="1" ht="69.75" customHeight="1" s="99">
      <c r="A98" s="2" t="n">
        <v>31</v>
      </c>
      <c r="B98" s="3" t="inlineStr">
        <is>
          <t>HSK1</t>
        </is>
      </c>
      <c r="C98" s="4" t="inlineStr">
        <is>
          <t>不对</t>
        </is>
      </c>
      <c r="D98" s="5" t="inlineStr">
        <is>
          <t>búduì</t>
        </is>
      </c>
      <c r="E98" s="6" t="inlineStr">
        <is>
          <t>không đúng</t>
        </is>
      </c>
      <c r="F98" s="7" t="inlineStr">
        <is>
          <t>不对</t>
        </is>
      </c>
      <c r="G98" s="7" t="inlineStr">
        <is>
          <t>不对</t>
        </is>
      </c>
      <c r="H98" s="8">
        <f>IF(TRIM($G98)="","",IF(EXACT(TRIM($G98),TRIM($C98)),"✅ Đúng","❌ Sai"))</f>
        <v/>
      </c>
      <c r="I98" s="9">
        <f>HYPERLINK("https://translate.google.com/translate_tts?ie=UTF-8&amp;tl=zh-CN&amp;client=tw-ob&amp;q=不对","▶")</f>
        <v/>
      </c>
      <c r="J98" s="9">
        <f>HYPERLINK("https://youglish.com/pronounce/不对/chinese","🔍")</f>
        <v/>
      </c>
      <c r="K98" s="10" t="n"/>
      <c r="L98" s="11" t="n"/>
      <c r="M98" s="10" t="n"/>
      <c r="N98" s="11" t="n"/>
      <c r="O98" s="10" t="n"/>
      <c r="P98" s="11" t="n"/>
      <c r="Q98" s="10" t="n"/>
      <c r="R98" s="12" t="inlineStr">
        <is>
          <t>2026-06-17</t>
        </is>
      </c>
      <c r="S98" s="17" t="n"/>
      <c r="T98" s="21" t="inlineStr">
        <is>
          <t>不 [BẤT] · không, chẳng (phủ định)
    ↳ Chiết tự: bộ 一 (nhất – vòm trời) + 丿 (phiệt) — chim bay lên đụng trời, không qua được
对 [ĐỐI] · đúng, đối diện, đối với
    ↳ Chiết tự: giản thể của 對: bộ 又 (hựu – bàn tay) + 寸 (thốn – tấc tay) — hai bên đối chiếu cho khớp</t>
        </is>
      </c>
      <c r="U98" s="22" t="inlineStr">
        <is>
          <t>🎨 Tính từ &amp; Trạng thái</t>
        </is>
      </c>
      <c r="V98" s="63" t="inlineStr">
        <is>
          <t>你说的不对。</t>
        </is>
      </c>
      <c r="W98" s="64" t="inlineStr">
        <is>
          <t>Nǐ shuō de bú duì.
Bạn nói không đúng.</t>
        </is>
      </c>
    </row>
    <row r="99" hidden="1" ht="34.9" customHeight="1" s="99">
      <c r="A99" s="2" t="n">
        <v>36</v>
      </c>
      <c r="B99" s="60" t="inlineStr">
        <is>
          <t>HSK1+3</t>
        </is>
      </c>
      <c r="C99" s="4" t="inlineStr">
        <is>
          <t>差</t>
        </is>
      </c>
      <c r="D99" s="5" t="inlineStr">
        <is>
          <t>chà</t>
        </is>
      </c>
      <c r="E99" s="6" t="inlineStr">
        <is>
          <t>thiếu, kém</t>
        </is>
      </c>
      <c r="F99" s="7" t="n"/>
      <c r="G99" s="13" t="inlineStr">
        <is>
          <t>差</t>
        </is>
      </c>
      <c r="H99" s="8">
        <f>IF(TRIM($G99)="","",IF(EXACT(TRIM($G99),TRIM($C99)),"✅ Đúng","❌ Sai"))</f>
        <v/>
      </c>
      <c r="I99" s="9">
        <f>HYPERLINK("https://translate.google.com/translate_tts?ie=UTF-8&amp;tl=zh-CN&amp;client=tw-ob&amp;q=差","▶")</f>
        <v/>
      </c>
      <c r="J99" s="9">
        <f>HYPERLINK("https://youglish.com/pronounce/差/chinese","🔍")</f>
        <v/>
      </c>
      <c r="K99" s="10" t="n"/>
      <c r="L99" s="11" t="n"/>
      <c r="M99" s="10" t="n"/>
      <c r="N99" s="11" t="n"/>
      <c r="O99" s="10" t="n"/>
      <c r="P99" s="11" t="n"/>
      <c r="Q99" s="10" t="n"/>
      <c r="R99" s="12" t="inlineStr">
        <is>
          <t>2026-06-17</t>
        </is>
      </c>
      <c r="S99" s="18" t="n"/>
      <c r="T99" s="21" t="inlineStr">
        <is>
          <t>差 [SAI / SÁI] · kém, chênh lệch, sai biệt
    ↳ Chiết tự: bộ 羊 (dương – con dê) + 工 (công) — làm không đều thì sinh sai lệch</t>
        </is>
      </c>
      <c r="U99" s="22" t="inlineStr">
        <is>
          <t>🎨 Tính từ &amp; Trạng thái</t>
        </is>
      </c>
      <c r="V99" s="63" t="inlineStr">
        <is>
          <t>我的汉语还差得远。</t>
        </is>
      </c>
      <c r="W99" s="64" t="inlineStr">
        <is>
          <t>Wǒ de Hànyǔ hái chà de yuǎn.
Tiếng Trung của tôi còn kém xa.</t>
        </is>
      </c>
    </row>
    <row r="100" hidden="1" ht="34.9" customHeight="1" s="99">
      <c r="A100" s="2" t="n">
        <v>38</v>
      </c>
      <c r="B100" s="3" t="inlineStr">
        <is>
          <t>HSK1</t>
        </is>
      </c>
      <c r="C100" s="4" t="inlineStr">
        <is>
          <t>常</t>
        </is>
      </c>
      <c r="D100" s="5" t="inlineStr">
        <is>
          <t>cháng</t>
        </is>
      </c>
      <c r="E100" s="6" t="inlineStr">
        <is>
          <t>thường</t>
        </is>
      </c>
      <c r="F100" s="13" t="inlineStr">
        <is>
          <t>常</t>
        </is>
      </c>
      <c r="G100" s="7" t="inlineStr">
        <is>
          <t>常</t>
        </is>
      </c>
      <c r="H100" s="8">
        <f>IF(TRIM($G100)="","",IF(EXACT(TRIM($G100),TRIM($C100)),"✅ Đúng","❌ Sai"))</f>
        <v/>
      </c>
      <c r="I100" s="9">
        <f>HYPERLINK("https://translate.google.com/translate_tts?ie=UTF-8&amp;tl=zh-CN&amp;client=tw-ob&amp;q=常","▶")</f>
        <v/>
      </c>
      <c r="J100" s="9">
        <f>HYPERLINK("https://youglish.com/pronounce/常/chinese","🔍")</f>
        <v/>
      </c>
      <c r="K100" s="10" t="n"/>
      <c r="L100" s="11" t="n"/>
      <c r="M100" s="10" t="n"/>
      <c r="N100" s="11" t="n"/>
      <c r="O100" s="10" t="n"/>
      <c r="P100" s="11" t="n"/>
      <c r="Q100" s="10" t="n"/>
      <c r="R100" s="12" t="inlineStr">
        <is>
          <t>2026-06-17</t>
        </is>
      </c>
      <c r="S100" s="18" t="n"/>
      <c r="T100" s="21" t="inlineStr">
        <is>
          <t>常 [THƯỜNG] · thường xuyên; bình thường
    ↳ Chiết tự: bộ 尚 (thượng – âm đọc) + 巾 (cân – vải) — tấm vải dùng hằng ngày</t>
        </is>
      </c>
      <c r="U100" s="22" t="inlineStr">
        <is>
          <t>🎨 Tính từ &amp; Trạng thái</t>
        </is>
      </c>
      <c r="V100" s="63" t="inlineStr">
        <is>
          <t>他常来我家。</t>
        </is>
      </c>
      <c r="W100" s="64" t="inlineStr">
        <is>
          <t>Tā cháng lái wǒ jiā.
Anh ấy thường đến nhà tôi.</t>
        </is>
      </c>
    </row>
    <row r="101" hidden="1" ht="69.75" customHeight="1" s="99">
      <c r="A101" s="2" t="n">
        <v>39</v>
      </c>
      <c r="B101" s="3" t="inlineStr">
        <is>
          <t>HSK1</t>
        </is>
      </c>
      <c r="C101" s="4" t="inlineStr">
        <is>
          <t>常常</t>
        </is>
      </c>
      <c r="D101" s="5" t="inlineStr">
        <is>
          <t>chángcháng</t>
        </is>
      </c>
      <c r="E101" s="6" t="inlineStr">
        <is>
          <t>thường thường</t>
        </is>
      </c>
      <c r="F101" s="13" t="inlineStr">
        <is>
          <t>常常</t>
        </is>
      </c>
      <c r="G101" s="7" t="inlineStr">
        <is>
          <t>常常</t>
        </is>
      </c>
      <c r="H101" s="8">
        <f>IF(TRIM($G101)="","",IF(EXACT(TRIM($G101),TRIM($C101)),"✅ Đúng","❌ Sai"))</f>
        <v/>
      </c>
      <c r="I101" s="9">
        <f>HYPERLINK("https://translate.google.com/translate_tts?ie=UTF-8&amp;tl=zh-CN&amp;client=tw-ob&amp;q=常常","▶")</f>
        <v/>
      </c>
      <c r="J101" s="9">
        <f>HYPERLINK("https://youglish.com/pronounce/常常/chinese","🔍")</f>
        <v/>
      </c>
      <c r="K101" s="10" t="n"/>
      <c r="L101" s="11" t="n"/>
      <c r="M101" s="10" t="n"/>
      <c r="N101" s="11" t="n"/>
      <c r="O101" s="10" t="n"/>
      <c r="P101" s="11" t="n"/>
      <c r="Q101" s="10" t="n"/>
      <c r="R101" s="12" t="inlineStr">
        <is>
          <t>2026-06-17</t>
        </is>
      </c>
      <c r="S101" s="17" t="n"/>
      <c r="T101" s="21" t="inlineStr">
        <is>
          <t>常 [THƯỜNG] · thường xuyên; bình thường
    ↳ Chiết tự: bộ 尚 (thượng – âm đọc) + 巾 (cân – vải) — tấm vải dùng hằng ngày
常 [THƯỜNG] · thường xuyên; bình thường
    ↳ Chiết tự: bộ 尚 (thượng – âm đọc) + 巾 (cân – vải) — tấm vải dùng hằng ngày</t>
        </is>
      </c>
      <c r="U101" s="22" t="inlineStr">
        <is>
          <t>🎨 Tính từ &amp; Trạng thái</t>
        </is>
      </c>
      <c r="V101" s="63" t="inlineStr">
        <is>
          <t>我常常去图书馆。</t>
        </is>
      </c>
      <c r="W101" s="64" t="inlineStr">
        <is>
          <t>Wǒ chángcháng qù túshūguǎn.
Tôi thường xuyên đến thư viện.</t>
        </is>
      </c>
    </row>
    <row r="102" hidden="1" ht="34.9" customHeight="1" s="99">
      <c r="A102" s="2" t="n">
        <v>55</v>
      </c>
      <c r="B102" s="25" t="inlineStr">
        <is>
          <t>HSK1+2</t>
        </is>
      </c>
      <c r="C102" s="4" t="inlineStr">
        <is>
          <t>错</t>
        </is>
      </c>
      <c r="D102" s="5" t="inlineStr">
        <is>
          <t>cuò</t>
        </is>
      </c>
      <c r="E102" s="6" t="inlineStr">
        <is>
          <t>sai</t>
        </is>
      </c>
      <c r="F102" s="7" t="n"/>
      <c r="G102" s="7" t="inlineStr">
        <is>
          <t>错</t>
        </is>
      </c>
      <c r="H102" s="8">
        <f>IF(TRIM($G102)="","",IF(EXACT(TRIM($G102),TRIM($C102)),"✅ Đúng","❌ Sai"))</f>
        <v/>
      </c>
      <c r="I102" s="9">
        <f>HYPERLINK("https://translate.google.com/translate_tts?ie=UTF-8&amp;tl=zh-CN&amp;client=tw-ob&amp;q=错","▶")</f>
        <v/>
      </c>
      <c r="J102" s="9">
        <f>HYPERLINK("https://youglish.com/pronounce/错/chinese","🔍")</f>
        <v/>
      </c>
      <c r="K102" s="10" t="n"/>
      <c r="L102" s="11" t="n"/>
      <c r="M102" s="10" t="n"/>
      <c r="N102" s="11" t="n"/>
      <c r="O102" s="10" t="n"/>
      <c r="P102" s="11" t="n"/>
      <c r="Q102" s="10" t="n"/>
      <c r="R102" s="12" t="inlineStr">
        <is>
          <t>2026-06-17</t>
        </is>
      </c>
      <c r="S102" s="17" t="n"/>
      <c r="T102" s="21" t="inlineStr">
        <is>
          <t>错 [THÁC] · sai, nhầm; xen kẽ
    ↳ Chiết tự: giản thể của 錯: bộ 钅 (kim – kim loại) + 昔 (tích – âm đọc) — dao mẻ cắt lệch</t>
        </is>
      </c>
      <c r="U102" s="22" t="inlineStr">
        <is>
          <t>🎨 Tính từ &amp; Trạng thái</t>
        </is>
      </c>
      <c r="V102" s="63" t="inlineStr">
        <is>
          <t>这个字写错了。</t>
        </is>
      </c>
      <c r="W102" s="64" t="inlineStr">
        <is>
          <t>Zhège zì xiě cuò le.
Chữ này viết sai rồi.</t>
        </is>
      </c>
    </row>
    <row r="103" hidden="1" ht="23.25" customHeight="1" s="99">
      <c r="A103" s="2" t="n">
        <v>61</v>
      </c>
      <c r="B103" s="25" t="inlineStr">
        <is>
          <t>HSK1+2</t>
        </is>
      </c>
      <c r="C103" s="4" t="inlineStr">
        <is>
          <t>大</t>
        </is>
      </c>
      <c r="D103" s="5" t="inlineStr">
        <is>
          <t>dà</t>
        </is>
      </c>
      <c r="E103" s="6" t="inlineStr">
        <is>
          <t>to, lớn</t>
        </is>
      </c>
      <c r="F103" s="7" t="inlineStr">
        <is>
          <t>大</t>
        </is>
      </c>
      <c r="G103" s="7" t="inlineStr">
        <is>
          <t>大</t>
        </is>
      </c>
      <c r="H103" s="8">
        <f>IF(TRIM($G103)="","",IF(EXACT(TRIM($G103),TRIM($C103)),"✅ Đúng","❌ Sai"))</f>
        <v/>
      </c>
      <c r="I103" s="9">
        <f>HYPERLINK("https://translate.google.com/translate_tts?ie=UTF-8&amp;tl=zh-CN&amp;client=tw-ob&amp;q=大","▶")</f>
        <v/>
      </c>
      <c r="J103" s="9">
        <f>HYPERLINK("https://youglish.com/pronounce/大/chinese","🔍")</f>
        <v/>
      </c>
      <c r="K103" s="10" t="n"/>
      <c r="L103" s="11" t="n"/>
      <c r="M103" s="10" t="n"/>
      <c r="N103" s="11" t="n"/>
      <c r="O103" s="10" t="n"/>
      <c r="P103" s="11" t="n"/>
      <c r="Q103" s="10" t="n"/>
      <c r="R103" s="12" t="inlineStr">
        <is>
          <t>2026-06-17</t>
        </is>
      </c>
      <c r="S103" s="17" t="n"/>
      <c r="T103" s="21" t="inlineStr">
        <is>
          <t>大 [ĐẠI] · to lớn, vĩ đại
    ↳ Chiết tự: bộ 大 (đại) — hình người dang rộng hai tay hai chân</t>
        </is>
      </c>
      <c r="U103" s="22" t="inlineStr">
        <is>
          <t>🎨 Tính từ &amp; Trạng thái</t>
        </is>
      </c>
      <c r="V103" s="63" t="inlineStr">
        <is>
          <t>他的房子很大。</t>
        </is>
      </c>
      <c r="W103" s="64" t="inlineStr">
        <is>
          <t>Tā de fángzi hěn dà.
Nhà của anh ấy rất to.</t>
        </is>
      </c>
    </row>
    <row r="104" hidden="1" ht="34.9" customHeight="1" s="99">
      <c r="A104" s="2" t="n">
        <v>92</v>
      </c>
      <c r="B104" s="25" t="inlineStr">
        <is>
          <t>HSK1+2</t>
        </is>
      </c>
      <c r="C104" s="4" t="inlineStr">
        <is>
          <t>对</t>
        </is>
      </c>
      <c r="D104" s="5" t="inlineStr">
        <is>
          <t>duì</t>
        </is>
      </c>
      <c r="E104" s="6" t="inlineStr">
        <is>
          <t>đúng</t>
        </is>
      </c>
      <c r="F104" s="13" t="inlineStr">
        <is>
          <t>对</t>
        </is>
      </c>
      <c r="G104" s="7" t="inlineStr">
        <is>
          <t>对</t>
        </is>
      </c>
      <c r="H104" s="8">
        <f>IF(TRIM($G104)="","",IF(EXACT(TRIM($G104),TRIM($C104)),"✅ Đúng","❌ Sai"))</f>
        <v/>
      </c>
      <c r="I104" s="9">
        <f>HYPERLINK("https://translate.google.com/translate_tts?ie=UTF-8&amp;tl=zh-CN&amp;client=tw-ob&amp;q=对","▶")</f>
        <v/>
      </c>
      <c r="J104" s="9">
        <f>HYPERLINK("https://youglish.com/pronounce/对/chinese","🔍")</f>
        <v/>
      </c>
      <c r="K104" s="10" t="n"/>
      <c r="L104" s="11" t="n"/>
      <c r="M104" s="10" t="n"/>
      <c r="N104" s="11" t="n"/>
      <c r="O104" s="10" t="n"/>
      <c r="P104" s="11" t="n"/>
      <c r="Q104" s="10" t="n"/>
      <c r="R104" s="12" t="inlineStr">
        <is>
          <t>2026-06-17</t>
        </is>
      </c>
      <c r="S104" s="18" t="n"/>
      <c r="T104" s="21" t="inlineStr">
        <is>
          <t>对 [ĐỐI] · đúng, đối diện, đối với
    ↳ Chiết tự: giản thể của 對: bộ 又 (hựu – bàn tay) + 寸 (thốn – tấc tay) — hai bên đối chiếu cho khớp</t>
        </is>
      </c>
      <c r="U104" s="22" t="inlineStr">
        <is>
          <t>🎨 Tính từ &amp; Trạng thái</t>
        </is>
      </c>
      <c r="V104" s="63" t="inlineStr">
        <is>
          <t>你说得对。</t>
        </is>
      </c>
      <c r="W104" s="64" t="inlineStr">
        <is>
          <t>Nǐ shuō de duì.
Bạn nói đúng.</t>
        </is>
      </c>
    </row>
    <row r="105" hidden="1" ht="69.75" customHeight="1" s="99">
      <c r="A105" s="2" t="n">
        <v>108</v>
      </c>
      <c r="B105" s="25" t="inlineStr">
        <is>
          <t>HSK1+2</t>
        </is>
      </c>
      <c r="C105" s="4" t="inlineStr">
        <is>
          <t>非常</t>
        </is>
      </c>
      <c r="D105" s="5" t="inlineStr">
        <is>
          <t>fēicháng</t>
        </is>
      </c>
      <c r="E105" s="6" t="inlineStr">
        <is>
          <t>vô cùng, rất</t>
        </is>
      </c>
      <c r="F105" s="7" t="n"/>
      <c r="G105" s="7" t="inlineStr">
        <is>
          <t>非常</t>
        </is>
      </c>
      <c r="H105" s="8">
        <f>IF(TRIM($G105)="","",IF(EXACT(TRIM($G105),TRIM($C105)),"✅ Đúng","❌ Sai"))</f>
        <v/>
      </c>
      <c r="I105" s="9">
        <f>HYPERLINK("https://translate.google.com/translate_tts?ie=UTF-8&amp;tl=zh-CN&amp;client=tw-ob&amp;q=非常","▶")</f>
        <v/>
      </c>
      <c r="J105" s="9">
        <f>HYPERLINK("https://youglish.com/pronounce/非常/chinese","🔍")</f>
        <v/>
      </c>
      <c r="K105" s="10" t="n"/>
      <c r="L105" s="11" t="n"/>
      <c r="M105" s="10" t="n"/>
      <c r="N105" s="11" t="n"/>
      <c r="O105" s="10" t="n"/>
      <c r="P105" s="11" t="n"/>
      <c r="Q105" s="10" t="n"/>
      <c r="R105" s="12" t="inlineStr">
        <is>
          <t>2026-06-17</t>
        </is>
      </c>
      <c r="S105" s="18" t="n"/>
      <c r="T105" s="21" t="inlineStr">
        <is>
          <t>非 [PHI] · không phải, phi; châu Phi
    ↳ Chiết tự: bộ 非 (phi) — hình hai cánh chim xòe ngược nhau, ý trái nghịch
常 [THƯỜNG] · thường xuyên; bình thường
    ↳ Chiết tự: bộ 尚 (thượng – âm đọc) + 巾 (cân – vải) — tấm vải dùng hằng ngày</t>
        </is>
      </c>
      <c r="U105" s="22" t="inlineStr">
        <is>
          <t>🎨 Tính từ &amp; Trạng thái</t>
        </is>
      </c>
      <c r="V105" s="63" t="inlineStr">
        <is>
          <t>这里的东西非常便宜。</t>
        </is>
      </c>
      <c r="W105" s="64" t="inlineStr">
        <is>
          <t>Zhèli de dōngxi fēicháng piányi.
Đồ ở đây cực kỳ rẻ.</t>
        </is>
      </c>
    </row>
    <row r="106" hidden="1" ht="69.75" customHeight="1" s="99">
      <c r="A106" s="2" t="n">
        <v>112</v>
      </c>
      <c r="B106" s="60" t="inlineStr">
        <is>
          <t>HSK1+3</t>
        </is>
      </c>
      <c r="C106" s="4" t="inlineStr">
        <is>
          <t>干净</t>
        </is>
      </c>
      <c r="D106" s="5" t="inlineStr">
        <is>
          <t>gānjìng</t>
        </is>
      </c>
      <c r="E106" s="6" t="inlineStr">
        <is>
          <t>sạch sẽ</t>
        </is>
      </c>
      <c r="F106" s="13" t="inlineStr">
        <is>
          <t>干净</t>
        </is>
      </c>
      <c r="G106" s="7" t="inlineStr">
        <is>
          <t>干净</t>
        </is>
      </c>
      <c r="H106" s="8">
        <f>IF(TRIM($G106)="","",IF(EXACT(TRIM($G106),TRIM($C106)),"✅ Đúng","❌ Sai"))</f>
        <v/>
      </c>
      <c r="I106" s="9">
        <f>HYPERLINK("https://translate.google.com/translate_tts?ie=UTF-8&amp;tl=zh-CN&amp;client=tw-ob&amp;q=干净","▶")</f>
        <v/>
      </c>
      <c r="J106" s="9">
        <f>HYPERLINK("https://youglish.com/pronounce/干净/chinese","🔍")</f>
        <v/>
      </c>
      <c r="K106" s="10" t="n"/>
      <c r="L106" s="11" t="n"/>
      <c r="M106" s="10" t="n"/>
      <c r="N106" s="11" t="n"/>
      <c r="O106" s="10" t="n"/>
      <c r="P106" s="11" t="n"/>
      <c r="Q106" s="10" t="n"/>
      <c r="R106" s="12" t="inlineStr">
        <is>
          <t>2026-06-17</t>
        </is>
      </c>
      <c r="S106" s="18" t="n"/>
      <c r="T106" s="21" t="inlineStr">
        <is>
          <t>干 [CAN / CÀN] · khô ráo; làm việc
    ↳ Chiết tự: bộ 干 (can) — hình cái chày/mộc chắn, nghĩa phái sinh là khô và làm
净 [TỊNH] · sạch sẽ, trong sạch
    ↳ Chiết tự: giản thể của 淨: bộ 冫 (băng – nước) + 争 (tranh – âm đọc) — rửa cho trong</t>
        </is>
      </c>
      <c r="U106" s="22" t="inlineStr">
        <is>
          <t>🎨 Tính từ &amp; Trạng thái</t>
        </is>
      </c>
      <c r="V106" s="63" t="inlineStr">
        <is>
          <t>房间很干净。</t>
        </is>
      </c>
      <c r="W106" s="64" t="inlineStr">
        <is>
          <t>Fángjiān hěn gānjìng.
Căn phòng rất sạch.</t>
        </is>
      </c>
    </row>
    <row r="107" hidden="1" ht="58.15" customHeight="1" s="99">
      <c r="A107" s="2" t="n">
        <v>116</v>
      </c>
      <c r="B107" s="25" t="inlineStr">
        <is>
          <t>HSK1+2</t>
        </is>
      </c>
      <c r="C107" s="4" t="inlineStr">
        <is>
          <t>高兴</t>
        </is>
      </c>
      <c r="D107" s="5" t="inlineStr">
        <is>
          <t>gāoxìng</t>
        </is>
      </c>
      <c r="E107" s="6" t="inlineStr">
        <is>
          <t>vui vẻ, vui mừng</t>
        </is>
      </c>
      <c r="F107" s="7" t="n"/>
      <c r="G107" s="7" t="inlineStr">
        <is>
          <t>高兴</t>
        </is>
      </c>
      <c r="H107" s="8">
        <f>IF(TRIM($G107)="","",IF(EXACT(TRIM($G107),TRIM($C107)),"✅ Đúng","❌ Sai"))</f>
        <v/>
      </c>
      <c r="I107" s="9">
        <f>HYPERLINK("https://translate.google.com/translate_tts?ie=UTF-8&amp;tl=zh-CN&amp;client=tw-ob&amp;q=高兴","▶")</f>
        <v/>
      </c>
      <c r="J107" s="9">
        <f>HYPERLINK("https://youglish.com/pronounce/高兴/chinese","🔍")</f>
        <v/>
      </c>
      <c r="K107" s="10" t="n"/>
      <c r="L107" s="11" t="n"/>
      <c r="M107" s="10" t="n"/>
      <c r="N107" s="11" t="n"/>
      <c r="O107" s="10" t="n"/>
      <c r="P107" s="11" t="n"/>
      <c r="Q107" s="10" t="n"/>
      <c r="R107" s="12" t="inlineStr">
        <is>
          <t>2026-06-17</t>
        </is>
      </c>
      <c r="S107" s="18" t="n"/>
      <c r="T107" s="21" t="inlineStr">
        <is>
          <t>高 [CAO] · cao, cao lớn
    ↳ Chiết tự: bộ 高 (cao) — hình tòa lầu nhiều tầng
兴 [HƯNG / HỨNG] · hưng thịnh; hứng thú
    ↳ Chiết tự: giản thể của 興: bộ 八 (bát) + 同 (đồng) — nhiều tay cùng nâng lên thì hưng khởi</t>
        </is>
      </c>
      <c r="U107" s="22" t="inlineStr">
        <is>
          <t>🎨 Tính từ &amp; Trạng thái</t>
        </is>
      </c>
      <c r="V107" s="63" t="inlineStr">
        <is>
          <t>见到你我很高兴。</t>
        </is>
      </c>
      <c r="W107" s="64" t="inlineStr">
        <is>
          <t>Jiàn dào nǐ wǒ hěn gāoxìng.
Gặp bạn tôi rất vui.</t>
        </is>
      </c>
    </row>
    <row r="108" hidden="1" ht="34.9" customHeight="1" s="99">
      <c r="A108" s="2" t="n">
        <v>138</v>
      </c>
      <c r="B108" s="25" t="inlineStr">
        <is>
          <t>HSK1+2</t>
        </is>
      </c>
      <c r="C108" s="4" t="inlineStr">
        <is>
          <t>好</t>
        </is>
      </c>
      <c r="D108" s="5" t="inlineStr">
        <is>
          <t>hǎo</t>
        </is>
      </c>
      <c r="E108" s="6" t="inlineStr">
        <is>
          <t>tốt, đẹp</t>
        </is>
      </c>
      <c r="F108" s="7" t="inlineStr">
        <is>
          <t>好</t>
        </is>
      </c>
      <c r="G108" s="7" t="inlineStr">
        <is>
          <t>好</t>
        </is>
      </c>
      <c r="H108" s="8">
        <f>IF(TRIM($G108)="","",IF(EXACT(TRIM($G108),TRIM($C108)),"✅ Đúng","❌ Sai"))</f>
        <v/>
      </c>
      <c r="I108" s="9">
        <f>HYPERLINK("https://translate.google.com/translate_tts?ie=UTF-8&amp;tl=zh-CN&amp;client=tw-ob&amp;q=好","▶")</f>
        <v/>
      </c>
      <c r="J108" s="9">
        <f>HYPERLINK("https://youglish.com/pronounce/好/chinese","🔍")</f>
        <v/>
      </c>
      <c r="K108" s="10" t="n"/>
      <c r="L108" s="11" t="n"/>
      <c r="M108" s="10" t="n"/>
      <c r="N108" s="11" t="n"/>
      <c r="O108" s="10" t="n"/>
      <c r="P108" s="11" t="n"/>
      <c r="Q108" s="10" t="n"/>
      <c r="R108" s="12" t="inlineStr">
        <is>
          <t>2026-06-17</t>
        </is>
      </c>
      <c r="S108" s="18" t="n"/>
      <c r="T108" s="21" t="inlineStr">
        <is>
          <t>好 [HẢO / HIẾU] · tốt đẹp; thích, yêu
    ↳ Chiết tự: bộ 女 (nữ – mẹ) + 子 (tử – con) — mẹ bồng con là cảnh tốt đẹp nhất</t>
        </is>
      </c>
      <c r="U108" s="22" t="inlineStr">
        <is>
          <t>🎨 Tính từ &amp; Trạng thái</t>
        </is>
      </c>
      <c r="V108" s="63" t="inlineStr">
        <is>
          <t>你身体好吗？</t>
        </is>
      </c>
      <c r="W108" s="64" t="inlineStr">
        <is>
          <t>Nǐ shēntǐ hǎo ma?
Sức khỏe bạn tốt không?</t>
        </is>
      </c>
    </row>
    <row r="109" hidden="1" ht="69.75" customHeight="1" s="99">
      <c r="A109" s="2" t="n">
        <v>140</v>
      </c>
      <c r="B109" s="3" t="inlineStr">
        <is>
          <t>HSK1</t>
        </is>
      </c>
      <c r="C109" s="4" t="inlineStr">
        <is>
          <t>好看</t>
        </is>
      </c>
      <c r="D109" s="5" t="inlineStr">
        <is>
          <t>hǎokàn</t>
        </is>
      </c>
      <c r="E109" s="6" t="inlineStr">
        <is>
          <t>đẹp, xinh, hay</t>
        </is>
      </c>
      <c r="F109" s="7" t="inlineStr">
        <is>
          <t>好看</t>
        </is>
      </c>
      <c r="G109" s="7" t="inlineStr">
        <is>
          <t>好看</t>
        </is>
      </c>
      <c r="H109" s="8">
        <f>IF(TRIM($G109)="","",IF(EXACT(TRIM($G109),TRIM($C109)),"✅ Đúng","❌ Sai"))</f>
        <v/>
      </c>
      <c r="I109" s="9">
        <f>HYPERLINK("https://translate.google.com/translate_tts?ie=UTF-8&amp;tl=zh-CN&amp;client=tw-ob&amp;q=好看","▶")</f>
        <v/>
      </c>
      <c r="J109" s="9">
        <f>HYPERLINK("https://youglish.com/pronounce/好看/chinese","🔍")</f>
        <v/>
      </c>
      <c r="K109" s="10" t="n"/>
      <c r="L109" s="11" t="n"/>
      <c r="M109" s="10" t="n"/>
      <c r="N109" s="11" t="n"/>
      <c r="O109" s="10" t="n"/>
      <c r="P109" s="11" t="n"/>
      <c r="Q109" s="10" t="n"/>
      <c r="R109" s="12" t="inlineStr">
        <is>
          <t>2026-06-17</t>
        </is>
      </c>
      <c r="S109" s="18" t="n"/>
      <c r="T109" s="21" t="inlineStr">
        <is>
          <t>好 [HẢO / HIẾU] · tốt đẹp; thích, yêu
    ↳ Chiết tự: bộ 女 (nữ – mẹ) + 子 (tử – con) — mẹ bồng con là cảnh tốt đẹp nhất
看 [KHÁN] · nhìn, xem, trông coi
    ↳ Chiết tự: bộ 手 (thủ – bàn tay) đặt trên 目 (mục – con mắt) — che tay lên mắt mà ngóng</t>
        </is>
      </c>
      <c r="U109" s="22" t="inlineStr">
        <is>
          <t>🎨 Tính từ &amp; Trạng thái</t>
        </is>
      </c>
      <c r="V109" s="63" t="inlineStr">
        <is>
          <t>这件衣服很好看。</t>
        </is>
      </c>
      <c r="W109" s="64" t="inlineStr">
        <is>
          <t>Zhè jiàn yīfu hěn hǎokàn.
Chiếc áo này rất đẹp.</t>
        </is>
      </c>
    </row>
    <row r="110" hidden="1" ht="69.75" customHeight="1" s="99">
      <c r="A110" s="2" t="n">
        <v>141</v>
      </c>
      <c r="B110" s="3" t="inlineStr">
        <is>
          <t>HSK1</t>
        </is>
      </c>
      <c r="C110" s="4" t="inlineStr">
        <is>
          <t>好听</t>
        </is>
      </c>
      <c r="D110" s="5" t="inlineStr">
        <is>
          <t>hǎotīng</t>
        </is>
      </c>
      <c r="E110" s="6" t="inlineStr">
        <is>
          <t>êm tai, dễ nghe</t>
        </is>
      </c>
      <c r="F110" s="7" t="inlineStr">
        <is>
          <t>好听</t>
        </is>
      </c>
      <c r="G110" s="7" t="inlineStr">
        <is>
          <t>好听</t>
        </is>
      </c>
      <c r="H110" s="8">
        <f>IF(TRIM($G110)="","",IF(EXACT(TRIM($G110),TRIM($C110)),"✅ Đúng","❌ Sai"))</f>
        <v/>
      </c>
      <c r="I110" s="9">
        <f>HYPERLINK("https://translate.google.com/translate_tts?ie=UTF-8&amp;tl=zh-CN&amp;client=tw-ob&amp;q=好听","▶")</f>
        <v/>
      </c>
      <c r="J110" s="9">
        <f>HYPERLINK("https://youglish.com/pronounce/好听/chinese","🔍")</f>
        <v/>
      </c>
      <c r="K110" s="10" t="n"/>
      <c r="L110" s="11" t="n"/>
      <c r="M110" s="10" t="n"/>
      <c r="N110" s="11" t="n"/>
      <c r="O110" s="10" t="n"/>
      <c r="P110" s="11" t="n"/>
      <c r="Q110" s="10" t="n"/>
      <c r="R110" s="12" t="inlineStr">
        <is>
          <t>2026-06-17</t>
        </is>
      </c>
      <c r="S110" s="17" t="n"/>
      <c r="T110" s="21" t="inlineStr">
        <is>
          <t>好 [HẢO / HIẾU] · tốt đẹp; thích, yêu
    ↳ Chiết tự: bộ 女 (nữ – mẹ) + 子 (tử – con) — mẹ bồng con là cảnh tốt đẹp nhất
听 [THÍNH] · nghe, nghe theo
    ↳ Chiết tự: giản thể của 聽: bộ 口 (khẩu – miệng) + 斤 (cân – âm đọc) — bản phồn thể là 耳 (nhĩ – tai) nghe lời</t>
        </is>
      </c>
      <c r="U110" s="22" t="inlineStr">
        <is>
          <t>🎨 Tính từ &amp; Trạng thái</t>
        </is>
      </c>
      <c r="V110" s="63" t="inlineStr">
        <is>
          <t>这首歌很好听。</t>
        </is>
      </c>
      <c r="W110" s="64" t="inlineStr">
        <is>
          <t>Zhè shǒu gē hěn hǎotīng.
Bài hát này rất hay.</t>
        </is>
      </c>
    </row>
    <row r="111" hidden="1" ht="104.65" customHeight="1" s="99">
      <c r="A111" s="2" t="n">
        <v>142</v>
      </c>
      <c r="B111" s="3" t="inlineStr">
        <is>
          <t>HSK1</t>
        </is>
      </c>
      <c r="C111" s="4" t="inlineStr">
        <is>
          <t>好玩儿</t>
        </is>
      </c>
      <c r="D111" s="5" t="inlineStr">
        <is>
          <t>hǎowánr</t>
        </is>
      </c>
      <c r="E111" s="6" t="inlineStr">
        <is>
          <t>(chơi) vui</t>
        </is>
      </c>
      <c r="F111" s="7" t="n"/>
      <c r="G111" s="7" t="inlineStr">
        <is>
          <t>好玩儿</t>
        </is>
      </c>
      <c r="H111" s="8">
        <f>IF(TRIM($G111)="","",IF(EXACT(TRIM($G111),TRIM($C111)),"✅ Đúng","❌ Sai"))</f>
        <v/>
      </c>
      <c r="I111" s="9">
        <f>HYPERLINK("https://translate.google.com/translate_tts?ie=UTF-8&amp;tl=zh-CN&amp;client=tw-ob&amp;q=好玩儿","▶")</f>
        <v/>
      </c>
      <c r="J111" s="9">
        <f>HYPERLINK("https://youglish.com/pronounce/好玩儿/chinese","🔍")</f>
        <v/>
      </c>
      <c r="K111" s="10" t="n"/>
      <c r="L111" s="11" t="n"/>
      <c r="M111" s="10" t="n"/>
      <c r="N111" s="11" t="n"/>
      <c r="O111" s="10" t="n"/>
      <c r="P111" s="11" t="n"/>
      <c r="Q111" s="10" t="n"/>
      <c r="R111" s="12" t="inlineStr">
        <is>
          <t>2026-06-17</t>
        </is>
      </c>
      <c r="S111" s="18" t="n"/>
      <c r="T111" s="21" t="inlineStr">
        <is>
          <t>好 [HẢO / HIẾU] · tốt đẹp; thích, yêu
    ↳ Chiết tự: bộ 女 (nữ – mẹ) + 子 (tử – con) — mẹ bồng con là cảnh tốt đẹp nhất
玩 [NGOẠN] · chơi đùa, thưởng ngoạn
    ↳ Chiết tự: bộ 王 (ngọc – viên ngọc) + 元 (nguyên – âm đọc) — mân mê viên ngọc trong tay
儿 [NHI] · trẻ con; hậu tố danh từ
    ↳ Chiết tự: giản thể của 兒: bộ 儿 (nhân đi – hai chân người) — hình trẻ thóp đầu chưa liền</t>
        </is>
      </c>
      <c r="U111" s="22" t="inlineStr">
        <is>
          <t>🎨 Tính từ &amp; Trạng thái</t>
        </is>
      </c>
      <c r="V111" s="63" t="inlineStr">
        <is>
          <t>这个游戏很好玩儿。</t>
        </is>
      </c>
      <c r="W111" s="64" t="inlineStr">
        <is>
          <t>Zhège yóuxì hěn hǎowánr.
Trò chơi này rất vui.</t>
        </is>
      </c>
    </row>
    <row r="112" hidden="1" ht="34.9" customHeight="1" s="99">
      <c r="A112" s="2" t="n">
        <v>146</v>
      </c>
      <c r="B112" s="25" t="inlineStr">
        <is>
          <t>HSK1+2</t>
        </is>
      </c>
      <c r="C112" s="4" t="inlineStr">
        <is>
          <t>很</t>
        </is>
      </c>
      <c r="D112" s="5" t="inlineStr">
        <is>
          <t>hěn</t>
        </is>
      </c>
      <c r="E112" s="6" t="inlineStr">
        <is>
          <t>rất</t>
        </is>
      </c>
      <c r="F112" s="7" t="inlineStr">
        <is>
          <t>很</t>
        </is>
      </c>
      <c r="G112" s="7" t="inlineStr">
        <is>
          <t>很</t>
        </is>
      </c>
      <c r="H112" s="8">
        <f>IF(TRIM($G112)="","",IF(EXACT(TRIM($G112),TRIM($C112)),"✅ Đúng","❌ Sai"))</f>
        <v/>
      </c>
      <c r="I112" s="9">
        <f>HYPERLINK("https://translate.google.com/translate_tts?ie=UTF-8&amp;tl=zh-CN&amp;client=tw-ob&amp;q=很","▶")</f>
        <v/>
      </c>
      <c r="J112" s="9">
        <f>HYPERLINK("https://youglish.com/pronounce/很/chinese","🔍")</f>
        <v/>
      </c>
      <c r="K112" s="10" t="n"/>
      <c r="L112" s="11" t="n"/>
      <c r="M112" s="10" t="n"/>
      <c r="N112" s="11" t="n"/>
      <c r="O112" s="10" t="n"/>
      <c r="P112" s="11" t="n"/>
      <c r="Q112" s="10" t="n"/>
      <c r="R112" s="12" t="inlineStr">
        <is>
          <t>2026-06-17</t>
        </is>
      </c>
      <c r="S112" s="18" t="n"/>
      <c r="T112" s="21" t="inlineStr">
        <is>
          <t>很 [NGẬN] · rất, lắm
    ↳ Chiết tự: bộ 彳 (xích – bước ngắn) + 艮 (cấn – âm đọc) — mức độ đi rất xa</t>
        </is>
      </c>
      <c r="U112" s="22" t="inlineStr">
        <is>
          <t>🎨 Tính từ &amp; Trạng thái</t>
        </is>
      </c>
      <c r="V112" s="63" t="inlineStr">
        <is>
          <t>我很喜欢这本书。</t>
        </is>
      </c>
      <c r="W112" s="64" t="inlineStr">
        <is>
          <t>Wǒ hěn xǐhuan zhè běn shū.
Tôi rất thích quyển sách này.</t>
        </is>
      </c>
    </row>
    <row r="113" hidden="1" ht="34.9" customHeight="1" s="99">
      <c r="A113" s="2" t="n">
        <v>152</v>
      </c>
      <c r="B113" s="60" t="inlineStr">
        <is>
          <t>HSK1+3</t>
        </is>
      </c>
      <c r="C113" s="4" t="inlineStr">
        <is>
          <t>坏</t>
        </is>
      </c>
      <c r="D113" s="5" t="inlineStr">
        <is>
          <t>huài</t>
        </is>
      </c>
      <c r="E113" s="6" t="inlineStr">
        <is>
          <t>xấu, hỏng</t>
        </is>
      </c>
      <c r="F113" s="7" t="n"/>
      <c r="G113" s="7" t="inlineStr">
        <is>
          <t>坏</t>
        </is>
      </c>
      <c r="H113" s="8">
        <f>IF(TRIM($G113)="","",IF(EXACT(TRIM($G113),TRIM($C113)),"✅ Đúng","❌ Sai"))</f>
        <v/>
      </c>
      <c r="I113" s="9">
        <f>HYPERLINK("https://translate.google.com/translate_tts?ie=UTF-8&amp;tl=zh-CN&amp;client=tw-ob&amp;q=坏","▶")</f>
        <v/>
      </c>
      <c r="J113" s="9">
        <f>HYPERLINK("https://youglish.com/pronounce/坏/chinese","🔍")</f>
        <v/>
      </c>
      <c r="K113" s="10" t="n"/>
      <c r="L113" s="11" t="n"/>
      <c r="M113" s="10" t="n"/>
      <c r="N113" s="11" t="n"/>
      <c r="O113" s="10" t="n"/>
      <c r="P113" s="11" t="n"/>
      <c r="Q113" s="10" t="n"/>
      <c r="R113" s="12" t="inlineStr">
        <is>
          <t>2026-06-17</t>
        </is>
      </c>
      <c r="S113" s="18" t="n"/>
      <c r="T113" s="21" t="inlineStr">
        <is>
          <t>坏 [HOẠI] · hỏng, xấu, hư
    ↳ Chiết tự: giản thể của 壞: bộ 土 (thổ – đất) + 不 (bất – không) — đất lở, không dùng được</t>
        </is>
      </c>
      <c r="U113" s="22" t="inlineStr">
        <is>
          <t>🎨 Tính từ &amp; Trạng thái</t>
        </is>
      </c>
      <c r="V113" s="63" t="inlineStr">
        <is>
          <t>我的手机坏了。</t>
        </is>
      </c>
      <c r="W113" s="64" t="inlineStr">
        <is>
          <t>Wǒ de shǒujī huài le.
Điện thoại tôi hỏng rồi.</t>
        </is>
      </c>
    </row>
    <row r="114" hidden="1" ht="34.9" customHeight="1" s="99">
      <c r="A114" s="2" t="n">
        <v>206</v>
      </c>
      <c r="B114" s="25" t="inlineStr">
        <is>
          <t>HSK1+2</t>
        </is>
      </c>
      <c r="C114" s="4" t="inlineStr">
        <is>
          <t>快</t>
        </is>
      </c>
      <c r="D114" s="5" t="inlineStr">
        <is>
          <t>kuài</t>
        </is>
      </c>
      <c r="E114" s="6" t="inlineStr">
        <is>
          <t>nhanh</t>
        </is>
      </c>
      <c r="F114" s="7" t="n"/>
      <c r="G114" s="7" t="inlineStr">
        <is>
          <t>快</t>
        </is>
      </c>
      <c r="H114" s="8">
        <f>IF(TRIM($G114)="","",IF(EXACT(TRIM($G114),TRIM($C114)),"✅ Đúng","❌ Sai"))</f>
        <v/>
      </c>
      <c r="I114" s="9">
        <f>HYPERLINK("https://translate.google.com/translate_tts?ie=UTF-8&amp;tl=zh-CN&amp;client=tw-ob&amp;q=快","▶")</f>
        <v/>
      </c>
      <c r="J114" s="9">
        <f>HYPERLINK("https://youglish.com/pronounce/快/chinese","🔍")</f>
        <v/>
      </c>
      <c r="K114" s="10" t="n"/>
      <c r="L114" s="11" t="n"/>
      <c r="M114" s="10" t="n"/>
      <c r="N114" s="11" t="n"/>
      <c r="O114" s="10" t="n"/>
      <c r="P114" s="11" t="n"/>
      <c r="Q114" s="10" t="n"/>
      <c r="R114" s="12" t="inlineStr">
        <is>
          <t>2026-06-17</t>
        </is>
      </c>
      <c r="S114" s="18" t="n"/>
      <c r="T114" s="21" t="inlineStr">
        <is>
          <t>快 [KHOÁI] · nhanh; vui sướng; sắp
    ↳ Chiết tự: bộ 忄 (tâm đứng – trái tim) + 夬 (quái – âm đọc) — lòng phấn chấn nên mau lẹ</t>
        </is>
      </c>
      <c r="U114" s="22" t="inlineStr">
        <is>
          <t>🎨 Tính từ &amp; Trạng thái</t>
        </is>
      </c>
      <c r="V114" s="63" t="inlineStr">
        <is>
          <t>你走得太快了。</t>
        </is>
      </c>
      <c r="W114" s="64" t="inlineStr">
        <is>
          <t>Nǐ zǒu de tài kuài le.
Bạn đi nhanh quá.</t>
        </is>
      </c>
    </row>
    <row r="115" hidden="1" ht="69.75" customHeight="1" s="99">
      <c r="A115" s="2" t="n">
        <v>207</v>
      </c>
      <c r="B115" s="60" t="inlineStr">
        <is>
          <t>HSK1+2+3</t>
        </is>
      </c>
      <c r="C115" s="4" t="inlineStr">
        <is>
          <t>快乐</t>
        </is>
      </c>
      <c r="D115" s="5" t="inlineStr">
        <is>
          <t>kuàilè</t>
        </is>
      </c>
      <c r="E115" s="6" t="inlineStr">
        <is>
          <t>vui vẻ</t>
        </is>
      </c>
      <c r="F115" s="13" t="inlineStr">
        <is>
          <t>快乐</t>
        </is>
      </c>
      <c r="G115" s="7" t="inlineStr">
        <is>
          <t>快乐</t>
        </is>
      </c>
      <c r="H115" s="8">
        <f>IF(TRIM($G115)="","",IF(EXACT(TRIM($G115),TRIM($C115)),"✅ Đúng","❌ Sai"))</f>
        <v/>
      </c>
      <c r="I115" s="9">
        <f>HYPERLINK("https://translate.google.com/translate_tts?ie=UTF-8&amp;tl=zh-CN&amp;client=tw-ob&amp;q=快乐","▶")</f>
        <v/>
      </c>
      <c r="J115" s="9">
        <f>HYPERLINK("https://youglish.com/pronounce/快乐/chinese","🔍")</f>
        <v/>
      </c>
      <c r="K115" s="10" t="n"/>
      <c r="L115" s="11" t="n"/>
      <c r="M115" s="10" t="n"/>
      <c r="N115" s="11" t="n"/>
      <c r="O115" s="10" t="n"/>
      <c r="P115" s="11" t="n"/>
      <c r="Q115" s="10" t="n"/>
      <c r="R115" s="12" t="inlineStr">
        <is>
          <t>2026-06-17</t>
        </is>
      </c>
      <c r="S115" s="17" t="n"/>
      <c r="T115" s="21" t="inlineStr">
        <is>
          <t>快 [KHOÁI] · nhanh; vui sướng; sắp
    ↳ Chiết tự: bộ 忄 (tâm đứng – trái tim) + 夬 (quái – âm đọc) — lòng phấn chấn nên mau lẹ
乐 [LẠC / NHẠC] · vui vẻ; âm nhạc
    ↳ Chiết tự: giản thể của 樂: hình giá gỗ 木 (mộc) treo chuông trống — gảy nhạc thì vui</t>
        </is>
      </c>
      <c r="U115" s="22" t="inlineStr">
        <is>
          <t>🎨 Tính từ &amp; Trạng thái</t>
        </is>
      </c>
      <c r="V115" s="63" t="inlineStr">
        <is>
          <t>祝你天天快乐。</t>
        </is>
      </c>
      <c r="W115" s="64" t="inlineStr">
        <is>
          <t>Zhù nǐ tiāntiān kuàilè.
Chúc bạn ngày nào cũng vui.</t>
        </is>
      </c>
    </row>
    <row r="116" hidden="1" ht="23.25" customHeight="1" s="99">
      <c r="A116" s="2" t="n">
        <v>209</v>
      </c>
      <c r="B116" s="60" t="inlineStr">
        <is>
          <t>HSK1+3</t>
        </is>
      </c>
      <c r="C116" s="4" t="inlineStr">
        <is>
          <t>老</t>
        </is>
      </c>
      <c r="D116" s="5" t="inlineStr">
        <is>
          <t>lǎo</t>
        </is>
      </c>
      <c r="E116" s="6" t="inlineStr">
        <is>
          <t>già</t>
        </is>
      </c>
      <c r="F116" s="13" t="inlineStr">
        <is>
          <t>老</t>
        </is>
      </c>
      <c r="G116" s="7" t="inlineStr">
        <is>
          <t>老</t>
        </is>
      </c>
      <c r="H116" s="8">
        <f>IF(TRIM($G116)="","",IF(EXACT(TRIM($G116),TRIM($C116)),"✅ Đúng","❌ Sai"))</f>
        <v/>
      </c>
      <c r="I116" s="9">
        <f>HYPERLINK("https://translate.google.com/translate_tts?ie=UTF-8&amp;tl=zh-CN&amp;client=tw-ob&amp;q=老","▶")</f>
        <v/>
      </c>
      <c r="J116" s="9">
        <f>HYPERLINK("https://youglish.com/pronounce/老/chinese","🔍")</f>
        <v/>
      </c>
      <c r="K116" s="10" t="n"/>
      <c r="L116" s="11" t="n"/>
      <c r="M116" s="10" t="n"/>
      <c r="N116" s="11" t="n"/>
      <c r="O116" s="10" t="n"/>
      <c r="P116" s="11" t="n"/>
      <c r="Q116" s="10" t="n"/>
      <c r="R116" s="12" t="inlineStr">
        <is>
          <t>2026-06-17</t>
        </is>
      </c>
      <c r="S116" s="17" t="n"/>
      <c r="T116" s="21" t="inlineStr">
        <is>
          <t>老 [LÃO] · già; cũ; luôn luôn; tiền tố tôn xưng
    ↳ Chiết tự: bộ 老 (lão) — hình cụ già tóc dài chống gậy</t>
        </is>
      </c>
      <c r="U116" s="22" t="inlineStr">
        <is>
          <t>🎨 Tính từ &amp; Trạng thái</t>
        </is>
      </c>
      <c r="V116" s="63" t="inlineStr">
        <is>
          <t>我的爷爷老了。</t>
        </is>
      </c>
      <c r="W116" s="64" t="inlineStr">
        <is>
          <t>Wǒ de yéye lǎo le.
Ông tôi đã già rồi.</t>
        </is>
      </c>
    </row>
    <row r="117" hidden="1" ht="34.9" customHeight="1" s="99">
      <c r="A117" s="2" t="n">
        <v>212</v>
      </c>
      <c r="B117" s="25" t="inlineStr">
        <is>
          <t>HSK1+2</t>
        </is>
      </c>
      <c r="C117" s="4" t="inlineStr">
        <is>
          <t>累</t>
        </is>
      </c>
      <c r="D117" s="5" t="inlineStr">
        <is>
          <t>lèi</t>
        </is>
      </c>
      <c r="E117" s="6" t="inlineStr">
        <is>
          <t>mệt</t>
        </is>
      </c>
      <c r="F117" s="7" t="n"/>
      <c r="G117" s="7" t="inlineStr">
        <is>
          <t>累</t>
        </is>
      </c>
      <c r="H117" s="8">
        <f>IF(TRIM($G117)="","",IF(EXACT(TRIM($G117),TRIM($C117)),"✅ Đúng","❌ Sai"))</f>
        <v/>
      </c>
      <c r="I117" s="9">
        <f>HYPERLINK("https://translate.google.com/translate_tts?ie=UTF-8&amp;tl=zh-CN&amp;client=tw-ob&amp;q=累","▶")</f>
        <v/>
      </c>
      <c r="J117" s="9">
        <f>HYPERLINK("https://youglish.com/pronounce/累/chinese","🔍")</f>
        <v/>
      </c>
      <c r="K117" s="10" t="n"/>
      <c r="L117" s="11" t="n"/>
      <c r="M117" s="10" t="n"/>
      <c r="N117" s="11" t="n"/>
      <c r="O117" s="10" t="n"/>
      <c r="P117" s="11" t="n"/>
      <c r="Q117" s="10" t="n"/>
      <c r="R117" s="12" t="inlineStr">
        <is>
          <t>2026-06-17</t>
        </is>
      </c>
      <c r="S117" s="18" t="n"/>
      <c r="T117" s="21" t="inlineStr">
        <is>
          <t>累 [LŨY / LỆ] · mệt mỏi; tích lũy
    ↳ Chiết tự: bộ 田 (điền – ruộng) + 糸 (mịch – sợi tơ) — việc chồng chất nối nhau nên mệt</t>
        </is>
      </c>
      <c r="U117" s="22" t="inlineStr">
        <is>
          <t>🎨 Tính từ &amp; Trạng thái</t>
        </is>
      </c>
      <c r="V117" s="63" t="inlineStr">
        <is>
          <t>今天工作很累。</t>
        </is>
      </c>
      <c r="W117" s="64" t="inlineStr">
        <is>
          <t>Jīntiān gōngzuò hěn lèi.
Hôm nay làm việc rất mệt.</t>
        </is>
      </c>
    </row>
    <row r="118" hidden="1" ht="34.9" customHeight="1" s="99">
      <c r="A118" s="2" t="n">
        <v>213</v>
      </c>
      <c r="B118" s="25" t="inlineStr">
        <is>
          <t>HSK1+2</t>
        </is>
      </c>
      <c r="C118" s="4" t="inlineStr">
        <is>
          <t>冷</t>
        </is>
      </c>
      <c r="D118" s="5" t="inlineStr">
        <is>
          <t>lěng</t>
        </is>
      </c>
      <c r="E118" s="6" t="inlineStr">
        <is>
          <t>lạnh</t>
        </is>
      </c>
      <c r="F118" s="13" t="inlineStr">
        <is>
          <t>冷</t>
        </is>
      </c>
      <c r="G118" s="7" t="inlineStr">
        <is>
          <t>冷</t>
        </is>
      </c>
      <c r="H118" s="8">
        <f>IF(TRIM($G118)="","",IF(EXACT(TRIM($G118),TRIM($C118)),"✅ Đúng","❌ Sai"))</f>
        <v/>
      </c>
      <c r="I118" s="9">
        <f>HYPERLINK("https://translate.google.com/translate_tts?ie=UTF-8&amp;tl=zh-CN&amp;client=tw-ob&amp;q=冷","▶")</f>
        <v/>
      </c>
      <c r="J118" s="9">
        <f>HYPERLINK("https://youglish.com/pronounce/冷/chinese","🔍")</f>
        <v/>
      </c>
      <c r="K118" s="10" t="n"/>
      <c r="L118" s="11" t="n"/>
      <c r="M118" s="10" t="n"/>
      <c r="N118" s="11" t="n"/>
      <c r="O118" s="10" t="n"/>
      <c r="P118" s="11" t="n"/>
      <c r="Q118" s="10" t="n"/>
      <c r="R118" s="12" t="inlineStr">
        <is>
          <t>2026-06-17</t>
        </is>
      </c>
      <c r="S118" s="17" t="n"/>
      <c r="T118" s="21" t="inlineStr">
        <is>
          <t>冷 [LÃNH] · lạnh, lạnh nhạt
    ↳ Chiết tự: bộ 冫 (băng – hai giọt băng) + 令 (lệnh – âm đọc) — băng giá</t>
        </is>
      </c>
      <c r="U118" s="22" t="inlineStr">
        <is>
          <t>🎨 Tính từ &amp; Trạng thái</t>
        </is>
      </c>
      <c r="V118" s="63" t="inlineStr">
        <is>
          <t>冬天很冷。</t>
        </is>
      </c>
      <c r="W118" s="64" t="inlineStr">
        <is>
          <t>Dōngtiān hěn lěng.
Mùa đông rất lạnh.</t>
        </is>
      </c>
    </row>
    <row r="119" hidden="1" ht="34.9" customHeight="1" s="99">
      <c r="A119" s="2" t="n">
        <v>226</v>
      </c>
      <c r="B119" s="25" t="inlineStr">
        <is>
          <t>HSK1+2</t>
        </is>
      </c>
      <c r="C119" s="4" t="inlineStr">
        <is>
          <t>慢</t>
        </is>
      </c>
      <c r="D119" s="5" t="inlineStr">
        <is>
          <t>màn</t>
        </is>
      </c>
      <c r="E119" s="6" t="inlineStr">
        <is>
          <t>chậm</t>
        </is>
      </c>
      <c r="F119" s="7" t="n"/>
      <c r="G119" s="7" t="inlineStr">
        <is>
          <t>慢</t>
        </is>
      </c>
      <c r="H119" s="8">
        <f>IF(TRIM($G119)="","",IF(EXACT(TRIM($G119),TRIM($C119)),"✅ Đúng","❌ Sai"))</f>
        <v/>
      </c>
      <c r="I119" s="9">
        <f>HYPERLINK("https://translate.google.com/translate_tts?ie=UTF-8&amp;tl=zh-CN&amp;client=tw-ob&amp;q=慢","▶")</f>
        <v/>
      </c>
      <c r="J119" s="9">
        <f>HYPERLINK("https://youglish.com/pronounce/慢/chinese","🔍")</f>
        <v/>
      </c>
      <c r="K119" s="10" t="n"/>
      <c r="L119" s="11" t="n"/>
      <c r="M119" s="10" t="n"/>
      <c r="N119" s="11" t="n"/>
      <c r="O119" s="10" t="n"/>
      <c r="P119" s="11" t="n"/>
      <c r="Q119" s="10" t="n"/>
      <c r="R119" s="12" t="inlineStr">
        <is>
          <t>2026-06-17</t>
        </is>
      </c>
      <c r="S119" s="18" t="n"/>
      <c r="T119" s="21" t="inlineStr">
        <is>
          <t>慢 [MẠN] · chậm chạp; ngạo mạn
    ↳ Chiết tự: bộ 忄 (tâm đứng – trái tim) + 曼 (mạn – dài, kéo dài) — lòng thư thả kéo dài</t>
        </is>
      </c>
      <c r="U119" s="22" t="inlineStr">
        <is>
          <t>🎨 Tính từ &amp; Trạng thái</t>
        </is>
      </c>
      <c r="V119" s="63" t="inlineStr">
        <is>
          <t>请说慢一点儿。</t>
        </is>
      </c>
      <c r="W119" s="64" t="inlineStr">
        <is>
          <t>Qǐng shuō màn yìdiǎnr.
Xin nói chậm một chút.</t>
        </is>
      </c>
    </row>
    <row r="120" hidden="1" ht="34.9" customHeight="1" s="99">
      <c r="A120" s="2" t="n">
        <v>227</v>
      </c>
      <c r="B120" s="25" t="inlineStr">
        <is>
          <t>HSK1+2</t>
        </is>
      </c>
      <c r="C120" s="4" t="inlineStr">
        <is>
          <t>忙</t>
        </is>
      </c>
      <c r="D120" s="5" t="inlineStr">
        <is>
          <t>máng</t>
        </is>
      </c>
      <c r="E120" s="6" t="inlineStr">
        <is>
          <t>bận</t>
        </is>
      </c>
      <c r="F120" s="13" t="inlineStr">
        <is>
          <t>忙</t>
        </is>
      </c>
      <c r="G120" s="7" t="inlineStr">
        <is>
          <t>忙</t>
        </is>
      </c>
      <c r="H120" s="8">
        <f>IF(TRIM($G120)="","",IF(EXACT(TRIM($G120),TRIM($C120)),"✅ Đúng","❌ Sai"))</f>
        <v/>
      </c>
      <c r="I120" s="9">
        <f>HYPERLINK("https://translate.google.com/translate_tts?ie=UTF-8&amp;tl=zh-CN&amp;client=tw-ob&amp;q=忙","▶")</f>
        <v/>
      </c>
      <c r="J120" s="9">
        <f>HYPERLINK("https://youglish.com/pronounce/忙/chinese","🔍")</f>
        <v/>
      </c>
      <c r="K120" s="10" t="n"/>
      <c r="L120" s="11" t="n"/>
      <c r="M120" s="10" t="n"/>
      <c r="N120" s="11" t="n"/>
      <c r="O120" s="10" t="n"/>
      <c r="P120" s="11" t="n"/>
      <c r="Q120" s="10" t="n"/>
      <c r="R120" s="12" t="inlineStr">
        <is>
          <t>2026-06-17</t>
        </is>
      </c>
      <c r="S120" s="17" t="n"/>
      <c r="T120" s="21" t="inlineStr">
        <is>
          <t>忙 [MANG] · bận rộn
    ↳ Chiết tự: bộ 忄 (tâm đứng – trái tim) + 亡 (vong – mất) — bận đến mất cả tâm trí</t>
        </is>
      </c>
      <c r="U120" s="22" t="inlineStr">
        <is>
          <t>🎨 Tính từ &amp; Trạng thái</t>
        </is>
      </c>
      <c r="V120" s="63" t="inlineStr">
        <is>
          <t>我今天很忙。</t>
        </is>
      </c>
      <c r="W120" s="64" t="inlineStr">
        <is>
          <t>Wǒ jīntiān hěn máng.
Hôm nay tôi rất bận.</t>
        </is>
      </c>
    </row>
    <row r="121" hidden="1" ht="34.9" customHeight="1" s="99">
      <c r="A121" s="2" t="n">
        <v>232</v>
      </c>
      <c r="B121" s="25" t="inlineStr">
        <is>
          <t>HSK1+2</t>
        </is>
      </c>
      <c r="C121" s="4" t="inlineStr">
        <is>
          <t>每</t>
        </is>
      </c>
      <c r="D121" s="5" t="inlineStr">
        <is>
          <t>měi</t>
        </is>
      </c>
      <c r="E121" s="6" t="inlineStr">
        <is>
          <t>mỗi</t>
        </is>
      </c>
      <c r="F121" s="7" t="n"/>
      <c r="G121" s="7" t="inlineStr">
        <is>
          <t>每</t>
        </is>
      </c>
      <c r="H121" s="8">
        <f>IF(TRIM($G121)="","",IF(EXACT(TRIM($G121),TRIM($C121)),"✅ Đúng","❌ Sai"))</f>
        <v/>
      </c>
      <c r="I121" s="9">
        <f>HYPERLINK("https://translate.google.com/translate_tts?ie=UTF-8&amp;tl=zh-CN&amp;client=tw-ob&amp;q=每","▶")</f>
        <v/>
      </c>
      <c r="J121" s="9">
        <f>HYPERLINK("https://youglish.com/pronounce/每/chinese","🔍")</f>
        <v/>
      </c>
      <c r="K121" s="10" t="n"/>
      <c r="L121" s="11" t="n"/>
      <c r="M121" s="10" t="n"/>
      <c r="N121" s="11" t="n"/>
      <c r="O121" s="10" t="n"/>
      <c r="P121" s="11" t="n"/>
      <c r="Q121" s="10" t="n"/>
      <c r="R121" s="12" t="inlineStr">
        <is>
          <t>2026-06-17</t>
        </is>
      </c>
      <c r="S121" s="18" t="n"/>
      <c r="T121" s="21" t="inlineStr">
        <is>
          <t>每 [MỖI] · mỗi, từng
    ↳ Chiết tự: bộ 母 (mẫu – người mẹ) + 丿 — từng người mẹ, từng cái một</t>
        </is>
      </c>
      <c r="U121" s="22" t="inlineStr">
        <is>
          <t>🎨 Tính từ &amp; Trạng thái</t>
        </is>
      </c>
      <c r="V121" s="63" t="inlineStr">
        <is>
          <t>每个人都有名字。</t>
        </is>
      </c>
      <c r="W121" s="64" t="inlineStr">
        <is>
          <t>Měi ge rén dōu yǒu míngzi.
Mỗi người đều có tên.</t>
        </is>
      </c>
    </row>
    <row r="122" hidden="1" ht="58.15" customHeight="1" s="99">
      <c r="A122" s="2" t="n">
        <v>244</v>
      </c>
      <c r="B122" s="60" t="inlineStr">
        <is>
          <t>HSK1+3</t>
        </is>
      </c>
      <c r="C122" s="4" t="inlineStr">
        <is>
          <t>明白</t>
        </is>
      </c>
      <c r="D122" s="5" t="inlineStr">
        <is>
          <t>míngbai</t>
        </is>
      </c>
      <c r="E122" s="6" t="inlineStr">
        <is>
          <t>hiểu, rõ ràng</t>
        </is>
      </c>
      <c r="F122" s="7" t="n"/>
      <c r="G122" s="7" t="inlineStr">
        <is>
          <t>明白</t>
        </is>
      </c>
      <c r="H122" s="8">
        <f>IF(TRIM($G122)="","",IF(EXACT(TRIM($G122),TRIM($C122)),"✅ Đúng","❌ Sai"))</f>
        <v/>
      </c>
      <c r="I122" s="9">
        <f>HYPERLINK("https://translate.google.com/translate_tts?ie=UTF-8&amp;tl=zh-CN&amp;client=tw-ob&amp;q=明白","▶")</f>
        <v/>
      </c>
      <c r="J122" s="9">
        <f>HYPERLINK("https://youglish.com/pronounce/明白/chinese","🔍")</f>
        <v/>
      </c>
      <c r="K122" s="10" t="n"/>
      <c r="L122" s="11" t="n"/>
      <c r="M122" s="10" t="n"/>
      <c r="N122" s="11" t="n"/>
      <c r="O122" s="10" t="n"/>
      <c r="P122" s="11" t="n"/>
      <c r="Q122" s="10" t="n"/>
      <c r="R122" s="12" t="inlineStr">
        <is>
          <t>2026-06-17</t>
        </is>
      </c>
      <c r="S122" s="18" t="n"/>
      <c r="T122" s="21" t="inlineStr">
        <is>
          <t>明 [MINH] · sáng sủa, rõ ràng; ngày mai
    ↳ Chiết tự: bộ 日 (nhật – mặt trời) + 月 (nguyệt – mặt trăng) — hai nguồn sáng hợp lại
白 [BẠCH] · trắng; rõ ràng; uổng công
    ↳ Chiết tự: bộ 白 (bạch) — hình tia nắng đầu tiên ló rạng</t>
        </is>
      </c>
      <c r="U122" s="22" t="inlineStr">
        <is>
          <t>🎨 Tính từ &amp; Trạng thái</t>
        </is>
      </c>
      <c r="V122" s="63" t="inlineStr">
        <is>
          <t>我明白你的意思。</t>
        </is>
      </c>
      <c r="W122" s="64" t="inlineStr">
        <is>
          <t>Wǒ míngbai nǐ de yìsi.
Tôi hiểu ý bạn.</t>
        </is>
      </c>
    </row>
    <row r="123" hidden="1" ht="34.9" customHeight="1" s="99">
      <c r="A123" s="2" t="n">
        <v>257</v>
      </c>
      <c r="B123" s="60" t="inlineStr">
        <is>
          <t>HSK1+3</t>
        </is>
      </c>
      <c r="C123" s="4" t="inlineStr">
        <is>
          <t>难</t>
        </is>
      </c>
      <c r="D123" s="5" t="inlineStr">
        <is>
          <t>nán</t>
        </is>
      </c>
      <c r="E123" s="6" t="inlineStr">
        <is>
          <t>khó</t>
        </is>
      </c>
      <c r="F123" s="13" t="inlineStr">
        <is>
          <t>男</t>
        </is>
      </c>
      <c r="G123" s="7" t="inlineStr">
        <is>
          <t>难</t>
        </is>
      </c>
      <c r="H123" s="8">
        <f>IF(TRIM($G123)="","",IF(EXACT(TRIM($G123),TRIM($C123)),"✅ Đúng","❌ Sai"))</f>
        <v/>
      </c>
      <c r="I123" s="9">
        <f>HYPERLINK("https://translate.google.com/translate_tts?ie=UTF-8&amp;tl=zh-CN&amp;client=tw-ob&amp;q=难","▶")</f>
        <v/>
      </c>
      <c r="J123" s="9">
        <f>HYPERLINK("https://youglish.com/pronounce/难/chinese","🔍")</f>
        <v/>
      </c>
      <c r="K123" s="10" t="n"/>
      <c r="L123" s="11" t="n"/>
      <c r="M123" s="10" t="n"/>
      <c r="N123" s="11" t="n"/>
      <c r="O123" s="10" t="n"/>
      <c r="P123" s="11" t="n"/>
      <c r="Q123" s="10" t="n"/>
      <c r="R123" s="12" t="inlineStr">
        <is>
          <t>2026-06-17</t>
        </is>
      </c>
      <c r="S123" s="17" t="n"/>
      <c r="T123" s="21" t="inlineStr">
        <is>
          <t>难 [NAN / NẠN] · khó khăn; tai nạn
    ↳ Chiết tự: giản thể của 難: bộ 又 (hựu – bàn tay) + 隹 (chuy – con chim) — tay không bắt chim rất khó</t>
        </is>
      </c>
      <c r="U123" s="22" t="inlineStr">
        <is>
          <t>🎨 Tính từ &amp; Trạng thái</t>
        </is>
      </c>
      <c r="V123" s="63" t="inlineStr">
        <is>
          <t>汉字很难写。</t>
        </is>
      </c>
      <c r="W123" s="64" t="inlineStr">
        <is>
          <t>Hànzì hěn nán xiě.
Chữ Hán rất khó viết.</t>
        </is>
      </c>
    </row>
    <row r="124" hidden="1" ht="34.9" customHeight="1" s="99">
      <c r="A124" s="2" t="n">
        <v>294</v>
      </c>
      <c r="B124" s="25" t="inlineStr">
        <is>
          <t>HSK1+2</t>
        </is>
      </c>
      <c r="C124" s="4" t="inlineStr">
        <is>
          <t>热</t>
        </is>
      </c>
      <c r="D124" s="5" t="inlineStr">
        <is>
          <t>rè</t>
        </is>
      </c>
      <c r="E124" s="6" t="inlineStr">
        <is>
          <t>nóng</t>
        </is>
      </c>
      <c r="F124" s="13" t="inlineStr">
        <is>
          <t>热</t>
        </is>
      </c>
      <c r="G124" s="7" t="inlineStr">
        <is>
          <t>热</t>
        </is>
      </c>
      <c r="H124" s="8">
        <f>IF(TRIM($G124)="","",IF(EXACT(TRIM($G124),TRIM($C124)),"✅ Đúng","❌ Sai"))</f>
        <v/>
      </c>
      <c r="I124" s="9">
        <f>HYPERLINK("https://translate.google.com/translate_tts?ie=UTF-8&amp;tl=zh-CN&amp;client=tw-ob&amp;q=热","▶")</f>
        <v/>
      </c>
      <c r="J124" s="9">
        <f>HYPERLINK("https://youglish.com/pronounce/热/chinese","🔍")</f>
        <v/>
      </c>
      <c r="K124" s="10" t="n"/>
      <c r="L124" s="11" t="n"/>
      <c r="M124" s="10" t="n"/>
      <c r="N124" s="11" t="n"/>
      <c r="O124" s="10" t="n"/>
      <c r="P124" s="11" t="n"/>
      <c r="Q124" s="10" t="n"/>
      <c r="R124" s="12" t="inlineStr">
        <is>
          <t>2026-06-17</t>
        </is>
      </c>
      <c r="S124" s="17" t="n"/>
      <c r="T124" s="21" t="inlineStr">
        <is>
          <t>热 [NHIỆT] · nóng, nhiệt tình
    ↳ Chiết tự: giản thể của 熱: bộ 灬 (hỏa – lửa) + 执 (chấp – âm đọc) — lửa đốt bên dưới</t>
        </is>
      </c>
      <c r="U124" s="22" t="inlineStr">
        <is>
          <t>🎨 Tính từ &amp; Trạng thái</t>
        </is>
      </c>
      <c r="V124" s="63" t="inlineStr">
        <is>
          <t>夏天很热。</t>
        </is>
      </c>
      <c r="W124" s="64" t="inlineStr">
        <is>
          <t>Xiàtiān hěn rè.
Mùa hè rất nóng.</t>
        </is>
      </c>
    </row>
    <row r="125" hidden="1" ht="58.15" customHeight="1" s="99">
      <c r="A125" s="2" t="n">
        <v>297</v>
      </c>
      <c r="B125" s="60" t="inlineStr">
        <is>
          <t>HSK1+3</t>
        </is>
      </c>
      <c r="C125" s="4" t="inlineStr">
        <is>
          <t>认真</t>
        </is>
      </c>
      <c r="D125" s="5" t="inlineStr">
        <is>
          <t>rènzhēn</t>
        </is>
      </c>
      <c r="E125" s="6" t="inlineStr">
        <is>
          <t>nghiêm túc</t>
        </is>
      </c>
      <c r="F125" s="7" t="n"/>
      <c r="G125" s="13" t="inlineStr">
        <is>
          <t>认真</t>
        </is>
      </c>
      <c r="H125" s="8">
        <f>IF(TRIM($G125)="","",IF(EXACT(TRIM($G125),TRIM($C125)),"✅ Đúng","❌ Sai"))</f>
        <v/>
      </c>
      <c r="I125" s="9">
        <f>HYPERLINK("https://translate.google.com/translate_tts?ie=UTF-8&amp;tl=zh-CN&amp;client=tw-ob&amp;q=认真","▶")</f>
        <v/>
      </c>
      <c r="J125" s="9">
        <f>HYPERLINK("https://youglish.com/pronounce/认真/chinese","🔍")</f>
        <v/>
      </c>
      <c r="K125" s="10" t="n"/>
      <c r="L125" s="11" t="n"/>
      <c r="M125" s="10" t="n"/>
      <c r="N125" s="11" t="n"/>
      <c r="O125" s="10" t="n"/>
      <c r="P125" s="11" t="n"/>
      <c r="Q125" s="10" t="n"/>
      <c r="R125" s="12" t="inlineStr">
        <is>
          <t>2026-06-17</t>
        </is>
      </c>
      <c r="S125" s="18" t="n"/>
      <c r="T125" s="21" t="inlineStr">
        <is>
          <t>认 [NHẬN] · nhận biết, thừa nhận
    ↳ Chiết tự: giản thể của 認: bộ 讠 (ngôn – lời nói) + 人 (nhân – người) — qua lời mà nhận ra người
真 [CHÂN] · thật, chân thật, quả thực
    ↳ Chiết tự: bộ 目 (mục – con mắt) + 八 — nhìn thẳng vào sự thật</t>
        </is>
      </c>
      <c r="U125" s="22" t="inlineStr">
        <is>
          <t>🎨 Tính từ &amp; Trạng thái</t>
        </is>
      </c>
      <c r="V125" s="63" t="inlineStr">
        <is>
          <t>他学习很认真。</t>
        </is>
      </c>
      <c r="W125" s="64" t="inlineStr">
        <is>
          <t>Tā xuéxí hěn rènzhēn.
Anh ấy học rất chăm chú.</t>
        </is>
      </c>
    </row>
    <row r="126" ht="46.5" customHeight="1" s="99">
      <c r="A126" s="2" t="n">
        <v>320</v>
      </c>
      <c r="B126" s="60" t="inlineStr">
        <is>
          <t>HSK1+3</t>
        </is>
      </c>
      <c r="C126" s="4" t="inlineStr">
        <is>
          <t>生气</t>
        </is>
      </c>
      <c r="D126" s="5" t="inlineStr">
        <is>
          <t>shēngqì</t>
        </is>
      </c>
      <c r="E126" s="6" t="inlineStr">
        <is>
          <t>tức giận</t>
        </is>
      </c>
      <c r="F126" s="7" t="n"/>
      <c r="G126" s="7" t="n"/>
      <c r="H126" s="8">
        <f>IF(TRIM($G126)="","",IF(EXACT(TRIM($G126),TRIM($C126)),"✅ Đúng","❌ Sai"))</f>
        <v/>
      </c>
      <c r="I126" s="9">
        <f>HYPERLINK("https://translate.google.com/translate_tts?ie=UTF-8&amp;tl=zh-CN&amp;client=tw-ob&amp;q=生气","▶")</f>
        <v/>
      </c>
      <c r="J126" s="9">
        <f>HYPERLINK("https://youglish.com/pronounce/生气/chinese","🔍")</f>
        <v/>
      </c>
      <c r="K126" s="10" t="n"/>
      <c r="L126" s="11" t="n"/>
      <c r="M126" s="10" t="n"/>
      <c r="N126" s="11" t="n"/>
      <c r="O126" s="10" t="n"/>
      <c r="P126" s="11" t="n"/>
      <c r="Q126" s="10" t="n"/>
      <c r="R126" s="12" t="inlineStr">
        <is>
          <t>2026-06-17</t>
        </is>
      </c>
      <c r="S126" s="17" t="n"/>
      <c r="T126" s="21" t="inlineStr">
        <is>
          <t>生 [SINH] · sinh ra, sống; học trò; sống (chưa chín)
    ↳ Chiết tự: bộ 生 (sinh) — hình mầm cây nhú lên khỏi mặt đất
气 [KHÍ] · hơi, không khí; tức giận
    ↳ Chiết tự: giản thể của 氣: bộ 气 (khí) — hình làn hơi bốc lên</t>
        </is>
      </c>
      <c r="U126" s="22" t="inlineStr">
        <is>
          <t>🎨 Tính từ &amp; Trạng thái</t>
        </is>
      </c>
      <c r="V126" s="63" t="inlineStr">
        <is>
          <t>妈妈生气了。</t>
        </is>
      </c>
      <c r="W126" s="64" t="inlineStr">
        <is>
          <t>Māma shēngqì le.
Mẹ tức giận rồi.</t>
        </is>
      </c>
    </row>
    <row r="127" hidden="1" ht="34.9" customHeight="1" s="99">
      <c r="A127" s="2" t="n">
        <v>327</v>
      </c>
      <c r="B127" s="25" t="inlineStr">
        <is>
          <t>HSK1+2</t>
        </is>
      </c>
      <c r="C127" s="4" t="inlineStr">
        <is>
          <t>是</t>
        </is>
      </c>
      <c r="D127" s="5" t="inlineStr">
        <is>
          <t>shì</t>
        </is>
      </c>
      <c r="E127" s="6" t="inlineStr">
        <is>
          <t>thì, là</t>
        </is>
      </c>
      <c r="F127" s="13" t="inlineStr">
        <is>
          <t>是</t>
        </is>
      </c>
      <c r="G127" s="7" t="inlineStr">
        <is>
          <t>是</t>
        </is>
      </c>
      <c r="H127" s="8">
        <f>IF(TRIM($G127)="","",IF(EXACT(TRIM($G127),TRIM($C127)),"✅ Đúng","❌ Sai"))</f>
        <v/>
      </c>
      <c r="I127" s="9">
        <f>HYPERLINK("https://translate.google.com/translate_tts?ie=UTF-8&amp;tl=zh-CN&amp;client=tw-ob&amp;q=是","▶")</f>
        <v/>
      </c>
      <c r="J127" s="9">
        <f>HYPERLINK("https://youglish.com/pronounce/是/chinese","🔍")</f>
        <v/>
      </c>
      <c r="K127" s="10" t="n"/>
      <c r="L127" s="11" t="n"/>
      <c r="M127" s="10" t="n"/>
      <c r="N127" s="11" t="n"/>
      <c r="O127" s="10" t="n"/>
      <c r="P127" s="11" t="n"/>
      <c r="Q127" s="10" t="n"/>
      <c r="R127" s="12" t="inlineStr">
        <is>
          <t>2026-06-17</t>
        </is>
      </c>
      <c r="S127" s="18" t="n"/>
      <c r="T127" s="21" t="inlineStr">
        <is>
          <t>是 [THỊ] · là, đúng, phải
    ↳ Chiết tự: bộ 日 (nhật – mặt trời) + 正 (chính – ngay thẳng) — mặt trời đi đúng đường, không sai</t>
        </is>
      </c>
      <c r="U127" s="22" t="inlineStr">
        <is>
          <t>🎨 Tính từ &amp; Trạng thái</t>
        </is>
      </c>
      <c r="V127" s="63" t="inlineStr">
        <is>
          <t>我是学生。</t>
        </is>
      </c>
      <c r="W127" s="64" t="inlineStr">
        <is>
          <t>Wǒ shì xuésheng.
Tôi là học sinh.</t>
        </is>
      </c>
    </row>
    <row r="128" ht="34.9" customHeight="1" s="99">
      <c r="A128" s="2" t="n">
        <v>348</v>
      </c>
      <c r="B128" s="25" t="inlineStr">
        <is>
          <t>HSK1+2</t>
        </is>
      </c>
      <c r="C128" s="4" t="inlineStr">
        <is>
          <t>太</t>
        </is>
      </c>
      <c r="D128" s="5" t="inlineStr">
        <is>
          <t>tài</t>
        </is>
      </c>
      <c r="E128" s="6" t="inlineStr">
        <is>
          <t>quá</t>
        </is>
      </c>
      <c r="F128" s="7" t="n"/>
      <c r="G128" s="7" t="inlineStr">
        <is>
          <t>太</t>
        </is>
      </c>
      <c r="H128" s="8">
        <f>IF(TRIM($G128)="","",IF(EXACT(TRIM($G128),TRIM($C128)),"✅ Đúng","❌ Sai"))</f>
        <v/>
      </c>
      <c r="I128" s="9">
        <f>HYPERLINK("https://translate.google.com/translate_tts?ie=UTF-8&amp;tl=zh-CN&amp;client=tw-ob&amp;q=太","▶")</f>
        <v/>
      </c>
      <c r="J128" s="9">
        <f>HYPERLINK("https://youglish.com/pronounce/太/chinese","🔍")</f>
        <v/>
      </c>
      <c r="K128" s="10" t="n"/>
      <c r="L128" s="11" t="n"/>
      <c r="M128" s="10" t="n"/>
      <c r="N128" s="11" t="n"/>
      <c r="O128" s="10" t="n"/>
      <c r="P128" s="11" t="n"/>
      <c r="Q128" s="10" t="n"/>
      <c r="R128" s="12" t="inlineStr">
        <is>
          <t>2026-06-17</t>
        </is>
      </c>
      <c r="S128" s="17" t="n"/>
      <c r="T128" s="21" t="inlineStr">
        <is>
          <t>太 [THÁI] · quá, rất; cao nhất
    ↳ Chiết tự: bộ 大 (đại – lớn) + 丶 (chủ – dấu chấm) — lớn hơn cả lớn</t>
        </is>
      </c>
      <c r="U128" s="22" t="inlineStr">
        <is>
          <t>🎨 Tính từ &amp; Trạng thái</t>
        </is>
      </c>
      <c r="V128" s="63" t="inlineStr">
        <is>
          <t>这里太热了。</t>
        </is>
      </c>
      <c r="W128" s="64" t="inlineStr">
        <is>
          <t>Zhèli tài rè le.
Ở đây nóng quá.</t>
        </is>
      </c>
    </row>
    <row r="129" hidden="1" ht="23.25" customHeight="1" s="99">
      <c r="A129" s="2" t="n">
        <v>391</v>
      </c>
      <c r="B129" s="25" t="inlineStr">
        <is>
          <t>HSK1+2</t>
        </is>
      </c>
      <c r="C129" s="4" t="inlineStr">
        <is>
          <t>小</t>
        </is>
      </c>
      <c r="D129" s="5" t="inlineStr">
        <is>
          <t>xiǎo</t>
        </is>
      </c>
      <c r="E129" s="6" t="inlineStr">
        <is>
          <t>nhỏ, bé</t>
        </is>
      </c>
      <c r="F129" s="7" t="inlineStr">
        <is>
          <t>小</t>
        </is>
      </c>
      <c r="G129" s="7" t="inlineStr">
        <is>
          <t>小</t>
        </is>
      </c>
      <c r="H129" s="8">
        <f>IF(TRIM($G129)="","",IF(EXACT(TRIM($G129),TRIM($C129)),"✅ Đúng","❌ Sai"))</f>
        <v/>
      </c>
      <c r="I129" s="9">
        <f>HYPERLINK("https://translate.google.com/translate_tts?ie=UTF-8&amp;tl=zh-CN&amp;client=tw-ob&amp;q=小","▶")</f>
        <v/>
      </c>
      <c r="J129" s="9">
        <f>HYPERLINK("https://youglish.com/pronounce/小/chinese","🔍")</f>
        <v/>
      </c>
      <c r="K129" s="10" t="n"/>
      <c r="L129" s="11" t="n"/>
      <c r="M129" s="10" t="n"/>
      <c r="N129" s="11" t="n"/>
      <c r="O129" s="10" t="n"/>
      <c r="P129" s="11" t="n"/>
      <c r="Q129" s="10" t="n"/>
      <c r="R129" s="12" t="inlineStr">
        <is>
          <t>2026-06-17</t>
        </is>
      </c>
      <c r="S129" s="18" t="n"/>
      <c r="T129" s="21" t="inlineStr">
        <is>
          <t>小 [TIỂU] · nhỏ bé
    ↳ Chiết tự: bộ 小 (tiểu) — ba nét tách vụn ra, ý nhỏ</t>
        </is>
      </c>
      <c r="U129" s="22" t="inlineStr">
        <is>
          <t>🎨 Tính từ &amp; Trạng thái</t>
        </is>
      </c>
      <c r="V129" s="63" t="inlineStr">
        <is>
          <t>这双鞋有点儿小。</t>
        </is>
      </c>
      <c r="W129" s="64" t="inlineStr">
        <is>
          <t>Zhè shuāng xié yǒudiǎnr xiǎo.
Đôi giày này hơi nhỏ.</t>
        </is>
      </c>
    </row>
    <row r="130" hidden="1" ht="34.9" customHeight="1" s="99">
      <c r="A130" s="2" t="n">
        <v>401</v>
      </c>
      <c r="B130" s="25" t="inlineStr">
        <is>
          <t>HSK1+2</t>
        </is>
      </c>
      <c r="C130" s="4" t="inlineStr">
        <is>
          <t>新</t>
        </is>
      </c>
      <c r="D130" s="5" t="inlineStr">
        <is>
          <t>xīn</t>
        </is>
      </c>
      <c r="E130" s="6" t="inlineStr">
        <is>
          <t>mới</t>
        </is>
      </c>
      <c r="F130" s="7" t="inlineStr">
        <is>
          <t>新年</t>
        </is>
      </c>
      <c r="G130" s="7" t="inlineStr">
        <is>
          <t>新</t>
        </is>
      </c>
      <c r="H130" s="8">
        <f>IF(TRIM($G130)="","",IF(EXACT(TRIM($G130),TRIM($C130)),"✅ Đúng","❌ Sai"))</f>
        <v/>
      </c>
      <c r="I130" s="9">
        <f>HYPERLINK("https://translate.google.com/translate_tts?ie=UTF-8&amp;tl=zh-CN&amp;client=tw-ob&amp;q=新","▶")</f>
        <v/>
      </c>
      <c r="J130" s="9">
        <f>HYPERLINK("https://youglish.com/pronounce/新/chinese","🔍")</f>
        <v/>
      </c>
      <c r="K130" s="10" t="n"/>
      <c r="L130" s="11" t="n"/>
      <c r="M130" s="10" t="n"/>
      <c r="N130" s="11" t="n"/>
      <c r="O130" s="10" t="n"/>
      <c r="P130" s="11" t="n"/>
      <c r="Q130" s="10" t="n"/>
      <c r="R130" s="12" t="inlineStr">
        <is>
          <t>2026-06-17</t>
        </is>
      </c>
      <c r="S130" s="18" t="n"/>
      <c r="T130" s="21" t="inlineStr">
        <is>
          <t>新 [TÂN] · mới mẻ
    ↳ Chiết tự: bộ 亲 (thân) + 斤 (cân – cái rìu) — lấy rìu đẽo cây tươi, gỗ mới</t>
        </is>
      </c>
      <c r="U130" s="22" t="inlineStr">
        <is>
          <t>🎨 Tính từ &amp; Trạng thái</t>
        </is>
      </c>
      <c r="V130" s="63" t="inlineStr">
        <is>
          <t>我买了一台新电脑。</t>
        </is>
      </c>
      <c r="W130" s="64" t="inlineStr">
        <is>
          <t>Wǒ mǎi le yì tái xīn diànnǎo.
Tôi mua một chiếc máy tính mới.</t>
        </is>
      </c>
    </row>
    <row r="131" hidden="1" ht="23.25" customHeight="1" s="99">
      <c r="A131" s="2" t="n">
        <v>406</v>
      </c>
      <c r="B131" s="3" t="inlineStr">
        <is>
          <t>HSK1</t>
        </is>
      </c>
      <c r="C131" s="4" t="inlineStr">
        <is>
          <t>行</t>
        </is>
      </c>
      <c r="D131" s="5" t="inlineStr">
        <is>
          <t>xíng</t>
        </is>
      </c>
      <c r="E131" s="6" t="inlineStr">
        <is>
          <t>được, ổn</t>
        </is>
      </c>
      <c r="F131" s="7" t="n"/>
      <c r="G131" s="7" t="inlineStr">
        <is>
          <t>行</t>
        </is>
      </c>
      <c r="H131" s="8">
        <f>IF(TRIM($G131)="","",IF(EXACT(TRIM($G131),TRIM($C131)),"✅ Đúng","❌ Sai"))</f>
        <v/>
      </c>
      <c r="I131" s="9">
        <f>HYPERLINK("https://translate.google.com/translate_tts?ie=UTF-8&amp;tl=zh-CN&amp;client=tw-ob&amp;q=行","▶")</f>
        <v/>
      </c>
      <c r="J131" s="9">
        <f>HYPERLINK("https://youglish.com/pronounce/行/chinese","🔍")</f>
        <v/>
      </c>
      <c r="K131" s="10" t="n"/>
      <c r="L131" s="11" t="n"/>
      <c r="M131" s="10" t="n"/>
      <c r="N131" s="11" t="n"/>
      <c r="O131" s="10" t="n"/>
      <c r="P131" s="11" t="n"/>
      <c r="Q131" s="10" t="n"/>
      <c r="R131" s="12" t="inlineStr">
        <is>
          <t>2026-06-17</t>
        </is>
      </c>
      <c r="S131" s="17" t="n"/>
      <c r="T131" s="21" t="inlineStr">
        <is>
          <t>行 [HÀNH / HÀNG] · đi, làm; được; hàng lối; ngân hàng
    ↳ Chiết tự: bộ 行 (hành) — hình ngã tư đường, nơi người qua lại</t>
        </is>
      </c>
      <c r="U131" s="22" t="inlineStr">
        <is>
          <t>🎨 Tính từ &amp; Trạng thái</t>
        </is>
      </c>
      <c r="V131" s="63" t="inlineStr">
        <is>
          <t>明天去，行吗？</t>
        </is>
      </c>
      <c r="W131" s="64" t="inlineStr">
        <is>
          <t>Míngtiān qù, xíng ma?
Mai đi, được không?</t>
        </is>
      </c>
    </row>
    <row r="132" hidden="1" ht="69.75" customHeight="1" s="99">
      <c r="A132" s="2" t="n">
        <v>425</v>
      </c>
      <c r="B132" s="60" t="inlineStr">
        <is>
          <t>HSK1+3</t>
        </is>
      </c>
      <c r="C132" s="4" t="inlineStr">
        <is>
          <t>一样</t>
        </is>
      </c>
      <c r="D132" s="5" t="inlineStr">
        <is>
          <t>yíyàng</t>
        </is>
      </c>
      <c r="E132" s="6" t="inlineStr">
        <is>
          <t>giống nhau</t>
        </is>
      </c>
      <c r="F132" s="7" t="n"/>
      <c r="G132" s="7" t="inlineStr">
        <is>
          <t>一样</t>
        </is>
      </c>
      <c r="H132" s="8">
        <f>IF(TRIM($G132)="","",IF(EXACT(TRIM($G132),TRIM($C132)),"✅ Đúng","❌ Sai"))</f>
        <v/>
      </c>
      <c r="I132" s="9">
        <f>HYPERLINK("https://translate.google.com/translate_tts?ie=UTF-8&amp;tl=zh-CN&amp;client=tw-ob&amp;q=一样","▶")</f>
        <v/>
      </c>
      <c r="J132" s="9">
        <f>HYPERLINK("https://youglish.com/pronounce/一样/chinese","🔍")</f>
        <v/>
      </c>
      <c r="K132" s="10" t="n"/>
      <c r="L132" s="11" t="n"/>
      <c r="M132" s="10" t="n"/>
      <c r="N132" s="11" t="n"/>
      <c r="O132" s="10" t="n"/>
      <c r="P132" s="11" t="n"/>
      <c r="Q132" s="10" t="n"/>
      <c r="R132" s="12" t="inlineStr">
        <is>
          <t>2026-06-17</t>
        </is>
      </c>
      <c r="S132" s="18" t="n"/>
      <c r="T132" s="21" t="inlineStr">
        <is>
          <t>一 [NHẤT] · số một, thứ nhất, toàn bộ
    ↳ Chiết tự: một nét ngang 一 (nhất) — chữ chỉ sự, vạch một gạch là số 1
样 [DẠNG] · kiểu dáng, mẫu mực
    ↳ Chiết tự: giản thể của 樣: bộ 木 (mộc – gỗ) + 羊 (dương – âm đọc) — khuôn mẫu bằng gỗ</t>
        </is>
      </c>
      <c r="U132" s="22" t="inlineStr">
        <is>
          <t>🎨 Tính từ &amp; Trạng thái</t>
        </is>
      </c>
      <c r="V132" s="63" t="inlineStr">
        <is>
          <t>我们的书一样。</t>
        </is>
      </c>
      <c r="W132" s="64" t="inlineStr">
        <is>
          <t>Wǒmen de shū yíyàng.
Sách của chúng tôi giống nhau.</t>
        </is>
      </c>
    </row>
    <row r="133" hidden="1" ht="69.75" customHeight="1" s="99">
      <c r="A133" s="2" t="n">
        <v>432</v>
      </c>
      <c r="B133" s="3" t="inlineStr">
        <is>
          <t>HSK1</t>
        </is>
      </c>
      <c r="C133" s="4" t="inlineStr">
        <is>
          <t>有的</t>
        </is>
      </c>
      <c r="D133" s="5" t="inlineStr">
        <is>
          <t>yǒude</t>
        </is>
      </c>
      <c r="E133" s="6" t="inlineStr">
        <is>
          <t>có</t>
        </is>
      </c>
      <c r="F133" s="7" t="n"/>
      <c r="G133" s="7" t="inlineStr">
        <is>
          <t>有的</t>
        </is>
      </c>
      <c r="H133" s="8">
        <f>IF(TRIM($G133)="","",IF(EXACT(TRIM($G133),TRIM($C133)),"✅ Đúng","❌ Sai"))</f>
        <v/>
      </c>
      <c r="I133" s="9">
        <f>HYPERLINK("https://translate.google.com/translate_tts?ie=UTF-8&amp;tl=zh-CN&amp;client=tw-ob&amp;q=有的","▶")</f>
        <v/>
      </c>
      <c r="J133" s="9">
        <f>HYPERLINK("https://youglish.com/pronounce/有的/chinese","🔍")</f>
        <v/>
      </c>
      <c r="K133" s="10" t="n"/>
      <c r="L133" s="11" t="n"/>
      <c r="M133" s="10" t="n"/>
      <c r="N133" s="11" t="n"/>
      <c r="O133" s="10" t="n"/>
      <c r="P133" s="11" t="n"/>
      <c r="Q133" s="10" t="n"/>
      <c r="R133" s="12" t="inlineStr">
        <is>
          <t>2026-06-17</t>
        </is>
      </c>
      <c r="S133" s="17" t="n"/>
      <c r="T133" s="21" t="inlineStr">
        <is>
          <t>有 [HỮU] · có, sở hữu
    ↳ Chiết tự: bộ 又 (hựu – bàn tay) + 月 (nhục – miếng thịt) — tay cầm miếng thịt là có của
的 [ĐÍCH] · của, thuộc về (trợ từ); đích xác
    ↳ Chiết tự: bộ 白 (bạch – trắng) + 勺 (chước – cái muôi) — vốn nghĩa "cái đích trắng", mượn làm trợ từ</t>
        </is>
      </c>
      <c r="U133" s="22" t="inlineStr">
        <is>
          <t>🎨 Tính từ &amp; Trạng thái</t>
        </is>
      </c>
      <c r="V133" s="63" t="inlineStr">
        <is>
          <t>有的人喜欢茶。</t>
        </is>
      </c>
      <c r="W133" s="64" t="inlineStr">
        <is>
          <t>Yǒude rén xǐhuan chá.
Có người thích trà.</t>
        </is>
      </c>
    </row>
    <row r="134" hidden="1" ht="58.15" customHeight="1" s="99">
      <c r="A134" s="2" t="n">
        <v>435</v>
      </c>
      <c r="B134" s="3" t="inlineStr">
        <is>
          <t>HSK1</t>
        </is>
      </c>
      <c r="C134" s="4" t="inlineStr">
        <is>
          <t>有些</t>
        </is>
      </c>
      <c r="D134" s="5" t="inlineStr">
        <is>
          <t>yǒuxiē</t>
        </is>
      </c>
      <c r="E134" s="6" t="inlineStr">
        <is>
          <t>có một tí</t>
        </is>
      </c>
      <c r="F134" s="7" t="n"/>
      <c r="G134" s="7" t="inlineStr">
        <is>
          <t>有些</t>
        </is>
      </c>
      <c r="H134" s="8">
        <f>IF(TRIM($G134)="","",IF(EXACT(TRIM($G134),TRIM($C134)),"✅ Đúng","❌ Sai"))</f>
        <v/>
      </c>
      <c r="I134" s="9">
        <f>HYPERLINK("https://translate.google.com/translate_tts?ie=UTF-8&amp;tl=zh-CN&amp;client=tw-ob&amp;q=有些","▶")</f>
        <v/>
      </c>
      <c r="J134" s="9">
        <f>HYPERLINK("https://youglish.com/pronounce/有些/chinese","🔍")</f>
        <v/>
      </c>
      <c r="K134" s="10" t="n"/>
      <c r="L134" s="11" t="n"/>
      <c r="M134" s="10" t="n"/>
      <c r="N134" s="11" t="n"/>
      <c r="O134" s="10" t="n"/>
      <c r="P134" s="11" t="n"/>
      <c r="Q134" s="10" t="n"/>
      <c r="R134" s="12" t="inlineStr">
        <is>
          <t>2026-06-17</t>
        </is>
      </c>
      <c r="S134" s="18" t="n"/>
      <c r="T134" s="21" t="inlineStr">
        <is>
          <t>有 [HỮU] · có, sở hữu
    ↳ Chiết tự: bộ 又 (hựu – bàn tay) + 月 (nhục – miếng thịt) — tay cầm miếng thịt là có của
些 [TA] · một ít, vài
    ↳ Chiết tự: bộ 此 (thử – cái này) + 二 (nhị) — một vài cái này</t>
        </is>
      </c>
      <c r="U134" s="22" t="inlineStr">
        <is>
          <t>🎨 Tính từ &amp; Trạng thái</t>
        </is>
      </c>
      <c r="V134" s="63" t="inlineStr">
        <is>
          <t>有些问题很难。</t>
        </is>
      </c>
      <c r="W134" s="64" t="inlineStr">
        <is>
          <t>Yǒuxiē wèntí hěn nán.
Có một số câu hỏi rất khó.</t>
        </is>
      </c>
    </row>
    <row r="135" hidden="1" ht="23.25" customHeight="1" s="99">
      <c r="A135" s="2" t="n">
        <v>460</v>
      </c>
      <c r="B135" s="25" t="inlineStr">
        <is>
          <t>HSK1+2</t>
        </is>
      </c>
      <c r="C135" s="4" t="inlineStr">
        <is>
          <t>真</t>
        </is>
      </c>
      <c r="D135" s="5" t="inlineStr">
        <is>
          <t>zhēn</t>
        </is>
      </c>
      <c r="E135" s="6" t="inlineStr">
        <is>
          <t>thật là</t>
        </is>
      </c>
      <c r="F135" s="7" t="n"/>
      <c r="G135" s="7" t="inlineStr">
        <is>
          <t>真</t>
        </is>
      </c>
      <c r="H135" s="8">
        <f>IF(TRIM($G135)="","",IF(EXACT(TRIM($G135),TRIM($C135)),"✅ Đúng","❌ Sai"))</f>
        <v/>
      </c>
      <c r="I135" s="9">
        <f>HYPERLINK("https://translate.google.com/translate_tts?ie=UTF-8&amp;tl=zh-CN&amp;client=tw-ob&amp;q=真","▶")</f>
        <v/>
      </c>
      <c r="J135" s="9">
        <f>HYPERLINK("https://youglish.com/pronounce/真/chinese","🔍")</f>
        <v/>
      </c>
      <c r="K135" s="10" t="n"/>
      <c r="L135" s="11" t="n"/>
      <c r="M135" s="10" t="n"/>
      <c r="N135" s="11" t="n"/>
      <c r="O135" s="10" t="n"/>
      <c r="P135" s="11" t="n"/>
      <c r="Q135" s="10" t="n"/>
      <c r="R135" s="12" t="inlineStr">
        <is>
          <t>2026-06-17</t>
        </is>
      </c>
      <c r="S135" s="17" t="n"/>
      <c r="T135" s="21" t="inlineStr">
        <is>
          <t>真 [CHÂN] · thật, chân thật, quả thực
    ↳ Chiết tự: bộ 目 (mục – con mắt) + 八 — nhìn thẳng vào sự thật</t>
        </is>
      </c>
      <c r="U135" s="22" t="inlineStr">
        <is>
          <t>🎨 Tính từ &amp; Trạng thái</t>
        </is>
      </c>
      <c r="V135" s="63" t="inlineStr">
        <is>
          <t>这件事真奇怪。</t>
        </is>
      </c>
      <c r="W135" s="64" t="inlineStr">
        <is>
          <t>Zhè jiàn shì zhēn qíguài.
Việc này thật kỳ lạ.</t>
        </is>
      </c>
    </row>
    <row r="136" hidden="1" ht="58.15" customHeight="1" s="99">
      <c r="A136" s="2" t="n">
        <v>461</v>
      </c>
      <c r="B136" s="3" t="inlineStr">
        <is>
          <t>HSK1</t>
        </is>
      </c>
      <c r="C136" s="4" t="inlineStr">
        <is>
          <t>真的</t>
        </is>
      </c>
      <c r="D136" s="5" t="inlineStr">
        <is>
          <t>zhēnde</t>
        </is>
      </c>
      <c r="E136" s="6" t="inlineStr">
        <is>
          <t>thật ư? thật đó!</t>
        </is>
      </c>
      <c r="F136" s="7" t="n"/>
      <c r="G136" s="7" t="inlineStr">
        <is>
          <t>真的</t>
        </is>
      </c>
      <c r="H136" s="8">
        <f>IF(TRIM($G136)="","",IF(EXACT(TRIM($G136),TRIM($C136)),"✅ Đúng","❌ Sai"))</f>
        <v/>
      </c>
      <c r="I136" s="9">
        <f>HYPERLINK("https://translate.google.com/translate_tts?ie=UTF-8&amp;tl=zh-CN&amp;client=tw-ob&amp;q=真的","▶")</f>
        <v/>
      </c>
      <c r="J136" s="9">
        <f>HYPERLINK("https://youglish.com/pronounce/真的/chinese","🔍")</f>
        <v/>
      </c>
      <c r="K136" s="10" t="n"/>
      <c r="L136" s="11" t="n"/>
      <c r="M136" s="10" t="n"/>
      <c r="N136" s="11" t="n"/>
      <c r="O136" s="10" t="n"/>
      <c r="P136" s="11" t="n"/>
      <c r="Q136" s="10" t="n"/>
      <c r="R136" s="12" t="inlineStr">
        <is>
          <t>2026-06-17</t>
        </is>
      </c>
      <c r="S136" s="18" t="n"/>
      <c r="T136" s="21" t="inlineStr">
        <is>
          <t>真 [CHÂN] · thật, chân thật, quả thực
    ↳ Chiết tự: bộ 目 (mục – con mắt) + 八 — nhìn thẳng vào sự thật
的 [ĐÍCH] · của, thuộc về (trợ từ); đích xác
    ↳ Chiết tự: bộ 白 (bạch – trắng) + 勺 (chước – cái muôi) — vốn nghĩa "cái đích trắng", mượn làm trợ từ</t>
        </is>
      </c>
      <c r="U136" s="22" t="inlineStr">
        <is>
          <t>🎨 Tính từ &amp; Trạng thái</t>
        </is>
      </c>
      <c r="V136" s="63" t="inlineStr">
        <is>
          <t>你说的是真的吗？</t>
        </is>
      </c>
      <c r="W136" s="64" t="inlineStr">
        <is>
          <t>Nǐ shuō de shì zhēnde ma?
Bạn nói là thật à?</t>
        </is>
      </c>
    </row>
    <row r="137" hidden="1" ht="34.9" customHeight="1" s="99">
      <c r="A137" s="2" t="n">
        <v>462</v>
      </c>
      <c r="B137" s="3" t="inlineStr">
        <is>
          <t>HSK1</t>
        </is>
      </c>
      <c r="C137" s="4" t="inlineStr">
        <is>
          <t>正</t>
        </is>
      </c>
      <c r="D137" s="5" t="inlineStr">
        <is>
          <t>zhèng</t>
        </is>
      </c>
      <c r="E137" s="6" t="inlineStr">
        <is>
          <t>khéo, chính</t>
        </is>
      </c>
      <c r="F137" s="7" t="n"/>
      <c r="G137" s="7" t="inlineStr">
        <is>
          <t>正</t>
        </is>
      </c>
      <c r="H137" s="8">
        <f>IF(TRIM($G137)="","",IF(EXACT(TRIM($G137),TRIM($C137)),"✅ Đúng","❌ Sai"))</f>
        <v/>
      </c>
      <c r="I137" s="9">
        <f>HYPERLINK("https://translate.google.com/translate_tts?ie=UTF-8&amp;tl=zh-CN&amp;client=tw-ob&amp;q=正","▶")</f>
        <v/>
      </c>
      <c r="J137" s="9">
        <f>HYPERLINK("https://youglish.com/pronounce/正/chinese","🔍")</f>
        <v/>
      </c>
      <c r="K137" s="10" t="n"/>
      <c r="L137" s="11" t="n"/>
      <c r="M137" s="10" t="n"/>
      <c r="N137" s="11" t="n"/>
      <c r="O137" s="10" t="n"/>
      <c r="P137" s="11" t="n"/>
      <c r="Q137" s="10" t="n"/>
      <c r="R137" s="12" t="inlineStr">
        <is>
          <t>2026-06-17</t>
        </is>
      </c>
      <c r="S137" s="17" t="n"/>
      <c r="T137" s="21" t="inlineStr">
        <is>
          <t>正 [CHÍNH] · ngay thẳng, chính xác; đang
    ↳ Chiết tự: bộ 一 (nhất – vạch đích) + 止 (chỉ – bàn chân) — chân dừng đúng vạch</t>
        </is>
      </c>
      <c r="U137" s="22" t="inlineStr">
        <is>
          <t>🎨 Tính từ &amp; Trạng thái</t>
        </is>
      </c>
      <c r="V137" s="63" t="inlineStr">
        <is>
          <t>他正在打电话。</t>
        </is>
      </c>
      <c r="W137" s="64" t="inlineStr">
        <is>
          <t>Tā zhèngzài dǎ diànhuà.
Anh ấy đang gọi điện.</t>
        </is>
      </c>
    </row>
    <row r="138" ht="69.75" customHeight="1" s="99">
      <c r="A138" s="2" t="n">
        <v>463</v>
      </c>
      <c r="B138" s="25" t="inlineStr">
        <is>
          <t>HSK1+2</t>
        </is>
      </c>
      <c r="C138" s="4" t="inlineStr">
        <is>
          <t>正在</t>
        </is>
      </c>
      <c r="D138" s="5" t="inlineStr">
        <is>
          <t>zhèngzài</t>
        </is>
      </c>
      <c r="E138" s="6" t="inlineStr">
        <is>
          <t>đang</t>
        </is>
      </c>
      <c r="F138" s="7" t="n"/>
      <c r="G138" s="7" t="n"/>
      <c r="H138" s="8">
        <f>IF(TRIM($G138)="","",IF(EXACT(TRIM($G138),TRIM($C138)),"✅ Đúng","❌ Sai"))</f>
        <v/>
      </c>
      <c r="I138" s="9">
        <f>HYPERLINK("https://translate.google.com/translate_tts?ie=UTF-8&amp;tl=zh-CN&amp;client=tw-ob&amp;q=正在","▶")</f>
        <v/>
      </c>
      <c r="J138" s="9">
        <f>HYPERLINK("https://youglish.com/pronounce/正在/chinese","🔍")</f>
        <v/>
      </c>
      <c r="K138" s="10" t="n"/>
      <c r="L138" s="11" t="n"/>
      <c r="M138" s="10" t="n"/>
      <c r="N138" s="11" t="n"/>
      <c r="O138" s="10" t="n"/>
      <c r="P138" s="11" t="n"/>
      <c r="Q138" s="10" t="n"/>
      <c r="R138" s="12" t="inlineStr">
        <is>
          <t>2026-06-17</t>
        </is>
      </c>
      <c r="S138" s="18" t="n"/>
      <c r="T138" s="21" t="inlineStr">
        <is>
          <t>正 [CHÍNH] · ngay thẳng, chính xác; đang
    ↳ Chiết tự: bộ 一 (nhất – vạch đích) + 止 (chỉ – bàn chân) — chân dừng đúng vạch
在 [TẠI] · ở tại, đang
    ↳ Chiết tự: bộ 土 (thổ – đất) + 才 (tài – âm đọc) — mầm cây tồn tại trên đất</t>
        </is>
      </c>
      <c r="U138" s="22" t="inlineStr">
        <is>
          <t>🎨 Tính từ &amp; Trạng thái</t>
        </is>
      </c>
      <c r="V138" s="63" t="inlineStr">
        <is>
          <t>我正在吃饭。</t>
        </is>
      </c>
      <c r="W138" s="64" t="inlineStr">
        <is>
          <t>Wǒ zhèngzài chīfàn.
Tôi đang ăn cơm.</t>
        </is>
      </c>
    </row>
    <row r="139" hidden="1" ht="23.25" customHeight="1" s="99">
      <c r="A139" s="2" t="n">
        <v>473</v>
      </c>
      <c r="B139" s="3" t="inlineStr">
        <is>
          <t>HSK1</t>
        </is>
      </c>
      <c r="C139" s="4" t="inlineStr">
        <is>
          <t>重</t>
        </is>
      </c>
      <c r="D139" s="5" t="inlineStr">
        <is>
          <t>zhòng</t>
        </is>
      </c>
      <c r="E139" s="6" t="inlineStr">
        <is>
          <t>nặng</t>
        </is>
      </c>
      <c r="F139" s="7" t="n"/>
      <c r="G139" s="7" t="inlineStr">
        <is>
          <t>重</t>
        </is>
      </c>
      <c r="H139" s="8">
        <f>IF(TRIM($G139)="","",IF(EXACT(TRIM($G139),TRIM($C139)),"✅ Đúng","❌ Sai"))</f>
        <v/>
      </c>
      <c r="I139" s="9">
        <f>HYPERLINK("https://translate.google.com/translate_tts?ie=UTF-8&amp;tl=zh-CN&amp;client=tw-ob&amp;q=重","▶")</f>
        <v/>
      </c>
      <c r="J139" s="9">
        <f>HYPERLINK("https://youglish.com/pronounce/重/chinese","🔍")</f>
        <v/>
      </c>
      <c r="K139" s="10" t="n"/>
      <c r="L139" s="11" t="n"/>
      <c r="M139" s="10" t="n"/>
      <c r="N139" s="11" t="n"/>
      <c r="O139" s="10" t="n"/>
      <c r="P139" s="11" t="n"/>
      <c r="Q139" s="10" t="n"/>
      <c r="R139" s="12" t="inlineStr">
        <is>
          <t>2026-06-17</t>
        </is>
      </c>
      <c r="S139" s="18" t="n"/>
      <c r="T139" s="21" t="inlineStr">
        <is>
          <t>重 [TRỌNG / TRÙNG] · nặng, quan trọng; lặp lại
    ↳ Chiết tự: bộ 千 (thiên) + 里 (lý – dặm) — gánh nặng đi ngàn dặm</t>
        </is>
      </c>
      <c r="U139" s="22" t="inlineStr">
        <is>
          <t>🎨 Tính từ &amp; Trạng thái</t>
        </is>
      </c>
      <c r="V139" s="63" t="inlineStr">
        <is>
          <t>这个箱子很重。</t>
        </is>
      </c>
      <c r="W139" s="64" t="inlineStr">
        <is>
          <t>Zhège xiāngzi hěn zhòng.
Cái vali này rất nặng.</t>
        </is>
      </c>
    </row>
    <row r="140" hidden="1" ht="58.15" customHeight="1" s="99">
      <c r="A140" s="2" t="n">
        <v>474</v>
      </c>
      <c r="B140" s="60" t="inlineStr">
        <is>
          <t>HSK1+3</t>
        </is>
      </c>
      <c r="C140" s="4" t="inlineStr">
        <is>
          <t>重要</t>
        </is>
      </c>
      <c r="D140" s="5" t="inlineStr">
        <is>
          <t>zhòngyào</t>
        </is>
      </c>
      <c r="E140" s="6" t="inlineStr">
        <is>
          <t>quan trọng</t>
        </is>
      </c>
      <c r="F140" s="7" t="n"/>
      <c r="G140" s="7" t="inlineStr">
        <is>
          <t>重要</t>
        </is>
      </c>
      <c r="H140" s="8">
        <f>IF(TRIM($G140)="","",IF(EXACT(TRIM($G140),TRIM($C140)),"✅ Đúng","❌ Sai"))</f>
        <v/>
      </c>
      <c r="I140" s="9">
        <f>HYPERLINK("https://translate.google.com/translate_tts?ie=UTF-8&amp;tl=zh-CN&amp;client=tw-ob&amp;q=重要","▶")</f>
        <v/>
      </c>
      <c r="J140" s="9">
        <f>HYPERLINK("https://youglish.com/pronounce/重要/chinese","🔍")</f>
        <v/>
      </c>
      <c r="K140" s="10" t="n"/>
      <c r="L140" s="11" t="n"/>
      <c r="M140" s="10" t="n"/>
      <c r="N140" s="11" t="n"/>
      <c r="O140" s="10" t="n"/>
      <c r="P140" s="11" t="n"/>
      <c r="Q140" s="10" t="n"/>
      <c r="R140" s="12" t="inlineStr">
        <is>
          <t>2026-06-17</t>
        </is>
      </c>
      <c r="S140" s="17" t="n"/>
      <c r="T140" s="21" t="inlineStr">
        <is>
          <t>重 [TRỌNG / TRÙNG] · nặng, quan trọng; lặp lại
    ↳ Chiết tự: bộ 千 (thiên) + 里 (lý – dặm) — gánh nặng đi ngàn dặm
要 [YẾU / YÊU] · cần, muốn, quan trọng
    ↳ Chiết tự: bộ 覀 (á) + 女 (nữ – phụ nữ) — hình hai tay chống eo, nghĩa gốc là "eo", mượn chỉ điều cốt yếu</t>
        </is>
      </c>
      <c r="U140" s="22" t="inlineStr">
        <is>
          <t>🎨 Tính từ &amp; Trạng thái</t>
        </is>
      </c>
      <c r="V140" s="63" t="inlineStr">
        <is>
          <t>这件事很重要。</t>
        </is>
      </c>
      <c r="W140" s="64" t="inlineStr">
        <is>
          <t>Zhè jiàn shì hěn zhòngyào.
Việc này rất quan trọng.</t>
        </is>
      </c>
    </row>
    <row r="141" ht="23.25" customHeight="1" s="99">
      <c r="A141" s="2" t="n">
        <v>482</v>
      </c>
      <c r="B141" s="25" t="inlineStr">
        <is>
          <t>HSK1+2</t>
        </is>
      </c>
      <c r="C141" s="4" t="inlineStr">
        <is>
          <t>最</t>
        </is>
      </c>
      <c r="D141" s="5" t="inlineStr">
        <is>
          <t>zuì</t>
        </is>
      </c>
      <c r="E141" s="6" t="inlineStr">
        <is>
          <t>nhất</t>
        </is>
      </c>
      <c r="F141" s="7" t="n"/>
      <c r="G141" s="7" t="n"/>
      <c r="H141" s="8">
        <f>IF(TRIM($G141)="","",IF(EXACT(TRIM($G141),TRIM($C141)),"✅ Đúng","❌ Sai"))</f>
        <v/>
      </c>
      <c r="I141" s="9">
        <f>HYPERLINK("https://translate.google.com/translate_tts?ie=UTF-8&amp;tl=zh-CN&amp;client=tw-ob&amp;q=最","▶")</f>
        <v/>
      </c>
      <c r="J141" s="9">
        <f>HYPERLINK("https://youglish.com/pronounce/最/chinese","🔍")</f>
        <v/>
      </c>
      <c r="K141" s="10" t="n"/>
      <c r="L141" s="11" t="n"/>
      <c r="M141" s="10" t="n"/>
      <c r="N141" s="11" t="n"/>
      <c r="O141" s="10" t="n"/>
      <c r="P141" s="11" t="n"/>
      <c r="Q141" s="10" t="n"/>
      <c r="R141" s="12" t="inlineStr">
        <is>
          <t>2026-06-17</t>
        </is>
      </c>
      <c r="S141" s="17" t="n"/>
      <c r="T141" s="21" t="inlineStr">
        <is>
          <t>最 [TỐI] · nhất, hơn cả
    ↳ Chiết tự: bộ 曰 (viết) + 取 (thủ – lấy) — chọn lấy cái đứng đầu</t>
        </is>
      </c>
      <c r="U141" s="22" t="inlineStr">
        <is>
          <t>🎨 Tính từ &amp; Trạng thái</t>
        </is>
      </c>
      <c r="V141" s="63" t="inlineStr">
        <is>
          <t>他跑得最快。</t>
        </is>
      </c>
      <c r="W141" s="64" t="inlineStr">
        <is>
          <t>Tā pǎo de zuì kuài.
Anh ấy chạy nhanh nhất.</t>
        </is>
      </c>
    </row>
    <row r="142" ht="58.15" customHeight="1" s="99">
      <c r="A142" s="2" t="n">
        <v>483</v>
      </c>
      <c r="B142" s="3" t="inlineStr">
        <is>
          <t>HSK1</t>
        </is>
      </c>
      <c r="C142" s="4" t="inlineStr">
        <is>
          <t>最好</t>
        </is>
      </c>
      <c r="D142" s="5" t="inlineStr">
        <is>
          <t>zuìhǎo</t>
        </is>
      </c>
      <c r="E142" s="6" t="inlineStr">
        <is>
          <t>tốt nhất</t>
        </is>
      </c>
      <c r="F142" s="7" t="n"/>
      <c r="G142" s="7" t="n"/>
      <c r="H142" s="8">
        <f>IF(TRIM($G142)="","",IF(EXACT(TRIM($G142),TRIM($C142)),"✅ Đúng","❌ Sai"))</f>
        <v/>
      </c>
      <c r="I142" s="9">
        <f>HYPERLINK("https://translate.google.com/translate_tts?ie=UTF-8&amp;tl=zh-CN&amp;client=tw-ob&amp;q=最好","▶")</f>
        <v/>
      </c>
      <c r="J142" s="9">
        <f>HYPERLINK("https://youglish.com/pronounce/最好/chinese","🔍")</f>
        <v/>
      </c>
      <c r="K142" s="10" t="n"/>
      <c r="L142" s="11" t="n"/>
      <c r="M142" s="10" t="n"/>
      <c r="N142" s="11" t="n"/>
      <c r="O142" s="10" t="n"/>
      <c r="P142" s="11" t="n"/>
      <c r="Q142" s="10" t="n"/>
      <c r="R142" s="12" t="inlineStr">
        <is>
          <t>2026-06-17</t>
        </is>
      </c>
      <c r="S142" s="18" t="n"/>
      <c r="T142" s="21" t="inlineStr">
        <is>
          <t>最 [TỐI] · nhất, hơn cả
    ↳ Chiết tự: bộ 曰 (viết) + 取 (thủ – lấy) — chọn lấy cái đứng đầu
好 [HẢO / HIẾU] · tốt đẹp; thích, yêu
    ↳ Chiết tự: bộ 女 (nữ – mẹ) + 子 (tử – con) — mẹ bồng con là cảnh tốt đẹp nhất</t>
        </is>
      </c>
      <c r="U142" s="22" t="inlineStr">
        <is>
          <t>🎨 Tính từ &amp; Trạng thái</t>
        </is>
      </c>
      <c r="V142" s="63" t="inlineStr">
        <is>
          <t>你最好早点儿休息。</t>
        </is>
      </c>
      <c r="W142" s="64" t="inlineStr">
        <is>
          <t>Nǐ zuìhǎo zǎo diǎnr xiūxi.
Bạn tốt nhất nên nghỉ sớm.</t>
        </is>
      </c>
    </row>
    <row r="143" hidden="1" ht="70.5" customHeight="1" s="99">
      <c r="A143" s="26" t="n">
        <v>505</v>
      </c>
      <c r="B143" s="79" t="inlineStr">
        <is>
          <t>HSK2</t>
        </is>
      </c>
      <c r="C143" s="80" t="inlineStr">
        <is>
          <t>漂亮</t>
        </is>
      </c>
      <c r="D143" s="80" t="inlineStr">
        <is>
          <t>piàoliang</t>
        </is>
      </c>
      <c r="E143" s="80" t="inlineStr">
        <is>
          <t>xinh đẹp</t>
        </is>
      </c>
      <c r="F143" s="26" t="n"/>
      <c r="G143" s="13" t="inlineStr">
        <is>
          <t>漂亮</t>
        </is>
      </c>
      <c r="H143" s="8">
        <f>IF(TRIM($G143)="","",IF(EXACT(TRIM($G143),TRIM($C143)),"✅ Đúng","❌ Sai"))</f>
        <v/>
      </c>
      <c r="I143" s="52" t="inlineStr">
        <is>
          <t>▶</t>
        </is>
      </c>
      <c r="J143" s="52" t="inlineStr">
        <is>
          <t>🔍</t>
        </is>
      </c>
      <c r="K143" s="26" t="n"/>
      <c r="L143" s="26" t="n"/>
      <c r="M143" s="26" t="n"/>
      <c r="N143" s="26" t="n"/>
      <c r="O143" s="26" t="n"/>
      <c r="P143" s="26" t="n"/>
      <c r="Q143" s="26" t="n"/>
      <c r="R143" s="39" t="n">
        <v>46236</v>
      </c>
      <c r="S143" s="41" t="n"/>
      <c r="T143" s="47" t="inlineStr">
        <is>
          <t>漂 [PHIÊU / PHIẾU] · trôi nổi; đẹp (漂亮)
    ↳ Chiết tự: bộ 氵 (thủy – nước) + 票 (phiếu – âm đọc) — vật nổi trôi trên nước
亮 [LƯỢNG] · sáng, sáng sủa
    ↳ Chiết tự: bộ 亠 (đầu) + 冖 + 儿 (nhân đi – người) — người đứng trên lầu cao đón ánh sáng</t>
        </is>
      </c>
      <c r="U143" s="44" t="inlineStr">
        <is>
          <t>🎨 Tính từ &amp; Trạng thái</t>
        </is>
      </c>
      <c r="V143" s="63" t="inlineStr">
        <is>
          <t>她今天很漂亮。</t>
        </is>
      </c>
      <c r="W143" s="64" t="inlineStr">
        <is>
          <t>Tā jīntiān hěn piàoliang.
Hôm nay cô ấy rất xinh.</t>
        </is>
      </c>
    </row>
    <row r="144" hidden="1" ht="35.65" customHeight="1" s="99">
      <c r="A144" s="26" t="n">
        <v>515</v>
      </c>
      <c r="B144" s="81" t="inlineStr">
        <is>
          <t>HSK2+3</t>
        </is>
      </c>
      <c r="C144" s="80" t="inlineStr">
        <is>
          <t>长</t>
        </is>
      </c>
      <c r="D144" s="80" t="inlineStr">
        <is>
          <t>cháng</t>
        </is>
      </c>
      <c r="E144" s="80" t="inlineStr">
        <is>
          <t>dài</t>
        </is>
      </c>
      <c r="F144" s="26" t="n"/>
      <c r="G144" s="13" t="inlineStr">
        <is>
          <t>长</t>
        </is>
      </c>
      <c r="H144" s="8">
        <f>IF(TRIM($G144)="","",IF(EXACT(TRIM($G144),TRIM($C144)),"✅ Đúng","❌ Sai"))</f>
        <v/>
      </c>
      <c r="I144" s="52" t="inlineStr">
        <is>
          <t>▶</t>
        </is>
      </c>
      <c r="J144" s="52" t="inlineStr">
        <is>
          <t>🔍</t>
        </is>
      </c>
      <c r="K144" s="26" t="n"/>
      <c r="L144" s="26" t="n"/>
      <c r="M144" s="26" t="n"/>
      <c r="N144" s="26" t="n"/>
      <c r="O144" s="26" t="n"/>
      <c r="P144" s="26" t="n"/>
      <c r="Q144" s="26" t="n"/>
      <c r="R144" s="39" t="n">
        <v>46236</v>
      </c>
      <c r="S144" s="41" t="n"/>
      <c r="T144" s="47" t="inlineStr">
        <is>
          <t>长 [TRƯỜNG / TRƯỞNG] · dài; lớn lên; thủ trưởng
    ↳ Chiết tự: giản thể của 長: bộ 长 (trường) — hình người tóc dài chống gậy</t>
        </is>
      </c>
      <c r="U144" s="44" t="inlineStr">
        <is>
          <t>🎨 Tính từ &amp; Trạng thái</t>
        </is>
      </c>
      <c r="V144" s="63" t="inlineStr">
        <is>
          <t>这条路很长。</t>
        </is>
      </c>
      <c r="W144" s="64" t="inlineStr">
        <is>
          <t>Zhè tiáo lù hěn cháng.
Con đường này rất dài.</t>
        </is>
      </c>
    </row>
    <row r="145" hidden="1" ht="35.65" customHeight="1" s="99">
      <c r="A145" s="26" t="n">
        <v>524</v>
      </c>
      <c r="B145" s="79" t="inlineStr">
        <is>
          <t>HSK2</t>
        </is>
      </c>
      <c r="C145" s="80" t="inlineStr">
        <is>
          <t>黑</t>
        </is>
      </c>
      <c r="D145" s="80" t="inlineStr">
        <is>
          <t>hēi</t>
        </is>
      </c>
      <c r="E145" s="80" t="inlineStr">
        <is>
          <t>đen</t>
        </is>
      </c>
      <c r="F145" s="26" t="n"/>
      <c r="G145" s="13" t="inlineStr">
        <is>
          <t>黑</t>
        </is>
      </c>
      <c r="H145" s="8">
        <f>IF(TRIM($G145)="","",IF(EXACT(TRIM($G145),TRIM($C145)),"✅ Đúng","❌ Sai"))</f>
        <v/>
      </c>
      <c r="I145" s="52" t="inlineStr">
        <is>
          <t>▶</t>
        </is>
      </c>
      <c r="J145" s="52" t="inlineStr">
        <is>
          <t>🔍</t>
        </is>
      </c>
      <c r="K145" s="26" t="n"/>
      <c r="L145" s="26" t="n"/>
      <c r="M145" s="26" t="n"/>
      <c r="N145" s="26" t="n"/>
      <c r="O145" s="26" t="n"/>
      <c r="P145" s="26" t="n"/>
      <c r="Q145" s="26" t="n"/>
      <c r="R145" s="39" t="n">
        <v>46236</v>
      </c>
      <c r="S145" s="41" t="n"/>
      <c r="T145" s="47" t="inlineStr">
        <is>
          <t>黑 [HẮC] · màu đen, tối
    ↳ Chiết tự: bộ 黑 (hắc) — hình mặt người ám khói bên trên 灬 (hỏa – lửa)</t>
        </is>
      </c>
      <c r="U145" s="44" t="inlineStr">
        <is>
          <t>🎨 Tính từ &amp; Trạng thái</t>
        </is>
      </c>
      <c r="V145" s="63" t="inlineStr">
        <is>
          <t>天黑了，回家吧。</t>
        </is>
      </c>
      <c r="W145" s="64" t="inlineStr">
        <is>
          <t>Tiān hēi le, huí jiā ba.
Trời tối rồi, về nhà thôi.</t>
        </is>
      </c>
    </row>
    <row r="146" hidden="1" ht="35.65" customHeight="1" s="99">
      <c r="A146" s="26" t="n">
        <v>525</v>
      </c>
      <c r="B146" s="79" t="inlineStr">
        <is>
          <t>HSK2</t>
        </is>
      </c>
      <c r="C146" s="80" t="inlineStr">
        <is>
          <t>红</t>
        </is>
      </c>
      <c r="D146" s="80" t="inlineStr">
        <is>
          <t>hóng</t>
        </is>
      </c>
      <c r="E146" s="80" t="inlineStr">
        <is>
          <t>đỏ</t>
        </is>
      </c>
      <c r="F146" s="26" t="n"/>
      <c r="G146" s="13" t="inlineStr">
        <is>
          <t>红</t>
        </is>
      </c>
      <c r="H146" s="8">
        <f>IF(TRIM($G146)="","",IF(EXACT(TRIM($G146),TRIM($C146)),"✅ Đúng","❌ Sai"))</f>
        <v/>
      </c>
      <c r="I146" s="52" t="inlineStr">
        <is>
          <t>▶</t>
        </is>
      </c>
      <c r="J146" s="52" t="inlineStr">
        <is>
          <t>🔍</t>
        </is>
      </c>
      <c r="K146" s="26" t="n"/>
      <c r="L146" s="26" t="n"/>
      <c r="M146" s="26" t="n"/>
      <c r="N146" s="26" t="n"/>
      <c r="O146" s="26" t="n"/>
      <c r="P146" s="26" t="n"/>
      <c r="Q146" s="26" t="n"/>
      <c r="R146" s="39" t="n">
        <v>46236</v>
      </c>
      <c r="S146" s="41" t="n"/>
      <c r="T146" s="47" t="inlineStr">
        <is>
          <t>红 [HỒNG] · màu đỏ; nổi tiếng
    ↳ Chiết tự: giản thể của 紅: bộ 纟 (mịch – sợi tơ) + 工 (công – âm đọc) — sợi tơ nhuộm đỏ</t>
        </is>
      </c>
      <c r="U146" s="44" t="inlineStr">
        <is>
          <t>🎨 Tính từ &amp; Trạng thái</t>
        </is>
      </c>
      <c r="V146" s="63" t="inlineStr">
        <is>
          <t>她的脸红了。</t>
        </is>
      </c>
      <c r="W146" s="64" t="inlineStr">
        <is>
          <t>Tā de liǎn hóng le.
Mặt cô ấy đỏ lên rồi.</t>
        </is>
      </c>
    </row>
    <row r="147" hidden="1" ht="58.9" customHeight="1" s="99">
      <c r="A147" s="26" t="n">
        <v>532</v>
      </c>
      <c r="B147" s="79" t="inlineStr">
        <is>
          <t>HSK2</t>
        </is>
      </c>
      <c r="C147" s="80" t="inlineStr">
        <is>
          <t>可能</t>
        </is>
      </c>
      <c r="D147" s="80" t="inlineStr">
        <is>
          <t>kěnéng</t>
        </is>
      </c>
      <c r="E147" s="80" t="inlineStr">
        <is>
          <t>có thể, khả năng</t>
        </is>
      </c>
      <c r="F147" s="26" t="n"/>
      <c r="G147" s="13" t="inlineStr">
        <is>
          <t>可能</t>
        </is>
      </c>
      <c r="H147" s="8">
        <f>IF(TRIM($G147)="","",IF(EXACT(TRIM($G147),TRIM($C147)),"✅ Đúng","❌ Sai"))</f>
        <v/>
      </c>
      <c r="I147" s="52" t="inlineStr">
        <is>
          <t>▶</t>
        </is>
      </c>
      <c r="J147" s="52" t="inlineStr">
        <is>
          <t>🔍</t>
        </is>
      </c>
      <c r="K147" s="26" t="n"/>
      <c r="L147" s="26" t="n"/>
      <c r="M147" s="26" t="n"/>
      <c r="N147" s="26" t="n"/>
      <c r="O147" s="26" t="n"/>
      <c r="P147" s="26" t="n"/>
      <c r="Q147" s="26" t="n"/>
      <c r="R147" s="39" t="n">
        <v>46236</v>
      </c>
      <c r="S147" s="41" t="n"/>
      <c r="T147" s="47" t="inlineStr">
        <is>
          <t>可 [KHẢ] · có thể, được; đáng
    ↳ Chiết tự: bộ 口 (khẩu – miệng) + 丁 — miệng gật đầu chấp thuận
能 [NĂNG] · có thể, năng lực
    ↳ Chiết tự: bộ 月 (nhục) + 匕 (chủy) — hình con gấu khỏe, chỉ khả năng</t>
        </is>
      </c>
      <c r="U147" s="44" t="inlineStr">
        <is>
          <t>🎨 Tính từ &amp; Trạng thái</t>
        </is>
      </c>
      <c r="V147" s="63" t="inlineStr">
        <is>
          <t>明天可能下雨。</t>
        </is>
      </c>
      <c r="W147" s="64" t="inlineStr">
        <is>
          <t>Míngtiān kěnéng xià yǔ.
Mai có thể sẽ mưa.</t>
        </is>
      </c>
    </row>
    <row r="148" hidden="1" ht="58.9" customHeight="1" s="99">
      <c r="A148" s="26" t="n">
        <v>559</v>
      </c>
      <c r="B148" s="79" t="inlineStr">
        <is>
          <t>HSK2</t>
        </is>
      </c>
      <c r="C148" s="80" t="inlineStr">
        <is>
          <t>颜色</t>
        </is>
      </c>
      <c r="D148" s="80" t="inlineStr">
        <is>
          <t>yánsè</t>
        </is>
      </c>
      <c r="E148" s="80" t="inlineStr">
        <is>
          <t>màu sắc</t>
        </is>
      </c>
      <c r="F148" s="26" t="n"/>
      <c r="G148" s="13" t="inlineStr">
        <is>
          <t>颜色</t>
        </is>
      </c>
      <c r="H148" s="8">
        <f>IF(TRIM($G148)="","",IF(EXACT(TRIM($G148),TRIM($C148)),"✅ Đúng","❌ Sai"))</f>
        <v/>
      </c>
      <c r="I148" s="52" t="inlineStr">
        <is>
          <t>▶</t>
        </is>
      </c>
      <c r="J148" s="52" t="inlineStr">
        <is>
          <t>🔍</t>
        </is>
      </c>
      <c r="K148" s="26" t="n"/>
      <c r="L148" s="26" t="n"/>
      <c r="M148" s="26" t="n"/>
      <c r="N148" s="26" t="n"/>
      <c r="O148" s="26" t="n"/>
      <c r="P148" s="26" t="n"/>
      <c r="Q148" s="26" t="n"/>
      <c r="R148" s="39" t="n">
        <v>46236</v>
      </c>
      <c r="S148" s="41" t="n"/>
      <c r="T148" s="47" t="inlineStr">
        <is>
          <t>颜 [NHAN] · sắc mặt, màu sắc (颜色)
    ↳ Chiết tự: giản thể của 顏: bộ 彦 (ngạn – âm đọc) + 页 (hiệt – cái đầu) — sắc diện trên khuôn mặt
色 [SẮC] · màu sắc; vẻ mặt
    ↳ Chiết tự: bộ 色 (sắc) — hình người cúi trên người, chỉ thần sắc</t>
        </is>
      </c>
      <c r="U148" s="44" t="inlineStr">
        <is>
          <t>🎨 Tính từ &amp; Trạng thái</t>
        </is>
      </c>
      <c r="V148" s="63" t="inlineStr">
        <is>
          <t>你喜欢什么颜色？</t>
        </is>
      </c>
      <c r="W148" s="64" t="inlineStr">
        <is>
          <t>Nǐ xǐhuan shénme yánsè?
Bạn thích màu gì?</t>
        </is>
      </c>
    </row>
    <row r="149" hidden="1" ht="70.5" customHeight="1" s="99">
      <c r="A149" s="26" t="n">
        <v>575</v>
      </c>
      <c r="B149" s="79" t="inlineStr">
        <is>
          <t>HSK2</t>
        </is>
      </c>
      <c r="C149" s="80" t="inlineStr">
        <is>
          <t>慢慢</t>
        </is>
      </c>
      <c r="D149" s="80" t="inlineStr">
        <is>
          <t>mànmàn</t>
        </is>
      </c>
      <c r="E149" s="80" t="inlineStr">
        <is>
          <t>từ từ, chậm rãi</t>
        </is>
      </c>
      <c r="F149" s="26" t="n"/>
      <c r="G149" s="13" t="inlineStr">
        <is>
          <t>慢慢</t>
        </is>
      </c>
      <c r="H149" s="8">
        <f>IF(TRIM($G149)="","",IF(EXACT(TRIM($G149),TRIM($C149)),"✅ Đúng","❌ Sai"))</f>
        <v/>
      </c>
      <c r="I149" s="52" t="inlineStr">
        <is>
          <t>▶</t>
        </is>
      </c>
      <c r="J149" s="52" t="inlineStr">
        <is>
          <t>🔍</t>
        </is>
      </c>
      <c r="K149" s="26" t="n"/>
      <c r="L149" s="26" t="n"/>
      <c r="M149" s="26" t="n"/>
      <c r="N149" s="26" t="n"/>
      <c r="O149" s="26" t="n"/>
      <c r="P149" s="26" t="n"/>
      <c r="Q149" s="26" t="n"/>
      <c r="R149" s="39" t="n">
        <v>46236</v>
      </c>
      <c r="S149" s="41" t="n"/>
      <c r="T149" s="47" t="inlineStr">
        <is>
          <t>慢 [MẠN] · chậm chạp; ngạo mạn
    ↳ Chiết tự: bộ 忄 (tâm đứng – trái tim) + 曼 (mạn – dài, kéo dài) — lòng thư thả kéo dài
慢 [MẠN] · chậm chạp; ngạo mạn
    ↳ Chiết tự: bộ 忄 (tâm đứng – trái tim) + 曼 (mạn – dài, kéo dài) — lòng thư thả kéo dài</t>
        </is>
      </c>
      <c r="U149" s="44" t="inlineStr">
        <is>
          <t>🎨 Tính từ &amp; Trạng thái</t>
        </is>
      </c>
      <c r="V149" s="63" t="inlineStr">
        <is>
          <t>你慢慢说，别着急。</t>
        </is>
      </c>
      <c r="W149" s="64" t="inlineStr">
        <is>
          <t>Nǐ mànmàn shuō, bié zháojí.
Bạn nói từ từ, đừng sốt ruột.</t>
        </is>
      </c>
    </row>
    <row r="150" hidden="1" ht="34.9" customHeight="1" s="99">
      <c r="A150" s="2" t="n">
        <v>1</v>
      </c>
      <c r="B150" s="25" t="inlineStr">
        <is>
          <t>HSK1+2</t>
        </is>
      </c>
      <c r="C150" s="4" t="inlineStr">
        <is>
          <t>爱</t>
        </is>
      </c>
      <c r="D150" s="5" t="inlineStr">
        <is>
          <t>ài</t>
        </is>
      </c>
      <c r="E150" s="6" t="inlineStr">
        <is>
          <t>yêu, thích</t>
        </is>
      </c>
      <c r="F150" s="7" t="inlineStr">
        <is>
          <t>爱</t>
        </is>
      </c>
      <c r="G150" s="7" t="inlineStr">
        <is>
          <t>爱</t>
        </is>
      </c>
      <c r="H150" s="8">
        <f>IF(TRIM($G150)="","",IF(EXACT(TRIM($G150),TRIM($C150)),"✅ Đúng","❌ Sai"))</f>
        <v/>
      </c>
      <c r="I150" s="9">
        <f>HYPERLINK("https://translate.google.com/translate_tts?ie=UTF-8&amp;tl=zh-CN&amp;client=tw-ob&amp;q=爱","▶")</f>
        <v/>
      </c>
      <c r="J150" s="9">
        <f>HYPERLINK("https://youglish.com/pronounce/爱/chinese","🔍")</f>
        <v/>
      </c>
      <c r="K150" s="10" t="n"/>
      <c r="L150" s="11" t="n"/>
      <c r="M150" s="10" t="n"/>
      <c r="N150" s="11" t="n"/>
      <c r="O150" s="10" t="n"/>
      <c r="P150" s="11" t="n"/>
      <c r="Q150" s="10" t="n"/>
      <c r="R150" s="12" t="inlineStr">
        <is>
          <t>2026-06-17</t>
        </is>
      </c>
      <c r="S150" s="17" t="n"/>
      <c r="T150" s="46" t="inlineStr">
        <is>
          <t>爱 [ÁI] · yêu, yêu thương, ưa thích
    ↳ Chiết tự: giản thể của 愛: bộ 爫 (trảo – bàn tay chụp) + 冖 (mịch – che phủ) + 友 (hữu – bạn) — đưa tay che chở người mình thương</t>
        </is>
      </c>
      <c r="U150" s="22" t="inlineStr">
        <is>
          <t>🏃 Động từ thường ngày</t>
        </is>
      </c>
      <c r="V150" s="63" t="inlineStr">
        <is>
          <t>我爱我的家人。</t>
        </is>
      </c>
      <c r="W150" s="64" t="inlineStr">
        <is>
          <t>Wǒ ài wǒ de jiārén.
Tôi yêu gia đình mình.</t>
        </is>
      </c>
    </row>
    <row r="151" hidden="1" ht="69.75" customHeight="1" s="99">
      <c r="A151" s="2" t="n">
        <v>2</v>
      </c>
      <c r="B151" s="60" t="inlineStr">
        <is>
          <t>HSK1+3</t>
        </is>
      </c>
      <c r="C151" s="4" t="inlineStr">
        <is>
          <t>爱好</t>
        </is>
      </c>
      <c r="D151" s="5" t="inlineStr">
        <is>
          <t>àihào</t>
        </is>
      </c>
      <c r="E151" s="6" t="inlineStr">
        <is>
          <t>sở thích</t>
        </is>
      </c>
      <c r="F151" s="7" t="inlineStr">
        <is>
          <t>爱好</t>
        </is>
      </c>
      <c r="G151" s="7" t="inlineStr">
        <is>
          <t>爱好</t>
        </is>
      </c>
      <c r="H151" s="8">
        <f>IF(TRIM($G151)="","",IF(EXACT(TRIM($G151),TRIM($C151)),"✅ Đúng","❌ Sai"))</f>
        <v/>
      </c>
      <c r="I151" s="9">
        <f>HYPERLINK("https://translate.google.com/translate_tts?ie=UTF-8&amp;tl=zh-CN&amp;client=tw-ob&amp;q=爱好","▶")</f>
        <v/>
      </c>
      <c r="J151" s="9">
        <f>HYPERLINK("https://youglish.com/pronounce/爱好/chinese","🔍")</f>
        <v/>
      </c>
      <c r="K151" s="10" t="n"/>
      <c r="L151" s="11" t="n"/>
      <c r="M151" s="10" t="n"/>
      <c r="N151" s="11" t="n"/>
      <c r="O151" s="10" t="n"/>
      <c r="P151" s="11" t="n"/>
      <c r="Q151" s="10" t="n"/>
      <c r="R151" s="12" t="inlineStr">
        <is>
          <t>2026-06-17</t>
        </is>
      </c>
      <c r="S151" s="18" t="n"/>
      <c r="T151" s="46" t="inlineStr">
        <is>
          <t>爱 [ÁI] · yêu, yêu thương, ưa thích
    ↳ Chiết tự: giản thể của 愛: bộ 爫 (trảo – bàn tay chụp) + 冖 (mịch – che phủ) + 友 (hữu – bạn) — đưa tay che chở người mình thương
好 [HẢO / HIẾU] · tốt đẹp; thích, yêu
    ↳ Chiết tự: bộ 女 (nữ – mẹ) + 子 (tử – con) — mẹ bồng con là cảnh tốt đẹp nhất</t>
        </is>
      </c>
      <c r="U151" s="22" t="inlineStr">
        <is>
          <t>🏃 Động từ thường ngày</t>
        </is>
      </c>
      <c r="V151" s="63" t="inlineStr">
        <is>
          <t>我的爱好是看书。</t>
        </is>
      </c>
      <c r="W151" s="64" t="inlineStr">
        <is>
          <t>Wǒ de àihào shì kànshū.
Sở thích của tôi là đọc sách.</t>
        </is>
      </c>
    </row>
    <row r="152" hidden="1" ht="34.9" customHeight="1" s="99">
      <c r="A152" s="2" t="n">
        <v>13</v>
      </c>
      <c r="B152" s="3" t="inlineStr">
        <is>
          <t>HSK1</t>
        </is>
      </c>
      <c r="C152" s="4" t="inlineStr">
        <is>
          <t>帮</t>
        </is>
      </c>
      <c r="D152" s="5" t="inlineStr">
        <is>
          <t>bāng</t>
        </is>
      </c>
      <c r="E152" s="6" t="inlineStr">
        <is>
          <t>giúp đỡ</t>
        </is>
      </c>
      <c r="F152" s="7" t="n"/>
      <c r="G152" s="7" t="inlineStr">
        <is>
          <t>帮</t>
        </is>
      </c>
      <c r="H152" s="8">
        <f>IF(TRIM($G152)="","",IF(EXACT(TRIM($G152),TRIM($C152)),"✅ Đúng","❌ Sai"))</f>
        <v/>
      </c>
      <c r="I152" s="9">
        <f>HYPERLINK("https://translate.google.com/translate_tts?ie=UTF-8&amp;tl=zh-CN&amp;client=tw-ob&amp;q=帮","▶")</f>
        <v/>
      </c>
      <c r="J152" s="9">
        <f>HYPERLINK("https://youglish.com/pronounce/帮/chinese","🔍")</f>
        <v/>
      </c>
      <c r="K152" s="10" t="n"/>
      <c r="L152" s="11" t="n"/>
      <c r="M152" s="10" t="n"/>
      <c r="N152" s="11" t="n"/>
      <c r="O152" s="10" t="n"/>
      <c r="P152" s="11" t="n"/>
      <c r="Q152" s="10" t="n"/>
      <c r="R152" s="12" t="inlineStr">
        <is>
          <t>2026-06-17</t>
        </is>
      </c>
      <c r="S152" s="17" t="n"/>
      <c r="T152" s="46" t="inlineStr">
        <is>
          <t>帮 [BANG] · giúp đỡ, phe nhóm
    ↳ Chiết tự: giản thể của 幫: bộ 巾 (cân – vải) + 邦 (bang – âm đọc) — góp vải, góp sức cho nhau</t>
        </is>
      </c>
      <c r="U152" s="22" t="inlineStr">
        <is>
          <t>🏃 Động từ thường ngày</t>
        </is>
      </c>
      <c r="V152" s="63" t="inlineStr">
        <is>
          <t>请你帮我一下。</t>
        </is>
      </c>
      <c r="W152" s="64" t="inlineStr">
        <is>
          <t>Qǐng nǐ bāng wǒ yíxià.
Xin bạn giúp tôi một chút.</t>
        </is>
      </c>
    </row>
    <row r="153" hidden="1" ht="69.75" customHeight="1" s="99">
      <c r="A153" s="2" t="n">
        <v>14</v>
      </c>
      <c r="B153" s="60" t="inlineStr">
        <is>
          <t>HSK1+3</t>
        </is>
      </c>
      <c r="C153" s="4" t="inlineStr">
        <is>
          <t>帮忙</t>
        </is>
      </c>
      <c r="D153" s="5" t="inlineStr">
        <is>
          <t>bāngmáng</t>
        </is>
      </c>
      <c r="E153" s="6" t="inlineStr">
        <is>
          <t>giúp đỡ</t>
        </is>
      </c>
      <c r="F153" s="7" t="n"/>
      <c r="G153" s="7" t="inlineStr">
        <is>
          <t>帮忙</t>
        </is>
      </c>
      <c r="H153" s="8">
        <f>IF(TRIM($G153)="","",IF(EXACT(TRIM($G153),TRIM($C153)),"✅ Đúng","❌ Sai"))</f>
        <v/>
      </c>
      <c r="I153" s="9">
        <f>HYPERLINK("https://translate.google.com/translate_tts?ie=UTF-8&amp;tl=zh-CN&amp;client=tw-ob&amp;q=帮忙","▶")</f>
        <v/>
      </c>
      <c r="J153" s="9">
        <f>HYPERLINK("https://youglish.com/pronounce/帮忙/chinese","🔍")</f>
        <v/>
      </c>
      <c r="K153" s="10" t="n"/>
      <c r="L153" s="11" t="n"/>
      <c r="M153" s="10" t="n"/>
      <c r="N153" s="11" t="n"/>
      <c r="O153" s="10" t="n"/>
      <c r="P153" s="11" t="n"/>
      <c r="Q153" s="10" t="n"/>
      <c r="R153" s="12" t="inlineStr">
        <is>
          <t>2026-06-17</t>
        </is>
      </c>
      <c r="S153" s="18" t="n"/>
      <c r="T153" s="46" t="inlineStr">
        <is>
          <t>帮 [BANG] · giúp đỡ, phe nhóm
    ↳ Chiết tự: giản thể của 幫: bộ 巾 (cân – vải) + 邦 (bang – âm đọc) — góp vải, góp sức cho nhau
忙 [MANG] · bận rộn
    ↳ Chiết tự: bộ 忄 (tâm đứng – trái tim) + 亡 (vong – mất) — bận đến mất cả tâm trí</t>
        </is>
      </c>
      <c r="U153" s="22" t="inlineStr">
        <is>
          <t>🏃 Động từ thường ngày</t>
        </is>
      </c>
      <c r="V153" s="63" t="inlineStr">
        <is>
          <t>谢谢你帮忙。</t>
        </is>
      </c>
      <c r="W153" s="64" t="inlineStr">
        <is>
          <t>Xièxie nǐ bāngmáng.
Cảm ơn bạn đã giúp đỡ.</t>
        </is>
      </c>
    </row>
    <row r="154" ht="34.9" customHeight="1" s="99">
      <c r="A154" s="2" t="n">
        <v>51</v>
      </c>
      <c r="B154" s="25" t="inlineStr">
        <is>
          <t>HSK1+2</t>
        </is>
      </c>
      <c r="C154" s="4" t="inlineStr">
        <is>
          <t>穿</t>
        </is>
      </c>
      <c r="D154" s="5" t="inlineStr">
        <is>
          <t>chuān</t>
        </is>
      </c>
      <c r="E154" s="6" t="inlineStr">
        <is>
          <t>mặc</t>
        </is>
      </c>
      <c r="F154" s="7" t="n"/>
      <c r="G154" s="7" t="n"/>
      <c r="H154" s="8">
        <f>IF(TRIM($G154)="","",IF(EXACT(TRIM($G154),TRIM($C154)),"✅ Đúng","❌ Sai"))</f>
        <v/>
      </c>
      <c r="I154" s="9">
        <f>HYPERLINK("https://translate.google.com/translate_tts?ie=UTF-8&amp;tl=zh-CN&amp;client=tw-ob&amp;q=穿","▶")</f>
        <v/>
      </c>
      <c r="J154" s="9">
        <f>HYPERLINK("https://youglish.com/pronounce/穿/chinese","🔍")</f>
        <v/>
      </c>
      <c r="K154" s="10" t="n"/>
      <c r="L154" s="11" t="n"/>
      <c r="M154" s="10" t="n"/>
      <c r="N154" s="11" t="n"/>
      <c r="O154" s="10" t="n"/>
      <c r="P154" s="11" t="n"/>
      <c r="Q154" s="10" t="n"/>
      <c r="R154" s="12" t="inlineStr">
        <is>
          <t>2026-06-17</t>
        </is>
      </c>
      <c r="S154" s="17" t="n"/>
      <c r="T154" s="46" t="inlineStr">
        <is>
          <t>穿 [XUYÊN] · xuyên qua; mặc (quần áo)
    ↳ Chiết tự: bộ 穴 (huyệt – cái hang) + 牙 (nha – răng) — răng khoét thủng hang, xỏ qua</t>
        </is>
      </c>
      <c r="U154" s="22" t="inlineStr">
        <is>
          <t>🏃 Động từ thường ngày</t>
        </is>
      </c>
      <c r="V154" s="63" t="inlineStr">
        <is>
          <t>今天很冷，多穿衣服。</t>
        </is>
      </c>
      <c r="W154" s="64" t="inlineStr">
        <is>
          <t>Jīntiān hěn lěng, duō chuān yīfu.
Hôm nay lạnh, mặc thêm áo.</t>
        </is>
      </c>
    </row>
    <row r="155" ht="34.9" customHeight="1" s="99">
      <c r="A155" s="2" t="n">
        <v>56</v>
      </c>
      <c r="B155" s="3" t="inlineStr">
        <is>
          <t>HSK1</t>
        </is>
      </c>
      <c r="C155" s="4" t="inlineStr">
        <is>
          <t>打</t>
        </is>
      </c>
      <c r="D155" s="5" t="inlineStr">
        <is>
          <t>dǎ</t>
        </is>
      </c>
      <c r="E155" s="6" t="inlineStr">
        <is>
          <t>đánh, bắt</t>
        </is>
      </c>
      <c r="F155" s="7" t="n"/>
      <c r="G155" s="7" t="n"/>
      <c r="H155" s="8">
        <f>IF(TRIM($G155)="","",IF(EXACT(TRIM($G155),TRIM($C155)),"✅ Đúng","❌ Sai"))</f>
        <v/>
      </c>
      <c r="I155" s="9">
        <f>HYPERLINK("https://translate.google.com/translate_tts?ie=UTF-8&amp;tl=zh-CN&amp;client=tw-ob&amp;q=打","▶")</f>
        <v/>
      </c>
      <c r="J155" s="9">
        <f>HYPERLINK("https://youglish.com/pronounce/打/chinese","🔍")</f>
        <v/>
      </c>
      <c r="K155" s="10" t="n"/>
      <c r="L155" s="11" t="n"/>
      <c r="M155" s="10" t="n"/>
      <c r="N155" s="11" t="n"/>
      <c r="O155" s="10" t="n"/>
      <c r="P155" s="11" t="n"/>
      <c r="Q155" s="10" t="n"/>
      <c r="R155" s="12" t="inlineStr">
        <is>
          <t>2026-06-17</t>
        </is>
      </c>
      <c r="S155" s="18" t="n"/>
      <c r="T155" s="46" t="inlineStr">
        <is>
          <t>打 [ĐẢ] · đánh; làm, gọi (động từ vạn năng)
    ↳ Chiết tự: bộ 扌 (thủ đứng – bàn tay) + 丁 (đinh – cái đinh) — tay đóng đinh</t>
        </is>
      </c>
      <c r="U155" s="22" t="inlineStr">
        <is>
          <t>🏃 Động từ thường ngày</t>
        </is>
      </c>
      <c r="V155" s="63" t="inlineStr">
        <is>
          <t>他会打篮球。</t>
        </is>
      </c>
      <c r="W155" s="64" t="inlineStr">
        <is>
          <t>Tā huì dǎ lánqiú.
Anh ấy biết chơi bóng rổ.</t>
        </is>
      </c>
    </row>
    <row r="156" hidden="1" ht="104.65" customHeight="1" s="99">
      <c r="A156" s="2" t="n">
        <v>58</v>
      </c>
      <c r="B156" s="25" t="inlineStr">
        <is>
          <t>HSK1+2</t>
        </is>
      </c>
      <c r="C156" s="4" t="inlineStr">
        <is>
          <t>打电话</t>
        </is>
      </c>
      <c r="D156" s="5" t="inlineStr">
        <is>
          <t>dǎdiànhuà</t>
        </is>
      </c>
      <c r="E156" s="6" t="inlineStr">
        <is>
          <t>gọi điện</t>
        </is>
      </c>
      <c r="F156" s="7" t="n"/>
      <c r="G156" s="13" t="inlineStr">
        <is>
          <t>打电话</t>
        </is>
      </c>
      <c r="H156" s="8">
        <f>IF(TRIM($G156)="","",IF(EXACT(TRIM($G156),TRIM($C156)),"✅ Đúng","❌ Sai"))</f>
        <v/>
      </c>
      <c r="I156" s="9">
        <f>HYPERLINK("https://translate.google.com/translate_tts?ie=UTF-8&amp;tl=zh-CN&amp;client=tw-ob&amp;q=打电话","▶")</f>
        <v/>
      </c>
      <c r="J156" s="9">
        <f>HYPERLINK("https://youglish.com/pronounce/打电话/chinese","🔍")</f>
        <v/>
      </c>
      <c r="K156" s="10" t="n"/>
      <c r="L156" s="11" t="n"/>
      <c r="M156" s="10" t="n"/>
      <c r="N156" s="11" t="n"/>
      <c r="O156" s="10" t="n"/>
      <c r="P156" s="11" t="n"/>
      <c r="Q156" s="10" t="n"/>
      <c r="R156" s="12" t="inlineStr">
        <is>
          <t>2026-06-17</t>
        </is>
      </c>
      <c r="S156" s="18" t="n"/>
      <c r="T156" s="46" t="inlineStr">
        <is>
          <t>打 [ĐẢ] · đánh; làm, gọi (động từ vạn năng)
    ↳ Chiết tự: bộ 扌 (thủ đứng – bàn tay) + 丁 (đinh – cái đinh) — tay đóng đinh
电 [ĐIỆN] · điện, tia chớp
    ↳ Chiết tự: giản thể của 電: bộ 雨 lược bỏ + 申 (thân) — tia chớp xẹt ra từ mây mưa
话 [THOẠI] · lời nói, câu chuyện
    ↳ Chiết tự: giản thể của 話: bộ 讠 (ngôn – lời nói) + 舌 (thiệt – cái lưỡi) — lưỡi phát thành lời</t>
        </is>
      </c>
      <c r="U156" s="22" t="inlineStr">
        <is>
          <t>🏃 Động từ thường ngày</t>
        </is>
      </c>
      <c r="V156" s="63" t="inlineStr">
        <is>
          <t>我给妈妈打电话。</t>
        </is>
      </c>
      <c r="W156" s="64" t="inlineStr">
        <is>
          <t>Wǒ gěi māma dǎ diànhuà.
Tôi gọi điện cho mẹ.</t>
        </is>
      </c>
    </row>
    <row r="157" hidden="1" ht="69.75" customHeight="1" s="99">
      <c r="A157" s="2" t="n">
        <v>59</v>
      </c>
      <c r="B157" s="3" t="inlineStr">
        <is>
          <t>HSK1</t>
        </is>
      </c>
      <c r="C157" s="4" t="inlineStr">
        <is>
          <t>打开</t>
        </is>
      </c>
      <c r="D157" s="5" t="inlineStr">
        <is>
          <t>dǎkāi</t>
        </is>
      </c>
      <c r="E157" s="6" t="inlineStr">
        <is>
          <t>mở, mở ra</t>
        </is>
      </c>
      <c r="F157" s="7" t="n"/>
      <c r="G157" s="7" t="inlineStr">
        <is>
          <t>打开</t>
        </is>
      </c>
      <c r="H157" s="8">
        <f>IF(TRIM($G157)="","",IF(EXACT(TRIM($G157),TRIM($C157)),"✅ Đúng","❌ Sai"))</f>
        <v/>
      </c>
      <c r="I157" s="9">
        <f>HYPERLINK("https://translate.google.com/translate_tts?ie=UTF-8&amp;tl=zh-CN&amp;client=tw-ob&amp;q=打开","▶")</f>
        <v/>
      </c>
      <c r="J157" s="9">
        <f>HYPERLINK("https://youglish.com/pronounce/打开/chinese","🔍")</f>
        <v/>
      </c>
      <c r="K157" s="10" t="n"/>
      <c r="L157" s="11" t="n"/>
      <c r="M157" s="10" t="n"/>
      <c r="N157" s="11" t="n"/>
      <c r="O157" s="10" t="n"/>
      <c r="P157" s="11" t="n"/>
      <c r="Q157" s="10" t="n"/>
      <c r="R157" s="12" t="inlineStr">
        <is>
          <t>2026-06-17</t>
        </is>
      </c>
      <c r="S157" s="17" t="n"/>
      <c r="T157" s="46" t="inlineStr">
        <is>
          <t>打 [ĐẢ] · đánh; làm, gọi (động từ vạn năng)
    ↳ Chiết tự: bộ 扌 (thủ đứng – bàn tay) + 丁 (đinh – cái đinh) — tay đóng đinh
开 [KHAI] · mở ra, bắt đầu, khai trương
    ↳ Chiết tự: giản thể của 開: bộ 廾 (củng – hai tay) — hai tay nhấc then cửa lên</t>
        </is>
      </c>
      <c r="U157" s="22" t="inlineStr">
        <is>
          <t>🏃 Động từ thường ngày</t>
        </is>
      </c>
      <c r="V157" s="63" t="inlineStr">
        <is>
          <t>请打开窗户。</t>
        </is>
      </c>
      <c r="W157" s="64" t="inlineStr">
        <is>
          <t>Qǐng dǎkāi chuānghu.
Xin mở cửa sổ ra.</t>
        </is>
      </c>
    </row>
    <row r="158" ht="58.15" customHeight="1" s="99">
      <c r="A158" s="2" t="n">
        <v>60</v>
      </c>
      <c r="B158" s="3" t="inlineStr">
        <is>
          <t>HSK1</t>
        </is>
      </c>
      <c r="C158" s="4" t="inlineStr">
        <is>
          <t>打球</t>
        </is>
      </c>
      <c r="D158" s="5" t="inlineStr">
        <is>
          <t>dǎqiú</t>
        </is>
      </c>
      <c r="E158" s="6" t="inlineStr">
        <is>
          <t>chơi bóng</t>
        </is>
      </c>
      <c r="F158" s="7" t="n"/>
      <c r="G158" s="7" t="n"/>
      <c r="H158" s="8">
        <f>IF(TRIM($G158)="","",IF(EXACT(TRIM($G158),TRIM($C158)),"✅ Đúng","❌ Sai"))</f>
        <v/>
      </c>
      <c r="I158" s="9">
        <f>HYPERLINK("https://translate.google.com/translate_tts?ie=UTF-8&amp;tl=zh-CN&amp;client=tw-ob&amp;q=打球","▶")</f>
        <v/>
      </c>
      <c r="J158" s="9">
        <f>HYPERLINK("https://youglish.com/pronounce/打球/chinese","🔍")</f>
        <v/>
      </c>
      <c r="K158" s="10" t="n"/>
      <c r="L158" s="11" t="n"/>
      <c r="M158" s="10" t="n"/>
      <c r="N158" s="11" t="n"/>
      <c r="O158" s="10" t="n"/>
      <c r="P158" s="11" t="n"/>
      <c r="Q158" s="10" t="n"/>
      <c r="R158" s="12" t="inlineStr">
        <is>
          <t>2026-06-17</t>
        </is>
      </c>
      <c r="S158" s="18" t="n"/>
      <c r="T158" s="46" t="inlineStr">
        <is>
          <t>打 [ĐẢ] · đánh; làm, gọi (động từ vạn năng)
    ↳ Chiết tự: bộ 扌 (thủ đứng – bàn tay) + 丁 (đinh – cái đinh) — tay đóng đinh
球 [CẦU] · quả cầu, quả bóng
    ↳ Chiết tự: bộ 王 (ngọc) + 求 (cầu – âm đọc) — viên ngọc mài tròn</t>
        </is>
      </c>
      <c r="U158" s="22" t="inlineStr">
        <is>
          <t>🏃 Động từ thường ngày</t>
        </is>
      </c>
      <c r="V158" s="63" t="inlineStr">
        <is>
          <t>我们下午去打球。</t>
        </is>
      </c>
      <c r="W158" s="64" t="inlineStr">
        <is>
          <t>Wǒmen xiàwǔ qù dǎqiú.
Chiều nay chúng tôi đi chơi bóng.</t>
        </is>
      </c>
    </row>
    <row r="159" ht="69.75" customHeight="1" s="99">
      <c r="A159" s="2" t="n">
        <v>65</v>
      </c>
      <c r="B159" s="3" t="inlineStr">
        <is>
          <t>HSK1</t>
        </is>
      </c>
      <c r="C159" s="4" t="inlineStr">
        <is>
          <t>得到</t>
        </is>
      </c>
      <c r="D159" s="5" t="inlineStr">
        <is>
          <t>dédào</t>
        </is>
      </c>
      <c r="E159" s="6" t="inlineStr">
        <is>
          <t>đạt được, nhận được</t>
        </is>
      </c>
      <c r="F159" s="7" t="n"/>
      <c r="G159" s="7" t="n"/>
      <c r="H159" s="8">
        <f>IF(TRIM($G159)="","",IF(EXACT(TRIM($G159),TRIM($C159)),"✅ Đúng","❌ Sai"))</f>
        <v/>
      </c>
      <c r="I159" s="9">
        <f>HYPERLINK("https://translate.google.com/translate_tts?ie=UTF-8&amp;tl=zh-CN&amp;client=tw-ob&amp;q=得到","▶")</f>
        <v/>
      </c>
      <c r="J159" s="9">
        <f>HYPERLINK("https://youglish.com/pronounce/得到/chinese","🔍")</f>
        <v/>
      </c>
      <c r="K159" s="10" t="n"/>
      <c r="L159" s="11" t="n"/>
      <c r="M159" s="10" t="n"/>
      <c r="N159" s="11" t="n"/>
      <c r="O159" s="10" t="n"/>
      <c r="P159" s="11" t="n"/>
      <c r="Q159" s="10" t="n"/>
      <c r="R159" s="12" t="inlineStr">
        <is>
          <t>2026-06-17</t>
        </is>
      </c>
      <c r="S159" s="17" t="n"/>
      <c r="T159" s="46" t="inlineStr">
        <is>
          <t>得 [ĐẮC] · được, đạt được; trợ từ bổ ngữ
    ↳ Chiết tự: bộ 彳 (xích – bước đi) + 旦 + 寸 (thốn – tay) — đi đường nhặt được của
到 [ĐÁO] · đến, tới, chu đáo
    ↳ Chiết tự: bộ 至 (chí – tới nơi) + 刂 (đao đứng – âm đọc) — mũi tên cắm tới đích</t>
        </is>
      </c>
      <c r="U159" s="22" t="inlineStr">
        <is>
          <t>🏃 Động từ thường ngày</t>
        </is>
      </c>
      <c r="V159" s="63" t="inlineStr">
        <is>
          <t>他得到了大家的帮助。</t>
        </is>
      </c>
      <c r="W159" s="64" t="inlineStr">
        <is>
          <t>Tā dédào le dàjiā de bāngzhù.
Anh ấy nhận được sự giúp đỡ của mọi người.</t>
        </is>
      </c>
    </row>
    <row r="160" hidden="1" ht="34.9" customHeight="1" s="99">
      <c r="A160" s="2" t="n">
        <v>68</v>
      </c>
      <c r="B160" s="25" t="inlineStr">
        <is>
          <t>HSK1+2</t>
        </is>
      </c>
      <c r="C160" s="4" t="inlineStr">
        <is>
          <t>等</t>
        </is>
      </c>
      <c r="D160" s="5" t="inlineStr">
        <is>
          <t>děng</t>
        </is>
      </c>
      <c r="E160" s="6" t="inlineStr">
        <is>
          <t>đợi, chờ</t>
        </is>
      </c>
      <c r="F160" s="7" t="n"/>
      <c r="G160" s="13" t="inlineStr">
        <is>
          <t>等</t>
        </is>
      </c>
      <c r="H160" s="8">
        <f>IF(TRIM($G160)="","",IF(EXACT(TRIM($G160),TRIM($C160)),"✅ Đúng","❌ Sai"))</f>
        <v/>
      </c>
      <c r="I160" s="9">
        <f>HYPERLINK("https://translate.google.com/translate_tts?ie=UTF-8&amp;tl=zh-CN&amp;client=tw-ob&amp;q=等","▶")</f>
        <v/>
      </c>
      <c r="J160" s="9">
        <f>HYPERLINK("https://youglish.com/pronounce/等/chinese","🔍")</f>
        <v/>
      </c>
      <c r="K160" s="10" t="n"/>
      <c r="L160" s="11" t="n"/>
      <c r="M160" s="10" t="n"/>
      <c r="N160" s="11" t="n"/>
      <c r="O160" s="10" t="n"/>
      <c r="P160" s="11" t="n"/>
      <c r="Q160" s="10" t="n"/>
      <c r="R160" s="12" t="inlineStr">
        <is>
          <t>2026-06-17</t>
        </is>
      </c>
      <c r="S160" s="18" t="n"/>
      <c r="T160" s="46" t="inlineStr">
        <is>
          <t>等 [ĐẲNG] · đợi chờ; hạng, bậc; vân vân
    ↳ Chiết tự: bộ 竹 (trúc – tre) + 寺 (tự – âm đọc) — xếp thẻ tre theo thứ bậc mà chờ</t>
        </is>
      </c>
      <c r="U160" s="22" t="inlineStr">
        <is>
          <t>🏃 Động từ thường ngày</t>
        </is>
      </c>
      <c r="V160" s="63" t="inlineStr">
        <is>
          <t>请等我五分钟。</t>
        </is>
      </c>
      <c r="W160" s="64" t="inlineStr">
        <is>
          <t>Qǐng děng wǒ wǔ fēnzhōng.
Xin đợi tôi năm phút.</t>
        </is>
      </c>
    </row>
    <row r="161" hidden="1" ht="34.9" customHeight="1" s="99">
      <c r="A161" s="2" t="n">
        <v>87</v>
      </c>
      <c r="B161" s="3" t="inlineStr">
        <is>
          <t>HSK1</t>
        </is>
      </c>
      <c r="C161" s="4" t="inlineStr">
        <is>
          <t>动</t>
        </is>
      </c>
      <c r="D161" s="5" t="inlineStr">
        <is>
          <t>dòng</t>
        </is>
      </c>
      <c r="E161" s="6" t="inlineStr">
        <is>
          <t>động, chạm</t>
        </is>
      </c>
      <c r="F161" s="7" t="n"/>
      <c r="G161" s="7" t="inlineStr">
        <is>
          <t>动</t>
        </is>
      </c>
      <c r="H161" s="8">
        <f>IF(TRIM($G161)="","",IF(EXACT(TRIM($G161),TRIM($C161)),"✅ Đúng","❌ Sai"))</f>
        <v/>
      </c>
      <c r="I161" s="9">
        <f>HYPERLINK("https://translate.google.com/translate_tts?ie=UTF-8&amp;tl=zh-CN&amp;client=tw-ob&amp;q=动","▶")</f>
        <v/>
      </c>
      <c r="J161" s="9">
        <f>HYPERLINK("https://youglish.com/pronounce/动/chinese","🔍")</f>
        <v/>
      </c>
      <c r="K161" s="10" t="n"/>
      <c r="L161" s="11" t="n"/>
      <c r="M161" s="10" t="n"/>
      <c r="N161" s="11" t="n"/>
      <c r="O161" s="10" t="n"/>
      <c r="P161" s="11" t="n"/>
      <c r="Q161" s="10" t="n"/>
      <c r="R161" s="12" t="inlineStr">
        <is>
          <t>2026-06-17</t>
        </is>
      </c>
      <c r="S161" s="17" t="n"/>
      <c r="T161" s="46" t="inlineStr">
        <is>
          <t>动 [ĐỘNG] · chuyển động, cử động
    ↳ Chiết tự: giản thể của 動: bộ 云 (vân) + 力 (lực – sức) — dùng sức thì vật chuyển</t>
        </is>
      </c>
      <c r="U161" s="22" t="inlineStr">
        <is>
          <t>🏃 Động từ thường ngày</t>
        </is>
      </c>
      <c r="V161" s="63" t="inlineStr">
        <is>
          <t>别动，我来帮你。</t>
        </is>
      </c>
      <c r="W161" s="64" t="inlineStr">
        <is>
          <t>Bié dòng, wǒ lái bāng nǐ.
Đừng động, tôi giúp bạn.</t>
        </is>
      </c>
    </row>
    <row r="162" hidden="1" ht="69.75" customHeight="1" s="99">
      <c r="A162" s="2" t="n">
        <v>88</v>
      </c>
      <c r="B162" s="3" t="inlineStr">
        <is>
          <t>HSK1</t>
        </is>
      </c>
      <c r="C162" s="4" t="inlineStr">
        <is>
          <t>动作</t>
        </is>
      </c>
      <c r="D162" s="5" t="inlineStr">
        <is>
          <t>dòngzuò</t>
        </is>
      </c>
      <c r="E162" s="6" t="inlineStr">
        <is>
          <t>động tác</t>
        </is>
      </c>
      <c r="F162" s="7" t="n"/>
      <c r="G162" s="13" t="inlineStr">
        <is>
          <t>动作</t>
        </is>
      </c>
      <c r="H162" s="8">
        <f>IF(TRIM($G162)="","",IF(EXACT(TRIM($G162),TRIM($C162)),"✅ Đúng","❌ Sai"))</f>
        <v/>
      </c>
      <c r="I162" s="9">
        <f>HYPERLINK("https://translate.google.com/translate_tts?ie=UTF-8&amp;tl=zh-CN&amp;client=tw-ob&amp;q=动作","▶")</f>
        <v/>
      </c>
      <c r="J162" s="9">
        <f>HYPERLINK("https://youglish.com/pronounce/动作/chinese","🔍")</f>
        <v/>
      </c>
      <c r="K162" s="10" t="n"/>
      <c r="L162" s="11" t="n"/>
      <c r="M162" s="10" t="n"/>
      <c r="N162" s="11" t="n"/>
      <c r="O162" s="10" t="n"/>
      <c r="P162" s="11" t="n"/>
      <c r="Q162" s="10" t="n"/>
      <c r="R162" s="12" t="inlineStr">
        <is>
          <t>2026-06-17</t>
        </is>
      </c>
      <c r="S162" s="18" t="n"/>
      <c r="T162" s="46" t="inlineStr">
        <is>
          <t>动 [ĐỘNG] · chuyển động, cử động
    ↳ Chiết tự: giản thể của 動: bộ 云 (vân) + 力 (lực – sức) — dùng sức thì vật chuyển
作 [TÁC] · làm, chế tác, tác phẩm
    ↳ Chiết tự: bộ 亻 (nhân đứng – người) + 乍 (sạ – âm đọc) — người khởi sự tạo ra</t>
        </is>
      </c>
      <c r="U162" s="22" t="inlineStr">
        <is>
          <t>🏃 Động từ thường ngày</t>
        </is>
      </c>
      <c r="V162" s="63" t="inlineStr">
        <is>
          <t>他的动作很快。</t>
        </is>
      </c>
      <c r="W162" s="64" t="inlineStr">
        <is>
          <t>Tā de dòngzuò hěn kuài.
Động tác của anh ấy rất nhanh.</t>
        </is>
      </c>
    </row>
    <row r="163" ht="34.9" customHeight="1" s="99">
      <c r="A163" s="2" t="n">
        <v>103</v>
      </c>
      <c r="B163" s="60" t="inlineStr">
        <is>
          <t>HSK1+3</t>
        </is>
      </c>
      <c r="C163" s="4" t="inlineStr">
        <is>
          <t>放</t>
        </is>
      </c>
      <c r="D163" s="5" t="inlineStr">
        <is>
          <t>fàng</t>
        </is>
      </c>
      <c r="E163" s="6" t="inlineStr">
        <is>
          <t>thả, đặt, để</t>
        </is>
      </c>
      <c r="F163" s="7" t="n"/>
      <c r="G163" s="7" t="n"/>
      <c r="H163" s="8">
        <f>IF(TRIM($G163)="","",IF(EXACT(TRIM($G163),TRIM($C163)),"✅ Đúng","❌ Sai"))</f>
        <v/>
      </c>
      <c r="I163" s="9">
        <f>HYPERLINK("https://translate.google.com/translate_tts?ie=UTF-8&amp;tl=zh-CN&amp;client=tw-ob&amp;q=放","▶")</f>
        <v/>
      </c>
      <c r="J163" s="9">
        <f>HYPERLINK("https://youglish.com/pronounce/放/chinese","🔍")</f>
        <v/>
      </c>
      <c r="K163" s="10" t="n"/>
      <c r="L163" s="11" t="n"/>
      <c r="M163" s="10" t="n"/>
      <c r="N163" s="11" t="n"/>
      <c r="O163" s="10" t="n"/>
      <c r="P163" s="11" t="n"/>
      <c r="Q163" s="10" t="n"/>
      <c r="R163" s="12" t="inlineStr">
        <is>
          <t>2026-06-17</t>
        </is>
      </c>
      <c r="S163" s="17" t="n"/>
      <c r="T163" s="46" t="inlineStr">
        <is>
          <t>放 [PHÓNG] · đặt, thả, buông
    ↳ Chiết tự: bộ 方 (phương – âm đọc) + 攵 (phộc – tay cầm roi) — đánh cho đi ra, buông ra</t>
        </is>
      </c>
      <c r="U163" s="22" t="inlineStr">
        <is>
          <t>🏃 Động từ thường ngày</t>
        </is>
      </c>
      <c r="V163" s="63" t="inlineStr">
        <is>
          <t>请把书放在桌子上。</t>
        </is>
      </c>
      <c r="W163" s="64" t="inlineStr">
        <is>
          <t>Qǐng bǎ shū fàng zài zhuōzi shàng.
Xin đặt sách lên bàn.</t>
        </is>
      </c>
    </row>
    <row r="164" ht="34.9" customHeight="1" s="99">
      <c r="A164" s="2" t="n">
        <v>111</v>
      </c>
      <c r="B164" s="3" t="inlineStr">
        <is>
          <t>HSK1</t>
        </is>
      </c>
      <c r="C164" s="4" t="inlineStr">
        <is>
          <t>干</t>
        </is>
      </c>
      <c r="D164" s="5" t="inlineStr">
        <is>
          <t>gān</t>
        </is>
      </c>
      <c r="E164" s="6" t="inlineStr">
        <is>
          <t>khô</t>
        </is>
      </c>
      <c r="F164" s="7" t="n"/>
      <c r="G164" s="7" t="n"/>
      <c r="H164" s="8">
        <f>IF(TRIM($G164)="","",IF(EXACT(TRIM($G164),TRIM($C164)),"✅ Đúng","❌ Sai"))</f>
        <v/>
      </c>
      <c r="I164" s="9">
        <f>HYPERLINK("https://translate.google.com/translate_tts?ie=UTF-8&amp;tl=zh-CN&amp;client=tw-ob&amp;q=干","▶")</f>
        <v/>
      </c>
      <c r="J164" s="9">
        <f>HYPERLINK("https://youglish.com/pronounce/干/chinese","🔍")</f>
        <v/>
      </c>
      <c r="K164" s="10" t="n"/>
      <c r="L164" s="11" t="n"/>
      <c r="M164" s="10" t="n"/>
      <c r="N164" s="11" t="n"/>
      <c r="O164" s="10" t="n"/>
      <c r="P164" s="11" t="n"/>
      <c r="Q164" s="10" t="n"/>
      <c r="R164" s="12" t="inlineStr">
        <is>
          <t>2026-06-17</t>
        </is>
      </c>
      <c r="S164" s="17" t="n"/>
      <c r="T164" s="46" t="inlineStr">
        <is>
          <t>干 [CAN / CÀN] · khô ráo; làm việc
    ↳ Chiết tự: bộ 干 (can) — hình cái chày/mộc chắn, nghĩa phái sinh là khô và làm</t>
        </is>
      </c>
      <c r="U164" s="22" t="inlineStr">
        <is>
          <t>🏃 Động từ thường ngày</t>
        </is>
      </c>
      <c r="V164" s="63" t="inlineStr">
        <is>
          <t>你在干什么？</t>
        </is>
      </c>
      <c r="W164" s="64" t="inlineStr">
        <is>
          <t>Nǐ zài gàn shénme?
Bạn đang làm gì?</t>
        </is>
      </c>
    </row>
    <row r="165" ht="34.9" customHeight="1" s="99">
      <c r="A165" s="2" t="n">
        <v>113</v>
      </c>
      <c r="B165" s="3" t="inlineStr">
        <is>
          <t>HSK1</t>
        </is>
      </c>
      <c r="C165" s="4" t="inlineStr">
        <is>
          <t>干</t>
        </is>
      </c>
      <c r="D165" s="5" t="inlineStr">
        <is>
          <t>gàn</t>
        </is>
      </c>
      <c r="E165" s="6" t="inlineStr">
        <is>
          <t>làm</t>
        </is>
      </c>
      <c r="F165" s="7" t="n"/>
      <c r="G165" s="7" t="n"/>
      <c r="H165" s="8">
        <f>IF(TRIM($G165)="","",IF(EXACT(TRIM($G165),TRIM($C165)),"✅ Đúng","❌ Sai"))</f>
        <v/>
      </c>
      <c r="I165" s="9">
        <f>HYPERLINK("https://translate.google.com/translate_tts?ie=UTF-8&amp;tl=zh-CN&amp;client=tw-ob&amp;q=干","▶")</f>
        <v/>
      </c>
      <c r="J165" s="9">
        <f>HYPERLINK("https://youglish.com/pronounce/干/chinese","🔍")</f>
        <v/>
      </c>
      <c r="K165" s="10" t="n"/>
      <c r="L165" s="11" t="n"/>
      <c r="M165" s="10" t="n"/>
      <c r="N165" s="11" t="n"/>
      <c r="O165" s="10" t="n"/>
      <c r="P165" s="11" t="n"/>
      <c r="Q165" s="10" t="n"/>
      <c r="R165" s="12" t="inlineStr">
        <is>
          <t>2026-06-17</t>
        </is>
      </c>
      <c r="S165" s="17" t="n"/>
      <c r="T165" s="46" t="inlineStr">
        <is>
          <t>干 [CAN / CÀN] · khô ráo; làm việc
    ↳ Chiết tự: bộ 干 (can) — hình cái chày/mộc chắn, nghĩa phái sinh là khô và làm</t>
        </is>
      </c>
      <c r="U165" s="22" t="inlineStr">
        <is>
          <t>🏃 Động từ thường ngày</t>
        </is>
      </c>
      <c r="V165" s="63" t="inlineStr">
        <is>
          <t>你在干什么？</t>
        </is>
      </c>
      <c r="W165" s="64" t="inlineStr">
        <is>
          <t>Nǐ zài gàn shénme?
Bạn đang làm gì?</t>
        </is>
      </c>
    </row>
    <row r="166" ht="104.65" customHeight="1" s="99">
      <c r="A166" s="2" t="n">
        <v>114</v>
      </c>
      <c r="B166" s="3" t="inlineStr">
        <is>
          <t>HSK1</t>
        </is>
      </c>
      <c r="C166" s="4" t="inlineStr">
        <is>
          <t>干什么</t>
        </is>
      </c>
      <c r="D166" s="5" t="inlineStr">
        <is>
          <t>gànshénme</t>
        </is>
      </c>
      <c r="E166" s="6" t="inlineStr">
        <is>
          <t>làm gì đó</t>
        </is>
      </c>
      <c r="F166" s="7" t="n"/>
      <c r="G166" s="7" t="n"/>
      <c r="H166" s="8">
        <f>IF(TRIM($G166)="","",IF(EXACT(TRIM($G166),TRIM($C166)),"✅ Đúng","❌ Sai"))</f>
        <v/>
      </c>
      <c r="I166" s="9">
        <f>HYPERLINK("https://translate.google.com/translate_tts?ie=UTF-8&amp;tl=zh-CN&amp;client=tw-ob&amp;q=干什么","▶")</f>
        <v/>
      </c>
      <c r="J166" s="9">
        <f>HYPERLINK("https://youglish.com/pronounce/干什么/chinese","🔍")</f>
        <v/>
      </c>
      <c r="K166" s="10" t="n"/>
      <c r="L166" s="11" t="n"/>
      <c r="M166" s="10" t="n"/>
      <c r="N166" s="11" t="n"/>
      <c r="O166" s="10" t="n"/>
      <c r="P166" s="11" t="n"/>
      <c r="Q166" s="10" t="n"/>
      <c r="R166" s="12" t="inlineStr">
        <is>
          <t>2026-06-17</t>
        </is>
      </c>
      <c r="S166" s="18" t="n"/>
      <c r="T166" s="46" t="inlineStr">
        <is>
          <t>干 [CAN / CÀN] · khô ráo; làm việc
    ↳ Chiết tự: bộ 干 (can) — hình cái chày/mộc chắn, nghĩa phái sinh là khô và làm
什 [THẬP / THẬM] · cái gì (ghép 什么)
    ↳ Chiết tự: bộ 亻 (nhân đứng – người) + 十 (thập – mười) — vốn nghĩa "mười nhà", mượn làm từ hỏi
么 [MA] · gì, nào (trợ từ nghi vấn)
    ↳ Chiết tự: bộ 丿 (phiệt) + 厶 (tư – riêng tư) — chữ mượn âm, ghép 什么 / 怎么</t>
        </is>
      </c>
      <c r="U166" s="22" t="inlineStr">
        <is>
          <t>🏃 Động từ thường ngày</t>
        </is>
      </c>
      <c r="V166" s="63" t="inlineStr">
        <is>
          <t>你来这里干什么？</t>
        </is>
      </c>
      <c r="W166" s="64" t="inlineStr">
        <is>
          <t>Nǐ lái zhèli gàn shénme?
Bạn đến đây làm gì?</t>
        </is>
      </c>
    </row>
    <row r="167" ht="34.9" customHeight="1" s="99">
      <c r="A167" s="2" t="n">
        <v>121</v>
      </c>
      <c r="B167" s="25" t="inlineStr">
        <is>
          <t>HSK1+2</t>
        </is>
      </c>
      <c r="C167" s="4" t="inlineStr">
        <is>
          <t>给</t>
        </is>
      </c>
      <c r="D167" s="5" t="inlineStr">
        <is>
          <t>gěi</t>
        </is>
      </c>
      <c r="E167" s="6" t="inlineStr">
        <is>
          <t>cho</t>
        </is>
      </c>
      <c r="F167" s="7" t="n"/>
      <c r="G167" s="7" t="n"/>
      <c r="H167" s="8">
        <f>IF(TRIM($G167)="","",IF(EXACT(TRIM($G167),TRIM($C167)),"✅ Đúng","❌ Sai"))</f>
        <v/>
      </c>
      <c r="I167" s="9">
        <f>HYPERLINK("https://translate.google.com/translate_tts?ie=UTF-8&amp;tl=zh-CN&amp;client=tw-ob&amp;q=给","▶")</f>
        <v/>
      </c>
      <c r="J167" s="9">
        <f>HYPERLINK("https://youglish.com/pronounce/给/chinese","🔍")</f>
        <v/>
      </c>
      <c r="K167" s="10" t="n"/>
      <c r="L167" s="11" t="n"/>
      <c r="M167" s="10" t="n"/>
      <c r="N167" s="11" t="n"/>
      <c r="O167" s="10" t="n"/>
      <c r="P167" s="11" t="n"/>
      <c r="Q167" s="10" t="n"/>
      <c r="R167" s="12" t="inlineStr">
        <is>
          <t>2026-06-17</t>
        </is>
      </c>
      <c r="S167" s="17" t="n"/>
      <c r="T167" s="46" t="inlineStr">
        <is>
          <t>给 [CẤP / CẤP] · cho, đưa; cho phép
    ↳ Chiết tự: giản thể của 給: bộ 纟 (mịch – sợi tơ) + 合 (hợp – khớp) — trao sợi cho khớp vào</t>
        </is>
      </c>
      <c r="U167" s="22" t="inlineStr">
        <is>
          <t>🏃 Động từ thường ngày</t>
        </is>
      </c>
      <c r="V167" s="63" t="inlineStr">
        <is>
          <t>请给我一张纸。</t>
        </is>
      </c>
      <c r="W167" s="64" t="inlineStr">
        <is>
          <t>Qǐng gěi wǒ yì zhāng zhǐ.
Cho tôi một tờ giấy.</t>
        </is>
      </c>
    </row>
    <row r="168" hidden="1" ht="34.9" customHeight="1" s="99">
      <c r="A168" s="2" t="n">
        <v>125</v>
      </c>
      <c r="B168" s="60" t="inlineStr">
        <is>
          <t>HSK1+3</t>
        </is>
      </c>
      <c r="C168" s="4" t="inlineStr">
        <is>
          <t>关</t>
        </is>
      </c>
      <c r="D168" s="5" t="inlineStr">
        <is>
          <t>guān</t>
        </is>
      </c>
      <c r="E168" s="6" t="inlineStr">
        <is>
          <t>đóng</t>
        </is>
      </c>
      <c r="F168" s="7" t="n"/>
      <c r="G168" s="13" t="inlineStr">
        <is>
          <t>关</t>
        </is>
      </c>
      <c r="H168" s="8">
        <f>IF(TRIM($G168)="","",IF(EXACT(TRIM($G168),TRIM($C168)),"✅ Đúng","❌ Sai"))</f>
        <v/>
      </c>
      <c r="I168" s="9">
        <f>HYPERLINK("https://translate.google.com/translate_tts?ie=UTF-8&amp;tl=zh-CN&amp;client=tw-ob&amp;q=关","▶")</f>
        <v/>
      </c>
      <c r="J168" s="9">
        <f>HYPERLINK("https://youglish.com/pronounce/关/chinese","🔍")</f>
        <v/>
      </c>
      <c r="K168" s="10" t="n"/>
      <c r="L168" s="11" t="n"/>
      <c r="M168" s="10" t="n"/>
      <c r="N168" s="11" t="n"/>
      <c r="O168" s="10" t="n"/>
      <c r="P168" s="11" t="n"/>
      <c r="Q168" s="10" t="n"/>
      <c r="R168" s="12" t="inlineStr">
        <is>
          <t>2026-06-17</t>
        </is>
      </c>
      <c r="S168" s="17" t="n"/>
      <c r="T168" s="46" t="inlineStr">
        <is>
          <t>关 [QUAN] · đóng lại; liên quan; cửa ải
    ↳ Chiết tự: giản thể của 關: bộ 丷 (bát) + 天 (thiên) — hình then ngang cài cửa</t>
        </is>
      </c>
      <c r="U168" s="22" t="inlineStr">
        <is>
          <t>🏃 Động từ thường ngày</t>
        </is>
      </c>
      <c r="V168" s="63" t="inlineStr">
        <is>
          <t>请关灯。</t>
        </is>
      </c>
      <c r="W168" s="64" t="inlineStr">
        <is>
          <t>Qǐng guān dēng.
Xin tắt đèn.</t>
        </is>
      </c>
    </row>
    <row r="169" hidden="1" ht="69.75" customHeight="1" s="99">
      <c r="A169" s="2" t="n">
        <v>126</v>
      </c>
      <c r="B169" s="3" t="inlineStr">
        <is>
          <t>HSK1</t>
        </is>
      </c>
      <c r="C169" s="4" t="inlineStr">
        <is>
          <t>关上</t>
        </is>
      </c>
      <c r="D169" s="5" t="inlineStr">
        <is>
          <t>guānshàng</t>
        </is>
      </c>
      <c r="E169" s="6" t="inlineStr">
        <is>
          <t>khép vào</t>
        </is>
      </c>
      <c r="F169" s="7" t="n"/>
      <c r="G169" s="7" t="inlineStr">
        <is>
          <t>关上</t>
        </is>
      </c>
      <c r="H169" s="8">
        <f>IF(TRIM($G169)="","",IF(EXACT(TRIM($G169),TRIM($C169)),"✅ Đúng","❌ Sai"))</f>
        <v/>
      </c>
      <c r="I169" s="9">
        <f>HYPERLINK("https://translate.google.com/translate_tts?ie=UTF-8&amp;tl=zh-CN&amp;client=tw-ob&amp;q=关上","▶")</f>
        <v/>
      </c>
      <c r="J169" s="9">
        <f>HYPERLINK("https://youglish.com/pronounce/关上/chinese","🔍")</f>
        <v/>
      </c>
      <c r="K169" s="10" t="n"/>
      <c r="L169" s="11" t="n"/>
      <c r="M169" s="10" t="n"/>
      <c r="N169" s="11" t="n"/>
      <c r="O169" s="10" t="n"/>
      <c r="P169" s="11" t="n"/>
      <c r="Q169" s="10" t="n"/>
      <c r="R169" s="12" t="inlineStr">
        <is>
          <t>2026-06-17</t>
        </is>
      </c>
      <c r="S169" s="18" t="n"/>
      <c r="T169" s="46" t="inlineStr">
        <is>
          <t>关 [QUAN] · đóng lại; liên quan; cửa ải
    ↳ Chiết tự: giản thể của 關: bộ 丷 (bát) + 天 (thiên) — hình then ngang cài cửa
上 [THƯỢNG] · ở trên, lên, trước đó
    ↳ Chiết tự: bộ 一 (nhất – mặt đất) + vạch chỉ hướng lên — chữ chỉ sự</t>
        </is>
      </c>
      <c r="U169" s="22" t="inlineStr">
        <is>
          <t>🏃 Động từ thường ngày</t>
        </is>
      </c>
      <c r="V169" s="63" t="inlineStr">
        <is>
          <t>请把门关上。</t>
        </is>
      </c>
      <c r="W169" s="64" t="inlineStr">
        <is>
          <t>Qǐng bǎ mén guān shàng.
Xin đóng cửa lại.</t>
        </is>
      </c>
    </row>
    <row r="170" ht="34.9" customHeight="1" s="99">
      <c r="A170" s="2" t="n">
        <v>131</v>
      </c>
      <c r="B170" s="60" t="inlineStr">
        <is>
          <t>HSK1+2+3</t>
        </is>
      </c>
      <c r="C170" s="4" t="inlineStr">
        <is>
          <t>过</t>
        </is>
      </c>
      <c r="D170" s="5" t="inlineStr">
        <is>
          <t>guò</t>
        </is>
      </c>
      <c r="E170" s="6" t="inlineStr">
        <is>
          <t>(đi) qua</t>
        </is>
      </c>
      <c r="F170" s="7" t="n"/>
      <c r="G170" s="7" t="n"/>
      <c r="H170" s="8">
        <f>IF(TRIM($G170)="","",IF(EXACT(TRIM($G170),TRIM($C170)),"✅ Đúng","❌ Sai"))</f>
        <v/>
      </c>
      <c r="I170" s="9">
        <f>HYPERLINK("https://translate.google.com/translate_tts?ie=UTF-8&amp;tl=zh-CN&amp;client=tw-ob&amp;q=过","▶")</f>
        <v/>
      </c>
      <c r="J170" s="9">
        <f>HYPERLINK("https://youglish.com/pronounce/过/chinese","🔍")</f>
        <v/>
      </c>
      <c r="K170" s="10" t="n"/>
      <c r="L170" s="11" t="n"/>
      <c r="M170" s="10" t="n"/>
      <c r="N170" s="11" t="n"/>
      <c r="O170" s="10" t="n"/>
      <c r="P170" s="11" t="n"/>
      <c r="Q170" s="10" t="n"/>
      <c r="R170" s="12" t="inlineStr">
        <is>
          <t>2026-06-17</t>
        </is>
      </c>
      <c r="S170" s="17" t="n"/>
      <c r="T170" s="46" t="inlineStr">
        <is>
          <t>过 [QUÁ] · đi qua; đã từng; quá mức
    ↳ Chiết tự: giản thể của 過: bộ 辶 (sước – bước đi) + 寸 (thốn – tấc) — bước ngang qua</t>
        </is>
      </c>
      <c r="U170" s="22" t="inlineStr">
        <is>
          <t>🏃 Động từ thường ngày</t>
        </is>
      </c>
      <c r="V170" s="63" t="inlineStr">
        <is>
          <t>我去过中国。</t>
        </is>
      </c>
      <c r="W170" s="64" t="inlineStr">
        <is>
          <t>Wǒ qù guo Zhōngguó.
Tôi từng đi Trung Quốc.</t>
        </is>
      </c>
    </row>
    <row r="171" ht="34.9" customHeight="1" s="99">
      <c r="A171" s="2" t="n">
        <v>160</v>
      </c>
      <c r="B171" s="25" t="inlineStr">
        <is>
          <t>HSK1+2</t>
        </is>
      </c>
      <c r="C171" s="4" t="inlineStr">
        <is>
          <t>会</t>
        </is>
      </c>
      <c r="D171" s="5" t="inlineStr">
        <is>
          <t>huì</t>
        </is>
      </c>
      <c r="E171" s="6" t="inlineStr">
        <is>
          <t>sẽ, biết làm</t>
        </is>
      </c>
      <c r="F171" s="7" t="n"/>
      <c r="G171" s="7" t="n"/>
      <c r="H171" s="8">
        <f>IF(TRIM($G171)="","",IF(EXACT(TRIM($G171),TRIM($C171)),"✅ Đúng","❌ Sai"))</f>
        <v/>
      </c>
      <c r="I171" s="9">
        <f>HYPERLINK("https://translate.google.com/translate_tts?ie=UTF-8&amp;tl=zh-CN&amp;client=tw-ob&amp;q=会","▶")</f>
        <v/>
      </c>
      <c r="J171" s="9">
        <f>HYPERLINK("https://youglish.com/pronounce/会/chinese","🔍")</f>
        <v/>
      </c>
      <c r="K171" s="10" t="n"/>
      <c r="L171" s="11" t="n"/>
      <c r="M171" s="10" t="n"/>
      <c r="N171" s="11" t="n"/>
      <c r="O171" s="10" t="n"/>
      <c r="P171" s="11" t="n"/>
      <c r="Q171" s="10" t="n"/>
      <c r="R171" s="12" t="inlineStr">
        <is>
          <t>2026-06-17</t>
        </is>
      </c>
      <c r="S171" s="18" t="n"/>
      <c r="T171" s="46" t="inlineStr">
        <is>
          <t>会 [HỘI] · biết làm; họp, hội
    ↳ Chiết tự: giản thể của 會: bộ 人 (nhân – người) + 云 (vân – mây) — người tụ như mây thì thành hội, hội đủ thì biết</t>
        </is>
      </c>
      <c r="U171" s="22" t="inlineStr">
        <is>
          <t>🏃 Động từ thường ngày</t>
        </is>
      </c>
      <c r="V171" s="63" t="inlineStr">
        <is>
          <t>我会说汉语。</t>
        </is>
      </c>
      <c r="W171" s="64" t="inlineStr">
        <is>
          <t>Wǒ huì shuō Hànyǔ.
Tôi biết nói tiếng Trung.</t>
        </is>
      </c>
    </row>
    <row r="172" hidden="1" ht="69.75" customHeight="1" s="99">
      <c r="A172" s="2" t="n">
        <v>187</v>
      </c>
      <c r="B172" s="25" t="inlineStr">
        <is>
          <t>HSK1+2</t>
        </is>
      </c>
      <c r="C172" s="4" t="inlineStr">
        <is>
          <t>觉得</t>
        </is>
      </c>
      <c r="D172" s="5" t="inlineStr">
        <is>
          <t>juéde</t>
        </is>
      </c>
      <c r="E172" s="6" t="inlineStr">
        <is>
          <t>cảm thấy</t>
        </is>
      </c>
      <c r="F172" s="7" t="n"/>
      <c r="G172" s="7" t="inlineStr">
        <is>
          <t>觉得</t>
        </is>
      </c>
      <c r="H172" s="8">
        <f>IF(TRIM($G172)="","",IF(EXACT(TRIM($G172),TRIM($C172)),"✅ Đúng","❌ Sai"))</f>
        <v/>
      </c>
      <c r="I172" s="9">
        <f>HYPERLINK("https://translate.google.com/translate_tts?ie=UTF-8&amp;tl=zh-CN&amp;client=tw-ob&amp;q=觉得","▶")</f>
        <v/>
      </c>
      <c r="J172" s="9">
        <f>HYPERLINK("https://youglish.com/pronounce/觉得/chinese","🔍")</f>
        <v/>
      </c>
      <c r="K172" s="10" t="n"/>
      <c r="L172" s="11" t="n"/>
      <c r="M172" s="10" t="n"/>
      <c r="N172" s="11" t="n"/>
      <c r="O172" s="10" t="n"/>
      <c r="P172" s="11" t="n"/>
      <c r="Q172" s="10" t="n"/>
      <c r="R172" s="12" t="inlineStr">
        <is>
          <t>2026-06-17</t>
        </is>
      </c>
      <c r="S172" s="17" t="n"/>
      <c r="T172" s="46" t="inlineStr">
        <is>
          <t>觉 [GIÁC / GIÁO] · cảm thấy, giác ngộ; giấc ngủ
    ↳ Chiết tự: giản thể của 覺: bộ 学 rút gọn + 见 (kiến – thấy) — học mà thấy ra, tỉnh ngộ
得 [ĐẮC] · được, đạt được; trợ từ bổ ngữ
    ↳ Chiết tự: bộ 彳 (xích – bước đi) + 旦 + 寸 (thốn – tay) — đi đường nhặt được của</t>
        </is>
      </c>
      <c r="U172" s="22" t="inlineStr">
        <is>
          <t>🏃 Động từ thường ngày</t>
        </is>
      </c>
      <c r="V172" s="63" t="inlineStr">
        <is>
          <t>我觉得这里很好。</t>
        </is>
      </c>
      <c r="W172" s="64" t="inlineStr">
        <is>
          <t>Wǒ juéde zhèli hěn hǎo.
Tôi thấy ở đây rất tốt.</t>
        </is>
      </c>
    </row>
    <row r="173" hidden="1" ht="34.9" customHeight="1" s="99">
      <c r="A173" s="2" t="n">
        <v>188</v>
      </c>
      <c r="B173" s="25" t="inlineStr">
        <is>
          <t>HSK1+2</t>
        </is>
      </c>
      <c r="C173" s="4" t="inlineStr">
        <is>
          <t>开</t>
        </is>
      </c>
      <c r="D173" s="5" t="inlineStr">
        <is>
          <t>kāi</t>
        </is>
      </c>
      <c r="E173" s="6" t="inlineStr">
        <is>
          <t>mở</t>
        </is>
      </c>
      <c r="F173" s="13" t="inlineStr">
        <is>
          <t>开</t>
        </is>
      </c>
      <c r="G173" s="7" t="inlineStr">
        <is>
          <t>开</t>
        </is>
      </c>
      <c r="H173" s="8">
        <f>IF(TRIM($G173)="","",IF(EXACT(TRIM($G173),TRIM($C173)),"✅ Đúng","❌ Sai"))</f>
        <v/>
      </c>
      <c r="I173" s="9">
        <f>HYPERLINK("https://translate.google.com/translate_tts?ie=UTF-8&amp;tl=zh-CN&amp;client=tw-ob&amp;q=开","▶")</f>
        <v/>
      </c>
      <c r="J173" s="9">
        <f>HYPERLINK("https://youglish.com/pronounce/开/chinese","🔍")</f>
        <v/>
      </c>
      <c r="K173" s="10" t="n"/>
      <c r="L173" s="11" t="n"/>
      <c r="M173" s="10" t="n"/>
      <c r="N173" s="11" t="n"/>
      <c r="O173" s="10" t="n"/>
      <c r="P173" s="11" t="n"/>
      <c r="Q173" s="10" t="n"/>
      <c r="R173" s="12" t="inlineStr">
        <is>
          <t>2026-06-17</t>
        </is>
      </c>
      <c r="S173" s="18" t="n"/>
      <c r="T173" s="46" t="inlineStr">
        <is>
          <t>开 [KHAI] · mở ra, bắt đầu, khai trương
    ↳ Chiết tự: giản thể của 開: bộ 廾 (củng – hai tay) — hai tay nhấc then cửa lên</t>
        </is>
      </c>
      <c r="U173" s="22" t="inlineStr">
        <is>
          <t>🏃 Động từ thường ngày</t>
        </is>
      </c>
      <c r="V173" s="63" t="inlineStr">
        <is>
          <t>请开门。</t>
        </is>
      </c>
      <c r="W173" s="64" t="inlineStr">
        <is>
          <t>Qǐng kāi mén.
Xin mở cửa.</t>
        </is>
      </c>
    </row>
    <row r="174" hidden="1" ht="69.75" customHeight="1" s="99">
      <c r="A174" s="2" t="n">
        <v>189</v>
      </c>
      <c r="B174" s="3" t="inlineStr">
        <is>
          <t>HSK1</t>
        </is>
      </c>
      <c r="C174" s="4" t="inlineStr">
        <is>
          <t>开车</t>
        </is>
      </c>
      <c r="D174" s="5" t="inlineStr">
        <is>
          <t>kāichē</t>
        </is>
      </c>
      <c r="E174" s="6" t="inlineStr">
        <is>
          <t>lái xe</t>
        </is>
      </c>
      <c r="F174" s="13" t="inlineStr">
        <is>
          <t>开车</t>
        </is>
      </c>
      <c r="G174" s="7" t="inlineStr">
        <is>
          <t>开车</t>
        </is>
      </c>
      <c r="H174" s="8">
        <f>IF(TRIM($G174)="","",IF(EXACT(TRIM($G174),TRIM($C174)),"✅ Đúng","❌ Sai"))</f>
        <v/>
      </c>
      <c r="I174" s="9">
        <f>HYPERLINK("https://translate.google.com/translate_tts?ie=UTF-8&amp;tl=zh-CN&amp;client=tw-ob&amp;q=开车","▶")</f>
        <v/>
      </c>
      <c r="J174" s="9">
        <f>HYPERLINK("https://youglish.com/pronounce/开车/chinese","🔍")</f>
        <v/>
      </c>
      <c r="K174" s="10" t="n"/>
      <c r="L174" s="11" t="n"/>
      <c r="M174" s="10" t="n"/>
      <c r="N174" s="11" t="n"/>
      <c r="O174" s="10" t="n"/>
      <c r="P174" s="11" t="n"/>
      <c r="Q174" s="10" t="n"/>
      <c r="R174" s="12" t="inlineStr">
        <is>
          <t>2026-06-17</t>
        </is>
      </c>
      <c r="S174" s="17" t="n"/>
      <c r="T174" s="46" t="inlineStr">
        <is>
          <t>开 [KHAI] · mở ra, bắt đầu, khai trương
    ↳ Chiết tự: giản thể của 開: bộ 廾 (củng – hai tay) — hai tay nhấc then cửa lên
车 [XA / XE] · xe cộ
    ↳ Chiết tự: giản thể của 車: bộ 车 (xa) — hình chiếc xe nhìn từ trên, có trục và bánh</t>
        </is>
      </c>
      <c r="U174" s="22" t="inlineStr">
        <is>
          <t>🏃 Động từ thường ngày</t>
        </is>
      </c>
      <c r="V174" s="63" t="inlineStr">
        <is>
          <t>他会开车。</t>
        </is>
      </c>
      <c r="W174" s="64" t="inlineStr">
        <is>
          <t>Tā huì kāichē.
Anh ấy biết lái xe.</t>
        </is>
      </c>
    </row>
    <row r="175" hidden="1" ht="34.9" customHeight="1" s="99">
      <c r="A175" s="2" t="n">
        <v>192</v>
      </c>
      <c r="B175" s="25" t="inlineStr">
        <is>
          <t>HSK1+2</t>
        </is>
      </c>
      <c r="C175" s="4" t="inlineStr">
        <is>
          <t>看</t>
        </is>
      </c>
      <c r="D175" s="5" t="inlineStr">
        <is>
          <t>kàn</t>
        </is>
      </c>
      <c r="E175" s="6" t="inlineStr">
        <is>
          <t>nhìn, xem</t>
        </is>
      </c>
      <c r="F175" s="13" t="inlineStr">
        <is>
          <t>看</t>
        </is>
      </c>
      <c r="G175" s="7" t="inlineStr">
        <is>
          <t>看</t>
        </is>
      </c>
      <c r="H175" s="8">
        <f>IF(TRIM($G175)="","",IF(EXACT(TRIM($G175),TRIM($C175)),"✅ Đúng","❌ Sai"))</f>
        <v/>
      </c>
      <c r="I175" s="9">
        <f>HYPERLINK("https://translate.google.com/translate_tts?ie=UTF-8&amp;tl=zh-CN&amp;client=tw-ob&amp;q=看","▶")</f>
        <v/>
      </c>
      <c r="J175" s="9">
        <f>HYPERLINK("https://youglish.com/pronounce/看/chinese","🔍")</f>
        <v/>
      </c>
      <c r="K175" s="10" t="n"/>
      <c r="L175" s="11" t="n"/>
      <c r="M175" s="10" t="n"/>
      <c r="N175" s="11" t="n"/>
      <c r="O175" s="10" t="n"/>
      <c r="P175" s="11" t="n"/>
      <c r="Q175" s="10" t="n"/>
      <c r="R175" s="12" t="inlineStr">
        <is>
          <t>2026-06-17</t>
        </is>
      </c>
      <c r="S175" s="18" t="n"/>
      <c r="T175" s="46" t="inlineStr">
        <is>
          <t>看 [KHÁN] · nhìn, xem, trông coi
    ↳ Chiết tự: bộ 手 (thủ – bàn tay) đặt trên 目 (mục – con mắt) — che tay lên mắt mà ngóng</t>
        </is>
      </c>
      <c r="U175" s="22" t="inlineStr">
        <is>
          <t>🏃 Động từ thường ngày</t>
        </is>
      </c>
      <c r="V175" s="63" t="inlineStr">
        <is>
          <t>我在看电视。</t>
        </is>
      </c>
      <c r="W175" s="64" t="inlineStr">
        <is>
          <t>Wǒ zài kàn diànshì.
Tôi đang xem tivi.</t>
        </is>
      </c>
    </row>
    <row r="176" hidden="1" ht="69.75" customHeight="1" s="99">
      <c r="A176" s="2" t="n">
        <v>194</v>
      </c>
      <c r="B176" s="3" t="inlineStr">
        <is>
          <t>HSK1</t>
        </is>
      </c>
      <c r="C176" s="4" t="inlineStr">
        <is>
          <t>看到</t>
        </is>
      </c>
      <c r="D176" s="5" t="inlineStr">
        <is>
          <t>kàndào</t>
        </is>
      </c>
      <c r="E176" s="6" t="inlineStr">
        <is>
          <t>nhìn thấy</t>
        </is>
      </c>
      <c r="F176" s="13" t="inlineStr">
        <is>
          <t>看到</t>
        </is>
      </c>
      <c r="G176" s="7" t="inlineStr">
        <is>
          <t>看到</t>
        </is>
      </c>
      <c r="H176" s="8">
        <f>IF(TRIM($G176)="","",IF(EXACT(TRIM($G176),TRIM($C176)),"✅ Đúng","❌ Sai"))</f>
        <v/>
      </c>
      <c r="I176" s="9">
        <f>HYPERLINK("https://translate.google.com/translate_tts?ie=UTF-8&amp;tl=zh-CN&amp;client=tw-ob&amp;q=看到","▶")</f>
        <v/>
      </c>
      <c r="J176" s="9">
        <f>HYPERLINK("https://youglish.com/pronounce/看到/chinese","🔍")</f>
        <v/>
      </c>
      <c r="K176" s="10" t="n"/>
      <c r="L176" s="11" t="n"/>
      <c r="M176" s="10" t="n"/>
      <c r="N176" s="11" t="n"/>
      <c r="O176" s="10" t="n"/>
      <c r="P176" s="11" t="n"/>
      <c r="Q176" s="10" t="n"/>
      <c r="R176" s="12" t="inlineStr">
        <is>
          <t>2026-06-17</t>
        </is>
      </c>
      <c r="S176" s="18" t="n"/>
      <c r="T176" s="46" t="inlineStr">
        <is>
          <t>看 [KHÁN] · nhìn, xem, trông coi
    ↳ Chiết tự: bộ 手 (thủ – bàn tay) đặt trên 目 (mục – con mắt) — che tay lên mắt mà ngóng
到 [ĐÁO] · đến, tới, chu đáo
    ↳ Chiết tự: bộ 至 (chí – tới nơi) + 刂 (đao đứng – âm đọc) — mũi tên cắm tới đích</t>
        </is>
      </c>
      <c r="U176" s="22" t="inlineStr">
        <is>
          <t>🏃 Động từ thường ngày</t>
        </is>
      </c>
      <c r="V176" s="63" t="inlineStr">
        <is>
          <t>我看到他了。</t>
        </is>
      </c>
      <c r="W176" s="64" t="inlineStr">
        <is>
          <t>Wǒ kàn dào tā le.
Tôi thấy anh ấy rồi.</t>
        </is>
      </c>
    </row>
    <row r="177" hidden="1" ht="69.75" customHeight="1" s="99">
      <c r="A177" s="2" t="n">
        <v>195</v>
      </c>
      <c r="B177" s="25" t="inlineStr">
        <is>
          <t>HSK1+2</t>
        </is>
      </c>
      <c r="C177" s="4" t="inlineStr">
        <is>
          <t>看见</t>
        </is>
      </c>
      <c r="D177" s="5" t="inlineStr">
        <is>
          <t>kànjiàn</t>
        </is>
      </c>
      <c r="E177" s="6" t="inlineStr">
        <is>
          <t>nhìn thấy</t>
        </is>
      </c>
      <c r="F177" s="13" t="inlineStr">
        <is>
          <t>看见</t>
        </is>
      </c>
      <c r="G177" s="7" t="inlineStr">
        <is>
          <t>看见</t>
        </is>
      </c>
      <c r="H177" s="8">
        <f>IF(TRIM($G177)="","",IF(EXACT(TRIM($G177),TRIM($C177)),"✅ Đúng","❌ Sai"))</f>
        <v/>
      </c>
      <c r="I177" s="9">
        <f>HYPERLINK("https://translate.google.com/translate_tts?ie=UTF-8&amp;tl=zh-CN&amp;client=tw-ob&amp;q=看见","▶")</f>
        <v/>
      </c>
      <c r="J177" s="9">
        <f>HYPERLINK("https://youglish.com/pronounce/看见/chinese","🔍")</f>
        <v/>
      </c>
      <c r="K177" s="10" t="n"/>
      <c r="L177" s="11" t="n"/>
      <c r="M177" s="10" t="n"/>
      <c r="N177" s="11" t="n"/>
      <c r="O177" s="10" t="n"/>
      <c r="P177" s="11" t="n"/>
      <c r="Q177" s="10" t="n"/>
      <c r="R177" s="12" t="inlineStr">
        <is>
          <t>2026-06-17</t>
        </is>
      </c>
      <c r="S177" s="17" t="n"/>
      <c r="T177" s="46" t="inlineStr">
        <is>
          <t>看 [KHÁN] · nhìn, xem, trông coi
    ↳ Chiết tự: bộ 手 (thủ – bàn tay) đặt trên 目 (mục – con mắt) — che tay lên mắt mà ngóng
见 [KIẾN] · thấy, gặp mặt
    ↳ Chiết tự: giản thể của 見: bộ 目 (mục – con mắt) trên 儿 (nhân đi – người) — người mở mắt trông</t>
        </is>
      </c>
      <c r="U177" s="22" t="inlineStr">
        <is>
          <t>🏃 Động từ thường ngày</t>
        </is>
      </c>
      <c r="V177" s="63" t="inlineStr">
        <is>
          <t>你看见我的手机了吗？</t>
        </is>
      </c>
      <c r="W177" s="64" t="inlineStr">
        <is>
          <t>Nǐ kànjiàn wǒ de shǒujī le ma?
Bạn có thấy điện thoại của tôi không?</t>
        </is>
      </c>
    </row>
    <row r="178" hidden="1" ht="34.9" customHeight="1" s="99">
      <c r="A178" s="2" t="n">
        <v>229</v>
      </c>
      <c r="B178" s="3" t="inlineStr">
        <is>
          <t>HSK1</t>
        </is>
      </c>
      <c r="C178" s="4" t="inlineStr">
        <is>
          <t>没</t>
        </is>
      </c>
      <c r="D178" s="5" t="inlineStr">
        <is>
          <t>méi</t>
        </is>
      </c>
      <c r="E178" s="6" t="inlineStr">
        <is>
          <t>không, chưa</t>
        </is>
      </c>
      <c r="F178" s="7" t="n"/>
      <c r="G178" s="7" t="inlineStr">
        <is>
          <t>没</t>
        </is>
      </c>
      <c r="H178" s="8">
        <f>IF(TRIM($G178)="","",IF(EXACT(TRIM($G178),TRIM($C178)),"✅ Đúng","❌ Sai"))</f>
        <v/>
      </c>
      <c r="I178" s="9">
        <f>HYPERLINK("https://translate.google.com/translate_tts?ie=UTF-8&amp;tl=zh-CN&amp;client=tw-ob&amp;q=没","▶")</f>
        <v/>
      </c>
      <c r="J178" s="9">
        <f>HYPERLINK("https://youglish.com/pronounce/没/chinese","🔍")</f>
        <v/>
      </c>
      <c r="K178" s="10" t="n"/>
      <c r="L178" s="11" t="n"/>
      <c r="M178" s="10" t="n"/>
      <c r="N178" s="11" t="n"/>
      <c r="O178" s="10" t="n"/>
      <c r="P178" s="11" t="n"/>
      <c r="Q178" s="10" t="n"/>
      <c r="R178" s="12" t="inlineStr">
        <is>
          <t>2026-06-17</t>
        </is>
      </c>
      <c r="S178" s="17" t="n"/>
      <c r="T178" s="46" t="inlineStr">
        <is>
          <t>没 [MỘT / MẶC] · không có; chìm mất
    ↳ Chiết tự: bộ 氵 (thủy – nước) + 殳 (thù) — chìm xuống nước rồi mất</t>
        </is>
      </c>
      <c r="U178" s="22" t="inlineStr">
        <is>
          <t>🏃 Động từ thường ngày</t>
        </is>
      </c>
      <c r="V178" s="63" t="inlineStr">
        <is>
          <t>我没去过北京。</t>
        </is>
      </c>
      <c r="W178" s="64" t="inlineStr">
        <is>
          <t>Wǒ méi qù guo Běijīng.
Tôi chưa từng đi Bắc Kinh.</t>
        </is>
      </c>
    </row>
    <row r="179" hidden="1" ht="69.75" customHeight="1" s="99">
      <c r="A179" s="2" t="n">
        <v>231</v>
      </c>
      <c r="B179" s="25" t="inlineStr">
        <is>
          <t>HSK1+2</t>
        </is>
      </c>
      <c r="C179" s="4" t="inlineStr">
        <is>
          <t>没有</t>
        </is>
      </c>
      <c r="D179" s="5" t="inlineStr">
        <is>
          <t>méiyǒu</t>
        </is>
      </c>
      <c r="E179" s="6" t="inlineStr">
        <is>
          <t>không có</t>
        </is>
      </c>
      <c r="F179" s="13" t="inlineStr">
        <is>
          <t>没有</t>
        </is>
      </c>
      <c r="G179" s="7" t="inlineStr">
        <is>
          <t>没有</t>
        </is>
      </c>
      <c r="H179" s="8">
        <f>IF(TRIM($G179)="","",IF(EXACT(TRIM($G179),TRIM($C179)),"✅ Đúng","❌ Sai"))</f>
        <v/>
      </c>
      <c r="I179" s="9">
        <f>HYPERLINK("https://translate.google.com/translate_tts?ie=UTF-8&amp;tl=zh-CN&amp;client=tw-ob&amp;q=没有","▶")</f>
        <v/>
      </c>
      <c r="J179" s="9">
        <f>HYPERLINK("https://youglish.com/pronounce/没有/chinese","🔍")</f>
        <v/>
      </c>
      <c r="K179" s="10" t="n"/>
      <c r="L179" s="11" t="n"/>
      <c r="M179" s="10" t="n"/>
      <c r="N179" s="11" t="n"/>
      <c r="O179" s="10" t="n"/>
      <c r="P179" s="11" t="n"/>
      <c r="Q179" s="10" t="n"/>
      <c r="R179" s="12" t="inlineStr">
        <is>
          <t>2026-06-17</t>
        </is>
      </c>
      <c r="S179" s="17" t="n"/>
      <c r="T179" s="46" t="inlineStr">
        <is>
          <t>没 [MỘT / MẶC] · không có; chìm mất
    ↳ Chiết tự: bộ 氵 (thủy – nước) + 殳 (thù) — chìm xuống nước rồi mất
有 [HỮU] · có, sở hữu
    ↳ Chiết tự: bộ 又 (hựu – bàn tay) + 月 (nhục – miếng thịt) — tay cầm miếng thịt là có của</t>
        </is>
      </c>
      <c r="U179" s="22" t="inlineStr">
        <is>
          <t>🏃 Động từ thường ngày</t>
        </is>
      </c>
      <c r="V179" s="63" t="inlineStr">
        <is>
          <t>我没有时间。</t>
        </is>
      </c>
      <c r="W179" s="64" t="inlineStr">
        <is>
          <t>Wǒ méiyǒu shíjiān.
Tôi không có thời gian.</t>
        </is>
      </c>
    </row>
    <row r="180" ht="34.9" customHeight="1" s="99">
      <c r="A180" s="2" t="n">
        <v>246</v>
      </c>
      <c r="B180" s="60" t="inlineStr">
        <is>
          <t>HSK1+3</t>
        </is>
      </c>
      <c r="C180" s="4" t="inlineStr">
        <is>
          <t>拿</t>
        </is>
      </c>
      <c r="D180" s="5" t="inlineStr">
        <is>
          <t>ná</t>
        </is>
      </c>
      <c r="E180" s="6" t="inlineStr">
        <is>
          <t>cầm, nắm</t>
        </is>
      </c>
      <c r="F180" s="7" t="n"/>
      <c r="G180" s="7" t="n"/>
      <c r="H180" s="8">
        <f>IF(TRIM($G180)="","",IF(EXACT(TRIM($G180),TRIM($C180)),"✅ Đúng","❌ Sai"))</f>
        <v/>
      </c>
      <c r="I180" s="9">
        <f>HYPERLINK("https://translate.google.com/translate_tts?ie=UTF-8&amp;tl=zh-CN&amp;client=tw-ob&amp;q=拿","▶")</f>
        <v/>
      </c>
      <c r="J180" s="9">
        <f>HYPERLINK("https://youglish.com/pronounce/拿/chinese","🔍")</f>
        <v/>
      </c>
      <c r="K180" s="10" t="n"/>
      <c r="L180" s="11" t="n"/>
      <c r="M180" s="10" t="n"/>
      <c r="N180" s="11" t="n"/>
      <c r="O180" s="10" t="n"/>
      <c r="P180" s="11" t="n"/>
      <c r="Q180" s="10" t="n"/>
      <c r="R180" s="12" t="inlineStr">
        <is>
          <t>2026-06-17</t>
        </is>
      </c>
      <c r="S180" s="18" t="n"/>
      <c r="T180" s="46" t="inlineStr">
        <is>
          <t>拿 [NÃ] · cầm, nắm, lấy
    ↳ Chiết tự: bộ 合 (hợp – khép lại) + 手 (thủ – bàn tay) — khép tay lại mà nắm</t>
        </is>
      </c>
      <c r="U180" s="22" t="inlineStr">
        <is>
          <t>🏃 Động từ thường ngày</t>
        </is>
      </c>
      <c r="V180" s="63" t="inlineStr">
        <is>
          <t>请拿一本书给我。</t>
        </is>
      </c>
      <c r="W180" s="64" t="inlineStr">
        <is>
          <t>Qǐng ná yì běn shū gěi wǒ.
Xin lấy một quyển sách cho tôi.</t>
        </is>
      </c>
    </row>
    <row r="181" hidden="1" ht="34.9" customHeight="1" s="99">
      <c r="A181" s="2" t="n">
        <v>259</v>
      </c>
      <c r="B181" s="25" t="inlineStr">
        <is>
          <t>HSK1+2</t>
        </is>
      </c>
      <c r="C181" s="4" t="inlineStr">
        <is>
          <t>能</t>
        </is>
      </c>
      <c r="D181" s="5" t="inlineStr">
        <is>
          <t>néng</t>
        </is>
      </c>
      <c r="E181" s="6" t="inlineStr">
        <is>
          <t>có thể</t>
        </is>
      </c>
      <c r="F181" s="7" t="n"/>
      <c r="G181" s="13" t="inlineStr">
        <is>
          <t>能</t>
        </is>
      </c>
      <c r="H181" s="8">
        <f>IF(TRIM($G181)="","",IF(EXACT(TRIM($G181),TRIM($C181)),"✅ Đúng","❌ Sai"))</f>
        <v/>
      </c>
      <c r="I181" s="9">
        <f>HYPERLINK("https://translate.google.com/translate_tts?ie=UTF-8&amp;tl=zh-CN&amp;client=tw-ob&amp;q=能","▶")</f>
        <v/>
      </c>
      <c r="J181" s="9">
        <f>HYPERLINK("https://youglish.com/pronounce/能/chinese","🔍")</f>
        <v/>
      </c>
      <c r="K181" s="10" t="n"/>
      <c r="L181" s="11" t="n"/>
      <c r="M181" s="10" t="n"/>
      <c r="N181" s="11" t="n"/>
      <c r="O181" s="10" t="n"/>
      <c r="P181" s="11" t="n"/>
      <c r="Q181" s="10" t="n"/>
      <c r="R181" s="12" t="inlineStr">
        <is>
          <t>2026-06-17</t>
        </is>
      </c>
      <c r="S181" s="17" t="n"/>
      <c r="T181" s="46" t="inlineStr">
        <is>
          <t>能 [NĂNG] · có thể, năng lực
    ↳ Chiết tự: bộ 月 (nhục) + 匕 (chủy) — hình con gấu khỏe, chỉ khả năng</t>
        </is>
      </c>
      <c r="U181" s="22" t="inlineStr">
        <is>
          <t>🏃 Động từ thường ngày</t>
        </is>
      </c>
      <c r="V181" s="63" t="inlineStr">
        <is>
          <t>你能帮我吗？</t>
        </is>
      </c>
      <c r="W181" s="64" t="inlineStr">
        <is>
          <t>Nǐ néng bāng wǒ ma?
Bạn có thể giúp tôi không?</t>
        </is>
      </c>
    </row>
    <row r="182" hidden="1" ht="34.9" customHeight="1" s="99">
      <c r="A182" s="2" t="n">
        <v>273</v>
      </c>
      <c r="B182" s="3" t="inlineStr">
        <is>
          <t>HSK1</t>
        </is>
      </c>
      <c r="C182" s="4" t="inlineStr">
        <is>
          <t>跑</t>
        </is>
      </c>
      <c r="D182" s="5" t="inlineStr">
        <is>
          <t>pǎo</t>
        </is>
      </c>
      <c r="E182" s="6" t="inlineStr">
        <is>
          <t>chạy</t>
        </is>
      </c>
      <c r="F182" s="13" t="inlineStr">
        <is>
          <t>跑</t>
        </is>
      </c>
      <c r="G182" s="7" t="inlineStr">
        <is>
          <t>跑</t>
        </is>
      </c>
      <c r="H182" s="8">
        <f>IF(TRIM($G182)="","",IF(EXACT(TRIM($G182),TRIM($C182)),"✅ Đúng","❌ Sai"))</f>
        <v/>
      </c>
      <c r="I182" s="9">
        <f>HYPERLINK("https://translate.google.com/translate_tts?ie=UTF-8&amp;tl=zh-CN&amp;client=tw-ob&amp;q=跑","▶")</f>
        <v/>
      </c>
      <c r="J182" s="9">
        <f>HYPERLINK("https://youglish.com/pronounce/跑/chinese","🔍")</f>
        <v/>
      </c>
      <c r="K182" s="10" t="n"/>
      <c r="L182" s="11" t="n"/>
      <c r="M182" s="10" t="n"/>
      <c r="N182" s="11" t="n"/>
      <c r="O182" s="10" t="n"/>
      <c r="P182" s="11" t="n"/>
      <c r="Q182" s="10" t="n"/>
      <c r="R182" s="12" t="inlineStr">
        <is>
          <t>2026-06-17</t>
        </is>
      </c>
      <c r="S182" s="18" t="n"/>
      <c r="T182" s="46" t="inlineStr">
        <is>
          <t>跑 [BÀO] · chạy
    ↳ Chiết tự: bộ 足 (túc – bàn chân) + 包 (bao – âm đọc) — chân guồng nhanh</t>
        </is>
      </c>
      <c r="U182" s="22" t="inlineStr">
        <is>
          <t>🏃 Động từ thường ngày</t>
        </is>
      </c>
      <c r="V182" s="63" t="inlineStr">
        <is>
          <t>他跑得很快。</t>
        </is>
      </c>
      <c r="W182" s="64" t="inlineStr">
        <is>
          <t>Tā pǎo de hěn kuài.
Anh ấy chạy rất nhanh.</t>
        </is>
      </c>
    </row>
    <row r="183" hidden="1" ht="34.9" customHeight="1" s="99">
      <c r="A183" s="2" t="n">
        <v>277</v>
      </c>
      <c r="B183" s="3" t="inlineStr">
        <is>
          <t>HSK1</t>
        </is>
      </c>
      <c r="C183" s="4" t="inlineStr">
        <is>
          <t>起</t>
        </is>
      </c>
      <c r="D183" s="5" t="inlineStr">
        <is>
          <t>qǐ</t>
        </is>
      </c>
      <c r="E183" s="6" t="inlineStr">
        <is>
          <t>dậy</t>
        </is>
      </c>
      <c r="F183" s="7" t="n"/>
      <c r="G183" s="13" t="inlineStr">
        <is>
          <t>七</t>
        </is>
      </c>
      <c r="H183" s="8">
        <f>IF(TRIM($G183)="","",IF(EXACT(TRIM($G183),TRIM($C183)),"✅ Đúng","❌ Sai"))</f>
        <v/>
      </c>
      <c r="I183" s="9">
        <f>HYPERLINK("https://translate.google.com/translate_tts?ie=UTF-8&amp;tl=zh-CN&amp;client=tw-ob&amp;q=起","▶")</f>
        <v/>
      </c>
      <c r="J183" s="9">
        <f>HYPERLINK("https://youglish.com/pronounce/起/chinese","🔍")</f>
        <v/>
      </c>
      <c r="K183" s="10" t="n"/>
      <c r="L183" s="11" t="n"/>
      <c r="M183" s="10" t="n"/>
      <c r="N183" s="11" t="n"/>
      <c r="O183" s="10" t="n"/>
      <c r="P183" s="11" t="n"/>
      <c r="Q183" s="10" t="n"/>
      <c r="R183" s="12" t="inlineStr">
        <is>
          <t>2026-06-17</t>
        </is>
      </c>
      <c r="S183" s="18" t="n"/>
      <c r="T183" s="46" t="inlineStr">
        <is>
          <t>起 [KHỞI] · đứng dậy, khởi đầu, nổi lên
    ↳ Chiết tự: bộ 走 (tẩu – đi) + 己 (kỷ – bản thân) — tự mình bước dậy</t>
        </is>
      </c>
      <c r="U183" s="22" t="inlineStr">
        <is>
          <t>🏃 Động từ thường ngày</t>
        </is>
      </c>
      <c r="V183" s="63" t="inlineStr">
        <is>
          <t>我每天六点起。</t>
        </is>
      </c>
      <c r="W183" s="64" t="inlineStr">
        <is>
          <t>Wǒ měitiān liù diǎn qǐ.
Tôi dậy lúc sáu giờ mỗi ngày.</t>
        </is>
      </c>
    </row>
    <row r="184" hidden="1" ht="69.75" customHeight="1" s="99">
      <c r="A184" s="2" t="n">
        <v>278</v>
      </c>
      <c r="B184" s="25" t="inlineStr">
        <is>
          <t>HSK1+2</t>
        </is>
      </c>
      <c r="C184" s="4" t="inlineStr">
        <is>
          <t>起床</t>
        </is>
      </c>
      <c r="D184" s="5" t="inlineStr">
        <is>
          <t>qǐchuáng</t>
        </is>
      </c>
      <c r="E184" s="6" t="inlineStr">
        <is>
          <t>thức dậy</t>
        </is>
      </c>
      <c r="F184" s="7" t="n"/>
      <c r="G184" s="7" t="inlineStr">
        <is>
          <t>起床</t>
        </is>
      </c>
      <c r="H184" s="8">
        <f>IF(TRIM($G184)="","",IF(EXACT(TRIM($G184),TRIM($C184)),"✅ Đúng","❌ Sai"))</f>
        <v/>
      </c>
      <c r="I184" s="9">
        <f>HYPERLINK("https://translate.google.com/translate_tts?ie=UTF-8&amp;tl=zh-CN&amp;client=tw-ob&amp;q=起床","▶")</f>
        <v/>
      </c>
      <c r="J184" s="9">
        <f>HYPERLINK("https://youglish.com/pronounce/起床/chinese","🔍")</f>
        <v/>
      </c>
      <c r="K184" s="10" t="n"/>
      <c r="L184" s="11" t="n"/>
      <c r="M184" s="10" t="n"/>
      <c r="N184" s="11" t="n"/>
      <c r="O184" s="10" t="n"/>
      <c r="P184" s="11" t="n"/>
      <c r="Q184" s="10" t="n"/>
      <c r="R184" s="12" t="inlineStr">
        <is>
          <t>2026-06-17</t>
        </is>
      </c>
      <c r="S184" s="17" t="n"/>
      <c r="T184" s="46" t="inlineStr">
        <is>
          <t>起 [KHỞI] · đứng dậy, khởi đầu, nổi lên
    ↳ Chiết tự: bộ 走 (tẩu – đi) + 己 (kỷ – bản thân) — tự mình bước dậy
床 [SÀNG] · cái giường
    ↳ Chiết tự: bộ 广 (nghiễm – mái nhà) + 木 (mộc – gỗ) — tấm gỗ kê trong nhà để nằm</t>
        </is>
      </c>
      <c r="U184" s="22" t="inlineStr">
        <is>
          <t>🏃 Động từ thường ngày</t>
        </is>
      </c>
      <c r="V184" s="63" t="inlineStr">
        <is>
          <t>我七点起床。</t>
        </is>
      </c>
      <c r="W184" s="64" t="inlineStr">
        <is>
          <t>Wǒ qī diǎn qǐchuáng.
Tôi dậy lúc bảy giờ.</t>
        </is>
      </c>
    </row>
    <row r="185" hidden="1" ht="69.75" customHeight="1" s="99">
      <c r="A185" s="2" t="n">
        <v>279</v>
      </c>
      <c r="B185" s="60" t="inlineStr">
        <is>
          <t>HSK1+2+3</t>
        </is>
      </c>
      <c r="C185" s="4" t="inlineStr">
        <is>
          <t>起来</t>
        </is>
      </c>
      <c r="D185" s="5" t="inlineStr">
        <is>
          <t>qǐlái</t>
        </is>
      </c>
      <c r="E185" s="6" t="inlineStr">
        <is>
          <t>đứng dậy, thức dậy</t>
        </is>
      </c>
      <c r="F185" s="7" t="n"/>
      <c r="G185" s="7" t="inlineStr">
        <is>
          <t>起来</t>
        </is>
      </c>
      <c r="H185" s="8">
        <f>IF(TRIM($G185)="","",IF(EXACT(TRIM($G185),TRIM($C185)),"✅ Đúng","❌ Sai"))</f>
        <v/>
      </c>
      <c r="I185" s="9">
        <f>HYPERLINK("https://translate.google.com/translate_tts?ie=UTF-8&amp;tl=zh-CN&amp;client=tw-ob&amp;q=起来","▶")</f>
        <v/>
      </c>
      <c r="J185" s="9">
        <f>HYPERLINK("https://youglish.com/pronounce/起来/chinese","🔍")</f>
        <v/>
      </c>
      <c r="K185" s="10" t="n"/>
      <c r="L185" s="11" t="n"/>
      <c r="M185" s="10" t="n"/>
      <c r="N185" s="11" t="n"/>
      <c r="O185" s="10" t="n"/>
      <c r="P185" s="11" t="n"/>
      <c r="Q185" s="10" t="n"/>
      <c r="R185" s="12" t="inlineStr">
        <is>
          <t>2026-06-17</t>
        </is>
      </c>
      <c r="S185" s="18" t="n"/>
      <c r="T185" s="46" t="inlineStr">
        <is>
          <t>起 [KHỞI] · đứng dậy, khởi đầu, nổi lên
    ↳ Chiết tự: bộ 走 (tẩu – đi) + 己 (kỷ – bản thân) — tự mình bước dậy
来 [LAI] · đến, tới, sắp tới
    ↳ Chiết tự: giản thể của 來: bộ 木 (mộc) — hình bông lúa mạch, mượn âm làm "đến"</t>
        </is>
      </c>
      <c r="U185" s="22" t="inlineStr">
        <is>
          <t>🏃 Động từ thường ngày</t>
        </is>
      </c>
      <c r="V185" s="63" t="inlineStr">
        <is>
          <t>请站起来。</t>
        </is>
      </c>
      <c r="W185" s="64" t="inlineStr">
        <is>
          <t>Qǐng zhàn qǐlai.
Xin đứng lên.</t>
        </is>
      </c>
    </row>
    <row r="186" hidden="1" ht="34.9" customHeight="1" s="99">
      <c r="A186" s="2" t="n">
        <v>325</v>
      </c>
      <c r="B186" s="3" t="inlineStr">
        <is>
          <t>HSK1</t>
        </is>
      </c>
      <c r="C186" s="4" t="inlineStr">
        <is>
          <t>事</t>
        </is>
      </c>
      <c r="D186" s="5" t="inlineStr">
        <is>
          <t>shì</t>
        </is>
      </c>
      <c r="E186" s="6" t="inlineStr">
        <is>
          <t>chuyện, việc</t>
        </is>
      </c>
      <c r="F186" s="7" t="n"/>
      <c r="G186" s="7" t="inlineStr">
        <is>
          <t>事</t>
        </is>
      </c>
      <c r="H186" s="8">
        <f>IF(TRIM($G186)="","",IF(EXACT(TRIM($G186),TRIM($C186)),"✅ Đúng","❌ Sai"))</f>
        <v/>
      </c>
      <c r="I186" s="9">
        <f>HYPERLINK("https://translate.google.com/translate_tts?ie=UTF-8&amp;tl=zh-CN&amp;client=tw-ob&amp;q=事","▶")</f>
        <v/>
      </c>
      <c r="J186" s="9">
        <f>HYPERLINK("https://youglish.com/pronounce/事/chinese","🔍")</f>
        <v/>
      </c>
      <c r="K186" s="10" t="n"/>
      <c r="L186" s="11" t="n"/>
      <c r="M186" s="10" t="n"/>
      <c r="N186" s="11" t="n"/>
      <c r="O186" s="10" t="n"/>
      <c r="P186" s="11" t="n"/>
      <c r="Q186" s="10" t="n"/>
      <c r="R186" s="12" t="inlineStr">
        <is>
          <t>2026-06-17</t>
        </is>
      </c>
      <c r="S186" s="18" t="n"/>
      <c r="T186" s="46" t="inlineStr">
        <is>
          <t>事 [SỰ] · việc, sự việc, phụng sự
    ↳ Chiết tự: bộ 亅 (quyết) + 口 (khẩu – miệng) + 彐 (kệ – bàn tay) — tay cầm bút ghi lại việc</t>
        </is>
      </c>
      <c r="U186" s="22" t="inlineStr">
        <is>
          <t>🏃 Động từ thường ngày</t>
        </is>
      </c>
      <c r="V186" s="63" t="inlineStr">
        <is>
          <t>我有一件事要说。</t>
        </is>
      </c>
      <c r="W186" s="64" t="inlineStr">
        <is>
          <t>Wǒ yǒu yí jiàn shì yào shuō.
Tôi có một việc muốn nói.</t>
        </is>
      </c>
    </row>
    <row r="187" hidden="1" ht="34.9" customHeight="1" s="99">
      <c r="A187" s="2" t="n">
        <v>337</v>
      </c>
      <c r="B187" s="3" t="inlineStr">
        <is>
          <t>HSK1</t>
        </is>
      </c>
      <c r="C187" s="4" t="inlineStr">
        <is>
          <t>睡</t>
        </is>
      </c>
      <c r="D187" s="5" t="inlineStr">
        <is>
          <t>shuì</t>
        </is>
      </c>
      <c r="E187" s="6" t="inlineStr">
        <is>
          <t>ngủ</t>
        </is>
      </c>
      <c r="F187" s="7" t="n"/>
      <c r="G187" s="7" t="inlineStr">
        <is>
          <t>睡</t>
        </is>
      </c>
      <c r="H187" s="8">
        <f>IF(TRIM($G187)="","",IF(EXACT(TRIM($G187),TRIM($C187)),"✅ Đúng","❌ Sai"))</f>
        <v/>
      </c>
      <c r="I187" s="9">
        <f>HYPERLINK("https://translate.google.com/translate_tts?ie=UTF-8&amp;tl=zh-CN&amp;client=tw-ob&amp;q=睡","▶")</f>
        <v/>
      </c>
      <c r="J187" s="9">
        <f>HYPERLINK("https://youglish.com/pronounce/睡/chinese","🔍")</f>
        <v/>
      </c>
      <c r="K187" s="10" t="n"/>
      <c r="L187" s="11" t="n"/>
      <c r="M187" s="10" t="n"/>
      <c r="N187" s="11" t="n"/>
      <c r="O187" s="10" t="n"/>
      <c r="P187" s="11" t="n"/>
      <c r="Q187" s="10" t="n"/>
      <c r="R187" s="12" t="inlineStr">
        <is>
          <t>2026-06-17</t>
        </is>
      </c>
      <c r="S187" s="18" t="n"/>
      <c r="T187" s="46" t="inlineStr">
        <is>
          <t>睡 [THỤY] · ngủ
    ↳ Chiết tự: bộ 目 (mục – con mắt) + 垂 (thùy – rủ xuống) — mí mắt sụp xuống</t>
        </is>
      </c>
      <c r="U187" s="22" t="inlineStr">
        <is>
          <t>🏃 Động từ thường ngày</t>
        </is>
      </c>
      <c r="V187" s="63" t="inlineStr">
        <is>
          <t>孩子睡了。</t>
        </is>
      </c>
      <c r="W187" s="64" t="inlineStr">
        <is>
          <t>Háizi shuì le.
Đứa trẻ ngủ rồi.</t>
        </is>
      </c>
    </row>
    <row r="188" hidden="1" ht="69.75" customHeight="1" s="99">
      <c r="A188" s="2" t="n">
        <v>338</v>
      </c>
      <c r="B188" s="25" t="inlineStr">
        <is>
          <t>HSK1+2</t>
        </is>
      </c>
      <c r="C188" s="4" t="inlineStr">
        <is>
          <t>睡觉</t>
        </is>
      </c>
      <c r="D188" s="5" t="inlineStr">
        <is>
          <t>shuìjiào</t>
        </is>
      </c>
      <c r="E188" s="6" t="inlineStr">
        <is>
          <t>ngủ</t>
        </is>
      </c>
      <c r="F188" s="7" t="n"/>
      <c r="G188" s="7" t="inlineStr">
        <is>
          <t>睡觉</t>
        </is>
      </c>
      <c r="H188" s="8">
        <f>IF(TRIM($G188)="","",IF(EXACT(TRIM($G188),TRIM($C188)),"✅ Đúng","❌ Sai"))</f>
        <v/>
      </c>
      <c r="I188" s="9">
        <f>HYPERLINK("https://translate.google.com/translate_tts?ie=UTF-8&amp;tl=zh-CN&amp;client=tw-ob&amp;q=睡觉","▶")</f>
        <v/>
      </c>
      <c r="J188" s="9">
        <f>HYPERLINK("https://youglish.com/pronounce/睡觉/chinese","🔍")</f>
        <v/>
      </c>
      <c r="K188" s="10" t="n"/>
      <c r="L188" s="11" t="n"/>
      <c r="M188" s="10" t="n"/>
      <c r="N188" s="11" t="n"/>
      <c r="O188" s="10" t="n"/>
      <c r="P188" s="11" t="n"/>
      <c r="Q188" s="10" t="n"/>
      <c r="R188" s="12" t="inlineStr">
        <is>
          <t>2026-06-17</t>
        </is>
      </c>
      <c r="S188" s="17" t="n"/>
      <c r="T188" s="46" t="inlineStr">
        <is>
          <t>睡 [THỤY] · ngủ
    ↳ Chiết tự: bộ 目 (mục – con mắt) + 垂 (thùy – rủ xuống) — mí mắt sụp xuống
觉 [GIÁC / GIÁO] · cảm thấy, giác ngộ; giấc ngủ
    ↳ Chiết tự: giản thể của 覺: bộ 学 rút gọn + 见 (kiến – thấy) — học mà thấy ra, tỉnh ngộ</t>
        </is>
      </c>
      <c r="U188" s="22" t="inlineStr">
        <is>
          <t>🏃 Động từ thường ngày</t>
        </is>
      </c>
      <c r="V188" s="63" t="inlineStr">
        <is>
          <t>我十一点睡觉。</t>
        </is>
      </c>
      <c r="W188" s="64" t="inlineStr">
        <is>
          <t>Wǒ shíyī diǎn shuìjiào.
Tôi đi ngủ lúc mười một giờ.</t>
        </is>
      </c>
    </row>
    <row r="189" hidden="1" ht="34.9" customHeight="1" s="99">
      <c r="A189" s="2" t="n">
        <v>367</v>
      </c>
      <c r="B189" s="3" t="inlineStr">
        <is>
          <t>HSK1</t>
        </is>
      </c>
      <c r="C189" s="4" t="inlineStr">
        <is>
          <t>忘</t>
        </is>
      </c>
      <c r="D189" s="5" t="inlineStr">
        <is>
          <t>wàng</t>
        </is>
      </c>
      <c r="E189" s="6" t="inlineStr">
        <is>
          <t>quên</t>
        </is>
      </c>
      <c r="F189" s="13" t="inlineStr">
        <is>
          <t>忘</t>
        </is>
      </c>
      <c r="G189" s="7" t="inlineStr">
        <is>
          <t>忘</t>
        </is>
      </c>
      <c r="H189" s="8">
        <f>IF(TRIM($G189)="","",IF(EXACT(TRIM($G189),TRIM($C189)),"✅ Đúng","❌ Sai"))</f>
        <v/>
      </c>
      <c r="I189" s="9">
        <f>HYPERLINK("https://translate.google.com/translate_tts?ie=UTF-8&amp;tl=zh-CN&amp;client=tw-ob&amp;q=忘","▶")</f>
        <v/>
      </c>
      <c r="J189" s="9">
        <f>HYPERLINK("https://youglish.com/pronounce/忘/chinese","🔍")</f>
        <v/>
      </c>
      <c r="K189" s="10" t="n"/>
      <c r="L189" s="11" t="n"/>
      <c r="M189" s="10" t="n"/>
      <c r="N189" s="11" t="n"/>
      <c r="O189" s="10" t="n"/>
      <c r="P189" s="11" t="n"/>
      <c r="Q189" s="10" t="n"/>
      <c r="R189" s="12" t="inlineStr">
        <is>
          <t>2026-06-17</t>
        </is>
      </c>
      <c r="S189" s="18" t="n"/>
      <c r="T189" s="46" t="inlineStr">
        <is>
          <t>忘 [VONG] · quên
    ↳ Chiết tự: bộ 亡 (vong – mất) + 心 (tâm – trái tim) — mất khỏi tâm trí</t>
        </is>
      </c>
      <c r="U189" s="22" t="inlineStr">
        <is>
          <t>🏃 Động từ thường ngày</t>
        </is>
      </c>
      <c r="V189" s="63" t="inlineStr">
        <is>
          <t>我忘了他的名字。</t>
        </is>
      </c>
      <c r="W189" s="64" t="inlineStr">
        <is>
          <t>Wǒ wàng le tā de míngzi.
Tôi quên tên anh ấy rồi.</t>
        </is>
      </c>
    </row>
    <row r="190" hidden="1" ht="69.75" customHeight="1" s="99">
      <c r="A190" s="2" t="n">
        <v>368</v>
      </c>
      <c r="B190" s="60" t="inlineStr">
        <is>
          <t>HSK1+3</t>
        </is>
      </c>
      <c r="C190" s="4" t="inlineStr">
        <is>
          <t>忘记</t>
        </is>
      </c>
      <c r="D190" s="5" t="inlineStr">
        <is>
          <t>wàngjì</t>
        </is>
      </c>
      <c r="E190" s="6" t="inlineStr">
        <is>
          <t>quên mất</t>
        </is>
      </c>
      <c r="F190" s="13" t="inlineStr">
        <is>
          <t>忘记</t>
        </is>
      </c>
      <c r="G190" s="7" t="inlineStr">
        <is>
          <t>忘记</t>
        </is>
      </c>
      <c r="H190" s="8">
        <f>IF(TRIM($G190)="","",IF(EXACT(TRIM($G190),TRIM($C190)),"✅ Đúng","❌ Sai"))</f>
        <v/>
      </c>
      <c r="I190" s="9">
        <f>HYPERLINK("https://translate.google.com/translate_tts?ie=UTF-8&amp;tl=zh-CN&amp;client=tw-ob&amp;q=忘记","▶")</f>
        <v/>
      </c>
      <c r="J190" s="9">
        <f>HYPERLINK("https://youglish.com/pronounce/忘记/chinese","🔍")</f>
        <v/>
      </c>
      <c r="K190" s="10" t="n"/>
      <c r="L190" s="11" t="n"/>
      <c r="M190" s="10" t="n"/>
      <c r="N190" s="11" t="n"/>
      <c r="O190" s="10" t="n"/>
      <c r="P190" s="11" t="n"/>
      <c r="Q190" s="10" t="n"/>
      <c r="R190" s="12" t="inlineStr">
        <is>
          <t>2026-06-17</t>
        </is>
      </c>
      <c r="S190" s="17" t="n"/>
      <c r="T190" s="46" t="inlineStr">
        <is>
          <t>忘 [VONG] · quên
    ↳ Chiết tự: bộ 亡 (vong – mất) + 心 (tâm – trái tim) — mất khỏi tâm trí
记 [KÝ] · ghi chép, ghi nhớ
    ↳ Chiết tự: giản thể của 記: bộ 讠 (ngôn – lời nói) + 己 (kỷ – bản thân) — ghi lời vào lòng mình</t>
        </is>
      </c>
      <c r="U190" s="22" t="inlineStr">
        <is>
          <t>🏃 Động từ thường ngày</t>
        </is>
      </c>
      <c r="V190" s="63" t="inlineStr">
        <is>
          <t>别忘记关灯。</t>
        </is>
      </c>
      <c r="W190" s="64" t="inlineStr">
        <is>
          <t>Bié wàngjì guān dēng.
Đừng quên tắt đèn.</t>
        </is>
      </c>
    </row>
    <row r="191" ht="34.9" customHeight="1" s="99">
      <c r="A191" s="2" t="n">
        <v>376</v>
      </c>
      <c r="B191" s="25" t="inlineStr">
        <is>
          <t>HSK1+2</t>
        </is>
      </c>
      <c r="C191" s="4" t="inlineStr">
        <is>
          <t>洗</t>
        </is>
      </c>
      <c r="D191" s="5" t="inlineStr">
        <is>
          <t>xǐ</t>
        </is>
      </c>
      <c r="E191" s="6" t="inlineStr">
        <is>
          <t>rửa</t>
        </is>
      </c>
      <c r="F191" s="7" t="n"/>
      <c r="G191" s="7" t="n"/>
      <c r="H191" s="8">
        <f>IF(TRIM($G191)="","",IF(EXACT(TRIM($G191),TRIM($C191)),"✅ Đúng","❌ Sai"))</f>
        <v/>
      </c>
      <c r="I191" s="9">
        <f>HYPERLINK("https://translate.google.com/translate_tts?ie=UTF-8&amp;tl=zh-CN&amp;client=tw-ob&amp;q=洗","▶")</f>
        <v/>
      </c>
      <c r="J191" s="9">
        <f>HYPERLINK("https://youglish.com/pronounce/洗/chinese","🔍")</f>
        <v/>
      </c>
      <c r="K191" s="10" t="n"/>
      <c r="L191" s="11" t="n"/>
      <c r="M191" s="10" t="n"/>
      <c r="N191" s="11" t="n"/>
      <c r="O191" s="10" t="n"/>
      <c r="P191" s="11" t="n"/>
      <c r="Q191" s="10" t="n"/>
      <c r="R191" s="12" t="inlineStr">
        <is>
          <t>2026-06-17</t>
        </is>
      </c>
      <c r="S191" s="17" t="n"/>
      <c r="T191" s="46" t="inlineStr">
        <is>
          <t>洗 [TẨY] · rửa, giặt, tẩy rửa
    ↳ Chiết tự: bộ 氵 (thủy – nước) + 先 (tiên – âm đọc) — dùng nước làm sạch</t>
        </is>
      </c>
      <c r="U191" s="22" t="inlineStr">
        <is>
          <t>🏃 Động từ thường ngày</t>
        </is>
      </c>
      <c r="V191" s="63" t="inlineStr">
        <is>
          <t>我要洗衣服。</t>
        </is>
      </c>
      <c r="W191" s="64" t="inlineStr">
        <is>
          <t>Wǒ yào xǐ yīfu.
Tôi phải giặt quần áo.</t>
        </is>
      </c>
    </row>
    <row r="192" hidden="1" ht="69.75" customHeight="1" s="99">
      <c r="A192" s="2" t="n">
        <v>378</v>
      </c>
      <c r="B192" s="25" t="inlineStr">
        <is>
          <t>HSK1+2</t>
        </is>
      </c>
      <c r="C192" s="4" t="inlineStr">
        <is>
          <t>喜欢</t>
        </is>
      </c>
      <c r="D192" s="5" t="inlineStr">
        <is>
          <t>xǐhuān</t>
        </is>
      </c>
      <c r="E192" s="6" t="inlineStr">
        <is>
          <t>thích</t>
        </is>
      </c>
      <c r="F192" s="13" t="inlineStr">
        <is>
          <t>喜欢</t>
        </is>
      </c>
      <c r="G192" s="7" t="inlineStr">
        <is>
          <t>喜欢</t>
        </is>
      </c>
      <c r="H192" s="8">
        <f>IF(TRIM($G192)="","",IF(EXACT(TRIM($G192),TRIM($C192)),"✅ Đúng","❌ Sai"))</f>
        <v/>
      </c>
      <c r="I192" s="9">
        <f>HYPERLINK("https://translate.google.com/translate_tts?ie=UTF-8&amp;tl=zh-CN&amp;client=tw-ob&amp;q=喜欢","▶")</f>
        <v/>
      </c>
      <c r="J192" s="9">
        <f>HYPERLINK("https://youglish.com/pronounce/喜欢/chinese","🔍")</f>
        <v/>
      </c>
      <c r="K192" s="10" t="n"/>
      <c r="L192" s="11" t="n"/>
      <c r="M192" s="10" t="n"/>
      <c r="N192" s="11" t="n"/>
      <c r="O192" s="10" t="n"/>
      <c r="P192" s="11" t="n"/>
      <c r="Q192" s="10" t="n"/>
      <c r="R192" s="12" t="inlineStr">
        <is>
          <t>2026-06-17</t>
        </is>
      </c>
      <c r="S192" s="17" t="n"/>
      <c r="T192" s="46" t="inlineStr">
        <is>
          <t>喜 [HỶ] · vui mừng, ưa thích
    ↳ Chiết tự: bộ 壴 (chú – cái trống) + 口 (khẩu – miệng) — gõ trống, mở miệng cười
欢 [HOAN] · vui mừng, hoan hỉ
    ↳ Chiết tự: giản thể của 歡: bộ 又 (hựu – tay) + 欠 (khiếm – há miệng) — há miệng reo mừng</t>
        </is>
      </c>
      <c r="U192" s="22" t="inlineStr">
        <is>
          <t>🏃 Động từ thường ngày</t>
        </is>
      </c>
      <c r="V192" s="63" t="inlineStr">
        <is>
          <t>我很喜欢这本书。</t>
        </is>
      </c>
      <c r="W192" s="64" t="inlineStr">
        <is>
          <t>Wǒ hěn xǐhuan zhè běn shū.
Tôi rất thích quyển sách này.</t>
        </is>
      </c>
    </row>
    <row r="193" hidden="1" ht="34.9" customHeight="1" s="99">
      <c r="A193" s="2" t="n">
        <v>390</v>
      </c>
      <c r="B193" s="60" t="inlineStr">
        <is>
          <t>HSK1+2+3</t>
        </is>
      </c>
      <c r="C193" s="4" t="inlineStr">
        <is>
          <t>想</t>
        </is>
      </c>
      <c r="D193" s="5" t="inlineStr">
        <is>
          <t>xiǎng</t>
        </is>
      </c>
      <c r="E193" s="6" t="inlineStr">
        <is>
          <t>muốn, suy nghĩ</t>
        </is>
      </c>
      <c r="F193" s="7" t="inlineStr">
        <is>
          <t>想</t>
        </is>
      </c>
      <c r="G193" s="7" t="inlineStr">
        <is>
          <t>想</t>
        </is>
      </c>
      <c r="H193" s="8">
        <f>IF(TRIM($G193)="","",IF(EXACT(TRIM($G193),TRIM($C193)),"✅ Đúng","❌ Sai"))</f>
        <v/>
      </c>
      <c r="I193" s="9">
        <f>HYPERLINK("https://translate.google.com/translate_tts?ie=UTF-8&amp;tl=zh-CN&amp;client=tw-ob&amp;q=想","▶")</f>
        <v/>
      </c>
      <c r="J193" s="9">
        <f>HYPERLINK("https://youglish.com/pronounce/想/chinese","🔍")</f>
        <v/>
      </c>
      <c r="K193" s="10" t="n"/>
      <c r="L193" s="11" t="n"/>
      <c r="M193" s="10" t="n"/>
      <c r="N193" s="11" t="n"/>
      <c r="O193" s="10" t="n"/>
      <c r="P193" s="11" t="n"/>
      <c r="Q193" s="10" t="n"/>
      <c r="R193" s="12" t="inlineStr">
        <is>
          <t>2026-06-17</t>
        </is>
      </c>
      <c r="S193" s="17" t="n"/>
      <c r="T193" s="46" t="inlineStr">
        <is>
          <t>想 [TƯỞNG] · nghĩ, nhớ, muốn
    ↳ Chiết tự: bộ 相 (tương – nhìn ngắm) + 心 (tâm – trái tim) — trong lòng ngắm nghía hình bóng</t>
        </is>
      </c>
      <c r="U193" s="22" t="inlineStr">
        <is>
          <t>🏃 Động từ thường ngày</t>
        </is>
      </c>
      <c r="V193" s="63" t="inlineStr">
        <is>
          <t>我想去中国旅游。</t>
        </is>
      </c>
      <c r="W193" s="64" t="inlineStr">
        <is>
          <t>Wǒ xiǎng qù Zhōngguó lǚyóu.
Tôi muốn đi du lịch Trung Quốc.</t>
        </is>
      </c>
    </row>
    <row r="194" hidden="1" ht="69.75" customHeight="1" s="99">
      <c r="A194" s="2" t="n">
        <v>407</v>
      </c>
      <c r="B194" s="25" t="inlineStr">
        <is>
          <t>HSK1+2</t>
        </is>
      </c>
      <c r="C194" s="4" t="inlineStr">
        <is>
          <t>休息</t>
        </is>
      </c>
      <c r="D194" s="5" t="inlineStr">
        <is>
          <t>xiūxi</t>
        </is>
      </c>
      <c r="E194" s="6" t="inlineStr">
        <is>
          <t>nghỉ ngơi</t>
        </is>
      </c>
      <c r="F194" s="7" t="n"/>
      <c r="G194" s="7" t="inlineStr">
        <is>
          <t>休息</t>
        </is>
      </c>
      <c r="H194" s="8">
        <f>IF(TRIM($G194)="","",IF(EXACT(TRIM($G194),TRIM($C194)),"✅ Đúng","❌ Sai"))</f>
        <v/>
      </c>
      <c r="I194" s="9">
        <f>HYPERLINK("https://translate.google.com/translate_tts?ie=UTF-8&amp;tl=zh-CN&amp;client=tw-ob&amp;q=休息","▶")</f>
        <v/>
      </c>
      <c r="J194" s="9">
        <f>HYPERLINK("https://youglish.com/pronounce/休息/chinese","🔍")</f>
        <v/>
      </c>
      <c r="K194" s="10" t="n"/>
      <c r="L194" s="11" t="n"/>
      <c r="M194" s="10" t="n"/>
      <c r="N194" s="11" t="n"/>
      <c r="O194" s="10" t="n"/>
      <c r="P194" s="11" t="n"/>
      <c r="Q194" s="10" t="n"/>
      <c r="R194" s="12" t="inlineStr">
        <is>
          <t>2026-06-17</t>
        </is>
      </c>
      <c r="S194" s="18" t="n"/>
      <c r="T194" s="46" t="inlineStr">
        <is>
          <t>休 [HƯU] · nghỉ ngơi, thôi
    ↳ Chiết tự: bộ 亻 (nhân đứng – người) + 木 (mộc – cây) — người tựa gốc cây nghỉ mệt
息 [TỨC] · nghỉ ngơi; hơi thở; tin tức
    ↳ Chiết tự: bộ 自 (tự – cái mũi) + 心 (tâm – trái tim) — mũi thở, tim đập, ngơi nghỉ</t>
        </is>
      </c>
      <c r="U194" s="22" t="inlineStr">
        <is>
          <t>🏃 Động từ thường ngày</t>
        </is>
      </c>
      <c r="V194" s="63" t="inlineStr">
        <is>
          <t>你休息一会儿吧。</t>
        </is>
      </c>
      <c r="W194" s="64" t="inlineStr">
        <is>
          <t>Nǐ xiūxi yíhuìr ba.
Bạn nghỉ một lát đi.</t>
        </is>
      </c>
    </row>
    <row r="195" hidden="1" ht="34.9" customHeight="1" s="99">
      <c r="A195" s="2" t="n">
        <v>413</v>
      </c>
      <c r="B195" s="25" t="inlineStr">
        <is>
          <t>HSK1+2</t>
        </is>
      </c>
      <c r="C195" s="4" t="inlineStr">
        <is>
          <t>要</t>
        </is>
      </c>
      <c r="D195" s="5" t="inlineStr">
        <is>
          <t>yào</t>
        </is>
      </c>
      <c r="E195" s="6" t="inlineStr">
        <is>
          <t>muốn, cần, phải</t>
        </is>
      </c>
      <c r="F195" s="7" t="n"/>
      <c r="G195" s="7" t="inlineStr">
        <is>
          <t>要</t>
        </is>
      </c>
      <c r="H195" s="8">
        <f>IF(TRIM($G195)="","",IF(EXACT(TRIM($G195),TRIM($C195)),"✅ Đúng","❌ Sai"))</f>
        <v/>
      </c>
      <c r="I195" s="9">
        <f>HYPERLINK("https://translate.google.com/translate_tts?ie=UTF-8&amp;tl=zh-CN&amp;client=tw-ob&amp;q=要","▶")</f>
        <v/>
      </c>
      <c r="J195" s="9">
        <f>HYPERLINK("https://youglish.com/pronounce/要/chinese","🔍")</f>
        <v/>
      </c>
      <c r="K195" s="10" t="n"/>
      <c r="L195" s="11" t="n"/>
      <c r="M195" s="10" t="n"/>
      <c r="N195" s="11" t="n"/>
      <c r="O195" s="10" t="n"/>
      <c r="P195" s="11" t="n"/>
      <c r="Q195" s="10" t="n"/>
      <c r="R195" s="12" t="inlineStr">
        <is>
          <t>2026-06-17</t>
        </is>
      </c>
      <c r="S195" s="18" t="n"/>
      <c r="T195" s="46" t="inlineStr">
        <is>
          <t>要 [YẾU / YÊU] · cần, muốn, quan trọng
    ↳ Chiết tự: bộ 覀 (á) + 女 (nữ – phụ nữ) — hình hai tay chống eo, nghĩa gốc là "eo", mượn chỉ điều cốt yếu</t>
        </is>
      </c>
      <c r="U195" s="22" t="inlineStr">
        <is>
          <t>🏃 Động từ thường ngày</t>
        </is>
      </c>
      <c r="V195" s="63" t="inlineStr">
        <is>
          <t>我要一杯咖啡。</t>
        </is>
      </c>
      <c r="W195" s="64" t="inlineStr">
        <is>
          <t>Wǒ yào yì bēi kāfēi.
Tôi muốn một tách cà phê.</t>
        </is>
      </c>
    </row>
    <row r="196" hidden="1" ht="23.25" customHeight="1" s="99">
      <c r="A196" s="2" t="n">
        <v>430</v>
      </c>
      <c r="B196" s="60" t="inlineStr">
        <is>
          <t>HSK1+3</t>
        </is>
      </c>
      <c r="C196" s="4" t="inlineStr">
        <is>
          <t>用</t>
        </is>
      </c>
      <c r="D196" s="5" t="inlineStr">
        <is>
          <t>yòng</t>
        </is>
      </c>
      <c r="E196" s="6" t="inlineStr">
        <is>
          <t>dùng, sử dụng</t>
        </is>
      </c>
      <c r="F196" s="7" t="n"/>
      <c r="G196" s="7" t="inlineStr">
        <is>
          <t>用</t>
        </is>
      </c>
      <c r="H196" s="8">
        <f>IF(TRIM($G196)="","",IF(EXACT(TRIM($G196),TRIM($C196)),"✅ Đúng","❌ Sai"))</f>
        <v/>
      </c>
      <c r="I196" s="9">
        <f>HYPERLINK("https://translate.google.com/translate_tts?ie=UTF-8&amp;tl=zh-CN&amp;client=tw-ob&amp;q=用","▶")</f>
        <v/>
      </c>
      <c r="J196" s="9">
        <f>HYPERLINK("https://youglish.com/pronounce/用/chinese","🔍")</f>
        <v/>
      </c>
      <c r="K196" s="10" t="n"/>
      <c r="L196" s="11" t="n"/>
      <c r="M196" s="10" t="n"/>
      <c r="N196" s="11" t="n"/>
      <c r="O196" s="10" t="n"/>
      <c r="P196" s="11" t="n"/>
      <c r="Q196" s="10" t="n"/>
      <c r="R196" s="12" t="inlineStr">
        <is>
          <t>2026-06-17</t>
        </is>
      </c>
      <c r="S196" s="17" t="n"/>
      <c r="T196" s="46" t="inlineStr">
        <is>
          <t>用 [DỤNG] · dùng, sử dụng, công dụng
    ↳ Chiết tự: bộ 用 (dụng) — hình cái thùng gỗ dùng đong</t>
        </is>
      </c>
      <c r="U196" s="22" t="inlineStr">
        <is>
          <t>🏃 Động từ thường ngày</t>
        </is>
      </c>
      <c r="V196" s="63" t="inlineStr">
        <is>
          <t>这个词怎么用？</t>
        </is>
      </c>
      <c r="W196" s="64" t="inlineStr">
        <is>
          <t>Zhège cí zěnme yòng?
Từ này dùng thế nào?</t>
        </is>
      </c>
    </row>
    <row r="197" hidden="1" ht="34.9" customHeight="1" s="99">
      <c r="A197" s="2" t="n">
        <v>431</v>
      </c>
      <c r="B197" s="25" t="inlineStr">
        <is>
          <t>HSK1+2</t>
        </is>
      </c>
      <c r="C197" s="4" t="inlineStr">
        <is>
          <t>有</t>
        </is>
      </c>
      <c r="D197" s="5" t="inlineStr">
        <is>
          <t>yǒu</t>
        </is>
      </c>
      <c r="E197" s="6" t="inlineStr">
        <is>
          <t>có</t>
        </is>
      </c>
      <c r="F197" s="7" t="inlineStr">
        <is>
          <t>有</t>
        </is>
      </c>
      <c r="G197" s="7" t="inlineStr">
        <is>
          <t xml:space="preserve"> 有</t>
        </is>
      </c>
      <c r="H197" s="8">
        <f>IF(TRIM($G197)="","",IF(EXACT(TRIM($G197),TRIM($C197)),"✅ Đúng","❌ Sai"))</f>
        <v/>
      </c>
      <c r="I197" s="9">
        <f>HYPERLINK("https://translate.google.com/translate_tts?ie=UTF-8&amp;tl=zh-CN&amp;client=tw-ob&amp;q=有","▶")</f>
        <v/>
      </c>
      <c r="J197" s="9">
        <f>HYPERLINK("https://youglish.com/pronounce/有/chinese","🔍")</f>
        <v/>
      </c>
      <c r="K197" s="10" t="n"/>
      <c r="L197" s="11" t="n"/>
      <c r="M197" s="10" t="n"/>
      <c r="N197" s="11" t="n"/>
      <c r="O197" s="10" t="n"/>
      <c r="P197" s="11" t="n"/>
      <c r="Q197" s="10" t="n"/>
      <c r="R197" s="12" t="inlineStr">
        <is>
          <t>2026-06-17</t>
        </is>
      </c>
      <c r="S197" s="18" t="n"/>
      <c r="T197" s="46" t="inlineStr">
        <is>
          <t>有 [HỮU] · có, sở hữu
    ↳ Chiết tự: bộ 又 (hựu – bàn tay) + 月 (nhục – miếng thịt) — tay cầm miếng thịt là có của</t>
        </is>
      </c>
      <c r="U197" s="22" t="inlineStr">
        <is>
          <t>🏃 Động từ thường ngày</t>
        </is>
      </c>
      <c r="V197" s="63" t="inlineStr">
        <is>
          <t>我有两个孩子。</t>
        </is>
      </c>
      <c r="W197" s="64" t="inlineStr">
        <is>
          <t>Wǒ yǒu liǎng ge háizi.
Tôi có hai đứa con.</t>
        </is>
      </c>
    </row>
    <row r="198" ht="69.75" customHeight="1" s="99">
      <c r="A198" s="2" t="n">
        <v>433</v>
      </c>
      <c r="B198" s="3" t="inlineStr">
        <is>
          <t>HSK1</t>
        </is>
      </c>
      <c r="C198" s="4" t="inlineStr">
        <is>
          <t>有名</t>
        </is>
      </c>
      <c r="D198" s="5" t="inlineStr">
        <is>
          <t>yǒumíng</t>
        </is>
      </c>
      <c r="E198" s="6" t="inlineStr">
        <is>
          <t>nổi tiếng</t>
        </is>
      </c>
      <c r="F198" s="7" t="n"/>
      <c r="G198" s="7" t="n"/>
      <c r="H198" s="8">
        <f>IF(TRIM($G198)="","",IF(EXACT(TRIM($G198),TRIM($C198)),"✅ Đúng","❌ Sai"))</f>
        <v/>
      </c>
      <c r="I198" s="9">
        <f>HYPERLINK("https://translate.google.com/translate_tts?ie=UTF-8&amp;tl=zh-CN&amp;client=tw-ob&amp;q=有名","▶")</f>
        <v/>
      </c>
      <c r="J198" s="9">
        <f>HYPERLINK("https://youglish.com/pronounce/有名/chinese","🔍")</f>
        <v/>
      </c>
      <c r="K198" s="10" t="n"/>
      <c r="L198" s="11" t="n"/>
      <c r="M198" s="10" t="n"/>
      <c r="N198" s="11" t="n"/>
      <c r="O198" s="10" t="n"/>
      <c r="P198" s="11" t="n"/>
      <c r="Q198" s="10" t="n"/>
      <c r="R198" s="12" t="inlineStr">
        <is>
          <t>2026-06-17</t>
        </is>
      </c>
      <c r="S198" s="18" t="n"/>
      <c r="T198" s="46" t="inlineStr">
        <is>
          <t>有 [HỮU] · có, sở hữu
    ↳ Chiết tự: bộ 又 (hựu – bàn tay) + 月 (nhục – miếng thịt) — tay cầm miếng thịt là có của
名 [DANH] · tên gọi, danh tiếng
    ↳ Chiết tự: bộ 夕 (tịch – buổi tối) + 口 (khẩu – miệng) — trời tối không nhìn rõ, phải xưng tên</t>
        </is>
      </c>
      <c r="U198" s="22" t="inlineStr">
        <is>
          <t>🏃 Động từ thường ngày</t>
        </is>
      </c>
      <c r="V198" s="63" t="inlineStr">
        <is>
          <t>这家饭店很有名。</t>
        </is>
      </c>
      <c r="W198" s="64" t="inlineStr">
        <is>
          <t>Zhè jiā fàndiàn hěn yǒumíng.
Nhà hàng này rất nổi tiếng.</t>
        </is>
      </c>
    </row>
    <row r="199" ht="58.15" customHeight="1" s="99">
      <c r="A199" s="2" t="n">
        <v>436</v>
      </c>
      <c r="B199" s="3" t="inlineStr">
        <is>
          <t>HSK1</t>
        </is>
      </c>
      <c r="C199" s="4" t="inlineStr">
        <is>
          <t>有用</t>
        </is>
      </c>
      <c r="D199" s="5" t="inlineStr">
        <is>
          <t>yǒuyòng</t>
        </is>
      </c>
      <c r="E199" s="6" t="inlineStr">
        <is>
          <t>có ích</t>
        </is>
      </c>
      <c r="F199" s="7" t="n"/>
      <c r="G199" s="7" t="n"/>
      <c r="H199" s="8">
        <f>IF(TRIM($G199)="","",IF(EXACT(TRIM($G199),TRIM($C199)),"✅ Đúng","❌ Sai"))</f>
        <v/>
      </c>
      <c r="I199" s="9">
        <f>HYPERLINK("https://translate.google.com/translate_tts?ie=UTF-8&amp;tl=zh-CN&amp;client=tw-ob&amp;q=有用","▶")</f>
        <v/>
      </c>
      <c r="J199" s="9">
        <f>HYPERLINK("https://youglish.com/pronounce/有用/chinese","🔍")</f>
        <v/>
      </c>
      <c r="K199" s="10" t="n"/>
      <c r="L199" s="11" t="n"/>
      <c r="M199" s="10" t="n"/>
      <c r="N199" s="11" t="n"/>
      <c r="O199" s="10" t="n"/>
      <c r="P199" s="11" t="n"/>
      <c r="Q199" s="10" t="n"/>
      <c r="R199" s="12" t="inlineStr">
        <is>
          <t>2026-06-17</t>
        </is>
      </c>
      <c r="S199" s="17" t="n"/>
      <c r="T199" s="46" t="inlineStr">
        <is>
          <t>有 [HỮU] · có, sở hữu
    ↳ Chiết tự: bộ 又 (hựu – bàn tay) + 月 (nhục – miếng thịt) — tay cầm miếng thịt là có của
用 [DỤNG] · dùng, sử dụng, công dụng
    ↳ Chiết tự: bộ 用 (dụng) — hình cái thùng gỗ dùng đong</t>
        </is>
      </c>
      <c r="U199" s="22" t="inlineStr">
        <is>
          <t>🏃 Động từ thường ngày</t>
        </is>
      </c>
      <c r="V199" s="63" t="inlineStr">
        <is>
          <t>这本书对我很有用。</t>
        </is>
      </c>
      <c r="W199" s="64" t="inlineStr">
        <is>
          <t>Zhè běn shū duì wǒ hěn yǒuyòng.
Sách này rất hữu ích với tôi.</t>
        </is>
      </c>
    </row>
    <row r="200" ht="34.9" customHeight="1" s="99">
      <c r="A200" s="2" t="n">
        <v>452</v>
      </c>
      <c r="B200" s="25" t="inlineStr">
        <is>
          <t>HSK1+2</t>
        </is>
      </c>
      <c r="C200" s="4" t="inlineStr">
        <is>
          <t>找</t>
        </is>
      </c>
      <c r="D200" s="5" t="inlineStr">
        <is>
          <t>zhǎo</t>
        </is>
      </c>
      <c r="E200" s="6" t="inlineStr">
        <is>
          <t>tìm</t>
        </is>
      </c>
      <c r="F200" s="7" t="n"/>
      <c r="G200" s="7" t="n"/>
      <c r="H200" s="8">
        <f>IF(TRIM($G200)="","",IF(EXACT(TRIM($G200),TRIM($C200)),"✅ Đúng","❌ Sai"))</f>
        <v/>
      </c>
      <c r="I200" s="9">
        <f>HYPERLINK("https://translate.google.com/translate_tts?ie=UTF-8&amp;tl=zh-CN&amp;client=tw-ob&amp;q=找","▶")</f>
        <v/>
      </c>
      <c r="J200" s="9">
        <f>HYPERLINK("https://youglish.com/pronounce/找/chinese","🔍")</f>
        <v/>
      </c>
      <c r="K200" s="10" t="n"/>
      <c r="L200" s="11" t="n"/>
      <c r="M200" s="10" t="n"/>
      <c r="N200" s="11" t="n"/>
      <c r="O200" s="10" t="n"/>
      <c r="P200" s="11" t="n"/>
      <c r="Q200" s="10" t="n"/>
      <c r="R200" s="12" t="inlineStr">
        <is>
          <t>2026-06-17</t>
        </is>
      </c>
      <c r="S200" s="17" t="n"/>
      <c r="T200" s="46" t="inlineStr">
        <is>
          <t>找 [TRẢO] · tìm kiếm; trả lại tiền thừa
    ↳ Chiết tự: bộ 扌 (thủ đứng – bàn tay) + 戈 (qua – ngọn giáo) — tay lần mò kiếm</t>
        </is>
      </c>
      <c r="U200" s="22" t="inlineStr">
        <is>
          <t>🏃 Động từ thường ngày</t>
        </is>
      </c>
      <c r="V200" s="63" t="inlineStr">
        <is>
          <t>我在找我的手机。</t>
        </is>
      </c>
      <c r="W200" s="64" t="inlineStr">
        <is>
          <t>Wǒ zài zhǎo wǒ de shǒujī.
Tôi đang tìm điện thoại của mình.</t>
        </is>
      </c>
    </row>
    <row r="201" ht="69.75" customHeight="1" s="99">
      <c r="A201" s="2" t="n">
        <v>453</v>
      </c>
      <c r="B201" s="3" t="inlineStr">
        <is>
          <t>HSK1</t>
        </is>
      </c>
      <c r="C201" s="4" t="inlineStr">
        <is>
          <t>找到</t>
        </is>
      </c>
      <c r="D201" s="5" t="inlineStr">
        <is>
          <t>zhǎodào</t>
        </is>
      </c>
      <c r="E201" s="6" t="inlineStr">
        <is>
          <t>tìm thấy</t>
        </is>
      </c>
      <c r="F201" s="7" t="n"/>
      <c r="G201" s="7" t="n"/>
      <c r="H201" s="8">
        <f>IF(TRIM($G201)="","",IF(EXACT(TRIM($G201),TRIM($C201)),"✅ Đúng","❌ Sai"))</f>
        <v/>
      </c>
      <c r="I201" s="9">
        <f>HYPERLINK("https://translate.google.com/translate_tts?ie=UTF-8&amp;tl=zh-CN&amp;client=tw-ob&amp;q=找到","▶")</f>
        <v/>
      </c>
      <c r="J201" s="9">
        <f>HYPERLINK("https://youglish.com/pronounce/找到/chinese","🔍")</f>
        <v/>
      </c>
      <c r="K201" s="10" t="n"/>
      <c r="L201" s="11" t="n"/>
      <c r="M201" s="10" t="n"/>
      <c r="N201" s="11" t="n"/>
      <c r="O201" s="10" t="n"/>
      <c r="P201" s="11" t="n"/>
      <c r="Q201" s="10" t="n"/>
      <c r="R201" s="12" t="inlineStr">
        <is>
          <t>2026-06-17</t>
        </is>
      </c>
      <c r="S201" s="18" t="n"/>
      <c r="T201" s="46" t="inlineStr">
        <is>
          <t>找 [TRẢO] · tìm kiếm; trả lại tiền thừa
    ↳ Chiết tự: bộ 扌 (thủ đứng – bàn tay) + 戈 (qua – ngọn giáo) — tay lần mò kiếm
到 [ĐÁO] · đến, tới, chu đáo
    ↳ Chiết tự: bộ 至 (chí – tới nơi) + 刂 (đao đứng – âm đọc) — mũi tên cắm tới đích</t>
        </is>
      </c>
      <c r="U201" s="22" t="inlineStr">
        <is>
          <t>🏃 Động từ thường ngày</t>
        </is>
      </c>
      <c r="V201" s="63" t="inlineStr">
        <is>
          <t>我找到工作了。</t>
        </is>
      </c>
      <c r="W201" s="64" t="inlineStr">
        <is>
          <t>Wǒ zhǎodào gōngzuò le.
Tôi đã tìm được việc làm.</t>
        </is>
      </c>
    </row>
    <row r="202" hidden="1" ht="34.9" customHeight="1" s="99">
      <c r="A202" s="2" t="n">
        <v>475</v>
      </c>
      <c r="B202" s="25" t="inlineStr">
        <is>
          <t>HSK1+2</t>
        </is>
      </c>
      <c r="C202" s="4" t="inlineStr">
        <is>
          <t>住</t>
        </is>
      </c>
      <c r="D202" s="5" t="inlineStr">
        <is>
          <t>zhù</t>
        </is>
      </c>
      <c r="E202" s="6" t="inlineStr">
        <is>
          <t>ở tại</t>
        </is>
      </c>
      <c r="F202" s="7" t="n"/>
      <c r="G202" s="7" t="inlineStr">
        <is>
          <t>住</t>
        </is>
      </c>
      <c r="H202" s="8">
        <f>IF(TRIM($G202)="","",IF(EXACT(TRIM($G202),TRIM($C202)),"✅ Đúng","❌ Sai"))</f>
        <v/>
      </c>
      <c r="I202" s="9">
        <f>HYPERLINK("https://translate.google.com/translate_tts?ie=UTF-8&amp;tl=zh-CN&amp;client=tw-ob&amp;q=住","▶")</f>
        <v/>
      </c>
      <c r="J202" s="9">
        <f>HYPERLINK("https://youglish.com/pronounce/住/chinese","🔍")</f>
        <v/>
      </c>
      <c r="K202" s="10" t="n"/>
      <c r="L202" s="11" t="n"/>
      <c r="M202" s="10" t="n"/>
      <c r="N202" s="11" t="n"/>
      <c r="O202" s="10" t="n"/>
      <c r="P202" s="11" t="n"/>
      <c r="Q202" s="10" t="n"/>
      <c r="R202" s="12" t="inlineStr">
        <is>
          <t>2026-06-17</t>
        </is>
      </c>
      <c r="S202" s="18" t="n"/>
      <c r="T202" s="46" t="inlineStr">
        <is>
          <t>住 [TRÚ] · ở, trú ngụ, dừng lại
    ↳ Chiết tự: bộ 亻 (nhân đứng – người) + 主 (chủ – âm đọc, làm chủ) — người làm chủ chỗ ở</t>
        </is>
      </c>
      <c r="U202" s="22" t="inlineStr">
        <is>
          <t>🏃 Động từ thường ngày</t>
        </is>
      </c>
      <c r="V202" s="63" t="inlineStr">
        <is>
          <t>我住在北京。</t>
        </is>
      </c>
      <c r="W202" s="64" t="inlineStr">
        <is>
          <t>Wǒ zhù zài Běijīng.
Tôi sống ở Bắc Kinh.</t>
        </is>
      </c>
    </row>
    <row r="203" ht="69.75" customHeight="1" s="99">
      <c r="A203" s="2" t="n">
        <v>476</v>
      </c>
      <c r="B203" s="60" t="inlineStr">
        <is>
          <t>HSK1+2+3</t>
        </is>
      </c>
      <c r="C203" s="4" t="inlineStr">
        <is>
          <t>准备</t>
        </is>
      </c>
      <c r="D203" s="5" t="inlineStr">
        <is>
          <t>zhǔnbèi</t>
        </is>
      </c>
      <c r="E203" s="6" t="inlineStr">
        <is>
          <t>chuẩn bị</t>
        </is>
      </c>
      <c r="F203" s="7" t="n"/>
      <c r="G203" s="7" t="n"/>
      <c r="H203" s="8">
        <f>IF(TRIM($G203)="","",IF(EXACT(TRIM($G203),TRIM($C203)),"✅ Đúng","❌ Sai"))</f>
        <v/>
      </c>
      <c r="I203" s="9">
        <f>HYPERLINK("https://translate.google.com/translate_tts?ie=UTF-8&amp;tl=zh-CN&amp;client=tw-ob&amp;q=准备","▶")</f>
        <v/>
      </c>
      <c r="J203" s="9">
        <f>HYPERLINK("https://youglish.com/pronounce/准备/chinese","🔍")</f>
        <v/>
      </c>
      <c r="K203" s="10" t="n"/>
      <c r="L203" s="11" t="n"/>
      <c r="M203" s="10" t="n"/>
      <c r="N203" s="11" t="n"/>
      <c r="O203" s="10" t="n"/>
      <c r="P203" s="11" t="n"/>
      <c r="Q203" s="10" t="n"/>
      <c r="R203" s="12" t="inlineStr">
        <is>
          <t>2026-06-17</t>
        </is>
      </c>
      <c r="S203" s="17" t="n"/>
      <c r="T203" s="46" t="inlineStr">
        <is>
          <t>准 [CHUẨN] · chuẩn xác; cho phép; chuẩn bị
    ↳ Chiết tự: giản thể của 準: bộ 冫 (băng – nước phẳng) + 隹 (chuy – chim đuôi ngắn) — mặt nước phẳng làm mực chuẩn
备 [BỊ] · chuẩn bị, đầy đủ, trang bị
    ↳ Chiết tự: giản thể của 備: bộ 夂 (truy) + 田 (điền – ruộng) — sắp sẵn đồ đạc cho đủ</t>
        </is>
      </c>
      <c r="U203" s="22" t="inlineStr">
        <is>
          <t>🏃 Động từ thường ngày</t>
        </is>
      </c>
      <c r="V203" s="63" t="inlineStr">
        <is>
          <t>我在准备考试。</t>
        </is>
      </c>
      <c r="W203" s="64" t="inlineStr">
        <is>
          <t>Wǒ zài zhǔnbèi kǎoshì.
Tôi đang chuẩn bị thi.</t>
        </is>
      </c>
    </row>
    <row r="204" hidden="1" ht="69.75" customHeight="1" s="99">
      <c r="A204" s="2" t="n">
        <v>489</v>
      </c>
      <c r="B204" s="3" t="inlineStr">
        <is>
          <t>HSK1</t>
        </is>
      </c>
      <c r="C204" s="4" t="inlineStr">
        <is>
          <t>坐下</t>
        </is>
      </c>
      <c r="D204" s="5" t="inlineStr">
        <is>
          <t>zuòxià</t>
        </is>
      </c>
      <c r="E204" s="6" t="inlineStr">
        <is>
          <t>ngồi xuống</t>
        </is>
      </c>
      <c r="F204" s="7" t="inlineStr">
        <is>
          <t>坐下</t>
        </is>
      </c>
      <c r="G204" s="13" t="inlineStr">
        <is>
          <t>坐下</t>
        </is>
      </c>
      <c r="H204" s="8">
        <f>IF(TRIM($G204)="","",IF(EXACT(TRIM($G204),TRIM($C204)),"✅ Đúng","❌ Sai"))</f>
        <v/>
      </c>
      <c r="I204" s="9">
        <f>HYPERLINK("https://translate.google.com/translate_tts?ie=UTF-8&amp;tl=zh-CN&amp;client=tw-ob&amp;q=坐下","▶")</f>
        <v/>
      </c>
      <c r="J204" s="9">
        <f>HYPERLINK("https://youglish.com/pronounce/坐下/chinese","🔍")</f>
        <v/>
      </c>
      <c r="K204" s="10" t="n"/>
      <c r="L204" s="11" t="n"/>
      <c r="M204" s="10" t="n"/>
      <c r="N204" s="11" t="n"/>
      <c r="O204" s="10" t="n"/>
      <c r="P204" s="11" t="n"/>
      <c r="Q204" s="10" t="n"/>
      <c r="R204" s="12" t="inlineStr">
        <is>
          <t>2026-06-17</t>
        </is>
      </c>
      <c r="S204" s="18" t="n"/>
      <c r="T204" s="46" t="inlineStr">
        <is>
          <t>坐 [TỌA] · ngồi
    ↳ Chiết tự: hai bộ 人 (nhân – người) trên 土 (thổ – đất) — hai người ngồi đối nhau trên đất
下 [HẠ] · ở dưới, xuống, kém hơn
    ↳ Chiết tự: bộ 一 (nhất – mặt đất) + vạch chỉ hướng xuống — chữ chỉ sự</t>
        </is>
      </c>
      <c r="U204" s="22" t="inlineStr">
        <is>
          <t>🏃 Động từ thường ngày</t>
        </is>
      </c>
      <c r="V204" s="63" t="inlineStr">
        <is>
          <t>请坐下。</t>
        </is>
      </c>
      <c r="W204" s="64" t="inlineStr">
        <is>
          <t>Qǐng zuò xià.
Xin hãy ngồi xuống.</t>
        </is>
      </c>
    </row>
    <row r="205" hidden="1" ht="34.9" customHeight="1" s="99">
      <c r="A205" s="2" t="n">
        <v>490</v>
      </c>
      <c r="B205" s="25" t="inlineStr">
        <is>
          <t>HSK1+2</t>
        </is>
      </c>
      <c r="C205" s="4" t="inlineStr">
        <is>
          <t>做</t>
        </is>
      </c>
      <c r="D205" s="5" t="inlineStr">
        <is>
          <t>zuò</t>
        </is>
      </c>
      <c r="E205" s="6" t="inlineStr">
        <is>
          <t>làm</t>
        </is>
      </c>
      <c r="F205" s="7" t="inlineStr">
        <is>
          <t>做</t>
        </is>
      </c>
      <c r="G205" s="7" t="inlineStr">
        <is>
          <t>做</t>
        </is>
      </c>
      <c r="H205" s="8">
        <f>IF(TRIM($G205)="","",IF(EXACT(TRIM($G205),TRIM($C205)),"✅ Đúng","❌ Sai"))</f>
        <v/>
      </c>
      <c r="I205" s="9">
        <f>HYPERLINK("https://translate.google.com/translate_tts?ie=UTF-8&amp;tl=zh-CN&amp;client=tw-ob&amp;q=做","▶")</f>
        <v/>
      </c>
      <c r="J205" s="9">
        <f>HYPERLINK("https://youglish.com/pronounce/做/chinese","🔍")</f>
        <v/>
      </c>
      <c r="K205" s="10" t="n"/>
      <c r="L205" s="11" t="n"/>
      <c r="M205" s="10" t="n"/>
      <c r="N205" s="11" t="n"/>
      <c r="O205" s="10" t="n"/>
      <c r="P205" s="11" t="n"/>
      <c r="Q205" s="10" t="n"/>
      <c r="R205" s="12" t="inlineStr">
        <is>
          <t>2026-06-17</t>
        </is>
      </c>
      <c r="S205" s="17" t="n"/>
      <c r="T205" s="46" t="inlineStr">
        <is>
          <t>做 [TÁC] · làm, thực hiện
    ↳ Chiết tự: bộ 亻 (nhân đứng – người) + 故 (cố – âm đọc) — người bắt tay vào việc</t>
        </is>
      </c>
      <c r="U205" s="22" t="inlineStr">
        <is>
          <t>🏃 Động từ thường ngày</t>
        </is>
      </c>
      <c r="V205" s="63" t="inlineStr">
        <is>
          <t>你在做什么？</t>
        </is>
      </c>
      <c r="W205" s="64" t="inlineStr">
        <is>
          <t>Nǐ zài zuò shénme?
Bạn đang làm gì?</t>
        </is>
      </c>
    </row>
    <row r="206" ht="69.75" customHeight="1" s="99">
      <c r="A206" s="26" t="n">
        <v>512</v>
      </c>
      <c r="B206" s="79" t="inlineStr">
        <is>
          <t>HSK2</t>
        </is>
      </c>
      <c r="C206" s="80" t="inlineStr">
        <is>
          <t>帮助</t>
        </is>
      </c>
      <c r="D206" s="80" t="inlineStr">
        <is>
          <t>bāngzhù</t>
        </is>
      </c>
      <c r="E206" s="80" t="inlineStr">
        <is>
          <t>giúp đỡ</t>
        </is>
      </c>
      <c r="F206" s="26" t="n"/>
      <c r="G206" s="7" t="n"/>
      <c r="H206" s="8">
        <f>IF(TRIM($G206)="","",IF(EXACT(TRIM($G206),TRIM($C206)),"✅ Đúng","❌ Sai"))</f>
        <v/>
      </c>
      <c r="I206" s="52" t="inlineStr">
        <is>
          <t>▶</t>
        </is>
      </c>
      <c r="J206" s="52" t="inlineStr">
        <is>
          <t>🔍</t>
        </is>
      </c>
      <c r="K206" s="26" t="n"/>
      <c r="L206" s="26" t="n"/>
      <c r="M206" s="26" t="n"/>
      <c r="N206" s="26" t="n"/>
      <c r="O206" s="26" t="n"/>
      <c r="P206" s="26" t="n"/>
      <c r="Q206" s="26" t="n"/>
      <c r="R206" s="39" t="n">
        <v>46236</v>
      </c>
      <c r="S206" s="41" t="n"/>
      <c r="T206" s="46" t="inlineStr">
        <is>
          <t>帮 [BANG] · giúp đỡ, phe nhóm
    ↳ Chiết tự: giản thể của 幫: bộ 巾 (cân – vải) + 邦 (bang – âm đọc) — góp vải, góp sức cho nhau
助 [TRỢ] · giúp đỡ, hỗ trợ
    ↳ Chiết tự: bộ 且 (thả – âm đọc) + 力 (lực – sức) — góp sức cho người</t>
        </is>
      </c>
      <c r="U206" s="44" t="inlineStr">
        <is>
          <t>🏃 Động từ thường ngày</t>
        </is>
      </c>
      <c r="V206" s="63" t="inlineStr">
        <is>
          <t>谢谢你的帮助。</t>
        </is>
      </c>
      <c r="W206" s="64" t="inlineStr">
        <is>
          <t>Xièxie nǐ de bāngzhù.
Cảm ơn sự giúp đỡ của bạn.</t>
        </is>
      </c>
    </row>
    <row r="207" ht="93" customHeight="1" s="99">
      <c r="A207" s="26" t="n">
        <v>516</v>
      </c>
      <c r="B207" s="79" t="inlineStr">
        <is>
          <t>HSK2</t>
        </is>
      </c>
      <c r="C207" s="80" t="inlineStr">
        <is>
          <t>打篮球</t>
        </is>
      </c>
      <c r="D207" s="80" t="inlineStr">
        <is>
          <t>dǎ lánqiú</t>
        </is>
      </c>
      <c r="E207" s="80" t="inlineStr">
        <is>
          <t>chơi bóng rổ</t>
        </is>
      </c>
      <c r="F207" s="26" t="n"/>
      <c r="G207" s="7" t="n"/>
      <c r="H207" s="8">
        <f>IF(TRIM($G207)="","",IF(EXACT(TRIM($G207),TRIM($C207)),"✅ Đúng","❌ Sai"))</f>
        <v/>
      </c>
      <c r="I207" s="52" t="inlineStr">
        <is>
          <t>▶</t>
        </is>
      </c>
      <c r="J207" s="52" t="inlineStr">
        <is>
          <t>🔍</t>
        </is>
      </c>
      <c r="K207" s="26" t="n"/>
      <c r="L207" s="26" t="n"/>
      <c r="M207" s="26" t="n"/>
      <c r="N207" s="26" t="n"/>
      <c r="O207" s="26" t="n"/>
      <c r="P207" s="26" t="n"/>
      <c r="Q207" s="26" t="n"/>
      <c r="R207" s="39" t="n">
        <v>46236</v>
      </c>
      <c r="S207" s="41" t="n"/>
      <c r="T207" s="46" t="inlineStr">
        <is>
          <t>打 [ĐẢ] · đánh; làm, gọi (động từ vạn năng)
    ↳ Chiết tự: bộ 扌 (thủ đứng – bàn tay) + 丁 (đinh – cái đinh) — tay đóng đinh
篮 [LAM] · cái giỏ; bóng rổ (篮球)
    ↳ Chiết tự: giản thể của 籃: bộ 竹 (trúc – tre) + 监 (giám – âm đọc) — giỏ đan bằng tre
球 [CẦU] · quả cầu, quả bóng
    ↳ Chiết tự: bộ 王 (ngọc) + 求 (cầu – âm đọc) — viên ngọc mài tròn</t>
        </is>
      </c>
      <c r="U207" s="44" t="inlineStr">
        <is>
          <t>🏃 Động từ thường ngày</t>
        </is>
      </c>
      <c r="V207" s="63" t="inlineStr">
        <is>
          <t>他喜欢打篮球。</t>
        </is>
      </c>
      <c r="W207" s="64" t="inlineStr">
        <is>
          <t>Tā xǐhuan dǎ lánqiú.
Anh ấy thích chơi bóng rổ.</t>
        </is>
      </c>
    </row>
    <row r="208" hidden="1" ht="69.75" customHeight="1" s="99">
      <c r="A208" s="26" t="n">
        <v>531</v>
      </c>
      <c r="B208" s="79" t="inlineStr">
        <is>
          <t>HSK2</t>
        </is>
      </c>
      <c r="C208" s="80" t="inlineStr">
        <is>
          <t>开始</t>
        </is>
      </c>
      <c r="D208" s="80" t="inlineStr">
        <is>
          <t>kāishǐ</t>
        </is>
      </c>
      <c r="E208" s="80" t="inlineStr">
        <is>
          <t>bắt đầu</t>
        </is>
      </c>
      <c r="F208" s="26" t="n"/>
      <c r="G208" s="13" t="inlineStr">
        <is>
          <t>开始</t>
        </is>
      </c>
      <c r="H208" s="8">
        <f>IF(TRIM($G208)="","",IF(EXACT(TRIM($G208),TRIM($C208)),"✅ Đúng","❌ Sai"))</f>
        <v/>
      </c>
      <c r="I208" s="52" t="inlineStr">
        <is>
          <t>▶</t>
        </is>
      </c>
      <c r="J208" s="52" t="inlineStr">
        <is>
          <t>🔍</t>
        </is>
      </c>
      <c r="K208" s="26" t="n"/>
      <c r="L208" s="26" t="n"/>
      <c r="M208" s="26" t="n"/>
      <c r="N208" s="26" t="n"/>
      <c r="O208" s="26" t="n"/>
      <c r="P208" s="26" t="n"/>
      <c r="Q208" s="26" t="n"/>
      <c r="R208" s="39" t="n">
        <v>46236</v>
      </c>
      <c r="S208" s="41" t="n"/>
      <c r="T208" s="46" t="inlineStr">
        <is>
          <t>开 [KHAI] · mở ra, bắt đầu, khai trương
    ↳ Chiết tự: giản thể của 開: bộ 廾 (củng – hai tay) — hai tay nhấc then cửa lên
始 [THỦY] · bắt đầu, khởi đầu
    ↳ Chiết tự: bộ 女 (nữ – phụ nữ) + 台 (thai – âm đọc) — người mẹ là khởi nguồn</t>
        </is>
      </c>
      <c r="U208" s="44" t="inlineStr">
        <is>
          <t>🏃 Động từ thường ngày</t>
        </is>
      </c>
      <c r="V208" s="63" t="inlineStr">
        <is>
          <t>我们开始上课吧。</t>
        </is>
      </c>
      <c r="W208" s="64" t="inlineStr">
        <is>
          <t>Wǒmen kāishǐ shàngkè ba.
Chúng ta bắt đầu vào học nhé.</t>
        </is>
      </c>
    </row>
    <row r="209" hidden="1" ht="58.15" customHeight="1" s="99">
      <c r="A209" s="26" t="n">
        <v>533</v>
      </c>
      <c r="B209" s="79" t="inlineStr">
        <is>
          <t>HSK2</t>
        </is>
      </c>
      <c r="C209" s="80" t="inlineStr">
        <is>
          <t>可以</t>
        </is>
      </c>
      <c r="D209" s="80" t="inlineStr">
        <is>
          <t>kěyǐ</t>
        </is>
      </c>
      <c r="E209" s="80" t="inlineStr">
        <is>
          <t>có thể, được phép</t>
        </is>
      </c>
      <c r="F209" s="26" t="n"/>
      <c r="G209" s="13" t="inlineStr">
        <is>
          <t>可以</t>
        </is>
      </c>
      <c r="H209" s="8">
        <f>IF(TRIM($G209)="","",IF(EXACT(TRIM($G209),TRIM($C209)),"✅ Đúng","❌ Sai"))</f>
        <v/>
      </c>
      <c r="I209" s="52" t="inlineStr">
        <is>
          <t>▶</t>
        </is>
      </c>
      <c r="J209" s="52" t="inlineStr">
        <is>
          <t>🔍</t>
        </is>
      </c>
      <c r="K209" s="26" t="n"/>
      <c r="L209" s="26" t="n"/>
      <c r="M209" s="26" t="n"/>
      <c r="N209" s="26" t="n"/>
      <c r="O209" s="26" t="n"/>
      <c r="P209" s="26" t="n"/>
      <c r="Q209" s="26" t="n"/>
      <c r="R209" s="39" t="n">
        <v>46236</v>
      </c>
      <c r="S209" s="41" t="n"/>
      <c r="T209" s="46" t="inlineStr">
        <is>
          <t>可 [KHẢ] · có thể, được; đáng
    ↳ Chiết tự: bộ 口 (khẩu – miệng) + 丁 — miệng gật đầu chấp thuận
以 [DĨ] · lấy, dùng, bằng; để mà
    ↳ Chiết tự: bộ 人 (nhân – người) + 厶 — người dùng công cụ để làm</t>
        </is>
      </c>
      <c r="U209" s="44" t="inlineStr">
        <is>
          <t>🏃 Động từ thường ngày</t>
        </is>
      </c>
      <c r="V209" s="63" t="inlineStr">
        <is>
          <t>我可以问一个问题吗？</t>
        </is>
      </c>
      <c r="W209" s="64" t="inlineStr">
        <is>
          <t>Wǒ kěyǐ wèn yí ge wèntí ma?
Tôi có thể hỏi một câu không?</t>
        </is>
      </c>
    </row>
    <row r="210" hidden="1" ht="69.75" customHeight="1" s="99">
      <c r="A210" s="26" t="n">
        <v>536</v>
      </c>
      <c r="B210" s="79" t="inlineStr">
        <is>
          <t>HSK2</t>
        </is>
      </c>
      <c r="C210" s="80" t="inlineStr">
        <is>
          <t>跑步</t>
        </is>
      </c>
      <c r="D210" s="80" t="inlineStr">
        <is>
          <t>pǎobù</t>
        </is>
      </c>
      <c r="E210" s="80" t="inlineStr">
        <is>
          <t>chạy bộ</t>
        </is>
      </c>
      <c r="F210" s="26" t="n"/>
      <c r="G210" s="13" t="inlineStr">
        <is>
          <t>跑步</t>
        </is>
      </c>
      <c r="H210" s="8">
        <f>IF(TRIM($G210)="","",IF(EXACT(TRIM($G210),TRIM($C210)),"✅ Đúng","❌ Sai"))</f>
        <v/>
      </c>
      <c r="I210" s="52" t="inlineStr">
        <is>
          <t>▶</t>
        </is>
      </c>
      <c r="J210" s="52" t="inlineStr">
        <is>
          <t>🔍</t>
        </is>
      </c>
      <c r="K210" s="26" t="n"/>
      <c r="L210" s="26" t="n"/>
      <c r="M210" s="26" t="n"/>
      <c r="N210" s="26" t="n"/>
      <c r="O210" s="26" t="n"/>
      <c r="P210" s="26" t="n"/>
      <c r="Q210" s="26" t="n"/>
      <c r="R210" s="39" t="n">
        <v>46236</v>
      </c>
      <c r="S210" s="41" t="n"/>
      <c r="T210" s="46" t="inlineStr">
        <is>
          <t>跑 [BÀO] · chạy
    ↳ Chiết tự: bộ 足 (túc – bàn chân) + 包 (bao – âm đọc) — chân guồng nhanh
步 [BỘ] · bước chân, bước đi
    ↳ Chiết tự: bộ 止 (chỉ – bàn chân) đôi — hai bàn chân nối nhau thành bước</t>
        </is>
      </c>
      <c r="U210" s="44" t="inlineStr">
        <is>
          <t>🏃 Động từ thường ngày</t>
        </is>
      </c>
      <c r="V210" s="63" t="inlineStr">
        <is>
          <t>我每天早上跑步。</t>
        </is>
      </c>
      <c r="W210" s="64" t="inlineStr">
        <is>
          <t>Wǒ měitiān zǎoshang pǎobù.
Sáng nào tôi cũng chạy bộ.</t>
        </is>
      </c>
    </row>
    <row r="211" ht="34.9" customHeight="1" s="99">
      <c r="A211" s="26" t="n">
        <v>542</v>
      </c>
      <c r="B211" s="79" t="inlineStr">
        <is>
          <t>HSK2</t>
        </is>
      </c>
      <c r="C211" s="80" t="inlineStr">
        <is>
          <t>让</t>
        </is>
      </c>
      <c r="D211" s="80" t="inlineStr">
        <is>
          <t>ràng</t>
        </is>
      </c>
      <c r="E211" s="80" t="inlineStr">
        <is>
          <t>để cho, nhường</t>
        </is>
      </c>
      <c r="F211" s="26" t="n"/>
      <c r="G211" s="7" t="n"/>
      <c r="H211" s="8">
        <f>IF(TRIM($G211)="","",IF(EXACT(TRIM($G211),TRIM($C211)),"✅ Đúng","❌ Sai"))</f>
        <v/>
      </c>
      <c r="I211" s="52" t="inlineStr">
        <is>
          <t>▶</t>
        </is>
      </c>
      <c r="J211" s="52" t="inlineStr">
        <is>
          <t>🔍</t>
        </is>
      </c>
      <c r="K211" s="26" t="n"/>
      <c r="L211" s="26" t="n"/>
      <c r="M211" s="26" t="n"/>
      <c r="N211" s="26" t="n"/>
      <c r="O211" s="26" t="n"/>
      <c r="P211" s="26" t="n"/>
      <c r="Q211" s="26" t="n"/>
      <c r="R211" s="39" t="n">
        <v>46236</v>
      </c>
      <c r="S211" s="41" t="n"/>
      <c r="T211" s="46" t="inlineStr">
        <is>
          <t>让 [NHƯỢNG] · nhường, để cho, bảo
    ↳ Chiết tự: giản thể của 讓: bộ 讠 (ngôn – lời nói) + 上 (thượng) — lời nhún nhường</t>
        </is>
      </c>
      <c r="U211" s="44" t="inlineStr">
        <is>
          <t>🏃 Động từ thường ngày</t>
        </is>
      </c>
      <c r="V211" s="63" t="inlineStr">
        <is>
          <t>请让我看看。</t>
        </is>
      </c>
      <c r="W211" s="64" t="inlineStr">
        <is>
          <t>Qǐng ràng wǒ kànkan.
Xin để tôi xem thử.</t>
        </is>
      </c>
    </row>
    <row r="212" ht="69.75" customHeight="1" s="99">
      <c r="A212" s="26" t="n">
        <v>543</v>
      </c>
      <c r="B212" s="79" t="inlineStr">
        <is>
          <t>HSK2</t>
        </is>
      </c>
      <c r="C212" s="80" t="inlineStr">
        <is>
          <t>事情</t>
        </is>
      </c>
      <c r="D212" s="80" t="inlineStr">
        <is>
          <t>shìqing</t>
        </is>
      </c>
      <c r="E212" s="80" t="inlineStr">
        <is>
          <t>sự việc</t>
        </is>
      </c>
      <c r="F212" s="26" t="n"/>
      <c r="G212" s="7" t="n"/>
      <c r="H212" s="8">
        <f>IF(TRIM($G212)="","",IF(EXACT(TRIM($G212),TRIM($C212)),"✅ Đúng","❌ Sai"))</f>
        <v/>
      </c>
      <c r="I212" s="52" t="inlineStr">
        <is>
          <t>▶</t>
        </is>
      </c>
      <c r="J212" s="52" t="inlineStr">
        <is>
          <t>🔍</t>
        </is>
      </c>
      <c r="K212" s="26" t="n"/>
      <c r="L212" s="26" t="n"/>
      <c r="M212" s="26" t="n"/>
      <c r="N212" s="26" t="n"/>
      <c r="O212" s="26" t="n"/>
      <c r="P212" s="26" t="n"/>
      <c r="Q212" s="26" t="n"/>
      <c r="R212" s="39" t="n">
        <v>46236</v>
      </c>
      <c r="S212" s="41" t="n"/>
      <c r="T212" s="46" t="inlineStr">
        <is>
          <t>事 [SỰ] · việc, sự việc, phụng sự
    ↳ Chiết tự: bộ 亅 (quyết) + 口 (khẩu – miệng) + 彐 (kệ – bàn tay) — tay cầm bút ghi lại việc
情 [TÌNH] · tình cảm; tình hình
    ↳ Chiết tự: bộ 忄 (tâm đứng – trái tim) + 青 (thanh – âm đọc) — cái trong sáng của lòng người</t>
        </is>
      </c>
      <c r="U212" s="44" t="inlineStr">
        <is>
          <t>🏃 Động từ thường ngày</t>
        </is>
      </c>
      <c r="V212" s="63" t="inlineStr">
        <is>
          <t>我有很多事情要做。</t>
        </is>
      </c>
      <c r="W212" s="64" t="inlineStr">
        <is>
          <t>Wǒ yǒu hěn duō shìqing yào zuò.
Tôi có rất nhiều việc phải làm.</t>
        </is>
      </c>
    </row>
    <row r="213" ht="81.40000000000001" customHeight="1" s="99">
      <c r="A213" s="26" t="n">
        <v>547</v>
      </c>
      <c r="B213" s="79" t="inlineStr">
        <is>
          <t>HSK2</t>
        </is>
      </c>
      <c r="C213" s="80" t="inlineStr">
        <is>
          <t>踢足球</t>
        </is>
      </c>
      <c r="D213" s="80" t="inlineStr">
        <is>
          <t>tī zúqiú</t>
        </is>
      </c>
      <c r="E213" s="80" t="inlineStr">
        <is>
          <t>đá bóng</t>
        </is>
      </c>
      <c r="F213" s="26" t="n"/>
      <c r="G213" s="7" t="n"/>
      <c r="H213" s="8">
        <f>IF(TRIM($G213)="","",IF(EXACT(TRIM($G213),TRIM($C213)),"✅ Đúng","❌ Sai"))</f>
        <v/>
      </c>
      <c r="I213" s="52" t="inlineStr">
        <is>
          <t>▶</t>
        </is>
      </c>
      <c r="J213" s="52" t="inlineStr">
        <is>
          <t>🔍</t>
        </is>
      </c>
      <c r="K213" s="26" t="n"/>
      <c r="L213" s="26" t="n"/>
      <c r="M213" s="26" t="n"/>
      <c r="N213" s="26" t="n"/>
      <c r="O213" s="26" t="n"/>
      <c r="P213" s="26" t="n"/>
      <c r="Q213" s="26" t="n"/>
      <c r="R213" s="39" t="n">
        <v>46236</v>
      </c>
      <c r="S213" s="41" t="n"/>
      <c r="T213" s="46" t="inlineStr">
        <is>
          <t>踢 [THÍCH] · đá (踢足球 = đá bóng)
    ↳ Chiết tự: bộ 足 (túc – bàn chân) + 易 (dịch – âm đọc) — chân hất ra
足 [TÚC] · bàn chân; đầy đủ
    ↳ Chiết tự: bộ 足 (túc) — hình cẳng chân và bàn chân
球 [CẦU] · quả cầu, quả bóng
    ↳ Chiết tự: bộ 王 (ngọc) + 求 (cầu – âm đọc) — viên ngọc mài tròn</t>
        </is>
      </c>
      <c r="U213" s="44" t="inlineStr">
        <is>
          <t>🏃 Động từ thường ngày</t>
        </is>
      </c>
      <c r="V213" s="63" t="inlineStr">
        <is>
          <t>孩子们在踢足球。</t>
        </is>
      </c>
      <c r="W213" s="64" t="inlineStr">
        <is>
          <t>Háizimen zài tī zúqiú.
Các đứa trẻ đang chơi bóng đá.</t>
        </is>
      </c>
    </row>
    <row r="214" ht="69.75" customHeight="1" s="99">
      <c r="A214" s="26" t="n">
        <v>549</v>
      </c>
      <c r="B214" s="79" t="inlineStr">
        <is>
          <t>HSK2</t>
        </is>
      </c>
      <c r="C214" s="80" t="inlineStr">
        <is>
          <t>跳舞</t>
        </is>
      </c>
      <c r="D214" s="80" t="inlineStr">
        <is>
          <t>tiàowǔ</t>
        </is>
      </c>
      <c r="E214" s="80" t="inlineStr">
        <is>
          <t>nhảy múa</t>
        </is>
      </c>
      <c r="F214" s="26" t="n"/>
      <c r="G214" s="7" t="n"/>
      <c r="H214" s="8">
        <f>IF(TRIM($G214)="","",IF(EXACT(TRIM($G214),TRIM($C214)),"✅ Đúng","❌ Sai"))</f>
        <v/>
      </c>
      <c r="I214" s="52" t="inlineStr">
        <is>
          <t>▶</t>
        </is>
      </c>
      <c r="J214" s="52" t="inlineStr">
        <is>
          <t>🔍</t>
        </is>
      </c>
      <c r="K214" s="26" t="n"/>
      <c r="L214" s="26" t="n"/>
      <c r="M214" s="26" t="n"/>
      <c r="N214" s="26" t="n"/>
      <c r="O214" s="26" t="n"/>
      <c r="P214" s="26" t="n"/>
      <c r="Q214" s="26" t="n"/>
      <c r="R214" s="39" t="n">
        <v>46236</v>
      </c>
      <c r="S214" s="41" t="n"/>
      <c r="T214" s="46" t="inlineStr">
        <is>
          <t>跳 [KHIÊU] · nhảy
    ↳ Chiết tự: bộ 足 (túc – bàn chân) + 兆 (triệu – âm đọc) — chân bật lên
舞 [VŨ] · múa, khiêu vũ
    ↳ Chiết tự: bộ 舛 (suyễn – hai bàn chân ngược) + 無 — người cầm đạo cụ, hai chân xoay múa</t>
        </is>
      </c>
      <c r="U214" s="44" t="inlineStr">
        <is>
          <t>🏃 Động từ thường ngày</t>
        </is>
      </c>
      <c r="V214" s="63" t="inlineStr">
        <is>
          <t>她跳舞跳得很好。</t>
        </is>
      </c>
      <c r="W214" s="64" t="inlineStr">
        <is>
          <t>Tā tiàowǔ tiào de hěn hǎo.
Cô ấy nhảy rất giỏi.</t>
        </is>
      </c>
    </row>
    <row r="215" ht="34.9" customHeight="1" s="99">
      <c r="A215" s="26" t="n">
        <v>550</v>
      </c>
      <c r="B215" s="79" t="inlineStr">
        <is>
          <t>HSK2</t>
        </is>
      </c>
      <c r="C215" s="80" t="inlineStr">
        <is>
          <t>完</t>
        </is>
      </c>
      <c r="D215" s="80" t="inlineStr">
        <is>
          <t>wán</t>
        </is>
      </c>
      <c r="E215" s="80" t="inlineStr">
        <is>
          <t>xong, hết</t>
        </is>
      </c>
      <c r="F215" s="26" t="n"/>
      <c r="G215" s="7" t="n"/>
      <c r="H215" s="8">
        <f>IF(TRIM($G215)="","",IF(EXACT(TRIM($G215),TRIM($C215)),"✅ Đúng","❌ Sai"))</f>
        <v/>
      </c>
      <c r="I215" s="52" t="inlineStr">
        <is>
          <t>▶</t>
        </is>
      </c>
      <c r="J215" s="52" t="inlineStr">
        <is>
          <t>🔍</t>
        </is>
      </c>
      <c r="K215" s="26" t="n"/>
      <c r="L215" s="26" t="n"/>
      <c r="M215" s="26" t="n"/>
      <c r="N215" s="26" t="n"/>
      <c r="O215" s="26" t="n"/>
      <c r="P215" s="26" t="n"/>
      <c r="Q215" s="26" t="n"/>
      <c r="R215" s="39" t="n">
        <v>46236</v>
      </c>
      <c r="S215" s="41" t="n"/>
      <c r="T215" s="46" t="inlineStr">
        <is>
          <t>完 [HOÀN] · xong, hoàn thành, trọn vẹn
    ↳ Chiết tự: bộ 宀 (miên – mái nhà) + 元 (nguyên – âm đọc) — dựng nhà xong xuôi</t>
        </is>
      </c>
      <c r="U215" s="44" t="inlineStr">
        <is>
          <t>🏃 Động từ thường ngày</t>
        </is>
      </c>
      <c r="V215" s="63" t="inlineStr">
        <is>
          <t>作业我做完了。</t>
        </is>
      </c>
      <c r="W215" s="64" t="inlineStr">
        <is>
          <t>Zuòyè wǒ zuò wán le.
Tôi làm xong bài tập rồi.</t>
        </is>
      </c>
    </row>
    <row r="216" hidden="1" ht="34.9" customHeight="1" s="99">
      <c r="A216" s="26" t="n">
        <v>551</v>
      </c>
      <c r="B216" s="79" t="inlineStr">
        <is>
          <t>HSK2</t>
        </is>
      </c>
      <c r="C216" s="80" t="inlineStr">
        <is>
          <t>玩</t>
        </is>
      </c>
      <c r="D216" s="80" t="inlineStr">
        <is>
          <t>wán</t>
        </is>
      </c>
      <c r="E216" s="80" t="inlineStr">
        <is>
          <t>chơi</t>
        </is>
      </c>
      <c r="F216" s="26" t="n"/>
      <c r="G216" s="13" t="inlineStr">
        <is>
          <t>玩</t>
        </is>
      </c>
      <c r="H216" s="8">
        <f>IF(TRIM($G216)="","",IF(EXACT(TRIM($G216),TRIM($C216)),"✅ Đúng","❌ Sai"))</f>
        <v/>
      </c>
      <c r="I216" s="52" t="inlineStr">
        <is>
          <t>▶</t>
        </is>
      </c>
      <c r="J216" s="52" t="inlineStr">
        <is>
          <t>🔍</t>
        </is>
      </c>
      <c r="K216" s="26" t="n"/>
      <c r="L216" s="26" t="n"/>
      <c r="M216" s="26" t="n"/>
      <c r="N216" s="26" t="n"/>
      <c r="O216" s="26" t="n"/>
      <c r="P216" s="26" t="n"/>
      <c r="Q216" s="26" t="n"/>
      <c r="R216" s="39" t="n">
        <v>46236</v>
      </c>
      <c r="S216" s="41" t="n"/>
      <c r="T216" s="46" t="inlineStr">
        <is>
          <t>玩 [NGOẠN] · chơi đùa, thưởng ngoạn
    ↳ Chiết tự: bộ 王 (ngọc – viên ngọc) + 元 (nguyên – âm đọc) — mân mê viên ngọc trong tay</t>
        </is>
      </c>
      <c r="U216" s="44" t="inlineStr">
        <is>
          <t>🏃 Động từ thường ngày</t>
        </is>
      </c>
      <c r="V216" s="63" t="inlineStr">
        <is>
          <t>周末我们出去玩。</t>
        </is>
      </c>
      <c r="W216" s="64" t="inlineStr">
        <is>
          <t>Zhōumò wǒmen chūqù wán.
Cuối tuần chúng tôi ra ngoài chơi.</t>
        </is>
      </c>
    </row>
    <row r="217" ht="69.75" customHeight="1" s="99">
      <c r="A217" s="26" t="n">
        <v>556</v>
      </c>
      <c r="B217" s="79" t="inlineStr">
        <is>
          <t>HSK2</t>
        </is>
      </c>
      <c r="C217" s="80" t="inlineStr">
        <is>
          <t>希望</t>
        </is>
      </c>
      <c r="D217" s="80" t="inlineStr">
        <is>
          <t>xīwàng</t>
        </is>
      </c>
      <c r="E217" s="80" t="inlineStr">
        <is>
          <t>hy vọng</t>
        </is>
      </c>
      <c r="F217" s="26" t="n"/>
      <c r="G217" s="7" t="n"/>
      <c r="H217" s="8">
        <f>IF(TRIM($G217)="","",IF(EXACT(TRIM($G217),TRIM($C217)),"✅ Đúng","❌ Sai"))</f>
        <v/>
      </c>
      <c r="I217" s="52" t="inlineStr">
        <is>
          <t>▶</t>
        </is>
      </c>
      <c r="J217" s="52" t="inlineStr">
        <is>
          <t>🔍</t>
        </is>
      </c>
      <c r="K217" s="26" t="n"/>
      <c r="L217" s="26" t="n"/>
      <c r="M217" s="26" t="n"/>
      <c r="N217" s="26" t="n"/>
      <c r="O217" s="26" t="n"/>
      <c r="P217" s="26" t="n"/>
      <c r="Q217" s="26" t="n"/>
      <c r="R217" s="39" t="n">
        <v>46236</v>
      </c>
      <c r="S217" s="41" t="n"/>
      <c r="T217" s="46" t="inlineStr">
        <is>
          <t>希 [HY] · mong mỏi, hiếm
    ↳ Chiết tự: bộ 巾 (cân – khăn vải) + 爻 (hào) — vải thưa, thứ hiếm nên mong
望 [VỌNG] · nhìn xa, hy vọng, trông ngóng
    ↳ Chiết tự: bộ 月 (nguyệt – mặt trăng) + 亡 (vong) + 王 — người đứng cao ngóng trăng</t>
        </is>
      </c>
      <c r="U217" s="44" t="inlineStr">
        <is>
          <t>🏃 Động từ thường ngày</t>
        </is>
      </c>
      <c r="V217" s="63" t="inlineStr">
        <is>
          <t>我希望你早点儿好。</t>
        </is>
      </c>
      <c r="W217" s="64" t="inlineStr">
        <is>
          <t>Wǒ xīwàng nǐ zǎodiǎnr hǎo.
Tôi mong bạn khỏe lại sớm.</t>
        </is>
      </c>
    </row>
    <row r="218" ht="69.75" customHeight="1" s="99">
      <c r="A218" s="26" t="n">
        <v>569</v>
      </c>
      <c r="B218" s="79" t="inlineStr">
        <is>
          <t>HSK2</t>
        </is>
      </c>
      <c r="C218" s="80" t="inlineStr">
        <is>
          <t>游泳</t>
        </is>
      </c>
      <c r="D218" s="80" t="inlineStr">
        <is>
          <t>yóuyǒng</t>
        </is>
      </c>
      <c r="E218" s="80" t="inlineStr">
        <is>
          <t>bơi lội</t>
        </is>
      </c>
      <c r="F218" s="26" t="n"/>
      <c r="G218" s="7" t="n"/>
      <c r="H218" s="8">
        <f>IF(TRIM($G218)="","",IF(EXACT(TRIM($G218),TRIM($C218)),"✅ Đúng","❌ Sai"))</f>
        <v/>
      </c>
      <c r="I218" s="52" t="inlineStr">
        <is>
          <t>▶</t>
        </is>
      </c>
      <c r="J218" s="52" t="inlineStr">
        <is>
          <t>🔍</t>
        </is>
      </c>
      <c r="K218" s="26" t="n"/>
      <c r="L218" s="26" t="n"/>
      <c r="M218" s="26" t="n"/>
      <c r="N218" s="26" t="n"/>
      <c r="O218" s="26" t="n"/>
      <c r="P218" s="26" t="n"/>
      <c r="Q218" s="26" t="n"/>
      <c r="R218" s="39" t="n">
        <v>46236</v>
      </c>
      <c r="S218" s="41" t="n"/>
      <c r="T218" s="46" t="inlineStr">
        <is>
          <t>游 [DU] · bơi lội; du ngoạn
    ↳ Chiết tự: bộ 氵 (thủy – nước) + 斿 (du – âm đọc) — đi lại trên nước
泳 [VỊNH] · bơi (游泳)
    ↳ Chiết tự: bộ 氵 (thủy – nước) + 永 (vĩnh – âm đọc) — lội dài trong nước</t>
        </is>
      </c>
      <c r="U218" s="44" t="inlineStr">
        <is>
          <t>🏃 Động từ thường ngày</t>
        </is>
      </c>
      <c r="V218" s="63" t="inlineStr">
        <is>
          <t>夏天我常去游泳。</t>
        </is>
      </c>
      <c r="W218" s="64" t="inlineStr">
        <is>
          <t>Xiàtiān wǒ cháng qù yóuyǒng.
Mùa hè tôi thường đi bơi.</t>
        </is>
      </c>
    </row>
    <row r="219" ht="69.75" customHeight="1" s="99">
      <c r="A219" s="26" t="n">
        <v>571</v>
      </c>
      <c r="B219" s="81" t="inlineStr">
        <is>
          <t>HSK2+3</t>
        </is>
      </c>
      <c r="C219" s="80" t="inlineStr">
        <is>
          <t>运动</t>
        </is>
      </c>
      <c r="D219" s="80" t="inlineStr">
        <is>
          <t>yùndòng</t>
        </is>
      </c>
      <c r="E219" s="80" t="inlineStr">
        <is>
          <t>vận động, thể thao</t>
        </is>
      </c>
      <c r="F219" s="26" t="n"/>
      <c r="G219" s="7" t="n"/>
      <c r="H219" s="8">
        <f>IF(TRIM($G219)="","",IF(EXACT(TRIM($G219),TRIM($C219)),"✅ Đúng","❌ Sai"))</f>
        <v/>
      </c>
      <c r="I219" s="52" t="inlineStr">
        <is>
          <t>▶</t>
        </is>
      </c>
      <c r="J219" s="52" t="inlineStr">
        <is>
          <t>🔍</t>
        </is>
      </c>
      <c r="K219" s="26" t="n"/>
      <c r="L219" s="26" t="n"/>
      <c r="M219" s="26" t="n"/>
      <c r="N219" s="26" t="n"/>
      <c r="O219" s="26" t="n"/>
      <c r="P219" s="26" t="n"/>
      <c r="Q219" s="26" t="n"/>
      <c r="R219" s="39" t="n">
        <v>46236</v>
      </c>
      <c r="S219" s="41" t="n"/>
      <c r="T219" s="46" t="inlineStr">
        <is>
          <t>运 [VẬN] · vận chuyển; vận động; vận may
    ↳ Chiết tự: giản thể của 運: bộ 辶 (sước – bước đi) + 云 (vân – mây) — chuyển dời như mây trôi
动 [ĐỘNG] · chuyển động, cử động
    ↳ Chiết tự: giản thể của 動: bộ 云 (vân) + 力 (lực – sức) — dùng sức thì vật chuyển</t>
        </is>
      </c>
      <c r="U219" s="44" t="inlineStr">
        <is>
          <t>🏃 Động từ thường ngày</t>
        </is>
      </c>
      <c r="V219" s="63" t="inlineStr">
        <is>
          <t>运动对身体好。</t>
        </is>
      </c>
      <c r="W219" s="64" t="inlineStr">
        <is>
          <t>Yùndòng duì shēntǐ hǎo.
Vận động tốt cho sức khỏe.</t>
        </is>
      </c>
    </row>
    <row r="220" hidden="1" ht="34.9" customHeight="1" s="99">
      <c r="A220" s="2" t="n">
        <v>15</v>
      </c>
      <c r="B220" s="60" t="inlineStr">
        <is>
          <t>HSK1+3</t>
        </is>
      </c>
      <c r="C220" s="4" t="inlineStr">
        <is>
          <t>包</t>
        </is>
      </c>
      <c r="D220" s="5" t="inlineStr">
        <is>
          <t>bāo</t>
        </is>
      </c>
      <c r="E220" s="6" t="inlineStr">
        <is>
          <t>bao, cái túi; gói</t>
        </is>
      </c>
      <c r="F220" s="7" t="inlineStr">
        <is>
          <t>包</t>
        </is>
      </c>
      <c r="G220" s="7" t="inlineStr">
        <is>
          <t>包</t>
        </is>
      </c>
      <c r="H220" s="8">
        <f>IF(TRIM($G220)="","",IF(EXACT(TRIM($G220),TRIM($C220)),"✅ Đúng","❌ Sai"))</f>
        <v/>
      </c>
      <c r="I220" s="9">
        <f>HYPERLINK("https://translate.google.com/translate_tts?ie=UTF-8&amp;tl=zh-CN&amp;client=tw-ob&amp;q=包","▶")</f>
        <v/>
      </c>
      <c r="J220" s="9">
        <f>HYPERLINK("https://youglish.com/pronounce/包/chinese","🔍")</f>
        <v/>
      </c>
      <c r="K220" s="10" t="n"/>
      <c r="L220" s="11" t="n"/>
      <c r="M220" s="10" t="n"/>
      <c r="N220" s="11" t="n"/>
      <c r="O220" s="10" t="n"/>
      <c r="P220" s="11" t="n"/>
      <c r="Q220" s="10" t="n"/>
      <c r="R220" s="12" t="inlineStr">
        <is>
          <t>2026-06-17</t>
        </is>
      </c>
      <c r="S220" s="17" t="n"/>
      <c r="T220" s="21" t="inlineStr">
        <is>
          <t>包 [BAO] · bao bọc, gói; cái túi
    ↳ Chiết tự: bộ 勹 (bao – ôm bọc) + 巳 (tị – thai nhi) — bụng mẹ bọc lấy thai</t>
        </is>
      </c>
      <c r="U220" s="22" t="inlineStr">
        <is>
          <t>🏠 Nhà cửa &amp; Đồ vật</t>
        </is>
      </c>
      <c r="V220" s="63" t="inlineStr">
        <is>
          <t>这个包很贵。</t>
        </is>
      </c>
      <c r="W220" s="64" t="inlineStr">
        <is>
          <t>Zhège bāo hěn guì.
Cái túi này rất đắt.</t>
        </is>
      </c>
    </row>
    <row r="221" ht="58.15" customHeight="1" s="99">
      <c r="A221" s="2" t="n">
        <v>23</v>
      </c>
      <c r="B221" s="3" t="inlineStr">
        <is>
          <t>HSK1</t>
        </is>
      </c>
      <c r="C221" s="4" t="inlineStr">
        <is>
          <t>本子</t>
        </is>
      </c>
      <c r="D221" s="5" t="inlineStr">
        <is>
          <t>běnzi</t>
        </is>
      </c>
      <c r="E221" s="6" t="inlineStr">
        <is>
          <t>vở, cuốn vở</t>
        </is>
      </c>
      <c r="F221" s="7" t="n"/>
      <c r="G221" s="7" t="n"/>
      <c r="H221" s="8">
        <f>IF(TRIM($G221)="","",IF(EXACT(TRIM($G221),TRIM($C221)),"✅ Đúng","❌ Sai"))</f>
        <v/>
      </c>
      <c r="I221" s="9">
        <f>HYPERLINK("https://translate.google.com/translate_tts?ie=UTF-8&amp;tl=zh-CN&amp;client=tw-ob&amp;q=本子","▶")</f>
        <v/>
      </c>
      <c r="J221" s="9">
        <f>HYPERLINK("https://youglish.com/pronounce/本子/chinese","🔍")</f>
        <v/>
      </c>
      <c r="K221" s="10" t="n"/>
      <c r="L221" s="11" t="n"/>
      <c r="M221" s="10" t="n"/>
      <c r="N221" s="11" t="n"/>
      <c r="O221" s="10" t="n"/>
      <c r="P221" s="11" t="n"/>
      <c r="Q221" s="10" t="n"/>
      <c r="R221" s="12" t="inlineStr">
        <is>
          <t>2026-06-17</t>
        </is>
      </c>
      <c r="S221" s="17" t="n"/>
      <c r="T221" s="21" t="inlineStr">
        <is>
          <t>本 [BẢN] · gốc rễ, vốn có; quyển (lượng từ)
    ↳ Chiết tự: bộ 木 (mộc – cây) + 一 (nhất) đánh dấu phần gốc — chữ chỉ sự
子 [TỬ] · con cái; hậu tố danh từ; ngài
    ↳ Chiết tự: bộ 子 (tử) — hình em bé quấn tã, hai tay giơ lên</t>
        </is>
      </c>
      <c r="U221" s="22" t="inlineStr">
        <is>
          <t>🏠 Nhà cửa &amp; Đồ vật</t>
        </is>
      </c>
      <c r="V221" s="63" t="inlineStr">
        <is>
          <t>我买了三个本子。</t>
        </is>
      </c>
      <c r="W221" s="64" t="inlineStr">
        <is>
          <t>Wǒ mǎi le sān ge běnzi.
Tôi mua ba quyển vở.</t>
        </is>
      </c>
    </row>
    <row r="222" ht="69.75" customHeight="1" s="99">
      <c r="A222" s="2" t="n">
        <v>43</v>
      </c>
      <c r="B222" s="3" t="inlineStr">
        <is>
          <t>HSK1</t>
        </is>
      </c>
      <c r="C222" s="4" t="inlineStr">
        <is>
          <t>车票</t>
        </is>
      </c>
      <c r="D222" s="5" t="inlineStr">
        <is>
          <t>chēpiào</t>
        </is>
      </c>
      <c r="E222" s="6" t="inlineStr">
        <is>
          <t>vé xe</t>
        </is>
      </c>
      <c r="F222" s="7" t="n"/>
      <c r="G222" s="7" t="n"/>
      <c r="H222" s="8">
        <f>IF(TRIM($G222)="","",IF(EXACT(TRIM($G222),TRIM($C222)),"✅ Đúng","❌ Sai"))</f>
        <v/>
      </c>
      <c r="I222" s="9">
        <f>HYPERLINK("https://translate.google.com/translate_tts?ie=UTF-8&amp;tl=zh-CN&amp;client=tw-ob&amp;q=车票","▶")</f>
        <v/>
      </c>
      <c r="J222" s="9">
        <f>HYPERLINK("https://youglish.com/pronounce/车票/chinese","🔍")</f>
        <v/>
      </c>
      <c r="K222" s="10" t="n"/>
      <c r="L222" s="11" t="n"/>
      <c r="M222" s="10" t="n"/>
      <c r="N222" s="11" t="n"/>
      <c r="O222" s="10" t="n"/>
      <c r="P222" s="11" t="n"/>
      <c r="Q222" s="10" t="n"/>
      <c r="R222" s="12" t="inlineStr">
        <is>
          <t>2026-06-17</t>
        </is>
      </c>
      <c r="S222" s="17" t="n"/>
      <c r="T222" s="21" t="inlineStr">
        <is>
          <t>车 [XA / XE] · xe cộ
    ↳ Chiết tự: giản thể của 車: bộ 车 (xa) — hình chiếc xe nhìn từ trên, có trục và bánh
票 [PHIẾU] · vé, phiếu, tờ
    ↳ Chiết tự: bộ 覀 (á – che đậy) + 示 (thị – bàn thờ) — mảnh giấy làm bằng chứng</t>
        </is>
      </c>
      <c r="U222" s="22" t="inlineStr">
        <is>
          <t>🏠 Nhà cửa &amp; Đồ vật</t>
        </is>
      </c>
      <c r="V222" s="63" t="inlineStr">
        <is>
          <t>我买了两张车票。</t>
        </is>
      </c>
      <c r="W222" s="64" t="inlineStr">
        <is>
          <t>Wǒ mǎi le liǎng zhāng chēpiào.
Tôi mua hai vé xe.</t>
        </is>
      </c>
    </row>
    <row r="223" ht="34.9" customHeight="1" s="99">
      <c r="A223" s="2" t="n">
        <v>52</v>
      </c>
      <c r="B223" s="3" t="inlineStr">
        <is>
          <t>HSK1</t>
        </is>
      </c>
      <c r="C223" s="4" t="inlineStr">
        <is>
          <t>床</t>
        </is>
      </c>
      <c r="D223" s="5" t="inlineStr">
        <is>
          <t>chuáng</t>
        </is>
      </c>
      <c r="E223" s="6" t="inlineStr">
        <is>
          <t>giường</t>
        </is>
      </c>
      <c r="F223" s="7" t="n"/>
      <c r="G223" s="7" t="n"/>
      <c r="H223" s="8">
        <f>IF(TRIM($G223)="","",IF(EXACT(TRIM($G223),TRIM($C223)),"✅ Đúng","❌ Sai"))</f>
        <v/>
      </c>
      <c r="I223" s="9">
        <f>HYPERLINK("https://translate.google.com/translate_tts?ie=UTF-8&amp;tl=zh-CN&amp;client=tw-ob&amp;q=床","▶")</f>
        <v/>
      </c>
      <c r="J223" s="9">
        <f>HYPERLINK("https://youglish.com/pronounce/床/chinese","🔍")</f>
        <v/>
      </c>
      <c r="K223" s="10" t="n"/>
      <c r="L223" s="11" t="n"/>
      <c r="M223" s="10" t="n"/>
      <c r="N223" s="11" t="n"/>
      <c r="O223" s="10" t="n"/>
      <c r="P223" s="11" t="n"/>
      <c r="Q223" s="10" t="n"/>
      <c r="R223" s="12" t="inlineStr">
        <is>
          <t>2026-06-17</t>
        </is>
      </c>
      <c r="S223" s="18" t="n"/>
      <c r="T223" s="21" t="inlineStr">
        <is>
          <t>床 [SÀNG] · cái giường
    ↳ Chiết tự: bộ 广 (nghiễm – mái nhà) + 木 (mộc – gỗ) — tấm gỗ kê trong nhà để nằm</t>
        </is>
      </c>
      <c r="U223" s="22" t="inlineStr">
        <is>
          <t>🏠 Nhà cửa &amp; Đồ vật</t>
        </is>
      </c>
      <c r="V223" s="63" t="inlineStr">
        <is>
          <t>我的床很大。</t>
        </is>
      </c>
      <c r="W223" s="64" t="inlineStr">
        <is>
          <t>Wǒ de chuáng hěn dà.
Giường của tôi rất to.</t>
        </is>
      </c>
    </row>
    <row r="224" ht="34.9" customHeight="1" s="99">
      <c r="A224" s="2" t="n">
        <v>77</v>
      </c>
      <c r="B224" s="3" t="inlineStr">
        <is>
          <t>HSK1</t>
        </is>
      </c>
      <c r="C224" s="4" t="inlineStr">
        <is>
          <t>电</t>
        </is>
      </c>
      <c r="D224" s="5" t="inlineStr">
        <is>
          <t>diàn</t>
        </is>
      </c>
      <c r="E224" s="6" t="inlineStr">
        <is>
          <t>điện, pin</t>
        </is>
      </c>
      <c r="F224" s="7" t="n"/>
      <c r="G224" s="7" t="n"/>
      <c r="H224" s="8">
        <f>IF(TRIM($G224)="","",IF(EXACT(TRIM($G224),TRIM($C224)),"✅ Đúng","❌ Sai"))</f>
        <v/>
      </c>
      <c r="I224" s="9">
        <f>HYPERLINK("https://translate.google.com/translate_tts?ie=UTF-8&amp;tl=zh-CN&amp;client=tw-ob&amp;q=电","▶")</f>
        <v/>
      </c>
      <c r="J224" s="9">
        <f>HYPERLINK("https://youglish.com/pronounce/电/chinese","🔍")</f>
        <v/>
      </c>
      <c r="K224" s="10" t="n"/>
      <c r="L224" s="11" t="n"/>
      <c r="M224" s="10" t="n"/>
      <c r="N224" s="11" t="n"/>
      <c r="O224" s="10" t="n"/>
      <c r="P224" s="11" t="n"/>
      <c r="Q224" s="10" t="n"/>
      <c r="R224" s="12" t="inlineStr">
        <is>
          <t>2026-06-17</t>
        </is>
      </c>
      <c r="S224" s="17" t="n"/>
      <c r="T224" s="21" t="inlineStr">
        <is>
          <t>电 [ĐIỆN] · điện, tia chớp
    ↳ Chiết tự: giản thể của 電: bộ 雨 lược bỏ + 申 (thân) — tia chớp xẹt ra từ mây mưa</t>
        </is>
      </c>
      <c r="U224" s="22" t="inlineStr">
        <is>
          <t>🏠 Nhà cửa &amp; Đồ vật</t>
        </is>
      </c>
      <c r="V224" s="63" t="inlineStr">
        <is>
          <t>昨天晚上没有电。</t>
        </is>
      </c>
      <c r="W224" s="64" t="inlineStr">
        <is>
          <t>Zuótiān wǎnshang méiyǒu diàn.
Tối qua bị mất điện.</t>
        </is>
      </c>
    </row>
    <row r="225" hidden="1" ht="69.75" customHeight="1" s="99">
      <c r="A225" s="2" t="n">
        <v>78</v>
      </c>
      <c r="B225" s="3" t="inlineStr">
        <is>
          <t>HSK1</t>
        </is>
      </c>
      <c r="C225" s="4" t="inlineStr">
        <is>
          <t>电话</t>
        </is>
      </c>
      <c r="D225" s="5" t="inlineStr">
        <is>
          <t>diànhuà</t>
        </is>
      </c>
      <c r="E225" s="6" t="inlineStr">
        <is>
          <t>điện thoại</t>
        </is>
      </c>
      <c r="F225" s="7" t="inlineStr">
        <is>
          <t>电话</t>
        </is>
      </c>
      <c r="G225" s="7" t="inlineStr">
        <is>
          <t>电话</t>
        </is>
      </c>
      <c r="H225" s="8">
        <f>IF(TRIM($G225)="","",IF(EXACT(TRIM($G225),TRIM($C225)),"✅ Đúng","❌ Sai"))</f>
        <v/>
      </c>
      <c r="I225" s="9">
        <f>HYPERLINK("https://translate.google.com/translate_tts?ie=UTF-8&amp;tl=zh-CN&amp;client=tw-ob&amp;q=电话","▶")</f>
        <v/>
      </c>
      <c r="J225" s="9">
        <f>HYPERLINK("https://youglish.com/pronounce/电话/chinese","🔍")</f>
        <v/>
      </c>
      <c r="K225" s="10" t="n"/>
      <c r="L225" s="11" t="n"/>
      <c r="M225" s="10" t="n"/>
      <c r="N225" s="11" t="n"/>
      <c r="O225" s="10" t="n"/>
      <c r="P225" s="11" t="n"/>
      <c r="Q225" s="10" t="n"/>
      <c r="R225" s="12" t="inlineStr">
        <is>
          <t>2026-06-17</t>
        </is>
      </c>
      <c r="S225" s="18" t="n"/>
      <c r="T225" s="21" t="inlineStr">
        <is>
          <t>电 [ĐIỆN] · điện, tia chớp
    ↳ Chiết tự: giản thể của 電: bộ 雨 lược bỏ + 申 (thân) — tia chớp xẹt ra từ mây mưa
话 [THOẠI] · lời nói, câu chuyện
    ↳ Chiết tự: giản thể của 話: bộ 讠 (ngôn – lời nói) + 舌 (thiệt – cái lưỡi) — lưỡi phát thành lời</t>
        </is>
      </c>
      <c r="U225" s="22" t="inlineStr">
        <is>
          <t>🏠 Nhà cửa &amp; Đồ vật</t>
        </is>
      </c>
      <c r="V225" s="63" t="inlineStr">
        <is>
          <t>请给我打电话。</t>
        </is>
      </c>
      <c r="W225" s="64" t="inlineStr">
        <is>
          <t>Qǐng gěi wǒ dǎ diànhuà.
Xin hãy gọi điện cho tôi.</t>
        </is>
      </c>
    </row>
    <row r="226" ht="69.75" customHeight="1" s="99">
      <c r="A226" s="2" t="n">
        <v>79</v>
      </c>
      <c r="B226" s="25" t="inlineStr">
        <is>
          <t>HSK1+2</t>
        </is>
      </c>
      <c r="C226" s="4" t="inlineStr">
        <is>
          <t>电脑</t>
        </is>
      </c>
      <c r="D226" s="5" t="inlineStr">
        <is>
          <t>diànnǎo</t>
        </is>
      </c>
      <c r="E226" s="6" t="inlineStr">
        <is>
          <t>máy tính</t>
        </is>
      </c>
      <c r="F226" s="7" t="n"/>
      <c r="G226" s="7" t="n"/>
      <c r="H226" s="8">
        <f>IF(TRIM($G226)="","",IF(EXACT(TRIM($G226),TRIM($C226)),"✅ Đúng","❌ Sai"))</f>
        <v/>
      </c>
      <c r="I226" s="9">
        <f>HYPERLINK("https://translate.google.com/translate_tts?ie=UTF-8&amp;tl=zh-CN&amp;client=tw-ob&amp;q=电脑","▶")</f>
        <v/>
      </c>
      <c r="J226" s="9">
        <f>HYPERLINK("https://youglish.com/pronounce/电脑/chinese","🔍")</f>
        <v/>
      </c>
      <c r="K226" s="10" t="n"/>
      <c r="L226" s="11" t="n"/>
      <c r="M226" s="10" t="n"/>
      <c r="N226" s="11" t="n"/>
      <c r="O226" s="10" t="n"/>
      <c r="P226" s="11" t="n"/>
      <c r="Q226" s="10" t="n"/>
      <c r="R226" s="12" t="inlineStr">
        <is>
          <t>2026-06-17</t>
        </is>
      </c>
      <c r="S226" s="17" t="n"/>
      <c r="T226" s="21" t="inlineStr">
        <is>
          <t>电 [ĐIỆN] · điện, tia chớp
    ↳ Chiết tự: giản thể của 電: bộ 雨 lược bỏ + 申 (thân) — tia chớp xẹt ra từ mây mưa
脑 [NÃO] · bộ não; máy tính (电脑)
    ↳ Chiết tự: giản thể của 腦: bộ 月 (nhục – thịt/thân) + 巛 + 囟 — khối óc trong hộp sọ</t>
        </is>
      </c>
      <c r="U226" s="22" t="inlineStr">
        <is>
          <t>🏠 Nhà cửa &amp; Đồ vật</t>
        </is>
      </c>
      <c r="V226" s="63" t="inlineStr">
        <is>
          <t>我的电脑坏了。</t>
        </is>
      </c>
      <c r="W226" s="64" t="inlineStr">
        <is>
          <t>Wǒ de diànnǎo huài le.
Máy tính của tôi bị hỏng.</t>
        </is>
      </c>
    </row>
    <row r="227" hidden="1" ht="69.75" customHeight="1" s="99">
      <c r="A227" s="2" t="n">
        <v>80</v>
      </c>
      <c r="B227" s="25" t="inlineStr">
        <is>
          <t>HSK1+2</t>
        </is>
      </c>
      <c r="C227" s="4" t="inlineStr">
        <is>
          <t>电视</t>
        </is>
      </c>
      <c r="D227" s="5" t="inlineStr">
        <is>
          <t>diànshì</t>
        </is>
      </c>
      <c r="E227" s="6" t="inlineStr">
        <is>
          <t>truyền hình, TV</t>
        </is>
      </c>
      <c r="F227" s="7" t="inlineStr">
        <is>
          <t>电视</t>
        </is>
      </c>
      <c r="G227" s="7" t="inlineStr">
        <is>
          <t>电视</t>
        </is>
      </c>
      <c r="H227" s="8">
        <f>IF(TRIM($G227)="","",IF(EXACT(TRIM($G227),TRIM($C227)),"✅ Đúng","❌ Sai"))</f>
        <v/>
      </c>
      <c r="I227" s="9">
        <f>HYPERLINK("https://translate.google.com/translate_tts?ie=UTF-8&amp;tl=zh-CN&amp;client=tw-ob&amp;q=电视","▶")</f>
        <v/>
      </c>
      <c r="J227" s="9">
        <f>HYPERLINK("https://youglish.com/pronounce/电视/chinese","🔍")</f>
        <v/>
      </c>
      <c r="K227" s="10" t="n"/>
      <c r="L227" s="11" t="n"/>
      <c r="M227" s="10" t="n"/>
      <c r="N227" s="11" t="n"/>
      <c r="O227" s="10" t="n"/>
      <c r="P227" s="11" t="n"/>
      <c r="Q227" s="10" t="n"/>
      <c r="R227" s="12" t="inlineStr">
        <is>
          <t>2026-06-17</t>
        </is>
      </c>
      <c r="S227" s="18" t="n"/>
      <c r="T227" s="21" t="inlineStr">
        <is>
          <t>电 [ĐIỆN] · điện, tia chớp
    ↳ Chiết tự: giản thể của 電: bộ 雨 lược bỏ + 申 (thân) — tia chớp xẹt ra từ mây mưa
视 [THỊ] · nhìn, xem, thị giác
    ↳ Chiết tự: giản thể của 視: bộ 礻 (thị – thần linh) + 见 (kiến – thấy) — chăm chú quan sát</t>
        </is>
      </c>
      <c r="U227" s="22" t="inlineStr">
        <is>
          <t>🏠 Nhà cửa &amp; Đồ vật</t>
        </is>
      </c>
      <c r="V227" s="63" t="inlineStr">
        <is>
          <t>晚上我看电视。</t>
        </is>
      </c>
      <c r="W227" s="64" t="inlineStr">
        <is>
          <t>Wǎnshang wǒ kàn diànshì.
Buổi tối tôi xem tivi.</t>
        </is>
      </c>
    </row>
    <row r="228" ht="104.65" customHeight="1" s="99">
      <c r="A228" s="2" t="n">
        <v>81</v>
      </c>
      <c r="B228" s="3" t="inlineStr">
        <is>
          <t>HSK1</t>
        </is>
      </c>
      <c r="C228" s="4" t="inlineStr">
        <is>
          <t>电视机</t>
        </is>
      </c>
      <c r="D228" s="5" t="inlineStr">
        <is>
          <t>diànshìjī</t>
        </is>
      </c>
      <c r="E228" s="6" t="inlineStr">
        <is>
          <t>(chiếc) TV</t>
        </is>
      </c>
      <c r="F228" s="7" t="n"/>
      <c r="G228" s="7" t="n"/>
      <c r="H228" s="8">
        <f>IF(TRIM($G228)="","",IF(EXACT(TRIM($G228),TRIM($C228)),"✅ Đúng","❌ Sai"))</f>
        <v/>
      </c>
      <c r="I228" s="9">
        <f>HYPERLINK("https://translate.google.com/translate_tts?ie=UTF-8&amp;tl=zh-CN&amp;client=tw-ob&amp;q=电视机","▶")</f>
        <v/>
      </c>
      <c r="J228" s="9">
        <f>HYPERLINK("https://youglish.com/pronounce/电视机/chinese","🔍")</f>
        <v/>
      </c>
      <c r="K228" s="10" t="n"/>
      <c r="L228" s="11" t="n"/>
      <c r="M228" s="10" t="n"/>
      <c r="N228" s="11" t="n"/>
      <c r="O228" s="10" t="n"/>
      <c r="P228" s="11" t="n"/>
      <c r="Q228" s="10" t="n"/>
      <c r="R228" s="12" t="inlineStr">
        <is>
          <t>2026-06-17</t>
        </is>
      </c>
      <c r="S228" s="17" t="n"/>
      <c r="T228" s="21" t="inlineStr">
        <is>
          <t>电 [ĐIỆN] · điện, tia chớp
    ↳ Chiết tự: giản thể của 電: bộ 雨 lược bỏ + 申 (thân) — tia chớp xẹt ra từ mây mưa
视 [THỊ] · nhìn, xem, thị giác
    ↳ Chiết tự: giản thể của 視: bộ 礻 (thị – thần linh) + 见 (kiến – thấy) — chăm chú quan sát
机 [CƠ] · máy móc; cơ hội
    ↳ Chiết tự: giản thể của 機: bộ 木 (mộc – gỗ) + 几 (kỷ – âm đọc) — khung cửi bằng gỗ</t>
        </is>
      </c>
      <c r="U228" s="22" t="inlineStr">
        <is>
          <t>🏠 Nhà cửa &amp; Đồ vật</t>
        </is>
      </c>
      <c r="V228" s="63" t="inlineStr">
        <is>
          <t>这台电视机是新的。</t>
        </is>
      </c>
      <c r="W228" s="64" t="inlineStr">
        <is>
          <t>Zhè tái diànshìjī shì xīn de.
Cái tivi này là mới.</t>
        </is>
      </c>
    </row>
    <row r="229" ht="69.75" customHeight="1" s="99">
      <c r="A229" s="2" t="n">
        <v>82</v>
      </c>
      <c r="B229" s="25" t="inlineStr">
        <is>
          <t>HSK1+2</t>
        </is>
      </c>
      <c r="C229" s="4" t="inlineStr">
        <is>
          <t>电影</t>
        </is>
      </c>
      <c r="D229" s="5" t="inlineStr">
        <is>
          <t>diànyǐng</t>
        </is>
      </c>
      <c r="E229" s="6" t="inlineStr">
        <is>
          <t>điện ảnh, phim</t>
        </is>
      </c>
      <c r="F229" s="7" t="n"/>
      <c r="G229" s="7" t="n"/>
      <c r="H229" s="8">
        <f>IF(TRIM($G229)="","",IF(EXACT(TRIM($G229),TRIM($C229)),"✅ Đúng","❌ Sai"))</f>
        <v/>
      </c>
      <c r="I229" s="9">
        <f>HYPERLINK("https://translate.google.com/translate_tts?ie=UTF-8&amp;tl=zh-CN&amp;client=tw-ob&amp;q=电影","▶")</f>
        <v/>
      </c>
      <c r="J229" s="9">
        <f>HYPERLINK("https://youglish.com/pronounce/电影/chinese","🔍")</f>
        <v/>
      </c>
      <c r="K229" s="10" t="n"/>
      <c r="L229" s="11" t="n"/>
      <c r="M229" s="10" t="n"/>
      <c r="N229" s="11" t="n"/>
      <c r="O229" s="10" t="n"/>
      <c r="P229" s="11" t="n"/>
      <c r="Q229" s="10" t="n"/>
      <c r="R229" s="12" t="inlineStr">
        <is>
          <t>2026-06-17</t>
        </is>
      </c>
      <c r="S229" s="18" t="n"/>
      <c r="T229" s="21" t="inlineStr">
        <is>
          <t>电 [ĐIỆN] · điện, tia chớp
    ↳ Chiết tự: giản thể của 電: bộ 雨 lược bỏ + 申 (thân) — tia chớp xẹt ra từ mây mưa
影 [ẢNH] · bóng, hình ảnh, phim
    ↳ Chiết tự: bộ 景 (cảnh – ánh sáng) + 彡 (sam – tia sáng) — vệt sáng hắt thành bóng</t>
        </is>
      </c>
      <c r="U229" s="22" t="inlineStr">
        <is>
          <t>🏠 Nhà cửa &amp; Đồ vật</t>
        </is>
      </c>
      <c r="V229" s="63" t="inlineStr">
        <is>
          <t>我们去看电影吧。</t>
        </is>
      </c>
      <c r="W229" s="64" t="inlineStr">
        <is>
          <t>Wǒmen qù kàn diànyǐng ba.
Chúng ta đi xem phim nhé.</t>
        </is>
      </c>
    </row>
    <row r="230" ht="69.75" customHeight="1" s="99">
      <c r="A230" s="2" t="n">
        <v>86</v>
      </c>
      <c r="B230" s="25" t="inlineStr">
        <is>
          <t>HSK1+2</t>
        </is>
      </c>
      <c r="C230" s="4" t="inlineStr">
        <is>
          <t>东西</t>
        </is>
      </c>
      <c r="D230" s="5" t="inlineStr">
        <is>
          <t>dōngxi</t>
        </is>
      </c>
      <c r="E230" s="6" t="inlineStr">
        <is>
          <t>đồ đạc, vật</t>
        </is>
      </c>
      <c r="F230" s="7" t="n"/>
      <c r="G230" s="7" t="n"/>
      <c r="H230" s="8">
        <f>IF(TRIM($G230)="","",IF(EXACT(TRIM($G230),TRIM($C230)),"✅ Đúng","❌ Sai"))</f>
        <v/>
      </c>
      <c r="I230" s="9">
        <f>HYPERLINK("https://translate.google.com/translate_tts?ie=UTF-8&amp;tl=zh-CN&amp;client=tw-ob&amp;q=东西","▶")</f>
        <v/>
      </c>
      <c r="J230" s="9">
        <f>HYPERLINK("https://youglish.com/pronounce/东西/chinese","🔍")</f>
        <v/>
      </c>
      <c r="K230" s="10" t="n"/>
      <c r="L230" s="11" t="n"/>
      <c r="M230" s="10" t="n"/>
      <c r="N230" s="11" t="n"/>
      <c r="O230" s="10" t="n"/>
      <c r="P230" s="11" t="n"/>
      <c r="Q230" s="10" t="n"/>
      <c r="R230" s="12" t="inlineStr">
        <is>
          <t>2026-06-17</t>
        </is>
      </c>
      <c r="S230" s="18" t="n"/>
      <c r="T230" s="21" t="inlineStr">
        <is>
          <t>东 [ĐÔNG] · hướng đông
    ↳ Chiết tự: giản thể của 東: 日 (nhật – mặt trời) lồng trong 木 (mộc – cây) — mặt trời mắc trên ngọn cây lúc mọc
西 [TÂY] · hướng tây; phương Tây
    ↳ Chiết tự: bộ 覀/西 (tây) — hình tổ chim, chim về tổ khi mặt trời lặn ở phía tây</t>
        </is>
      </c>
      <c r="U230" s="22" t="inlineStr">
        <is>
          <t>🏠 Nhà cửa &amp; Đồ vật</t>
        </is>
      </c>
      <c r="V230" s="63" t="inlineStr">
        <is>
          <t>我要买一些东西。</t>
        </is>
      </c>
      <c r="W230" s="64" t="inlineStr">
        <is>
          <t>Wǒ yào mǎi yìxiē dōngxi.
Tôi muốn mua vài thứ.</t>
        </is>
      </c>
    </row>
    <row r="231" hidden="1" ht="69.75" customHeight="1" s="99">
      <c r="A231" s="2" t="n">
        <v>101</v>
      </c>
      <c r="B231" s="25" t="inlineStr">
        <is>
          <t>HSK1+2</t>
        </is>
      </c>
      <c r="C231" s="4" t="inlineStr">
        <is>
          <t>房间</t>
        </is>
      </c>
      <c r="D231" s="5" t="inlineStr">
        <is>
          <t>fángjiān</t>
        </is>
      </c>
      <c r="E231" s="6" t="inlineStr">
        <is>
          <t>căn phòng</t>
        </is>
      </c>
      <c r="F231" s="7" t="n"/>
      <c r="G231" s="7" t="inlineStr">
        <is>
          <t>房间</t>
        </is>
      </c>
      <c r="H231" s="8">
        <f>IF(TRIM($G231)="","",IF(EXACT(TRIM($G231),TRIM($C231)),"✅ Đúng","❌ Sai"))</f>
        <v/>
      </c>
      <c r="I231" s="9">
        <f>HYPERLINK("https://translate.google.com/translate_tts?ie=UTF-8&amp;tl=zh-CN&amp;client=tw-ob&amp;q=房间","▶")</f>
        <v/>
      </c>
      <c r="J231" s="9">
        <f>HYPERLINK("https://youglish.com/pronounce/房间/chinese","🔍")</f>
        <v/>
      </c>
      <c r="K231" s="10" t="n"/>
      <c r="L231" s="11" t="n"/>
      <c r="M231" s="10" t="n"/>
      <c r="N231" s="11" t="n"/>
      <c r="O231" s="10" t="n"/>
      <c r="P231" s="11" t="n"/>
      <c r="Q231" s="10" t="n"/>
      <c r="R231" s="12" t="inlineStr">
        <is>
          <t>2026-06-17</t>
        </is>
      </c>
      <c r="S231" s="17" t="n"/>
      <c r="T231" s="21" t="inlineStr">
        <is>
          <t>房 [PHÒNG] · căn phòng, nhà
    ↳ Chiết tự: bộ 户 (hộ – cánh cửa) + 方 (phương – âm đọc) — gian có cửa riêng
间 [GIAN] · khoảng giữa; gian (lượng từ phòng)
    ↳ Chiết tự: giản thể của 間: bộ 门 (môn – cửa) + 日 (nhật – mặt trời) — nắng lọt qua khe cửa</t>
        </is>
      </c>
      <c r="U231" s="22" t="inlineStr">
        <is>
          <t>🏠 Nhà cửa &amp; Đồ vật</t>
        </is>
      </c>
      <c r="V231" s="63" t="inlineStr">
        <is>
          <t>我的房间很干净。</t>
        </is>
      </c>
      <c r="W231" s="64" t="inlineStr">
        <is>
          <t>Wǒ de fángjiān hěn gānjìng.
Phòng tôi rất sạch sẽ.</t>
        </is>
      </c>
    </row>
    <row r="232" ht="58.15" customHeight="1" s="99">
      <c r="A232" s="2" t="n">
        <v>102</v>
      </c>
      <c r="B232" s="3" t="inlineStr">
        <is>
          <t>HSK1</t>
        </is>
      </c>
      <c r="C232" s="4" t="inlineStr">
        <is>
          <t>房子</t>
        </is>
      </c>
      <c r="D232" s="5" t="inlineStr">
        <is>
          <t>fángzi</t>
        </is>
      </c>
      <c r="E232" s="6" t="inlineStr">
        <is>
          <t>căn nhà / căn hộ</t>
        </is>
      </c>
      <c r="F232" s="7" t="n"/>
      <c r="G232" s="7" t="n"/>
      <c r="H232" s="8">
        <f>IF(TRIM($G232)="","",IF(EXACT(TRIM($G232),TRIM($C232)),"✅ Đúng","❌ Sai"))</f>
        <v/>
      </c>
      <c r="I232" s="9">
        <f>HYPERLINK("https://translate.google.com/translate_tts?ie=UTF-8&amp;tl=zh-CN&amp;client=tw-ob&amp;q=房子","▶")</f>
        <v/>
      </c>
      <c r="J232" s="9">
        <f>HYPERLINK("https://youglish.com/pronounce/房子/chinese","🔍")</f>
        <v/>
      </c>
      <c r="K232" s="10" t="n"/>
      <c r="L232" s="11" t="n"/>
      <c r="M232" s="10" t="n"/>
      <c r="N232" s="11" t="n"/>
      <c r="O232" s="10" t="n"/>
      <c r="P232" s="11" t="n"/>
      <c r="Q232" s="10" t="n"/>
      <c r="R232" s="12" t="inlineStr">
        <is>
          <t>2026-06-17</t>
        </is>
      </c>
      <c r="S232" s="18" t="n"/>
      <c r="T232" s="21" t="inlineStr">
        <is>
          <t>房 [PHÒNG] · căn phòng, nhà
    ↳ Chiết tự: bộ 户 (hộ – cánh cửa) + 方 (phương – âm đọc) — gian có cửa riêng
子 [TỬ] · con cái; hậu tố danh từ; ngài
    ↳ Chiết tự: bộ 子 (tử) — hình em bé quấn tã, hai tay giơ lên</t>
        </is>
      </c>
      <c r="U232" s="22" t="inlineStr">
        <is>
          <t>🏠 Nhà cửa &amp; Đồ vật</t>
        </is>
      </c>
      <c r="V232" s="63" t="inlineStr">
        <is>
          <t>他们买了新房子。</t>
        </is>
      </c>
      <c r="W232" s="64" t="inlineStr">
        <is>
          <t>Tāmen mǎi le xīn fángzi.
Họ đã mua nhà mới.</t>
        </is>
      </c>
    </row>
    <row r="233" hidden="1" ht="34.9" customHeight="1" s="99">
      <c r="A233" s="2" t="n">
        <v>150</v>
      </c>
      <c r="B233" s="60" t="inlineStr">
        <is>
          <t>HSK1+3</t>
        </is>
      </c>
      <c r="C233" s="4" t="inlineStr">
        <is>
          <t>花</t>
        </is>
      </c>
      <c r="D233" s="5" t="inlineStr">
        <is>
          <t>huā</t>
        </is>
      </c>
      <c r="E233" s="6" t="inlineStr">
        <is>
          <t>đóa hoa</t>
        </is>
      </c>
      <c r="F233" s="13" t="inlineStr">
        <is>
          <t>花</t>
        </is>
      </c>
      <c r="G233" s="7" t="inlineStr">
        <is>
          <t>花</t>
        </is>
      </c>
      <c r="H233" s="8">
        <f>IF(TRIM($G233)="","",IF(EXACT(TRIM($G233),TRIM($C233)),"✅ Đúng","❌ Sai"))</f>
        <v/>
      </c>
      <c r="I233" s="9">
        <f>HYPERLINK("https://translate.google.com/translate_tts?ie=UTF-8&amp;tl=zh-CN&amp;client=tw-ob&amp;q=花","▶")</f>
        <v/>
      </c>
      <c r="J233" s="9">
        <f>HYPERLINK("https://youglish.com/pronounce/花/chinese","🔍")</f>
        <v/>
      </c>
      <c r="K233" s="10" t="n"/>
      <c r="L233" s="11" t="n"/>
      <c r="M233" s="10" t="n"/>
      <c r="N233" s="11" t="n"/>
      <c r="O233" s="10" t="n"/>
      <c r="P233" s="11" t="n"/>
      <c r="Q233" s="10" t="n"/>
      <c r="R233" s="12" t="inlineStr">
        <is>
          <t>2026-06-17</t>
        </is>
      </c>
      <c r="S233" s="18" t="n"/>
      <c r="T233" s="21" t="inlineStr">
        <is>
          <t>花 [HOA] · bông hoa; tiêu (tiền); hoa mắt
    ↳ Chiết tự: bộ 艹 (thảo – cây cỏ) + 化 (hóa – biến đổi) — cỏ cây biến thành bông</t>
        </is>
      </c>
      <c r="U233" s="22" t="inlineStr">
        <is>
          <t>🏠 Nhà cửa &amp; Đồ vật</t>
        </is>
      </c>
      <c r="V233" s="63" t="inlineStr">
        <is>
          <t>这些花很漂亮。</t>
        </is>
      </c>
      <c r="W233" s="64" t="inlineStr">
        <is>
          <t>Zhèxiē huā hěn piàoliang.
Những bông hoa này rất đẹp.</t>
        </is>
      </c>
    </row>
    <row r="234" ht="69.75" customHeight="1" s="99">
      <c r="A234" s="2" t="n">
        <v>163</v>
      </c>
      <c r="B234" s="3" t="inlineStr">
        <is>
          <t>HSK1</t>
        </is>
      </c>
      <c r="C234" s="4" t="inlineStr">
        <is>
          <t>机票</t>
        </is>
      </c>
      <c r="D234" s="5" t="inlineStr">
        <is>
          <t>jīpiào</t>
        </is>
      </c>
      <c r="E234" s="6" t="inlineStr">
        <is>
          <t>vé máy bay</t>
        </is>
      </c>
      <c r="F234" s="7" t="n"/>
      <c r="G234" s="7" t="n"/>
      <c r="H234" s="8">
        <f>IF(TRIM($G234)="","",IF(EXACT(TRIM($G234),TRIM($C234)),"✅ Đúng","❌ Sai"))</f>
        <v/>
      </c>
      <c r="I234" s="9">
        <f>HYPERLINK("https://translate.google.com/translate_tts?ie=UTF-8&amp;tl=zh-CN&amp;client=tw-ob&amp;q=机票","▶")</f>
        <v/>
      </c>
      <c r="J234" s="9">
        <f>HYPERLINK("https://youglish.com/pronounce/机票/chinese","🔍")</f>
        <v/>
      </c>
      <c r="K234" s="10" t="n"/>
      <c r="L234" s="11" t="n"/>
      <c r="M234" s="10" t="n"/>
      <c r="N234" s="11" t="n"/>
      <c r="O234" s="10" t="n"/>
      <c r="P234" s="11" t="n"/>
      <c r="Q234" s="10" t="n"/>
      <c r="R234" s="12" t="inlineStr">
        <is>
          <t>2026-06-17</t>
        </is>
      </c>
      <c r="S234" s="17" t="n"/>
      <c r="T234" s="21" t="inlineStr">
        <is>
          <t>机 [CƠ] · máy móc; cơ hội
    ↳ Chiết tự: giản thể của 機: bộ 木 (mộc – gỗ) + 几 (kỷ – âm đọc) — khung cửi bằng gỗ
票 [PHIẾU] · vé, phiếu, tờ
    ↳ Chiết tự: bộ 覀 (á – che đậy) + 示 (thị – bàn thờ) — mảnh giấy làm bằng chứng</t>
        </is>
      </c>
      <c r="U234" s="22" t="inlineStr">
        <is>
          <t>🏠 Nhà cửa &amp; Đồ vật</t>
        </is>
      </c>
      <c r="V234" s="63" t="inlineStr">
        <is>
          <t>机票很贵。</t>
        </is>
      </c>
      <c r="W234" s="64" t="inlineStr">
        <is>
          <t>Jīpiào hěn guì.
Vé máy bay rất đắt.</t>
        </is>
      </c>
    </row>
    <row r="235" hidden="1" ht="34.9" customHeight="1" s="99">
      <c r="A235" s="2" t="n">
        <v>221</v>
      </c>
      <c r="B235" s="60" t="inlineStr">
        <is>
          <t>HSK1+3</t>
        </is>
      </c>
      <c r="C235" s="4" t="inlineStr">
        <is>
          <t>马</t>
        </is>
      </c>
      <c r="D235" s="5" t="inlineStr">
        <is>
          <t>mǎ</t>
        </is>
      </c>
      <c r="E235" s="6" t="inlineStr">
        <is>
          <t>con ngựa</t>
        </is>
      </c>
      <c r="F235" s="13" t="inlineStr">
        <is>
          <t>吗</t>
        </is>
      </c>
      <c r="G235" s="7" t="inlineStr">
        <is>
          <t>马</t>
        </is>
      </c>
      <c r="H235" s="8">
        <f>IF(TRIM($G235)="","",IF(EXACT(TRIM($G235),TRIM($C235)),"✅ Đúng","❌ Sai"))</f>
        <v/>
      </c>
      <c r="I235" s="9">
        <f>HYPERLINK("https://translate.google.com/translate_tts?ie=UTF-8&amp;tl=zh-CN&amp;client=tw-ob&amp;q=马","▶")</f>
        <v/>
      </c>
      <c r="J235" s="9">
        <f>HYPERLINK("https://youglish.com/pronounce/马/chinese","🔍")</f>
        <v/>
      </c>
      <c r="K235" s="10" t="n"/>
      <c r="L235" s="11" t="n"/>
      <c r="M235" s="10" t="n"/>
      <c r="N235" s="11" t="n"/>
      <c r="O235" s="10" t="n"/>
      <c r="P235" s="11" t="n"/>
      <c r="Q235" s="10" t="n"/>
      <c r="R235" s="12" t="inlineStr">
        <is>
          <t>2026-06-17</t>
        </is>
      </c>
      <c r="S235" s="17" t="n"/>
      <c r="T235" s="21" t="inlineStr">
        <is>
          <t>马 [MÃ] · con ngựa
    ↳ Chiết tự: giản thể của 馬: bộ 马 (mã) — hình ngựa có bờm và bốn vó</t>
        </is>
      </c>
      <c r="U235" s="22" t="inlineStr">
        <is>
          <t>🏠 Nhà cửa &amp; Đồ vật</t>
        </is>
      </c>
      <c r="V235" s="63" t="inlineStr">
        <is>
          <t>草地上有一匹马。</t>
        </is>
      </c>
      <c r="W235" s="64" t="inlineStr">
        <is>
          <t>Cǎodì shang yǒu yì pǐ mǎ.
Trên bãi cỏ có một con ngựa.</t>
        </is>
      </c>
    </row>
    <row r="236" hidden="1" ht="34.9" customHeight="1" s="99">
      <c r="A236" s="2" t="n">
        <v>228</v>
      </c>
      <c r="B236" s="25" t="inlineStr">
        <is>
          <t>HSK1+2</t>
        </is>
      </c>
      <c r="C236" s="4" t="inlineStr">
        <is>
          <t>猫</t>
        </is>
      </c>
      <c r="D236" s="5" t="inlineStr">
        <is>
          <t>māo</t>
        </is>
      </c>
      <c r="E236" s="6" t="inlineStr">
        <is>
          <t>mèo</t>
        </is>
      </c>
      <c r="F236" s="13" t="inlineStr">
        <is>
          <t>毛</t>
        </is>
      </c>
      <c r="G236" s="7" t="inlineStr">
        <is>
          <t>猫</t>
        </is>
      </c>
      <c r="H236" s="8">
        <f>IF(TRIM($G236)="","",IF(EXACT(TRIM($G236),TRIM($C236)),"✅ Đúng","❌ Sai"))</f>
        <v/>
      </c>
      <c r="I236" s="9">
        <f>HYPERLINK("https://translate.google.com/translate_tts?ie=UTF-8&amp;tl=zh-CN&amp;client=tw-ob&amp;q=猫","▶")</f>
        <v/>
      </c>
      <c r="J236" s="9">
        <f>HYPERLINK("https://youglish.com/pronounce/猫/chinese","🔍")</f>
        <v/>
      </c>
      <c r="K236" s="10" t="n"/>
      <c r="L236" s="11" t="n"/>
      <c r="M236" s="10" t="n"/>
      <c r="N236" s="11" t="n"/>
      <c r="O236" s="10" t="n"/>
      <c r="P236" s="11" t="n"/>
      <c r="Q236" s="10" t="n"/>
      <c r="R236" s="12" t="inlineStr">
        <is>
          <t>2026-06-17</t>
        </is>
      </c>
      <c r="S236" s="18" t="n"/>
      <c r="T236" s="21" t="inlineStr">
        <is>
          <t>猫 [MIÊU] · con mèo
    ↳ Chiết tự: bộ 犭 (khuyển – loài thú) + 苗 (miêu – mạ non) — con thú giữ ruộng mạ</t>
        </is>
      </c>
      <c r="U236" s="22" t="inlineStr">
        <is>
          <t>🏠 Nhà cửa &amp; Đồ vật</t>
        </is>
      </c>
      <c r="V236" s="63" t="inlineStr">
        <is>
          <t>我家有一只猫。</t>
        </is>
      </c>
      <c r="W236" s="64" t="inlineStr">
        <is>
          <t>Wǒ jiā yǒu yì zhī māo.
Nhà tôi có một con mèo.</t>
        </is>
      </c>
    </row>
    <row r="237" hidden="1" ht="23.25" customHeight="1" s="99">
      <c r="A237" s="2" t="n">
        <v>235</v>
      </c>
      <c r="B237" s="25" t="inlineStr">
        <is>
          <t>HSK1+2</t>
        </is>
      </c>
      <c r="C237" s="4" t="inlineStr">
        <is>
          <t>门</t>
        </is>
      </c>
      <c r="D237" s="5" t="inlineStr">
        <is>
          <t>mén</t>
        </is>
      </c>
      <c r="E237" s="6" t="inlineStr">
        <is>
          <t>cửa</t>
        </is>
      </c>
      <c r="F237" s="13" t="inlineStr">
        <is>
          <t>们</t>
        </is>
      </c>
      <c r="G237" s="7" t="inlineStr">
        <is>
          <t>门</t>
        </is>
      </c>
      <c r="H237" s="8">
        <f>IF(TRIM($G237)="","",IF(EXACT(TRIM($G237),TRIM($C237)),"✅ Đúng","❌ Sai"))</f>
        <v/>
      </c>
      <c r="I237" s="9">
        <f>HYPERLINK("https://translate.google.com/translate_tts?ie=UTF-8&amp;tl=zh-CN&amp;client=tw-ob&amp;q=门","▶")</f>
        <v/>
      </c>
      <c r="J237" s="9">
        <f>HYPERLINK("https://youglish.com/pronounce/门/chinese","🔍")</f>
        <v/>
      </c>
      <c r="K237" s="10" t="n"/>
      <c r="L237" s="11" t="n"/>
      <c r="M237" s="10" t="n"/>
      <c r="N237" s="11" t="n"/>
      <c r="O237" s="10" t="n"/>
      <c r="P237" s="11" t="n"/>
      <c r="Q237" s="10" t="n"/>
      <c r="R237" s="12" t="inlineStr">
        <is>
          <t>2026-06-17</t>
        </is>
      </c>
      <c r="S237" s="17" t="n"/>
      <c r="T237" s="21" t="inlineStr">
        <is>
          <t>门 [MÔN] · cửa; môn loại; nhà, phái
    ↳ Chiết tự: giản thể của 門: bộ 门 (môn) — hình hai cánh cửa</t>
        </is>
      </c>
      <c r="U237" s="22" t="inlineStr">
        <is>
          <t>🏠 Nhà cửa &amp; Đồ vật</t>
        </is>
      </c>
      <c r="V237" s="63" t="inlineStr">
        <is>
          <t>请关门。</t>
        </is>
      </c>
      <c r="W237" s="64" t="inlineStr">
        <is>
          <t>Qǐng guān mén.
Xin đóng cửa lại.</t>
        </is>
      </c>
    </row>
    <row r="238" hidden="1" ht="46.5" customHeight="1" s="99">
      <c r="A238" s="2" t="n">
        <v>236</v>
      </c>
      <c r="B238" s="3" t="inlineStr">
        <is>
          <t>HSK1</t>
        </is>
      </c>
      <c r="C238" s="4" t="inlineStr">
        <is>
          <t>门口</t>
        </is>
      </c>
      <c r="D238" s="5" t="inlineStr">
        <is>
          <t>ménkǒu</t>
        </is>
      </c>
      <c r="E238" s="6" t="inlineStr">
        <is>
          <t>cổng, lối vào</t>
        </is>
      </c>
      <c r="F238" s="13" t="inlineStr">
        <is>
          <t>门口</t>
        </is>
      </c>
      <c r="G238" s="7" t="inlineStr">
        <is>
          <t>门口</t>
        </is>
      </c>
      <c r="H238" s="8">
        <f>IF(TRIM($G238)="","",IF(EXACT(TRIM($G238),TRIM($C238)),"✅ Đúng","❌ Sai"))</f>
        <v/>
      </c>
      <c r="I238" s="9">
        <f>HYPERLINK("https://translate.google.com/translate_tts?ie=UTF-8&amp;tl=zh-CN&amp;client=tw-ob&amp;q=门口","▶")</f>
        <v/>
      </c>
      <c r="J238" s="9">
        <f>HYPERLINK("https://youglish.com/pronounce/门口/chinese","🔍")</f>
        <v/>
      </c>
      <c r="K238" s="10" t="n"/>
      <c r="L238" s="11" t="n"/>
      <c r="M238" s="10" t="n"/>
      <c r="N238" s="11" t="n"/>
      <c r="O238" s="10" t="n"/>
      <c r="P238" s="11" t="n"/>
      <c r="Q238" s="10" t="n"/>
      <c r="R238" s="12" t="inlineStr">
        <is>
          <t>2026-06-17</t>
        </is>
      </c>
      <c r="S238" s="18" t="n"/>
      <c r="T238" s="21" t="inlineStr">
        <is>
          <t>门 [MÔN] · cửa; môn loại; nhà, phái
    ↳ Chiết tự: giản thể của 門: bộ 门 (môn) — hình hai cánh cửa
口 [KHẨU] · cái miệng; cửa, nhân khẩu
    ↳ Chiết tự: bộ 口 (khẩu) — hình cái miệng mở</t>
        </is>
      </c>
      <c r="U238" s="22" t="inlineStr">
        <is>
          <t>🏠 Nhà cửa &amp; Đồ vật</t>
        </is>
      </c>
      <c r="V238" s="63" t="inlineStr">
        <is>
          <t>他在门口等你。</t>
        </is>
      </c>
      <c r="W238" s="64" t="inlineStr">
        <is>
          <t>Tā zài ménkǒu děng nǐ.
Anh ấy đợi bạn ở cửa.</t>
        </is>
      </c>
    </row>
    <row r="239" ht="23.25" customHeight="1" s="99">
      <c r="A239" s="2" t="n">
        <v>291</v>
      </c>
      <c r="B239" s="3" t="inlineStr">
        <is>
          <t>HSK1</t>
        </is>
      </c>
      <c r="C239" s="4" t="inlineStr">
        <is>
          <t>球</t>
        </is>
      </c>
      <c r="D239" s="5" t="inlineStr">
        <is>
          <t>qiú</t>
        </is>
      </c>
      <c r="E239" s="6" t="inlineStr">
        <is>
          <t>quả bóng</t>
        </is>
      </c>
      <c r="F239" s="7" t="n"/>
      <c r="G239" s="7" t="n"/>
      <c r="H239" s="8">
        <f>IF(TRIM($G239)="","",IF(EXACT(TRIM($G239),TRIM($C239)),"✅ Đúng","❌ Sai"))</f>
        <v/>
      </c>
      <c r="I239" s="9">
        <f>HYPERLINK("https://translate.google.com/translate_tts?ie=UTF-8&amp;tl=zh-CN&amp;client=tw-ob&amp;q=球","▶")</f>
        <v/>
      </c>
      <c r="J239" s="9">
        <f>HYPERLINK("https://youglish.com/pronounce/球/chinese","🔍")</f>
        <v/>
      </c>
      <c r="K239" s="10" t="n"/>
      <c r="L239" s="11" t="n"/>
      <c r="M239" s="10" t="n"/>
      <c r="N239" s="11" t="n"/>
      <c r="O239" s="10" t="n"/>
      <c r="P239" s="11" t="n"/>
      <c r="Q239" s="10" t="n"/>
      <c r="R239" s="12" t="inlineStr">
        <is>
          <t>2026-06-17</t>
        </is>
      </c>
      <c r="S239" s="18" t="n"/>
      <c r="T239" s="21" t="inlineStr">
        <is>
          <t>球 [CẦU] · quả cầu, quả bóng
    ↳ Chiết tự: bộ 王 (ngọc) + 求 (cầu – âm đọc) — viên ngọc mài tròn</t>
        </is>
      </c>
      <c r="U239" s="22" t="inlineStr">
        <is>
          <t>🏠 Nhà cửa &amp; Đồ vật</t>
        </is>
      </c>
      <c r="V239" s="63" t="inlineStr">
        <is>
          <t>这个球是他的。</t>
        </is>
      </c>
      <c r="W239" s="64" t="inlineStr">
        <is>
          <t>Zhège qiú shì tā de.
Quả bóng này của anh ấy.</t>
        </is>
      </c>
    </row>
    <row r="240" hidden="1" ht="58.15" customHeight="1" s="99">
      <c r="A240" s="2" t="n">
        <v>330</v>
      </c>
      <c r="B240" s="25" t="inlineStr">
        <is>
          <t>HSK1+2</t>
        </is>
      </c>
      <c r="C240" s="4" t="inlineStr">
        <is>
          <t>手机</t>
        </is>
      </c>
      <c r="D240" s="5" t="inlineStr">
        <is>
          <t>shǒujī</t>
        </is>
      </c>
      <c r="E240" s="6" t="inlineStr">
        <is>
          <t>điện thoại di động</t>
        </is>
      </c>
      <c r="F240" s="13" t="inlineStr">
        <is>
          <t>手机</t>
        </is>
      </c>
      <c r="G240" s="7" t="inlineStr">
        <is>
          <t>手机</t>
        </is>
      </c>
      <c r="H240" s="8">
        <f>IF(TRIM($G240)="","",IF(EXACT(TRIM($G240),TRIM($C240)),"✅ Đúng","❌ Sai"))</f>
        <v/>
      </c>
      <c r="I240" s="9">
        <f>HYPERLINK("https://translate.google.com/translate_tts?ie=UTF-8&amp;tl=zh-CN&amp;client=tw-ob&amp;q=手机","▶")</f>
        <v/>
      </c>
      <c r="J240" s="9">
        <f>HYPERLINK("https://youglish.com/pronounce/手机/chinese","🔍")</f>
        <v/>
      </c>
      <c r="K240" s="10" t="n"/>
      <c r="L240" s="11" t="n"/>
      <c r="M240" s="10" t="n"/>
      <c r="N240" s="11" t="n"/>
      <c r="O240" s="10" t="n"/>
      <c r="P240" s="11" t="n"/>
      <c r="Q240" s="10" t="n"/>
      <c r="R240" s="12" t="inlineStr">
        <is>
          <t>2026-06-17</t>
        </is>
      </c>
      <c r="S240" s="17" t="n"/>
      <c r="T240" s="21" t="inlineStr">
        <is>
          <t>手 [THỦ] · bàn tay; người làm nghề
    ↳ Chiết tự: bộ 手 (thủ) — hình bàn tay xòe năm ngón
机 [CƠ] · máy móc; cơ hội
    ↳ Chiết tự: giản thể của 機: bộ 木 (mộc – gỗ) + 几 (kỷ – âm đọc) — khung cửi bằng gỗ</t>
        </is>
      </c>
      <c r="U240" s="22" t="inlineStr">
        <is>
          <t>🏠 Nhà cửa &amp; Đồ vật</t>
        </is>
      </c>
      <c r="V240" s="63" t="inlineStr">
        <is>
          <t>我的手机没电了。</t>
        </is>
      </c>
      <c r="W240" s="64" t="inlineStr">
        <is>
          <t>Wǒ de shǒujī méi diàn le.
Điện thoại tôi hết pin rồi.</t>
        </is>
      </c>
    </row>
    <row r="241" ht="34.9" customHeight="1" s="99">
      <c r="A241" s="2" t="n">
        <v>334</v>
      </c>
      <c r="B241" s="60" t="inlineStr">
        <is>
          <t>HSK1+3</t>
        </is>
      </c>
      <c r="C241" s="4" t="inlineStr">
        <is>
          <t>树</t>
        </is>
      </c>
      <c r="D241" s="5" t="inlineStr">
        <is>
          <t>shù</t>
        </is>
      </c>
      <c r="E241" s="6" t="inlineStr">
        <is>
          <t>cây</t>
        </is>
      </c>
      <c r="F241" s="7" t="n"/>
      <c r="G241" s="7" t="n"/>
      <c r="H241" s="8">
        <f>IF(TRIM($G241)="","",IF(EXACT(TRIM($G241),TRIM($C241)),"✅ Đúng","❌ Sai"))</f>
        <v/>
      </c>
      <c r="I241" s="9">
        <f>HYPERLINK("https://translate.google.com/translate_tts?ie=UTF-8&amp;tl=zh-CN&amp;client=tw-ob&amp;q=树","▶")</f>
        <v/>
      </c>
      <c r="J241" s="9">
        <f>HYPERLINK("https://youglish.com/pronounce/树/chinese","🔍")</f>
        <v/>
      </c>
      <c r="K241" s="10" t="n"/>
      <c r="L241" s="11" t="n"/>
      <c r="M241" s="10" t="n"/>
      <c r="N241" s="11" t="n"/>
      <c r="O241" s="10" t="n"/>
      <c r="P241" s="11" t="n"/>
      <c r="Q241" s="10" t="n"/>
      <c r="R241" s="12" t="inlineStr">
        <is>
          <t>2026-06-17</t>
        </is>
      </c>
      <c r="S241" s="17" t="n"/>
      <c r="T241" s="21" t="inlineStr">
        <is>
          <t>树 [THỤ] · cây cối; trồng cây
    ↳ Chiết tự: giản thể của 樹: bộ 木 (mộc – cây) + 对 (đối – âm đọc) — trồng cây cho thẳng hàng</t>
        </is>
      </c>
      <c r="U241" s="22" t="inlineStr">
        <is>
          <t>🏠 Nhà cửa &amp; Đồ vật</t>
        </is>
      </c>
      <c r="V241" s="63" t="inlineStr">
        <is>
          <t>门前有一棵大树。</t>
        </is>
      </c>
      <c r="W241" s="64" t="inlineStr">
        <is>
          <t>Mén qián yǒu yì kē dà shù.
Trước cửa có một cây to.</t>
        </is>
      </c>
    </row>
    <row r="242" hidden="1" ht="93" customHeight="1" s="99">
      <c r="A242" s="2" t="n">
        <v>377</v>
      </c>
      <c r="B242" s="60" t="inlineStr">
        <is>
          <t>HSK1+3</t>
        </is>
      </c>
      <c r="C242" s="4" t="inlineStr">
        <is>
          <t>洗手间</t>
        </is>
      </c>
      <c r="D242" s="5" t="inlineStr">
        <is>
          <t>xǐshǒujiān</t>
        </is>
      </c>
      <c r="E242" s="6" t="inlineStr">
        <is>
          <t>nhà vệ sinh</t>
        </is>
      </c>
      <c r="F242" s="7" t="n"/>
      <c r="G242" s="7" t="inlineStr">
        <is>
          <t>洗手间</t>
        </is>
      </c>
      <c r="H242" s="8">
        <f>IF(TRIM($G242)="","",IF(EXACT(TRIM($G242),TRIM($C242)),"✅ Đúng","❌ Sai"))</f>
        <v/>
      </c>
      <c r="I242" s="9">
        <f>HYPERLINK("https://translate.google.com/translate_tts?ie=UTF-8&amp;tl=zh-CN&amp;client=tw-ob&amp;q=洗手间","▶")</f>
        <v/>
      </c>
      <c r="J242" s="9">
        <f>HYPERLINK("https://youglish.com/pronounce/洗手间/chinese","🔍")</f>
        <v/>
      </c>
      <c r="K242" s="10" t="n"/>
      <c r="L242" s="11" t="n"/>
      <c r="M242" s="10" t="n"/>
      <c r="N242" s="11" t="n"/>
      <c r="O242" s="10" t="n"/>
      <c r="P242" s="11" t="n"/>
      <c r="Q242" s="10" t="n"/>
      <c r="R242" s="12" t="inlineStr">
        <is>
          <t>2026-06-17</t>
        </is>
      </c>
      <c r="S242" s="18" t="n"/>
      <c r="T242" s="21" t="inlineStr">
        <is>
          <t>洗 [TẨY] · rửa, giặt, tẩy rửa
    ↳ Chiết tự: bộ 氵 (thủy – nước) + 先 (tiên – âm đọc) — dùng nước làm sạch
手 [THỦ] · bàn tay; người làm nghề
    ↳ Chiết tự: bộ 手 (thủ) — hình bàn tay xòe năm ngón
间 [GIAN] · khoảng giữa; gian (lượng từ phòng)
    ↳ Chiết tự: giản thể của 間: bộ 门 (môn – cửa) + 日 (nhật – mặt trời) — nắng lọt qua khe cửa</t>
        </is>
      </c>
      <c r="U242" s="22" t="inlineStr">
        <is>
          <t>🏠 Nhà cửa &amp; Đồ vật</t>
        </is>
      </c>
      <c r="V242" s="63" t="inlineStr">
        <is>
          <t>洗手间在哪儿？</t>
        </is>
      </c>
      <c r="W242" s="64" t="inlineStr">
        <is>
          <t>Xǐshǒujiān zài nǎr?
Nhà vệ sinh ở đâu?</t>
        </is>
      </c>
    </row>
    <row r="243" hidden="1" ht="58.15" customHeight="1" s="99">
      <c r="A243" s="2" t="n">
        <v>418</v>
      </c>
      <c r="B243" s="25" t="inlineStr">
        <is>
          <t>HSK1+2</t>
        </is>
      </c>
      <c r="C243" s="4" t="inlineStr">
        <is>
          <t>衣服</t>
        </is>
      </c>
      <c r="D243" s="5" t="inlineStr">
        <is>
          <t>yīfu</t>
        </is>
      </c>
      <c r="E243" s="6" t="inlineStr">
        <is>
          <t>quần áo</t>
        </is>
      </c>
      <c r="F243" s="7" t="inlineStr">
        <is>
          <t>衣服</t>
        </is>
      </c>
      <c r="G243" s="7" t="inlineStr">
        <is>
          <t>衣服</t>
        </is>
      </c>
      <c r="H243" s="8">
        <f>IF(TRIM($G243)="","",IF(EXACT(TRIM($G243),TRIM($C243)),"✅ Đúng","❌ Sai"))</f>
        <v/>
      </c>
      <c r="I243" s="9">
        <f>HYPERLINK("https://translate.google.com/translate_tts?ie=UTF-8&amp;tl=zh-CN&amp;client=tw-ob&amp;q=衣服","▶")</f>
        <v/>
      </c>
      <c r="J243" s="9">
        <f>HYPERLINK("https://youglish.com/pronounce/衣服/chinese","🔍")</f>
        <v/>
      </c>
      <c r="K243" s="10" t="n"/>
      <c r="L243" s="11" t="n"/>
      <c r="M243" s="10" t="n"/>
      <c r="N243" s="11" t="n"/>
      <c r="O243" s="10" t="n"/>
      <c r="P243" s="11" t="n"/>
      <c r="Q243" s="10" t="n"/>
      <c r="R243" s="12" t="inlineStr">
        <is>
          <t>2026-06-17</t>
        </is>
      </c>
      <c r="S243" s="17" t="n"/>
      <c r="T243" s="21" t="inlineStr">
        <is>
          <t>衣 [Y] · áo, quần áo
    ↳ Chiết tự: bộ 衣 (y) — hình chiếc áo có cổ và hai tay
服 [PHỤC] · quần áo; phục tùng; uống thuốc
    ↳ Chiết tự: bộ 月 (nhục – thân người) + 卩 (tiết) + 又 (hựu – tay) — tay khoác lên thân</t>
        </is>
      </c>
      <c r="U243" s="22" t="inlineStr">
        <is>
          <t>🏠 Nhà cửa &amp; Đồ vật</t>
        </is>
      </c>
      <c r="V243" s="63" t="inlineStr">
        <is>
          <t>这件衣服很好看。</t>
        </is>
      </c>
      <c r="W243" s="64" t="inlineStr">
        <is>
          <t>Zhè jiàn yīfu hěn hǎokàn.
Bộ quần áo này rất đẹp.</t>
        </is>
      </c>
    </row>
    <row r="244" ht="46.5" customHeight="1" s="99">
      <c r="A244" s="2" t="n">
        <v>477</v>
      </c>
      <c r="B244" s="60" t="inlineStr">
        <is>
          <t>HSK1+2+3</t>
        </is>
      </c>
      <c r="C244" s="4" t="inlineStr">
        <is>
          <t>桌子</t>
        </is>
      </c>
      <c r="D244" s="5" t="inlineStr">
        <is>
          <t>zhuōzi</t>
        </is>
      </c>
      <c r="E244" s="6" t="inlineStr">
        <is>
          <t>cái bàn</t>
        </is>
      </c>
      <c r="F244" s="7" t="n"/>
      <c r="G244" s="7" t="n"/>
      <c r="H244" s="8">
        <f>IF(TRIM($G244)="","",IF(EXACT(TRIM($G244),TRIM($C244)),"✅ Đúng","❌ Sai"))</f>
        <v/>
      </c>
      <c r="I244" s="9">
        <f>HYPERLINK("https://translate.google.com/translate_tts?ie=UTF-8&amp;tl=zh-CN&amp;client=tw-ob&amp;q=桌子","▶")</f>
        <v/>
      </c>
      <c r="J244" s="9">
        <f>HYPERLINK("https://youglish.com/pronounce/桌子/chinese","🔍")</f>
        <v/>
      </c>
      <c r="K244" s="10" t="n"/>
      <c r="L244" s="11" t="n"/>
      <c r="M244" s="10" t="n"/>
      <c r="N244" s="11" t="n"/>
      <c r="O244" s="10" t="n"/>
      <c r="P244" s="11" t="n"/>
      <c r="Q244" s="10" t="n"/>
      <c r="R244" s="12" t="inlineStr">
        <is>
          <t>2026-06-17</t>
        </is>
      </c>
      <c r="S244" s="18" t="n"/>
      <c r="T244" s="21" t="inlineStr">
        <is>
          <t>桌 [TRÁC] · cái bàn
    ↳ Chiết tự: bộ 卓 (trác – cao vượt) + 木 (mộc – gỗ) — tấm gỗ kê cao
子 [TỬ] · con cái; hậu tố danh từ; ngài
    ↳ Chiết tự: bộ 子 (tử) — hình em bé quấn tã, hai tay giơ lên</t>
        </is>
      </c>
      <c r="U244" s="22" t="inlineStr">
        <is>
          <t>🏠 Nhà cửa &amp; Đồ vật</t>
        </is>
      </c>
      <c r="V244" s="63" t="inlineStr">
        <is>
          <t>书在桌子上。</t>
        </is>
      </c>
      <c r="W244" s="64" t="inlineStr">
        <is>
          <t>Shū zài zhuōzi shang.
Sách ở trên bàn.</t>
        </is>
      </c>
    </row>
    <row r="245" hidden="1" ht="35.65" customHeight="1" s="99">
      <c r="A245" s="26" t="n">
        <v>502</v>
      </c>
      <c r="B245" s="79" t="inlineStr">
        <is>
          <t>HSK2</t>
        </is>
      </c>
      <c r="C245" s="80" t="inlineStr">
        <is>
          <t>狗</t>
        </is>
      </c>
      <c r="D245" s="80" t="inlineStr">
        <is>
          <t>gǒu</t>
        </is>
      </c>
      <c r="E245" s="80" t="inlineStr">
        <is>
          <t>con chó</t>
        </is>
      </c>
      <c r="F245" s="26" t="n"/>
      <c r="G245" s="13" t="inlineStr">
        <is>
          <t>狗</t>
        </is>
      </c>
      <c r="H245" s="8">
        <f>IF(TRIM($G245)="","",IF(EXACT(TRIM($G245),TRIM($C245)),"✅ Đúng","❌ Sai"))</f>
        <v/>
      </c>
      <c r="I245" s="52" t="inlineStr">
        <is>
          <t>▶</t>
        </is>
      </c>
      <c r="J245" s="52" t="inlineStr">
        <is>
          <t>🔍</t>
        </is>
      </c>
      <c r="K245" s="26" t="n"/>
      <c r="L245" s="26" t="n"/>
      <c r="M245" s="26" t="n"/>
      <c r="N245" s="26" t="n"/>
      <c r="O245" s="26" t="n"/>
      <c r="P245" s="26" t="n"/>
      <c r="Q245" s="26" t="n"/>
      <c r="R245" s="39" t="n">
        <v>46236</v>
      </c>
      <c r="S245" s="41" t="n"/>
      <c r="T245" s="47" t="inlineStr">
        <is>
          <t>狗 [CẨU] · con chó
    ↳ Chiết tự: bộ 犭 (khuyển – loài thú) + 句 (cú – âm đọc) — hình thanh</t>
        </is>
      </c>
      <c r="U245" s="44" t="inlineStr">
        <is>
          <t>🏠 Nhà cửa &amp; Đồ vật</t>
        </is>
      </c>
      <c r="V245" s="63" t="inlineStr">
        <is>
          <t>我的狗很聪明。</t>
        </is>
      </c>
      <c r="W245" s="64" t="inlineStr">
        <is>
          <t>Wǒ de gǒu hěn cōngming.
Con chó của tôi rất thông minh.</t>
        </is>
      </c>
    </row>
    <row r="246" ht="47.25" customHeight="1" s="99">
      <c r="A246" s="26" t="n">
        <v>510</v>
      </c>
      <c r="B246" s="79" t="inlineStr">
        <is>
          <t>HSK2</t>
        </is>
      </c>
      <c r="C246" s="80" t="inlineStr">
        <is>
          <t>椅子</t>
        </is>
      </c>
      <c r="D246" s="80" t="inlineStr">
        <is>
          <t>yǐzi</t>
        </is>
      </c>
      <c r="E246" s="80" t="inlineStr">
        <is>
          <t>cái ghế</t>
        </is>
      </c>
      <c r="F246" s="26" t="n"/>
      <c r="G246" s="7" t="n"/>
      <c r="H246" s="8">
        <f>IF(TRIM($G246)="","",IF(EXACT(TRIM($G246),TRIM($C246)),"✅ Đúng","❌ Sai"))</f>
        <v/>
      </c>
      <c r="I246" s="52" t="inlineStr">
        <is>
          <t>▶</t>
        </is>
      </c>
      <c r="J246" s="52" t="inlineStr">
        <is>
          <t>🔍</t>
        </is>
      </c>
      <c r="K246" s="26" t="n"/>
      <c r="L246" s="26" t="n"/>
      <c r="M246" s="26" t="n"/>
      <c r="N246" s="26" t="n"/>
      <c r="O246" s="26" t="n"/>
      <c r="P246" s="26" t="n"/>
      <c r="Q246" s="26" t="n"/>
      <c r="R246" s="39" t="n">
        <v>46236</v>
      </c>
      <c r="S246" s="41" t="n"/>
      <c r="T246" s="47" t="inlineStr">
        <is>
          <t>椅 [Ỷ] · cái ghế
    ↳ Chiết tự: bộ 木 (mộc – gỗ) + 奇 (kỳ – âm đọc) — đồ gỗ để tựa
子 [TỬ] · con cái; hậu tố danh từ; ngài
    ↳ Chiết tự: bộ 子 (tử) — hình em bé quấn tã, hai tay giơ lên</t>
        </is>
      </c>
      <c r="U246" s="44" t="inlineStr">
        <is>
          <t>🏠 Nhà cửa &amp; Đồ vật</t>
        </is>
      </c>
      <c r="V246" s="63" t="inlineStr">
        <is>
          <t>请坐这把椅子。</t>
        </is>
      </c>
      <c r="W246" s="64" t="inlineStr">
        <is>
          <t>Qǐng zuò zhè bǎ yǐzi.
Xin ngồi vào chiếc ghế này.</t>
        </is>
      </c>
    </row>
    <row r="247" hidden="1" ht="70.5" customHeight="1" s="99">
      <c r="A247" s="26" t="n">
        <v>513</v>
      </c>
      <c r="B247" s="79" t="inlineStr">
        <is>
          <t>HSK2</t>
        </is>
      </c>
      <c r="C247" s="80" t="inlineStr">
        <is>
          <t>报纸</t>
        </is>
      </c>
      <c r="D247" s="80" t="inlineStr">
        <is>
          <t>bàozhǐ</t>
        </is>
      </c>
      <c r="E247" s="80" t="inlineStr">
        <is>
          <t>báo (tờ báo)</t>
        </is>
      </c>
      <c r="F247" s="26" t="n"/>
      <c r="G247" s="13" t="inlineStr">
        <is>
          <t>报纸</t>
        </is>
      </c>
      <c r="H247" s="8">
        <f>IF(TRIM($G247)="","",IF(EXACT(TRIM($G247),TRIM($C247)),"✅ Đúng","❌ Sai"))</f>
        <v/>
      </c>
      <c r="I247" s="52" t="inlineStr">
        <is>
          <t>▶</t>
        </is>
      </c>
      <c r="J247" s="52" t="inlineStr">
        <is>
          <t>🔍</t>
        </is>
      </c>
      <c r="K247" s="26" t="n"/>
      <c r="L247" s="26" t="n"/>
      <c r="M247" s="26" t="n"/>
      <c r="N247" s="26" t="n"/>
      <c r="O247" s="26" t="n"/>
      <c r="P247" s="26" t="n"/>
      <c r="Q247" s="26" t="n"/>
      <c r="R247" s="39" t="n">
        <v>46236</v>
      </c>
      <c r="S247" s="41" t="n"/>
      <c r="T247" s="47" t="inlineStr">
        <is>
          <t>报 [BÁO] · báo cáo, tin báo; tờ báo
    ↳ Chiết tự: giản thể của 報: bộ 扌 (thủ đứng – bàn tay) + 卩 + 又 (hựu – tay) — tay chuyển tin đi
纸 [CHỈ] · giấy
    ↳ Chiết tự: giản thể của 紙: bộ 纟 (mịch – sợi tơ) + 氏 (thị – âm đọc) — giấy làm từ xơ sợi</t>
        </is>
      </c>
      <c r="U247" s="44" t="inlineStr">
        <is>
          <t>🏠 Nhà cửa &amp; Đồ vật</t>
        </is>
      </c>
      <c r="V247" s="63" t="inlineStr">
        <is>
          <t>爸爸每天看报纸。</t>
        </is>
      </c>
      <c r="W247" s="64" t="inlineStr">
        <is>
          <t>Bàba měitiān kàn bàozhǐ.
Bố đọc báo mỗi ngày.</t>
        </is>
      </c>
    </row>
    <row r="248" hidden="1" ht="58.9" customHeight="1" s="99">
      <c r="A248" s="26" t="n">
        <v>544</v>
      </c>
      <c r="B248" s="79" t="inlineStr">
        <is>
          <t>HSK2</t>
        </is>
      </c>
      <c r="C248" s="80" t="inlineStr">
        <is>
          <t>手表</t>
        </is>
      </c>
      <c r="D248" s="80" t="inlineStr">
        <is>
          <t>shǒubiǎo</t>
        </is>
      </c>
      <c r="E248" s="80" t="inlineStr">
        <is>
          <t>đồng hồ đeo tay</t>
        </is>
      </c>
      <c r="F248" s="26" t="n"/>
      <c r="G248" s="13" t="inlineStr">
        <is>
          <t>手表</t>
        </is>
      </c>
      <c r="H248" s="8">
        <f>IF(TRIM($G248)="","",IF(EXACT(TRIM($G248),TRIM($C248)),"✅ Đúng","❌ Sai"))</f>
        <v/>
      </c>
      <c r="I248" s="52" t="inlineStr">
        <is>
          <t>▶</t>
        </is>
      </c>
      <c r="J248" s="52" t="inlineStr">
        <is>
          <t>🔍</t>
        </is>
      </c>
      <c r="K248" s="26" t="n"/>
      <c r="L248" s="26" t="n"/>
      <c r="M248" s="26" t="n"/>
      <c r="N248" s="26" t="n"/>
      <c r="O248" s="26" t="n"/>
      <c r="P248" s="26" t="n"/>
      <c r="Q248" s="26" t="n"/>
      <c r="R248" s="39" t="n">
        <v>46236</v>
      </c>
      <c r="S248" s="41" t="n"/>
      <c r="T248" s="47" t="inlineStr">
        <is>
          <t>手 [THỦ] · bàn tay; người làm nghề
    ↳ Chiết tự: bộ 手 (thủ) — hình bàn tay xòe năm ngón
表 [BIỂU] · bề ngoài; biểu thị; đồng hồ, bảng
    ↳ Chiết tự: bộ 衣 (y – áo) + 毛 (mao – lông) — lớp lông ngoài áo, cái bên ngoài</t>
        </is>
      </c>
      <c r="U248" s="44" t="inlineStr">
        <is>
          <t>🏠 Nhà cửa &amp; Đồ vật</t>
        </is>
      </c>
      <c r="V248" s="63" t="inlineStr">
        <is>
          <t>这块手表是新的。</t>
        </is>
      </c>
      <c r="W248" s="64" t="inlineStr">
        <is>
          <t>Zhè kuài shǒubiǎo shì xīn de.
Chiếc đồng hồ này là mới.</t>
        </is>
      </c>
    </row>
    <row r="249" ht="34.9" customHeight="1" s="99">
      <c r="A249" s="2" t="n">
        <v>9</v>
      </c>
      <c r="B249" s="60" t="inlineStr">
        <is>
          <t>HSK1+3</t>
        </is>
      </c>
      <c r="C249" s="4" t="inlineStr">
        <is>
          <t>班</t>
        </is>
      </c>
      <c r="D249" s="5" t="inlineStr">
        <is>
          <t>bān</t>
        </is>
      </c>
      <c r="E249" s="6" t="inlineStr">
        <is>
          <t>lớp</t>
        </is>
      </c>
      <c r="F249" s="7" t="n"/>
      <c r="G249" s="7" t="n"/>
      <c r="H249" s="8">
        <f>IF(TRIM($G249)="","",IF(EXACT(TRIM($G249),TRIM($C249)),"✅ Đúng","❌ Sai"))</f>
        <v/>
      </c>
      <c r="I249" s="9">
        <f>HYPERLINK("https://translate.google.com/translate_tts?ie=UTF-8&amp;tl=zh-CN&amp;client=tw-ob&amp;q=班","▶")</f>
        <v/>
      </c>
      <c r="J249" s="9">
        <f>HYPERLINK("https://youglish.com/pronounce/班/chinese","🔍")</f>
        <v/>
      </c>
      <c r="K249" s="10" t="n"/>
      <c r="L249" s="11" t="n"/>
      <c r="M249" s="10" t="n"/>
      <c r="N249" s="11" t="n"/>
      <c r="O249" s="10" t="n"/>
      <c r="P249" s="11" t="n"/>
      <c r="Q249" s="10" t="n"/>
      <c r="R249" s="12" t="inlineStr">
        <is>
          <t>2026-06-17</t>
        </is>
      </c>
      <c r="S249" s="17" t="n"/>
      <c r="T249" s="21" t="inlineStr">
        <is>
          <t>班 [BAN] · lớp học, tổ, ca làm
    ↳ Chiết tự: bộ 玨 (hai viên ngọc) + 刂 (đao đứng – dao) — chia ngọc thành từng phần</t>
        </is>
      </c>
      <c r="U249" s="22" t="inlineStr">
        <is>
          <t>🏫 Học tập &amp; Trường lớp</t>
        </is>
      </c>
      <c r="V249" s="63" t="inlineStr">
        <is>
          <t>我们班有三十个人。</t>
        </is>
      </c>
      <c r="W249" s="64" t="inlineStr">
        <is>
          <t>Wǒmen bān yǒu sānshí ge rén.
Lớp chúng tôi có ba mươi người.</t>
        </is>
      </c>
    </row>
    <row r="250" hidden="1" ht="58.15" customHeight="1" s="99">
      <c r="A250" s="2" t="n">
        <v>62</v>
      </c>
      <c r="B250" s="3" t="inlineStr">
        <is>
          <t>HSK1</t>
        </is>
      </c>
      <c r="C250" s="4" t="inlineStr">
        <is>
          <t>大学</t>
        </is>
      </c>
      <c r="D250" s="5" t="inlineStr">
        <is>
          <t>dàxué</t>
        </is>
      </c>
      <c r="E250" s="6" t="inlineStr">
        <is>
          <t>đại học</t>
        </is>
      </c>
      <c r="F250" s="7" t="n"/>
      <c r="G250" s="7" t="inlineStr">
        <is>
          <t>大学</t>
        </is>
      </c>
      <c r="H250" s="8">
        <f>IF(TRIM($G250)="","",IF(EXACT(TRIM($G250),TRIM($C250)),"✅ Đúng","❌ Sai"))</f>
        <v/>
      </c>
      <c r="I250" s="9">
        <f>HYPERLINK("https://translate.google.com/translate_tts?ie=UTF-8&amp;tl=zh-CN&amp;client=tw-ob&amp;q=大学","▶")</f>
        <v/>
      </c>
      <c r="J250" s="9">
        <f>HYPERLINK("https://youglish.com/pronounce/大学/chinese","🔍")</f>
        <v/>
      </c>
      <c r="K250" s="10" t="n"/>
      <c r="L250" s="11" t="n"/>
      <c r="M250" s="10" t="n"/>
      <c r="N250" s="11" t="n"/>
      <c r="O250" s="10" t="n"/>
      <c r="P250" s="11" t="n"/>
      <c r="Q250" s="10" t="n"/>
      <c r="R250" s="12" t="inlineStr">
        <is>
          <t>2026-06-17</t>
        </is>
      </c>
      <c r="S250" s="18" t="n"/>
      <c r="T250" s="21" t="inlineStr">
        <is>
          <t>大 [ĐẠI] · to lớn, vĩ đại
    ↳ Chiết tự: bộ 大 (đại) — hình người dang rộng hai tay hai chân
学 [HỌC] · học tập, trường học
    ↳ Chiết tự: giản thể của 學: bộ 冖 (mịch – mái che) + 子 (tử – trẻ) — trẻ được dạy dưới mái nhà</t>
        </is>
      </c>
      <c r="U250" s="22" t="inlineStr">
        <is>
          <t>🏫 Học tập &amp; Trường lớp</t>
        </is>
      </c>
      <c r="V250" s="63" t="inlineStr">
        <is>
          <t>他在北京上大学。</t>
        </is>
      </c>
      <c r="W250" s="64" t="inlineStr">
        <is>
          <t>Tā zài Běijīng shàng dàxué.
Anh ấy học đại học ở Bắc Kinh.</t>
        </is>
      </c>
    </row>
    <row r="251" hidden="1" ht="81.40000000000001" customHeight="1" s="99">
      <c r="A251" s="2" t="n">
        <v>63</v>
      </c>
      <c r="B251" s="3" t="inlineStr">
        <is>
          <t>HSK1</t>
        </is>
      </c>
      <c r="C251" s="4" t="inlineStr">
        <is>
          <t>大学生</t>
        </is>
      </c>
      <c r="D251" s="5" t="inlineStr">
        <is>
          <t>dàxuéshēng</t>
        </is>
      </c>
      <c r="E251" s="6" t="inlineStr">
        <is>
          <t>sinh viên đại học</t>
        </is>
      </c>
      <c r="F251" s="7" t="n"/>
      <c r="G251" s="7" t="inlineStr">
        <is>
          <t>大学生</t>
        </is>
      </c>
      <c r="H251" s="8">
        <f>IF(TRIM($G251)="","",IF(EXACT(TRIM($G251),TRIM($C251)),"✅ Đúng","❌ Sai"))</f>
        <v/>
      </c>
      <c r="I251" s="9">
        <f>HYPERLINK("https://translate.google.com/translate_tts?ie=UTF-8&amp;tl=zh-CN&amp;client=tw-ob&amp;q=大学生","▶")</f>
        <v/>
      </c>
      <c r="J251" s="9">
        <f>HYPERLINK("https://youglish.com/pronounce/大学生/chinese","🔍")</f>
        <v/>
      </c>
      <c r="K251" s="10" t="n"/>
      <c r="L251" s="11" t="n"/>
      <c r="M251" s="10" t="n"/>
      <c r="N251" s="11" t="n"/>
      <c r="O251" s="10" t="n"/>
      <c r="P251" s="11" t="n"/>
      <c r="Q251" s="10" t="n"/>
      <c r="R251" s="12" t="inlineStr">
        <is>
          <t>2026-06-17</t>
        </is>
      </c>
      <c r="S251" s="17" t="n"/>
      <c r="T251" s="21" t="inlineStr">
        <is>
          <t>大 [ĐẠI] · to lớn, vĩ đại
    ↳ Chiết tự: bộ 大 (đại) — hình người dang rộng hai tay hai chân
学 [HỌC] · học tập, trường học
    ↳ Chiết tự: giản thể của 學: bộ 冖 (mịch – mái che) + 子 (tử – trẻ) — trẻ được dạy dưới mái nhà
生 [SINH] · sinh ra, sống; học trò; sống (chưa chín)
    ↳ Chiết tự: bộ 生 (sinh) — hình mầm cây nhú lên khỏi mặt đất</t>
        </is>
      </c>
      <c r="U251" s="22" t="inlineStr">
        <is>
          <t>🏫 Học tập &amp; Trường lớp</t>
        </is>
      </c>
      <c r="V251" s="63" t="inlineStr">
        <is>
          <t>我是大学生。</t>
        </is>
      </c>
      <c r="W251" s="64" t="inlineStr">
        <is>
          <t>Wǒ shì dàxuéshēng.
Tôi là sinh viên đại học.</t>
        </is>
      </c>
    </row>
    <row r="252" hidden="1" ht="34.9" customHeight="1" s="99">
      <c r="A252" s="2" t="n">
        <v>90</v>
      </c>
      <c r="B252" s="25" t="inlineStr">
        <is>
          <t>HSK1+2</t>
        </is>
      </c>
      <c r="C252" s="4" t="inlineStr">
        <is>
          <t>读</t>
        </is>
      </c>
      <c r="D252" s="5" t="inlineStr">
        <is>
          <t>dú</t>
        </is>
      </c>
      <c r="E252" s="6" t="inlineStr">
        <is>
          <t>đọc</t>
        </is>
      </c>
      <c r="F252" s="7" t="n"/>
      <c r="G252" s="7" t="inlineStr">
        <is>
          <t>读</t>
        </is>
      </c>
      <c r="H252" s="8">
        <f>IF(TRIM($G252)="","",IF(EXACT(TRIM($G252),TRIM($C252)),"✅ Đúng","❌ Sai"))</f>
        <v/>
      </c>
      <c r="I252" s="9">
        <f>HYPERLINK("https://translate.google.com/translate_tts?ie=UTF-8&amp;tl=zh-CN&amp;client=tw-ob&amp;q=读","▶")</f>
        <v/>
      </c>
      <c r="J252" s="9">
        <f>HYPERLINK("https://youglish.com/pronounce/读/chinese","🔍")</f>
        <v/>
      </c>
      <c r="K252" s="10" t="n"/>
      <c r="L252" s="11" t="n"/>
      <c r="M252" s="10" t="n"/>
      <c r="N252" s="11" t="n"/>
      <c r="O252" s="10" t="n"/>
      <c r="P252" s="11" t="n"/>
      <c r="Q252" s="10" t="n"/>
      <c r="R252" s="12" t="inlineStr">
        <is>
          <t>2026-06-17</t>
        </is>
      </c>
      <c r="S252" s="18" t="n"/>
      <c r="T252" s="21" t="inlineStr">
        <is>
          <t>读 [ĐỘC] · đọc, học
    ↳ Chiết tự: giản thể của 讀: bộ 讠 (ngôn – lời nói) + 卖 (mại – âm đọc) — phát thành tiếng</t>
        </is>
      </c>
      <c r="U252" s="22" t="inlineStr">
        <is>
          <t>🏫 Học tập &amp; Trường lớp</t>
        </is>
      </c>
      <c r="V252" s="63" t="inlineStr">
        <is>
          <t>请读一遍这个句子。</t>
        </is>
      </c>
      <c r="W252" s="64" t="inlineStr">
        <is>
          <t>Qǐng dú yí biàn zhège jùzi.
Xin đọc câu này một lượt.</t>
        </is>
      </c>
    </row>
    <row r="253" hidden="1" ht="69.75" customHeight="1" s="99">
      <c r="A253" s="2" t="n">
        <v>91</v>
      </c>
      <c r="B253" s="3" t="inlineStr">
        <is>
          <t>HSK1</t>
        </is>
      </c>
      <c r="C253" s="4" t="inlineStr">
        <is>
          <t>读书</t>
        </is>
      </c>
      <c r="D253" s="5" t="inlineStr">
        <is>
          <t>dúshū</t>
        </is>
      </c>
      <c r="E253" s="6" t="inlineStr">
        <is>
          <t>đọc sách</t>
        </is>
      </c>
      <c r="F253" s="7" t="n"/>
      <c r="G253" s="7" t="inlineStr">
        <is>
          <t>读书</t>
        </is>
      </c>
      <c r="H253" s="8">
        <f>IF(TRIM($G253)="","",IF(EXACT(TRIM($G253),TRIM($C253)),"✅ Đúng","❌ Sai"))</f>
        <v/>
      </c>
      <c r="I253" s="9">
        <f>HYPERLINK("https://translate.google.com/translate_tts?ie=UTF-8&amp;tl=zh-CN&amp;client=tw-ob&amp;q=读书","▶")</f>
        <v/>
      </c>
      <c r="J253" s="9">
        <f>HYPERLINK("https://youglish.com/pronounce/读书/chinese","🔍")</f>
        <v/>
      </c>
      <c r="K253" s="10" t="n"/>
      <c r="L253" s="11" t="n"/>
      <c r="M253" s="10" t="n"/>
      <c r="N253" s="11" t="n"/>
      <c r="O253" s="10" t="n"/>
      <c r="P253" s="11" t="n"/>
      <c r="Q253" s="10" t="n"/>
      <c r="R253" s="12" t="inlineStr">
        <is>
          <t>2026-06-17</t>
        </is>
      </c>
      <c r="S253" s="17" t="n"/>
      <c r="T253" s="21" t="inlineStr">
        <is>
          <t>读 [ĐỘC] · đọc, học
    ↳ Chiết tự: giản thể của 讀: bộ 讠 (ngôn – lời nói) + 卖 (mại – âm đọc) — phát thành tiếng
书 [THƯ] · sách, viết, thư từ
    ↳ Chiết tự: giản thể của 書: bộ 聿 (duật – cây bút) + 曰 (viết – nói) — cầm bút chép lời thành sách</t>
        </is>
      </c>
      <c r="U253" s="22" t="inlineStr">
        <is>
          <t>🏫 Học tập &amp; Trường lớp</t>
        </is>
      </c>
      <c r="V253" s="63" t="inlineStr">
        <is>
          <t>他很喜欢读书。</t>
        </is>
      </c>
      <c r="W253" s="64" t="inlineStr">
        <is>
          <t>Tā hěn xǐhuan dúshū.
Anh ấy rất thích đọc sách.</t>
        </is>
      </c>
    </row>
    <row r="254" hidden="1" ht="69.75" customHeight="1" s="99">
      <c r="A254" s="2" t="n">
        <v>105</v>
      </c>
      <c r="B254" s="3" t="inlineStr">
        <is>
          <t>HSK1</t>
        </is>
      </c>
      <c r="C254" s="4" t="inlineStr">
        <is>
          <t>放学</t>
        </is>
      </c>
      <c r="D254" s="5" t="inlineStr">
        <is>
          <t>fàngxué</t>
        </is>
      </c>
      <c r="E254" s="6" t="inlineStr">
        <is>
          <t>tan học</t>
        </is>
      </c>
      <c r="F254" s="7" t="n"/>
      <c r="G254" s="7" t="inlineStr">
        <is>
          <t>放学</t>
        </is>
      </c>
      <c r="H254" s="8">
        <f>IF(TRIM($G254)="","",IF(EXACT(TRIM($G254),TRIM($C254)),"✅ Đúng","❌ Sai"))</f>
        <v/>
      </c>
      <c r="I254" s="9">
        <f>HYPERLINK("https://translate.google.com/translate_tts?ie=UTF-8&amp;tl=zh-CN&amp;client=tw-ob&amp;q=放学","▶")</f>
        <v/>
      </c>
      <c r="J254" s="9">
        <f>HYPERLINK("https://youglish.com/pronounce/放学/chinese","🔍")</f>
        <v/>
      </c>
      <c r="K254" s="10" t="n"/>
      <c r="L254" s="11" t="n"/>
      <c r="M254" s="10" t="n"/>
      <c r="N254" s="11" t="n"/>
      <c r="O254" s="10" t="n"/>
      <c r="P254" s="11" t="n"/>
      <c r="Q254" s="10" t="n"/>
      <c r="R254" s="12" t="inlineStr">
        <is>
          <t>2026-06-17</t>
        </is>
      </c>
      <c r="S254" s="17" t="n"/>
      <c r="T254" s="21" t="inlineStr">
        <is>
          <t>放 [PHÓNG] · đặt, thả, buông
    ↳ Chiết tự: bộ 方 (phương – âm đọc) + 攵 (phộc – tay cầm roi) — đánh cho đi ra, buông ra
学 [HỌC] · học tập, trường học
    ↳ Chiết tự: giản thể của 學: bộ 冖 (mịch – mái che) + 子 (tử – trẻ) — trẻ được dạy dưới mái nhà</t>
        </is>
      </c>
      <c r="U254" s="22" t="inlineStr">
        <is>
          <t>🏫 Học tập &amp; Trường lớp</t>
        </is>
      </c>
      <c r="V254" s="63" t="inlineStr">
        <is>
          <t>三点半放学。</t>
        </is>
      </c>
      <c r="W254" s="64" t="inlineStr">
        <is>
          <t>Sān diǎn bàn fàngxué.
Ba giờ rưỡi tan học.</t>
        </is>
      </c>
    </row>
    <row r="255" hidden="1" ht="69.75" customHeight="1" s="99">
      <c r="A255" s="2" t="n">
        <v>136</v>
      </c>
      <c r="B255" s="25" t="inlineStr">
        <is>
          <t>HSK1+2</t>
        </is>
      </c>
      <c r="C255" s="4" t="inlineStr">
        <is>
          <t>汉语</t>
        </is>
      </c>
      <c r="D255" s="5" t="inlineStr">
        <is>
          <t>Hànyǔ</t>
        </is>
      </c>
      <c r="E255" s="6" t="inlineStr">
        <is>
          <t>tiếng Trung</t>
        </is>
      </c>
      <c r="F255" s="7" t="inlineStr">
        <is>
          <t>汉语</t>
        </is>
      </c>
      <c r="G255" s="7" t="inlineStr">
        <is>
          <t>汉语</t>
        </is>
      </c>
      <c r="H255" s="8">
        <f>IF(TRIM($G255)="","",IF(EXACT(TRIM($G255),TRIM($C255)),"✅ Đúng","❌ Sai"))</f>
        <v/>
      </c>
      <c r="I255" s="9">
        <f>HYPERLINK("https://translate.google.com/translate_tts?ie=UTF-8&amp;tl=zh-CN&amp;client=tw-ob&amp;q=汉语","▶")</f>
        <v/>
      </c>
      <c r="J255" s="9">
        <f>HYPERLINK("https://youglish.com/pronounce/汉语/chinese","🔍")</f>
        <v/>
      </c>
      <c r="K255" s="10" t="n"/>
      <c r="L255" s="11" t="n"/>
      <c r="M255" s="10" t="n"/>
      <c r="N255" s="11" t="n"/>
      <c r="O255" s="10" t="n"/>
      <c r="P255" s="11" t="n"/>
      <c r="Q255" s="10" t="n"/>
      <c r="R255" s="12" t="inlineStr">
        <is>
          <t>2026-06-17</t>
        </is>
      </c>
      <c r="S255" s="18" t="n"/>
      <c r="T255" s="21" t="inlineStr">
        <is>
          <t>汉 [HÁN] · nhà Hán, dân tộc Hán; đàn ông
    ↳ Chiết tự: giản thể của 漢: bộ 氵 (thủy – nước) + 又 (hựu – tay) — tên con sông Hán, sau chỉ dân tộc
语 [NGỮ] · ngôn ngữ, tiếng nói
    ↳ Chiết tự: giản thể của 語: bộ 讠 (ngôn – lời nói) + 吾 (ngô – ta) — tiếng nói của ta</t>
        </is>
      </c>
      <c r="U255" s="22" t="inlineStr">
        <is>
          <t>🏫 Học tập &amp; Trường lớp</t>
        </is>
      </c>
      <c r="V255" s="63" t="inlineStr">
        <is>
          <t>我在学汉语。</t>
        </is>
      </c>
      <c r="W255" s="64" t="inlineStr">
        <is>
          <t>Wǒ zài xué Hànyǔ.
Tôi đang học tiếng Hán.</t>
        </is>
      </c>
    </row>
    <row r="256" hidden="1" ht="69.75" customHeight="1" s="99">
      <c r="A256" s="2" t="n">
        <v>137</v>
      </c>
      <c r="B256" s="3" t="inlineStr">
        <is>
          <t>HSK1</t>
        </is>
      </c>
      <c r="C256" s="4" t="inlineStr">
        <is>
          <t>汉字</t>
        </is>
      </c>
      <c r="D256" s="5" t="inlineStr">
        <is>
          <t>Hànzì</t>
        </is>
      </c>
      <c r="E256" s="6" t="inlineStr">
        <is>
          <t>chữ Hán</t>
        </is>
      </c>
      <c r="F256" s="7" t="inlineStr">
        <is>
          <t>汉字</t>
        </is>
      </c>
      <c r="G256" s="7" t="inlineStr">
        <is>
          <t>汉字</t>
        </is>
      </c>
      <c r="H256" s="8">
        <f>IF(TRIM($G256)="","",IF(EXACT(TRIM($G256),TRIM($C256)),"✅ Đúng","❌ Sai"))</f>
        <v/>
      </c>
      <c r="I256" s="9">
        <f>HYPERLINK("https://translate.google.com/translate_tts?ie=UTF-8&amp;tl=zh-CN&amp;client=tw-ob&amp;q=汉字","▶")</f>
        <v/>
      </c>
      <c r="J256" s="9">
        <f>HYPERLINK("https://youglish.com/pronounce/汉字/chinese","🔍")</f>
        <v/>
      </c>
      <c r="K256" s="10" t="n"/>
      <c r="L256" s="11" t="n"/>
      <c r="M256" s="10" t="n"/>
      <c r="N256" s="11" t="n"/>
      <c r="O256" s="10" t="n"/>
      <c r="P256" s="11" t="n"/>
      <c r="Q256" s="10" t="n"/>
      <c r="R256" s="12" t="inlineStr">
        <is>
          <t>2026-06-17</t>
        </is>
      </c>
      <c r="S256" s="17" t="n"/>
      <c r="T256" s="21" t="inlineStr">
        <is>
          <t>汉 [HÁN] · nhà Hán, dân tộc Hán; đàn ông
    ↳ Chiết tự: giản thể của 漢: bộ 氵 (thủy – nước) + 又 (hựu – tay) — tên con sông Hán, sau chỉ dân tộc
字 [TỰ] · chữ viết
    ↳ Chiết tự: bộ 宀 (miên – mái nhà) + 子 (tử – con) — trẻ trong nhà sinh sôi như chữ nảy nở</t>
        </is>
      </c>
      <c r="U256" s="22" t="inlineStr">
        <is>
          <t>🏫 Học tập &amp; Trường lớp</t>
        </is>
      </c>
      <c r="V256" s="63" t="inlineStr">
        <is>
          <t>汉字很难写。</t>
        </is>
      </c>
      <c r="W256" s="64" t="inlineStr">
        <is>
          <t>Hànzì hěn nán xiě.
Chữ Hán rất khó viết.</t>
        </is>
      </c>
    </row>
    <row r="257" hidden="1" ht="69.75" customHeight="1" s="99">
      <c r="A257" s="2" t="n">
        <v>155</v>
      </c>
      <c r="B257" s="60" t="inlineStr">
        <is>
          <t>HSK1+3</t>
        </is>
      </c>
      <c r="C257" s="4" t="inlineStr">
        <is>
          <t>回答</t>
        </is>
      </c>
      <c r="D257" s="5" t="inlineStr">
        <is>
          <t>huídá</t>
        </is>
      </c>
      <c r="E257" s="6" t="inlineStr">
        <is>
          <t>trả lời</t>
        </is>
      </c>
      <c r="F257" s="7" t="n"/>
      <c r="G257" s="7" t="inlineStr">
        <is>
          <t>回答</t>
        </is>
      </c>
      <c r="H257" s="8">
        <f>IF(TRIM($G257)="","",IF(EXACT(TRIM($G257),TRIM($C257)),"✅ Đúng","❌ Sai"))</f>
        <v/>
      </c>
      <c r="I257" s="9">
        <f>HYPERLINK("https://translate.google.com/translate_tts?ie=UTF-8&amp;tl=zh-CN&amp;client=tw-ob&amp;q=回答","▶")</f>
        <v/>
      </c>
      <c r="J257" s="9">
        <f>HYPERLINK("https://youglish.com/pronounce/回答/chinese","🔍")</f>
        <v/>
      </c>
      <c r="K257" s="10" t="n"/>
      <c r="L257" s="11" t="n"/>
      <c r="M257" s="10" t="n"/>
      <c r="N257" s="11" t="n"/>
      <c r="O257" s="10" t="n"/>
      <c r="P257" s="11" t="n"/>
      <c r="Q257" s="10" t="n"/>
      <c r="R257" s="12" t="inlineStr">
        <is>
          <t>2026-06-17</t>
        </is>
      </c>
      <c r="S257" s="17" t="n"/>
      <c r="T257" s="21" t="inlineStr">
        <is>
          <t>回 [HỒI] · quay về, trở lại; lượt
    ↳ Chiết tự: bộ 囗 (vi – vây quanh) lồng nhau — hình nước xoáy cuộn trở lại
答 [ĐÁP] · trả lời, đáp lại
    ↳ Chiết tự: bộ 竹 (trúc – tre) + 合 (hợp – khớp) — viết lời đáp khớp lên thẻ tre</t>
        </is>
      </c>
      <c r="U257" s="22" t="inlineStr">
        <is>
          <t>🏫 Học tập &amp; Trường lớp</t>
        </is>
      </c>
      <c r="V257" s="63" t="inlineStr">
        <is>
          <t>请回答我的问题。</t>
        </is>
      </c>
      <c r="W257" s="64" t="inlineStr">
        <is>
          <t>Qǐng huídá wǒ de wèntí.
Xin trả lời câu hỏi của tôi.</t>
        </is>
      </c>
    </row>
    <row r="258" hidden="1" ht="34.9" customHeight="1" s="99">
      <c r="A258" s="2" t="n">
        <v>166</v>
      </c>
      <c r="B258" s="3" t="inlineStr">
        <is>
          <t>HSK1</t>
        </is>
      </c>
      <c r="C258" s="4" t="inlineStr">
        <is>
          <t>记</t>
        </is>
      </c>
      <c r="D258" s="5" t="inlineStr">
        <is>
          <t>jì</t>
        </is>
      </c>
      <c r="E258" s="6" t="inlineStr">
        <is>
          <t>nhớ</t>
        </is>
      </c>
      <c r="F258" s="7" t="n"/>
      <c r="G258" s="7" t="inlineStr">
        <is>
          <t>记</t>
        </is>
      </c>
      <c r="H258" s="8">
        <f>IF(TRIM($G258)="","",IF(EXACT(TRIM($G258),TRIM($C258)),"✅ Đúng","❌ Sai"))</f>
        <v/>
      </c>
      <c r="I258" s="9">
        <f>HYPERLINK("https://translate.google.com/translate_tts?ie=UTF-8&amp;tl=zh-CN&amp;client=tw-ob&amp;q=记","▶")</f>
        <v/>
      </c>
      <c r="J258" s="9">
        <f>HYPERLINK("https://youglish.com/pronounce/记/chinese","🔍")</f>
        <v/>
      </c>
      <c r="K258" s="10" t="n"/>
      <c r="L258" s="11" t="n"/>
      <c r="M258" s="10" t="n"/>
      <c r="N258" s="11" t="n"/>
      <c r="O258" s="10" t="n"/>
      <c r="P258" s="11" t="n"/>
      <c r="Q258" s="10" t="n"/>
      <c r="R258" s="12" t="inlineStr">
        <is>
          <t>2026-06-17</t>
        </is>
      </c>
      <c r="S258" s="18" t="n"/>
      <c r="T258" s="21" t="inlineStr">
        <is>
          <t>记 [KÝ] · ghi chép, ghi nhớ
    ↳ Chiết tự: giản thể của 記: bộ 讠 (ngôn – lời nói) + 己 (kỷ – bản thân) — ghi lời vào lòng mình</t>
        </is>
      </c>
      <c r="U258" s="22" t="inlineStr">
        <is>
          <t>🏫 Học tập &amp; Trường lớp</t>
        </is>
      </c>
      <c r="V258" s="63" t="inlineStr">
        <is>
          <t>我记不住这个词。</t>
        </is>
      </c>
      <c r="W258" s="64" t="inlineStr">
        <is>
          <t>Wǒ jì bu zhù zhège cí.
Tôi không nhớ được từ này.</t>
        </is>
      </c>
    </row>
    <row r="259" hidden="1" ht="69.75" customHeight="1" s="99">
      <c r="A259" s="2" t="n">
        <v>167</v>
      </c>
      <c r="B259" s="60" t="inlineStr">
        <is>
          <t>HSK1+3</t>
        </is>
      </c>
      <c r="C259" s="4" t="inlineStr">
        <is>
          <t>记得</t>
        </is>
      </c>
      <c r="D259" s="5" t="inlineStr">
        <is>
          <t>jìde</t>
        </is>
      </c>
      <c r="E259" s="6" t="inlineStr">
        <is>
          <t>ghi nhớ</t>
        </is>
      </c>
      <c r="F259" s="7" t="n"/>
      <c r="G259" s="7" t="inlineStr">
        <is>
          <t>记得</t>
        </is>
      </c>
      <c r="H259" s="8">
        <f>IF(TRIM($G259)="","",IF(EXACT(TRIM($G259),TRIM($C259)),"✅ Đúng","❌ Sai"))</f>
        <v/>
      </c>
      <c r="I259" s="9">
        <f>HYPERLINK("https://translate.google.com/translate_tts?ie=UTF-8&amp;tl=zh-CN&amp;client=tw-ob&amp;q=记得","▶")</f>
        <v/>
      </c>
      <c r="J259" s="9">
        <f>HYPERLINK("https://youglish.com/pronounce/记得/chinese","🔍")</f>
        <v/>
      </c>
      <c r="K259" s="10" t="n"/>
      <c r="L259" s="11" t="n"/>
      <c r="M259" s="10" t="n"/>
      <c r="N259" s="11" t="n"/>
      <c r="O259" s="10" t="n"/>
      <c r="P259" s="11" t="n"/>
      <c r="Q259" s="10" t="n"/>
      <c r="R259" s="12" t="inlineStr">
        <is>
          <t>2026-06-17</t>
        </is>
      </c>
      <c r="S259" s="17" t="n"/>
      <c r="T259" s="21" t="inlineStr">
        <is>
          <t>记 [KÝ] · ghi chép, ghi nhớ
    ↳ Chiết tự: giản thể của 記: bộ 讠 (ngôn – lời nói) + 己 (kỷ – bản thân) — ghi lời vào lòng mình
得 [ĐẮC] · được, đạt được; trợ từ bổ ngữ
    ↳ Chiết tự: bộ 彳 (xích – bước đi) + 旦 + 寸 (thốn – tay) — đi đường nhặt được của</t>
        </is>
      </c>
      <c r="U259" s="22" t="inlineStr">
        <is>
          <t>🏫 Học tập &amp; Trường lớp</t>
        </is>
      </c>
      <c r="V259" s="63" t="inlineStr">
        <is>
          <t>你还记得我吗？</t>
        </is>
      </c>
      <c r="W259" s="64" t="inlineStr">
        <is>
          <t>Nǐ hái jìde wǒ ma?
Bạn còn nhớ tôi không?</t>
        </is>
      </c>
    </row>
    <row r="260" hidden="1" ht="69.75" customHeight="1" s="99">
      <c r="A260" s="2" t="n">
        <v>168</v>
      </c>
      <c r="B260" s="3" t="inlineStr">
        <is>
          <t>HSK1</t>
        </is>
      </c>
      <c r="C260" s="4" t="inlineStr">
        <is>
          <t>记住</t>
        </is>
      </c>
      <c r="D260" s="5" t="inlineStr">
        <is>
          <t>jìzhù</t>
        </is>
      </c>
      <c r="E260" s="6" t="inlineStr">
        <is>
          <t>nhớ kĩ</t>
        </is>
      </c>
      <c r="F260" s="7" t="n"/>
      <c r="G260" s="7" t="inlineStr">
        <is>
          <t>记住</t>
        </is>
      </c>
      <c r="H260" s="8">
        <f>IF(TRIM($G260)="","",IF(EXACT(TRIM($G260),TRIM($C260)),"✅ Đúng","❌ Sai"))</f>
        <v/>
      </c>
      <c r="I260" s="9">
        <f>HYPERLINK("https://translate.google.com/translate_tts?ie=UTF-8&amp;tl=zh-CN&amp;client=tw-ob&amp;q=记住","▶")</f>
        <v/>
      </c>
      <c r="J260" s="9">
        <f>HYPERLINK("https://youglish.com/pronounce/记住/chinese","🔍")</f>
        <v/>
      </c>
      <c r="K260" s="10" t="n"/>
      <c r="L260" s="11" t="n"/>
      <c r="M260" s="10" t="n"/>
      <c r="N260" s="11" t="n"/>
      <c r="O260" s="10" t="n"/>
      <c r="P260" s="11" t="n"/>
      <c r="Q260" s="10" t="n"/>
      <c r="R260" s="12" t="inlineStr">
        <is>
          <t>2026-06-17</t>
        </is>
      </c>
      <c r="S260" s="18" t="n"/>
      <c r="T260" s="21" t="inlineStr">
        <is>
          <t>记 [KÝ] · ghi chép, ghi nhớ
    ↳ Chiết tự: giản thể của 記: bộ 讠 (ngôn – lời nói) + 己 (kỷ – bản thân) — ghi lời vào lòng mình
住 [TRÚ] · ở, trú ngụ, dừng lại
    ↳ Chiết tự: bộ 亻 (nhân đứng – người) + 主 (chủ – âm đọc, làm chủ) — người làm chủ chỗ ở</t>
        </is>
      </c>
      <c r="U260" s="22" t="inlineStr">
        <is>
          <t>🏫 Học tập &amp; Trường lớp</t>
        </is>
      </c>
      <c r="V260" s="63" t="inlineStr">
        <is>
          <t>请记住这个号码。</t>
        </is>
      </c>
      <c r="W260" s="64" t="inlineStr">
        <is>
          <t>Qǐng jìzhù zhège hàomǎ.
Xin nhớ số này.</t>
        </is>
      </c>
    </row>
    <row r="261" hidden="1" ht="34.9" customHeight="1" s="99">
      <c r="A261" s="2" t="n">
        <v>175</v>
      </c>
      <c r="B261" s="60" t="inlineStr">
        <is>
          <t>HSK1+3</t>
        </is>
      </c>
      <c r="C261" s="4" t="inlineStr">
        <is>
          <t>教</t>
        </is>
      </c>
      <c r="D261" s="5" t="inlineStr">
        <is>
          <t>jiāo</t>
        </is>
      </c>
      <c r="E261" s="6" t="inlineStr">
        <is>
          <t>dạy</t>
        </is>
      </c>
      <c r="F261" s="7" t="n"/>
      <c r="G261" s="7" t="inlineStr">
        <is>
          <t>教</t>
        </is>
      </c>
      <c r="H261" s="8">
        <f>IF(TRIM($G261)="","",IF(EXACT(TRIM($G261),TRIM($C261)),"✅ Đúng","❌ Sai"))</f>
        <v/>
      </c>
      <c r="I261" s="9">
        <f>HYPERLINK("https://translate.google.com/translate_tts?ie=UTF-8&amp;tl=zh-CN&amp;client=tw-ob&amp;q=教","▶")</f>
        <v/>
      </c>
      <c r="J261" s="9">
        <f>HYPERLINK("https://youglish.com/pronounce/教/chinese","🔍")</f>
        <v/>
      </c>
      <c r="K261" s="10" t="n"/>
      <c r="L261" s="11" t="n"/>
      <c r="M261" s="10" t="n"/>
      <c r="N261" s="11" t="n"/>
      <c r="O261" s="10" t="n"/>
      <c r="P261" s="11" t="n"/>
      <c r="Q261" s="10" t="n"/>
      <c r="R261" s="12" t="inlineStr">
        <is>
          <t>2026-06-17</t>
        </is>
      </c>
      <c r="S261" s="17" t="n"/>
      <c r="T261" s="21" t="inlineStr">
        <is>
          <t>教 [GIÁO] · dạy dỗ, tôn giáo
    ↳ Chiết tự: bộ 孝 (hiếu) + 攵 (phộc – tay cầm roi) — cầm roi dạy trẻ nên người</t>
        </is>
      </c>
      <c r="U261" s="22" t="inlineStr">
        <is>
          <t>🏫 Học tập &amp; Trường lớp</t>
        </is>
      </c>
      <c r="V261" s="63" t="inlineStr">
        <is>
          <t>老师教我们汉语。</t>
        </is>
      </c>
      <c r="W261" s="64" t="inlineStr">
        <is>
          <t>Lǎoshī jiāo wǒmen Hànyǔ.
Thầy dạy chúng tôi tiếng Hán.</t>
        </is>
      </c>
    </row>
    <row r="262" ht="104.65" customHeight="1" s="99">
      <c r="A262" s="2" t="n">
        <v>177</v>
      </c>
      <c r="B262" s="3" t="inlineStr">
        <is>
          <t>HSK1</t>
        </is>
      </c>
      <c r="C262" s="4" t="inlineStr">
        <is>
          <t>教学楼</t>
        </is>
      </c>
      <c r="D262" s="5" t="inlineStr">
        <is>
          <t>jiàoxuélóu</t>
        </is>
      </c>
      <c r="E262" s="6" t="inlineStr">
        <is>
          <t>khu nhà dạy học</t>
        </is>
      </c>
      <c r="F262" s="7" t="n"/>
      <c r="G262" s="7" t="n"/>
      <c r="H262" s="8">
        <f>IF(TRIM($G262)="","",IF(EXACT(TRIM($G262),TRIM($C262)),"✅ Đúng","❌ Sai"))</f>
        <v/>
      </c>
      <c r="I262" s="9">
        <f>HYPERLINK("https://translate.google.com/translate_tts?ie=UTF-8&amp;tl=zh-CN&amp;client=tw-ob&amp;q=教学楼","▶")</f>
        <v/>
      </c>
      <c r="J262" s="9">
        <f>HYPERLINK("https://youglish.com/pronounce/教学楼/chinese","🔍")</f>
        <v/>
      </c>
      <c r="K262" s="10" t="n"/>
      <c r="L262" s="11" t="n"/>
      <c r="M262" s="10" t="n"/>
      <c r="N262" s="11" t="n"/>
      <c r="O262" s="10" t="n"/>
      <c r="P262" s="11" t="n"/>
      <c r="Q262" s="10" t="n"/>
      <c r="R262" s="12" t="inlineStr">
        <is>
          <t>2026-06-17</t>
        </is>
      </c>
      <c r="S262" s="17" t="n"/>
      <c r="T262" s="21" t="inlineStr">
        <is>
          <t>教 [GIÁO] · dạy dỗ, tôn giáo
    ↳ Chiết tự: bộ 孝 (hiếu) + 攵 (phộc – tay cầm roi) — cầm roi dạy trẻ nên người
学 [HỌC] · học tập, trường học
    ↳ Chiết tự: giản thể của 學: bộ 冖 (mịch – mái che) + 子 (tử – trẻ) — trẻ được dạy dưới mái nhà
楼 [LÂU] · lầu, tòa nhà nhiều tầng
    ↳ Chiết tự: giản thể của 樓: bộ 木 (mộc – gỗ) + 娄 (lâu – âm đọc) — nhà gỗ chồng tầng</t>
        </is>
      </c>
      <c r="U262" s="22" t="inlineStr">
        <is>
          <t>🏫 Học tập &amp; Trường lớp</t>
        </is>
      </c>
      <c r="V262" s="63" t="inlineStr">
        <is>
          <t>教室在教学楼三层。</t>
        </is>
      </c>
      <c r="W262" s="64" t="inlineStr">
        <is>
          <t>Jiàoshì zài jiàoxuélóu sān céng.
Lớp học ở tầng ba tòa giảng đường.</t>
        </is>
      </c>
    </row>
    <row r="263" hidden="1" ht="34.9" customHeight="1" s="99">
      <c r="A263" s="2" t="n">
        <v>196</v>
      </c>
      <c r="B263" s="3" t="inlineStr">
        <is>
          <t>HSK1</t>
        </is>
      </c>
      <c r="C263" s="4" t="inlineStr">
        <is>
          <t>考</t>
        </is>
      </c>
      <c r="D263" s="5" t="inlineStr">
        <is>
          <t>kǎo</t>
        </is>
      </c>
      <c r="E263" s="6" t="inlineStr">
        <is>
          <t>thi</t>
        </is>
      </c>
      <c r="F263" s="7" t="inlineStr">
        <is>
          <t>考</t>
        </is>
      </c>
      <c r="G263" s="7" t="inlineStr">
        <is>
          <t>考</t>
        </is>
      </c>
      <c r="H263" s="8">
        <f>IF(TRIM($G263)="","",IF(EXACT(TRIM($G263),TRIM($C263)),"✅ Đúng","❌ Sai"))</f>
        <v/>
      </c>
      <c r="I263" s="9">
        <f>HYPERLINK("https://translate.google.com/translate_tts?ie=UTF-8&amp;tl=zh-CN&amp;client=tw-ob&amp;q=考","▶")</f>
        <v/>
      </c>
      <c r="J263" s="9">
        <f>HYPERLINK("https://youglish.com/pronounce/考/chinese","🔍")</f>
        <v/>
      </c>
      <c r="K263" s="10" t="n"/>
      <c r="L263" s="11" t="n"/>
      <c r="M263" s="10" t="n"/>
      <c r="N263" s="11" t="n"/>
      <c r="O263" s="10" t="n"/>
      <c r="P263" s="11" t="n"/>
      <c r="Q263" s="10" t="n"/>
      <c r="R263" s="12" t="inlineStr">
        <is>
          <t>2026-06-17</t>
        </is>
      </c>
      <c r="S263" s="18" t="n"/>
      <c r="T263" s="21" t="inlineStr">
        <is>
          <t>考 [KHẢO] · thi cử, khảo sát
    ↳ Chiết tự: bộ 老 (lão – người già) + 丂 (khảo – âm đọc) — bậc lão thành ra đề khảo hạch</t>
        </is>
      </c>
      <c r="U263" s="22" t="inlineStr">
        <is>
          <t>🏫 Học tập &amp; Trường lớp</t>
        </is>
      </c>
      <c r="V263" s="63" t="inlineStr">
        <is>
          <t>明天要考数学。</t>
        </is>
      </c>
      <c r="W263" s="64" t="inlineStr">
        <is>
          <t>Míngtiān yào kǎo shùxué.
Mai phải thi toán.</t>
        </is>
      </c>
    </row>
    <row r="264" hidden="1" ht="69.75" customHeight="1" s="99">
      <c r="A264" s="2" t="n">
        <v>197</v>
      </c>
      <c r="B264" s="25" t="inlineStr">
        <is>
          <t>HSK1+2</t>
        </is>
      </c>
      <c r="C264" s="4" t="inlineStr">
        <is>
          <t>考试</t>
        </is>
      </c>
      <c r="D264" s="5" t="inlineStr">
        <is>
          <t>kǎoshì</t>
        </is>
      </c>
      <c r="E264" s="6" t="inlineStr">
        <is>
          <t>kì thi</t>
        </is>
      </c>
      <c r="F264" s="7" t="inlineStr">
        <is>
          <t>考试</t>
        </is>
      </c>
      <c r="G264" s="7" t="inlineStr">
        <is>
          <t>考试</t>
        </is>
      </c>
      <c r="H264" s="8">
        <f>IF(TRIM($G264)="","",IF(EXACT(TRIM($G264),TRIM($C264)),"✅ Đúng","❌ Sai"))</f>
        <v/>
      </c>
      <c r="I264" s="9">
        <f>HYPERLINK("https://translate.google.com/translate_tts?ie=UTF-8&amp;tl=zh-CN&amp;client=tw-ob&amp;q=考试","▶")</f>
        <v/>
      </c>
      <c r="J264" s="9">
        <f>HYPERLINK("https://youglish.com/pronounce/考试/chinese","🔍")</f>
        <v/>
      </c>
      <c r="K264" s="10" t="n"/>
      <c r="L264" s="11" t="n"/>
      <c r="M264" s="10" t="n"/>
      <c r="N264" s="11" t="n"/>
      <c r="O264" s="10" t="n"/>
      <c r="P264" s="11" t="n"/>
      <c r="Q264" s="10" t="n"/>
      <c r="R264" s="12" t="inlineStr">
        <is>
          <t>2026-06-17</t>
        </is>
      </c>
      <c r="S264" s="17" t="n"/>
      <c r="T264" s="21" t="inlineStr">
        <is>
          <t>考 [KHẢO] · thi cử, khảo sát
    ↳ Chiết tự: bộ 老 (lão – người già) + 丂 (khảo – âm đọc) — bậc lão thành ra đề khảo hạch
试 [THÍ] · thử; thi cử
    ↳ Chiết tự: giản thể của 試: bộ 讠 (ngôn – lời nói) + 式 (thức – khuôn phép) — hỏi thử theo khuôn phép</t>
        </is>
      </c>
      <c r="U264" s="22" t="inlineStr">
        <is>
          <t>🏫 Học tập &amp; Trường lớp</t>
        </is>
      </c>
      <c r="V264" s="63" t="inlineStr">
        <is>
          <t>考试很容易。</t>
        </is>
      </c>
      <c r="W264" s="64" t="inlineStr">
        <is>
          <t>Kǎoshì hěn róngyì.
Bài thi rất dễ.</t>
        </is>
      </c>
    </row>
    <row r="265" hidden="1" ht="34.9" customHeight="1" s="99">
      <c r="A265" s="2" t="n">
        <v>199</v>
      </c>
      <c r="B265" s="25" t="inlineStr">
        <is>
          <t>HSK1+2</t>
        </is>
      </c>
      <c r="C265" s="4" t="inlineStr">
        <is>
          <t>课</t>
        </is>
      </c>
      <c r="D265" s="5" t="inlineStr">
        <is>
          <t>kè</t>
        </is>
      </c>
      <c r="E265" s="6" t="inlineStr">
        <is>
          <t>tiết (học)</t>
        </is>
      </c>
      <c r="F265" s="7" t="n"/>
      <c r="G265" s="7" t="inlineStr">
        <is>
          <t>课</t>
        </is>
      </c>
      <c r="H265" s="8">
        <f>IF(TRIM($G265)="","",IF(EXACT(TRIM($G265),TRIM($C265)),"✅ Đúng","❌ Sai"))</f>
        <v/>
      </c>
      <c r="I265" s="9">
        <f>HYPERLINK("https://translate.google.com/translate_tts?ie=UTF-8&amp;tl=zh-CN&amp;client=tw-ob&amp;q=课","▶")</f>
        <v/>
      </c>
      <c r="J265" s="9">
        <f>HYPERLINK("https://youglish.com/pronounce/课/chinese","🔍")</f>
        <v/>
      </c>
      <c r="K265" s="10" t="n"/>
      <c r="L265" s="11" t="n"/>
      <c r="M265" s="10" t="n"/>
      <c r="N265" s="11" t="n"/>
      <c r="O265" s="10" t="n"/>
      <c r="P265" s="11" t="n"/>
      <c r="Q265" s="10" t="n"/>
      <c r="R265" s="12" t="inlineStr">
        <is>
          <t>2026-06-17</t>
        </is>
      </c>
      <c r="S265" s="17" t="n"/>
      <c r="T265" s="21" t="inlineStr">
        <is>
          <t>课 [KHÓA] · bài học, tiết học, môn
    ↳ Chiết tự: giản thể của 課: bộ 讠 (ngôn – lời nói) + 果 (quả – kết quả) — lời giảng cho ra kết quả</t>
        </is>
      </c>
      <c r="U265" s="22" t="inlineStr">
        <is>
          <t>🏫 Học tập &amp; Trường lớp</t>
        </is>
      </c>
      <c r="V265" s="63" t="inlineStr">
        <is>
          <t>今天有四节课。</t>
        </is>
      </c>
      <c r="W265" s="64" t="inlineStr">
        <is>
          <t>Jīntiān yǒu sì jié kè.
Hôm nay có bốn tiết học.</t>
        </is>
      </c>
    </row>
    <row r="266" hidden="1" ht="69.75" customHeight="1" s="99">
      <c r="A266" s="2" t="n">
        <v>200</v>
      </c>
      <c r="B266" s="3" t="inlineStr">
        <is>
          <t>HSK1</t>
        </is>
      </c>
      <c r="C266" s="4" t="inlineStr">
        <is>
          <t>课本</t>
        </is>
      </c>
      <c r="D266" s="5" t="inlineStr">
        <is>
          <t>kèběn</t>
        </is>
      </c>
      <c r="E266" s="6" t="inlineStr">
        <is>
          <t>sách giáo khoa</t>
        </is>
      </c>
      <c r="F266" s="7" t="n"/>
      <c r="G266" s="7" t="inlineStr">
        <is>
          <t>课本</t>
        </is>
      </c>
      <c r="H266" s="8">
        <f>IF(TRIM($G266)="","",IF(EXACT(TRIM($G266),TRIM($C266)),"✅ Đúng","❌ Sai"))</f>
        <v/>
      </c>
      <c r="I266" s="9">
        <f>HYPERLINK("https://translate.google.com/translate_tts?ie=UTF-8&amp;tl=zh-CN&amp;client=tw-ob&amp;q=课本","▶")</f>
        <v/>
      </c>
      <c r="J266" s="9">
        <f>HYPERLINK("https://youglish.com/pronounce/课本/chinese","🔍")</f>
        <v/>
      </c>
      <c r="K266" s="10" t="n"/>
      <c r="L266" s="11" t="n"/>
      <c r="M266" s="10" t="n"/>
      <c r="N266" s="11" t="n"/>
      <c r="O266" s="10" t="n"/>
      <c r="P266" s="11" t="n"/>
      <c r="Q266" s="10" t="n"/>
      <c r="R266" s="12" t="inlineStr">
        <is>
          <t>2026-06-17</t>
        </is>
      </c>
      <c r="S266" s="18" t="n"/>
      <c r="T266" s="21" t="inlineStr">
        <is>
          <t>课 [KHÓA] · bài học, tiết học, môn
    ↳ Chiết tự: giản thể của 課: bộ 讠 (ngôn – lời nói) + 果 (quả – kết quả) — lời giảng cho ra kết quả
本 [BẢN] · gốc rễ, vốn có; quyển (lượng từ)
    ↳ Chiết tự: bộ 木 (mộc – cây) + 一 (nhất) đánh dấu phần gốc — chữ chỉ sự</t>
        </is>
      </c>
      <c r="U266" s="22" t="inlineStr">
        <is>
          <t>🏫 Học tập &amp; Trường lớp</t>
        </is>
      </c>
      <c r="V266" s="63" t="inlineStr">
        <is>
          <t>请打开课本。</t>
        </is>
      </c>
      <c r="W266" s="64" t="inlineStr">
        <is>
          <t>Qǐng dǎkāi kèběn.
Xin mở sách giáo khoa ra.</t>
        </is>
      </c>
    </row>
    <row r="267" ht="58.15" customHeight="1" s="99">
      <c r="A267" s="2" t="n">
        <v>201</v>
      </c>
      <c r="B267" s="3" t="inlineStr">
        <is>
          <t>HSK1</t>
        </is>
      </c>
      <c r="C267" s="4" t="inlineStr">
        <is>
          <t>课文</t>
        </is>
      </c>
      <c r="D267" s="5" t="inlineStr">
        <is>
          <t>kèwén</t>
        </is>
      </c>
      <c r="E267" s="6" t="inlineStr">
        <is>
          <t>bài khóa, bài đọc</t>
        </is>
      </c>
      <c r="F267" s="7" t="n"/>
      <c r="G267" s="7" t="n"/>
      <c r="H267" s="8">
        <f>IF(TRIM($G267)="","",IF(EXACT(TRIM($G267),TRIM($C267)),"✅ Đúng","❌ Sai"))</f>
        <v/>
      </c>
      <c r="I267" s="9">
        <f>HYPERLINK("https://translate.google.com/translate_tts?ie=UTF-8&amp;tl=zh-CN&amp;client=tw-ob&amp;q=课文","▶")</f>
        <v/>
      </c>
      <c r="J267" s="9">
        <f>HYPERLINK("https://youglish.com/pronounce/课文/chinese","🔍")</f>
        <v/>
      </c>
      <c r="K267" s="10" t="n"/>
      <c r="L267" s="11" t="n"/>
      <c r="M267" s="10" t="n"/>
      <c r="N267" s="11" t="n"/>
      <c r="O267" s="10" t="n"/>
      <c r="P267" s="11" t="n"/>
      <c r="Q267" s="10" t="n"/>
      <c r="R267" s="12" t="inlineStr">
        <is>
          <t>2026-06-17</t>
        </is>
      </c>
      <c r="S267" s="17" t="n"/>
      <c r="T267" s="21" t="inlineStr">
        <is>
          <t>课 [KHÓA] · bài học, tiết học, môn
    ↳ Chiết tự: giản thể của 課: bộ 讠 (ngôn – lời nói) + 果 (quả – kết quả) — lời giảng cho ra kết quả
文 [VĂN] · chữ viết, văn chương, văn hóa
    ↳ Chiết tự: bộ 文 (văn) — hình hoa văn xăm trên ngực người</t>
        </is>
      </c>
      <c r="U267" s="22" t="inlineStr">
        <is>
          <t>🏫 Học tập &amp; Trường lớp</t>
        </is>
      </c>
      <c r="V267" s="63" t="inlineStr">
        <is>
          <t>这篇课文很长。</t>
        </is>
      </c>
      <c r="W267" s="64" t="inlineStr">
        <is>
          <t>Zhè piān kèwén hěn cháng.
Bài khóa này rất dài.</t>
        </is>
      </c>
    </row>
    <row r="268" ht="69.75" customHeight="1" s="99">
      <c r="A268" s="2" t="n">
        <v>296</v>
      </c>
      <c r="B268" s="25" t="inlineStr">
        <is>
          <t>HSK1+2</t>
        </is>
      </c>
      <c r="C268" s="4" t="inlineStr">
        <is>
          <t>认识</t>
        </is>
      </c>
      <c r="D268" s="5" t="inlineStr">
        <is>
          <t>rènshi</t>
        </is>
      </c>
      <c r="E268" s="6" t="inlineStr">
        <is>
          <t>biết, quen</t>
        </is>
      </c>
      <c r="F268" s="7" t="n"/>
      <c r="G268" s="7" t="n"/>
      <c r="H268" s="8">
        <f>IF(TRIM($G268)="","",IF(EXACT(TRIM($G268),TRIM($C268)),"✅ Đúng","❌ Sai"))</f>
        <v/>
      </c>
      <c r="I268" s="9">
        <f>HYPERLINK("https://translate.google.com/translate_tts?ie=UTF-8&amp;tl=zh-CN&amp;client=tw-ob&amp;q=认识","▶")</f>
        <v/>
      </c>
      <c r="J268" s="9">
        <f>HYPERLINK("https://youglish.com/pronounce/认识/chinese","🔍")</f>
        <v/>
      </c>
      <c r="K268" s="10" t="n"/>
      <c r="L268" s="11" t="n"/>
      <c r="M268" s="10" t="n"/>
      <c r="N268" s="11" t="n"/>
      <c r="O268" s="10" t="n"/>
      <c r="P268" s="11" t="n"/>
      <c r="Q268" s="10" t="n"/>
      <c r="R268" s="12" t="inlineStr">
        <is>
          <t>2026-06-17</t>
        </is>
      </c>
      <c r="S268" s="17" t="n"/>
      <c r="T268" s="21" t="inlineStr">
        <is>
          <t>认 [NHẬN] · nhận biết, thừa nhận
    ↳ Chiết tự: giản thể của 認: bộ 讠 (ngôn – lời nói) + 人 (nhân – người) — qua lời mà nhận ra người
识 [THỨC] · biết, nhận thức, kiến thức
    ↳ Chiết tự: giản thể của 識: bộ 讠 (ngôn – lời nói) + 只 (chích – âm đọc) — nhờ lời mà biết</t>
        </is>
      </c>
      <c r="U268" s="22" t="inlineStr">
        <is>
          <t>🏫 Học tập &amp; Trường lớp</t>
        </is>
      </c>
      <c r="V268" s="63" t="inlineStr">
        <is>
          <t>很高兴认识你。</t>
        </is>
      </c>
      <c r="W268" s="64" t="inlineStr">
        <is>
          <t>Hěn gāoxìng rènshi nǐ.
Rất vui được biết bạn.</t>
        </is>
      </c>
    </row>
    <row r="269" hidden="1" ht="69.75" customHeight="1" s="99">
      <c r="A269" s="2" t="n">
        <v>310</v>
      </c>
      <c r="B269" s="3" t="inlineStr">
        <is>
          <t>HSK1</t>
        </is>
      </c>
      <c r="C269" s="4" t="inlineStr">
        <is>
          <t>上课</t>
        </is>
      </c>
      <c r="D269" s="5" t="inlineStr">
        <is>
          <t>shàngkè</t>
        </is>
      </c>
      <c r="E269" s="6" t="inlineStr">
        <is>
          <t>vào lớp, đi học</t>
        </is>
      </c>
      <c r="F269" s="7" t="n"/>
      <c r="G269" s="7" t="inlineStr">
        <is>
          <t>上课</t>
        </is>
      </c>
      <c r="H269" s="8">
        <f>IF(TRIM($G269)="","",IF(EXACT(TRIM($G269),TRIM($C269)),"✅ Đúng","❌ Sai"))</f>
        <v/>
      </c>
      <c r="I269" s="9">
        <f>HYPERLINK("https://translate.google.com/translate_tts?ie=UTF-8&amp;tl=zh-CN&amp;client=tw-ob&amp;q=上课","▶")</f>
        <v/>
      </c>
      <c r="J269" s="9">
        <f>HYPERLINK("https://youglish.com/pronounce/上课/chinese","🔍")</f>
        <v/>
      </c>
      <c r="K269" s="10" t="n"/>
      <c r="L269" s="11" t="n"/>
      <c r="M269" s="10" t="n"/>
      <c r="N269" s="11" t="n"/>
      <c r="O269" s="10" t="n"/>
      <c r="P269" s="11" t="n"/>
      <c r="Q269" s="10" t="n"/>
      <c r="R269" s="12" t="inlineStr">
        <is>
          <t>2026-06-17</t>
        </is>
      </c>
      <c r="S269" s="17" t="n"/>
      <c r="T269" s="21" t="inlineStr">
        <is>
          <t>上 [THƯỢNG] · ở trên, lên, trước đó
    ↳ Chiết tự: bộ 一 (nhất – mặt đất) + vạch chỉ hướng lên — chữ chỉ sự
课 [KHÓA] · bài học, tiết học, môn
    ↳ Chiết tự: giản thể của 課: bộ 讠 (ngôn – lời nói) + 果 (quả – kết quả) — lời giảng cho ra kết quả</t>
        </is>
      </c>
      <c r="U269" s="22" t="inlineStr">
        <is>
          <t>🏫 Học tập &amp; Trường lớp</t>
        </is>
      </c>
      <c r="V269" s="63" t="inlineStr">
        <is>
          <t>我们八点上课。</t>
        </is>
      </c>
      <c r="W269" s="64" t="inlineStr">
        <is>
          <t>Wǒmen bā diǎn shàngkè.
Chúng tôi vào học lúc tám giờ.</t>
        </is>
      </c>
    </row>
    <row r="270" hidden="1" ht="69.75" customHeight="1" s="99">
      <c r="A270" s="2" t="n">
        <v>313</v>
      </c>
      <c r="B270" s="3" t="inlineStr">
        <is>
          <t>HSK1</t>
        </is>
      </c>
      <c r="C270" s="4" t="inlineStr">
        <is>
          <t>上学</t>
        </is>
      </c>
      <c r="D270" s="5" t="inlineStr">
        <is>
          <t>shàngxué</t>
        </is>
      </c>
      <c r="E270" s="6" t="inlineStr">
        <is>
          <t>đi học</t>
        </is>
      </c>
      <c r="F270" s="7" t="n"/>
      <c r="G270" s="7" t="inlineStr">
        <is>
          <t>上学</t>
        </is>
      </c>
      <c r="H270" s="8">
        <f>IF(TRIM($G270)="","",IF(EXACT(TRIM($G270),TRIM($C270)),"✅ Đúng","❌ Sai"))</f>
        <v/>
      </c>
      <c r="I270" s="9">
        <f>HYPERLINK("https://translate.google.com/translate_tts?ie=UTF-8&amp;tl=zh-CN&amp;client=tw-ob&amp;q=上学","▶")</f>
        <v/>
      </c>
      <c r="J270" s="9">
        <f>HYPERLINK("https://youglish.com/pronounce/上学/chinese","🔍")</f>
        <v/>
      </c>
      <c r="K270" s="10" t="n"/>
      <c r="L270" s="11" t="n"/>
      <c r="M270" s="10" t="n"/>
      <c r="N270" s="11" t="n"/>
      <c r="O270" s="10" t="n"/>
      <c r="P270" s="11" t="n"/>
      <c r="Q270" s="10" t="n"/>
      <c r="R270" s="12" t="inlineStr">
        <is>
          <t>2026-06-17</t>
        </is>
      </c>
      <c r="S270" s="18" t="n"/>
      <c r="T270" s="21" t="inlineStr">
        <is>
          <t>上 [THƯỢNG] · ở trên, lên, trước đó
    ↳ Chiết tự: bộ 一 (nhất – mặt đất) + vạch chỉ hướng lên — chữ chỉ sự
学 [HỌC] · học tập, trường học
    ↳ Chiết tự: giản thể của 學: bộ 冖 (mịch – mái che) + 子 (tử – trẻ) — trẻ được dạy dưới mái nhà</t>
        </is>
      </c>
      <c r="U270" s="22" t="inlineStr">
        <is>
          <t>🏫 Học tập &amp; Trường lớp</t>
        </is>
      </c>
      <c r="V270" s="63" t="inlineStr">
        <is>
          <t>弟弟今年开始上学。</t>
        </is>
      </c>
      <c r="W270" s="64" t="inlineStr">
        <is>
          <t>Dìdi jīnnián kāishǐ shàngxué.
Em trai năm nay bắt đầu đi học.</t>
        </is>
      </c>
    </row>
    <row r="271" ht="34.9" customHeight="1" s="99">
      <c r="A271" s="2" t="n">
        <v>326</v>
      </c>
      <c r="B271" s="60" t="inlineStr">
        <is>
          <t>HSK1+3</t>
        </is>
      </c>
      <c r="C271" s="4" t="inlineStr">
        <is>
          <t>试</t>
        </is>
      </c>
      <c r="D271" s="5" t="inlineStr">
        <is>
          <t>shì</t>
        </is>
      </c>
      <c r="E271" s="6" t="inlineStr">
        <is>
          <t>thử</t>
        </is>
      </c>
      <c r="F271" s="13" t="inlineStr">
        <is>
          <t>诗</t>
        </is>
      </c>
      <c r="G271" s="7" t="n"/>
      <c r="H271" s="8">
        <f>IF(TRIM($G271)="","",IF(EXACT(TRIM($G271),TRIM($C271)),"✅ Đúng","❌ Sai"))</f>
        <v/>
      </c>
      <c r="I271" s="9">
        <f>HYPERLINK("https://translate.google.com/translate_tts?ie=UTF-8&amp;tl=zh-CN&amp;client=tw-ob&amp;q=试","▶")</f>
        <v/>
      </c>
      <c r="J271" s="9">
        <f>HYPERLINK("https://youglish.com/pronounce/试/chinese","🔍")</f>
        <v/>
      </c>
      <c r="K271" s="10" t="n"/>
      <c r="L271" s="11" t="n"/>
      <c r="M271" s="10" t="n"/>
      <c r="N271" s="11" t="n"/>
      <c r="O271" s="10" t="n"/>
      <c r="P271" s="11" t="n"/>
      <c r="Q271" s="10" t="n"/>
      <c r="R271" s="12" t="inlineStr">
        <is>
          <t>2026-06-17</t>
        </is>
      </c>
      <c r="S271" s="17" t="n"/>
      <c r="T271" s="21" t="inlineStr">
        <is>
          <t>试 [THÍ] · thử; thi cử
    ↳ Chiết tự: giản thể của 試: bộ 讠 (ngôn – lời nói) + 式 (thức – khuôn phép) — hỏi thử theo khuôn phép</t>
        </is>
      </c>
      <c r="U271" s="22" t="inlineStr">
        <is>
          <t>🏫 Học tập &amp; Trường lớp</t>
        </is>
      </c>
      <c r="V271" s="63" t="inlineStr">
        <is>
          <t>我想试一试。</t>
        </is>
      </c>
      <c r="W271" s="64" t="inlineStr">
        <is>
          <t>Wǒ xiǎng shì yi shì.
Tôi muốn thử một chút.</t>
        </is>
      </c>
    </row>
    <row r="272" hidden="1" ht="34.9" customHeight="1" s="99">
      <c r="A272" s="2" t="n">
        <v>331</v>
      </c>
      <c r="B272" s="25" t="inlineStr">
        <is>
          <t>HSK1+2</t>
        </is>
      </c>
      <c r="C272" s="4" t="inlineStr">
        <is>
          <t>书</t>
        </is>
      </c>
      <c r="D272" s="5" t="inlineStr">
        <is>
          <t>shū</t>
        </is>
      </c>
      <c r="E272" s="6" t="inlineStr">
        <is>
          <t>sách</t>
        </is>
      </c>
      <c r="F272" s="7" t="n"/>
      <c r="G272" s="7" t="inlineStr">
        <is>
          <t>书</t>
        </is>
      </c>
      <c r="H272" s="8">
        <f>IF(TRIM($G272)="","",IF(EXACT(TRIM($G272),TRIM($C272)),"✅ Đúng","❌ Sai"))</f>
        <v/>
      </c>
      <c r="I272" s="9">
        <f>HYPERLINK("https://translate.google.com/translate_tts?ie=UTF-8&amp;tl=zh-CN&amp;client=tw-ob&amp;q=书","▶")</f>
        <v/>
      </c>
      <c r="J272" s="9">
        <f>HYPERLINK("https://youglish.com/pronounce/书/chinese","🔍")</f>
        <v/>
      </c>
      <c r="K272" s="10" t="n"/>
      <c r="L272" s="11" t="n"/>
      <c r="M272" s="10" t="n"/>
      <c r="N272" s="11" t="n"/>
      <c r="O272" s="10" t="n"/>
      <c r="P272" s="11" t="n"/>
      <c r="Q272" s="10" t="n"/>
      <c r="R272" s="12" t="inlineStr">
        <is>
          <t>2026-06-17</t>
        </is>
      </c>
      <c r="S272" s="18" t="n"/>
      <c r="T272" s="21" t="inlineStr">
        <is>
          <t>书 [THƯ] · sách, viết, thư từ
    ↳ Chiết tự: giản thể của 書: bộ 聿 (duật – cây bút) + 曰 (viết – nói) — cầm bút chép lời thành sách</t>
        </is>
      </c>
      <c r="U272" s="22" t="inlineStr">
        <is>
          <t>🏫 Học tập &amp; Trường lớp</t>
        </is>
      </c>
      <c r="V272" s="63" t="inlineStr">
        <is>
          <t>这本书很有意思。</t>
        </is>
      </c>
      <c r="W272" s="64" t="inlineStr">
        <is>
          <t>Zhè běn shū hěn yǒu yìsi.
Quyển sách này rất thú vị.</t>
        </is>
      </c>
    </row>
    <row r="273" ht="69.75" customHeight="1" s="99">
      <c r="A273" s="2" t="n">
        <v>332</v>
      </c>
      <c r="B273" s="3" t="inlineStr">
        <is>
          <t>HSK1</t>
        </is>
      </c>
      <c r="C273" s="4" t="inlineStr">
        <is>
          <t>书包</t>
        </is>
      </c>
      <c r="D273" s="5" t="inlineStr">
        <is>
          <t>shūbāo</t>
        </is>
      </c>
      <c r="E273" s="6" t="inlineStr">
        <is>
          <t>cặp sách</t>
        </is>
      </c>
      <c r="F273" s="7" t="n"/>
      <c r="G273" s="7" t="n"/>
      <c r="H273" s="8">
        <f>IF(TRIM($G273)="","",IF(EXACT(TRIM($G273),TRIM($C273)),"✅ Đúng","❌ Sai"))</f>
        <v/>
      </c>
      <c r="I273" s="9">
        <f>HYPERLINK("https://translate.google.com/translate_tts?ie=UTF-8&amp;tl=zh-CN&amp;client=tw-ob&amp;q=书包","▶")</f>
        <v/>
      </c>
      <c r="J273" s="9">
        <f>HYPERLINK("https://youglish.com/pronounce/书包/chinese","🔍")</f>
        <v/>
      </c>
      <c r="K273" s="10" t="n"/>
      <c r="L273" s="11" t="n"/>
      <c r="M273" s="10" t="n"/>
      <c r="N273" s="11" t="n"/>
      <c r="O273" s="10" t="n"/>
      <c r="P273" s="11" t="n"/>
      <c r="Q273" s="10" t="n"/>
      <c r="R273" s="12" t="inlineStr">
        <is>
          <t>2026-06-17</t>
        </is>
      </c>
      <c r="S273" s="17" t="n"/>
      <c r="T273" s="21" t="inlineStr">
        <is>
          <t>书 [THƯ] · sách, viết, thư từ
    ↳ Chiết tự: giản thể của 書: bộ 聿 (duật – cây bút) + 曰 (viết – nói) — cầm bút chép lời thành sách
包 [BAO] · bao bọc, gói; cái túi
    ↳ Chiết tự: bộ 勹 (bao – ôm bọc) + 巳 (tị – thai nhi) — bụng mẹ bọc lấy thai</t>
        </is>
      </c>
      <c r="U273" s="22" t="inlineStr">
        <is>
          <t>🏫 Học tập &amp; Trường lớp</t>
        </is>
      </c>
      <c r="V273" s="63" t="inlineStr">
        <is>
          <t>我的书包很重。</t>
        </is>
      </c>
      <c r="W273" s="64" t="inlineStr">
        <is>
          <t>Wǒ de shūbāo hěn zhòng.
Cặp sách của tôi rất nặng.</t>
        </is>
      </c>
    </row>
    <row r="274" ht="69.75" customHeight="1" s="99">
      <c r="A274" s="2" t="n">
        <v>333</v>
      </c>
      <c r="B274" s="3" t="inlineStr">
        <is>
          <t>HSK1</t>
        </is>
      </c>
      <c r="C274" s="4" t="inlineStr">
        <is>
          <t>书店</t>
        </is>
      </c>
      <c r="D274" s="5" t="inlineStr">
        <is>
          <t>shūdiàn</t>
        </is>
      </c>
      <c r="E274" s="6" t="inlineStr">
        <is>
          <t>tiệm sách</t>
        </is>
      </c>
      <c r="F274" s="7" t="n"/>
      <c r="G274" s="7" t="n"/>
      <c r="H274" s="8">
        <f>IF(TRIM($G274)="","",IF(EXACT(TRIM($G274),TRIM($C274)),"✅ Đúng","❌ Sai"))</f>
        <v/>
      </c>
      <c r="I274" s="9">
        <f>HYPERLINK("https://translate.google.com/translate_tts?ie=UTF-8&amp;tl=zh-CN&amp;client=tw-ob&amp;q=书店","▶")</f>
        <v/>
      </c>
      <c r="J274" s="9">
        <f>HYPERLINK("https://youglish.com/pronounce/书店/chinese","🔍")</f>
        <v/>
      </c>
      <c r="K274" s="10" t="n"/>
      <c r="L274" s="11" t="n"/>
      <c r="M274" s="10" t="n"/>
      <c r="N274" s="11" t="n"/>
      <c r="O274" s="10" t="n"/>
      <c r="P274" s="11" t="n"/>
      <c r="Q274" s="10" t="n"/>
      <c r="R274" s="12" t="inlineStr">
        <is>
          <t>2026-06-17</t>
        </is>
      </c>
      <c r="S274" s="18" t="n"/>
      <c r="T274" s="21" t="inlineStr">
        <is>
          <t>书 [THƯ] · sách, viết, thư từ
    ↳ Chiết tự: giản thể của 書: bộ 聿 (duật – cây bút) + 曰 (viết – nói) — cầm bút chép lời thành sách
店 [ĐIẾM] · cửa hàng, quán
    ↳ Chiết tự: bộ 广 (nghiễm – mái nhà) + 占 (chiếm – âm đọc) — mái nhà chiếm chỗ bày bán</t>
        </is>
      </c>
      <c r="U274" s="22" t="inlineStr">
        <is>
          <t>🏫 Học tập &amp; Trường lớp</t>
        </is>
      </c>
      <c r="V274" s="63" t="inlineStr">
        <is>
          <t>书店在学校旁边。</t>
        </is>
      </c>
      <c r="W274" s="64" t="inlineStr">
        <is>
          <t>Shūdiàn zài xuéxiào pángbiān.
Hiệu sách ở cạnh trường.</t>
        </is>
      </c>
    </row>
    <row r="275" ht="69.75" customHeight="1" s="99">
      <c r="A275" s="2" t="n">
        <v>354</v>
      </c>
      <c r="B275" s="3" t="inlineStr">
        <is>
          <t>HSK1</t>
        </is>
      </c>
      <c r="C275" s="4" t="inlineStr">
        <is>
          <t>听写</t>
        </is>
      </c>
      <c r="D275" s="5" t="inlineStr">
        <is>
          <t>tīngxiě</t>
        </is>
      </c>
      <c r="E275" s="6" t="inlineStr">
        <is>
          <t>nghe viết</t>
        </is>
      </c>
      <c r="F275" s="7" t="n"/>
      <c r="G275" s="7" t="n"/>
      <c r="H275" s="8">
        <f>IF(TRIM($G275)="","",IF(EXACT(TRIM($G275),TRIM($C275)),"✅ Đúng","❌ Sai"))</f>
        <v/>
      </c>
      <c r="I275" s="9">
        <f>HYPERLINK("https://translate.google.com/translate_tts?ie=UTF-8&amp;tl=zh-CN&amp;client=tw-ob&amp;q=听写","▶")</f>
        <v/>
      </c>
      <c r="J275" s="9">
        <f>HYPERLINK("https://youglish.com/pronounce/听写/chinese","🔍")</f>
        <v/>
      </c>
      <c r="K275" s="10" t="n"/>
      <c r="L275" s="11" t="n"/>
      <c r="M275" s="10" t="n"/>
      <c r="N275" s="11" t="n"/>
      <c r="O275" s="10" t="n"/>
      <c r="P275" s="11" t="n"/>
      <c r="Q275" s="10" t="n"/>
      <c r="R275" s="12" t="inlineStr">
        <is>
          <t>2026-06-17</t>
        </is>
      </c>
      <c r="S275" s="17" t="n"/>
      <c r="T275" s="21" t="inlineStr">
        <is>
          <t>听 [THÍNH] · nghe, nghe theo
    ↳ Chiết tự: giản thể của 聽: bộ 口 (khẩu – miệng) + 斤 (cân – âm đọc) — bản phồn thể là 耳 (nhĩ – tai) nghe lời
写 [TẢ] · viết, sao chép, miêu tả
    ↳ Chiết tự: giản thể của 寫: bộ 冖 (mịch – mái che) + 与 (dữ) — ngồi dưới mái nhà chép lại</t>
        </is>
      </c>
      <c r="U275" s="22" t="inlineStr">
        <is>
          <t>🏫 Học tập &amp; Trường lớp</t>
        </is>
      </c>
      <c r="V275" s="63" t="inlineStr">
        <is>
          <t>今天我们听写生词。</t>
        </is>
      </c>
      <c r="W275" s="64" t="inlineStr">
        <is>
          <t>Jīntiān wǒmen tīngxiě shēngcí.
Hôm nay chúng tôi nghe viết từ mới.</t>
        </is>
      </c>
    </row>
    <row r="276" hidden="1" ht="69.75" customHeight="1" s="99">
      <c r="A276" s="2" t="n">
        <v>355</v>
      </c>
      <c r="B276" s="25" t="inlineStr">
        <is>
          <t>HSK1+2</t>
        </is>
      </c>
      <c r="C276" s="4" t="inlineStr">
        <is>
          <t>同学</t>
        </is>
      </c>
      <c r="D276" s="5" t="inlineStr">
        <is>
          <t>tóngxué</t>
        </is>
      </c>
      <c r="E276" s="6" t="inlineStr">
        <is>
          <t>bạn học</t>
        </is>
      </c>
      <c r="F276" s="13" t="inlineStr">
        <is>
          <t>同学</t>
        </is>
      </c>
      <c r="G276" s="7" t="inlineStr">
        <is>
          <t>同学</t>
        </is>
      </c>
      <c r="H276" s="8">
        <f>IF(TRIM($G276)="","",IF(EXACT(TRIM($G276),TRIM($C276)),"✅ Đúng","❌ Sai"))</f>
        <v/>
      </c>
      <c r="I276" s="9">
        <f>HYPERLINK("https://translate.google.com/translate_tts?ie=UTF-8&amp;tl=zh-CN&amp;client=tw-ob&amp;q=同学","▶")</f>
        <v/>
      </c>
      <c r="J276" s="9">
        <f>HYPERLINK("https://youglish.com/pronounce/同学/chinese","🔍")</f>
        <v/>
      </c>
      <c r="K276" s="10" t="n"/>
      <c r="L276" s="11" t="n"/>
      <c r="M276" s="10" t="n"/>
      <c r="N276" s="11" t="n"/>
      <c r="O276" s="10" t="n"/>
      <c r="P276" s="11" t="n"/>
      <c r="Q276" s="10" t="n"/>
      <c r="R276" s="12" t="inlineStr">
        <is>
          <t>2026-06-17</t>
        </is>
      </c>
      <c r="S276" s="18" t="n"/>
      <c r="T276" s="21" t="inlineStr">
        <is>
          <t>同 [ĐỒNG] · giống nhau, cùng nhau
    ↳ Chiết tự: bộ 冂 (quynh – bao) + 一 (nhất) + 口 (khẩu – miệng) — nhiều miệng nói cùng một lời
学 [HỌC] · học tập, trường học
    ↳ Chiết tự: giản thể của 學: bộ 冖 (mịch – mái che) + 子 (tử – trẻ) — trẻ được dạy dưới mái nhà</t>
        </is>
      </c>
      <c r="U276" s="22" t="inlineStr">
        <is>
          <t>🏫 Học tập &amp; Trường lớp</t>
        </is>
      </c>
      <c r="V276" s="63" t="inlineStr">
        <is>
          <t>他是我的同学。</t>
        </is>
      </c>
      <c r="W276" s="64" t="inlineStr">
        <is>
          <t>Tā shì wǒ de tóngxué.
Cậu ấy là bạn học của tôi.</t>
        </is>
      </c>
    </row>
    <row r="277" ht="104.65" customHeight="1" s="99">
      <c r="A277" s="2" t="n">
        <v>356</v>
      </c>
      <c r="B277" s="60" t="inlineStr">
        <is>
          <t>HSK1+3</t>
        </is>
      </c>
      <c r="C277" s="4" t="inlineStr">
        <is>
          <t>图书馆</t>
        </is>
      </c>
      <c r="D277" s="5" t="inlineStr">
        <is>
          <t>túshūguǎn</t>
        </is>
      </c>
      <c r="E277" s="6" t="inlineStr">
        <is>
          <t>thư viện</t>
        </is>
      </c>
      <c r="F277" s="7" t="n"/>
      <c r="G277" s="7" t="n"/>
      <c r="H277" s="8">
        <f>IF(TRIM($G277)="","",IF(EXACT(TRIM($G277),TRIM($C277)),"✅ Đúng","❌ Sai"))</f>
        <v/>
      </c>
      <c r="I277" s="9">
        <f>HYPERLINK("https://translate.google.com/translate_tts?ie=UTF-8&amp;tl=zh-CN&amp;client=tw-ob&amp;q=图书馆","▶")</f>
        <v/>
      </c>
      <c r="J277" s="9">
        <f>HYPERLINK("https://youglish.com/pronounce/图书馆/chinese","🔍")</f>
        <v/>
      </c>
      <c r="K277" s="10" t="n"/>
      <c r="L277" s="11" t="n"/>
      <c r="M277" s="10" t="n"/>
      <c r="N277" s="11" t="n"/>
      <c r="O277" s="10" t="n"/>
      <c r="P277" s="11" t="n"/>
      <c r="Q277" s="10" t="n"/>
      <c r="R277" s="12" t="inlineStr">
        <is>
          <t>2026-06-17</t>
        </is>
      </c>
      <c r="S277" s="17" t="n"/>
      <c r="T277" s="21" t="inlineStr">
        <is>
          <t>图 [ĐỒ] · bản đồ, tranh vẽ; mưu tính
    ↳ Chiết tự: giản thể của 圖: bộ 囗 (vi – khung) + 冬 (đông) — bản vẽ đóng khung
书 [THƯ] · sách, viết, thư từ
    ↳ Chiết tự: giản thể của 書: bộ 聿 (duật – cây bút) + 曰 (viết – nói) — cầm bút chép lời thành sách
馆 [QUÁN] · quán, nhà công cộng (khách sạn, thư viện)
    ↳ Chiết tự: giản thể của 館: bộ 饣 (thực – ăn) + 官 (quan – âm đọc) — nhà công phục vụ ăn ở</t>
        </is>
      </c>
      <c r="U277" s="22" t="inlineStr">
        <is>
          <t>🏫 Học tập &amp; Trường lớp</t>
        </is>
      </c>
      <c r="V277" s="63" t="inlineStr">
        <is>
          <t>我在图书馆看书。</t>
        </is>
      </c>
      <c r="W277" s="64" t="inlineStr">
        <is>
          <t>Wǒ zài túshūguǎn kànshū.
Tôi đọc sách ở thư viện.</t>
        </is>
      </c>
    </row>
    <row r="278" hidden="1" ht="69.75" customHeight="1" s="99">
      <c r="A278" s="2" t="n">
        <v>360</v>
      </c>
      <c r="B278" s="3" t="inlineStr">
        <is>
          <t>HSK1</t>
        </is>
      </c>
      <c r="C278" s="4" t="inlineStr">
        <is>
          <t>外语</t>
        </is>
      </c>
      <c r="D278" s="5" t="inlineStr">
        <is>
          <t>wàiyǔ</t>
        </is>
      </c>
      <c r="E278" s="6" t="inlineStr">
        <is>
          <t>ngoại ngữ</t>
        </is>
      </c>
      <c r="F278" s="13" t="inlineStr">
        <is>
          <t>外语</t>
        </is>
      </c>
      <c r="G278" s="7" t="inlineStr">
        <is>
          <t>外语</t>
        </is>
      </c>
      <c r="H278" s="8">
        <f>IF(TRIM($G278)="","",IF(EXACT(TRIM($G278),TRIM($C278)),"✅ Đúng","❌ Sai"))</f>
        <v/>
      </c>
      <c r="I278" s="9">
        <f>HYPERLINK("https://translate.google.com/translate_tts?ie=UTF-8&amp;tl=zh-CN&amp;client=tw-ob&amp;q=外语","▶")</f>
        <v/>
      </c>
      <c r="J278" s="9">
        <f>HYPERLINK("https://youglish.com/pronounce/外语/chinese","🔍")</f>
        <v/>
      </c>
      <c r="K278" s="10" t="n"/>
      <c r="L278" s="11" t="n"/>
      <c r="M278" s="10" t="n"/>
      <c r="N278" s="11" t="n"/>
      <c r="O278" s="10" t="n"/>
      <c r="P278" s="11" t="n"/>
      <c r="Q278" s="10" t="n"/>
      <c r="R278" s="12" t="inlineStr">
        <is>
          <t>2026-06-17</t>
        </is>
      </c>
      <c r="S278" s="17" t="n"/>
      <c r="T278" s="21" t="inlineStr">
        <is>
          <t>外 [NGOẠI] · bên ngoài, nước ngoài
    ↳ Chiết tự: bộ 夕 (tịch – đêm) + 卜 (bốc – bói) — bói vào ban đêm là trái lệ, ở ngoài lệ thường
语 [NGỮ] · ngôn ngữ, tiếng nói
    ↳ Chiết tự: giản thể của 語: bộ 讠 (ngôn – lời nói) + 吾 (ngô – ta) — tiếng nói của ta</t>
        </is>
      </c>
      <c r="U278" s="22" t="inlineStr">
        <is>
          <t>🏫 Học tập &amp; Trường lớp</t>
        </is>
      </c>
      <c r="V278" s="63" t="inlineStr">
        <is>
          <t>学外语要努力。</t>
        </is>
      </c>
      <c r="W278" s="64" t="inlineStr">
        <is>
          <t>Xué wàiyǔ yào nǔlì.
Học ngoại ngữ phải nỗ lực.</t>
        </is>
      </c>
    </row>
    <row r="279" hidden="1" ht="34.9" customHeight="1" s="99">
      <c r="A279" s="2" t="n">
        <v>369</v>
      </c>
      <c r="B279" s="25" t="inlineStr">
        <is>
          <t>HSK1+2</t>
        </is>
      </c>
      <c r="C279" s="4" t="inlineStr">
        <is>
          <t>问</t>
        </is>
      </c>
      <c r="D279" s="5" t="inlineStr">
        <is>
          <t>wèn</t>
        </is>
      </c>
      <c r="E279" s="6" t="inlineStr">
        <is>
          <t>hỏi</t>
        </is>
      </c>
      <c r="F279" s="7" t="n"/>
      <c r="G279" s="7" t="inlineStr">
        <is>
          <t>问</t>
        </is>
      </c>
      <c r="H279" s="8">
        <f>IF(TRIM($G279)="","",IF(EXACT(TRIM($G279),TRIM($C279)),"✅ Đúng","❌ Sai"))</f>
        <v/>
      </c>
      <c r="I279" s="9">
        <f>HYPERLINK("https://translate.google.com/translate_tts?ie=UTF-8&amp;tl=zh-CN&amp;client=tw-ob&amp;q=问","▶")</f>
        <v/>
      </c>
      <c r="J279" s="9">
        <f>HYPERLINK("https://youglish.com/pronounce/问/chinese","🔍")</f>
        <v/>
      </c>
      <c r="K279" s="10" t="n"/>
      <c r="L279" s="11" t="n"/>
      <c r="M279" s="10" t="n"/>
      <c r="N279" s="11" t="n"/>
      <c r="O279" s="10" t="n"/>
      <c r="P279" s="11" t="n"/>
      <c r="Q279" s="10" t="n"/>
      <c r="R279" s="12" t="inlineStr">
        <is>
          <t>2026-06-17</t>
        </is>
      </c>
      <c r="S279" s="18" t="n"/>
      <c r="T279" s="21" t="inlineStr">
        <is>
          <t>问 [VẤN] · hỏi, thăm hỏi
    ↳ Chiết tự: giản thể của 問: bộ 门 (môn – cửa) + 口 (khẩu – miệng) — ghé miệng vào cửa mà hỏi</t>
        </is>
      </c>
      <c r="U279" s="22" t="inlineStr">
        <is>
          <t>🏫 Học tập &amp; Trường lớp</t>
        </is>
      </c>
      <c r="V279" s="63" t="inlineStr">
        <is>
          <t>我可以问你吗？</t>
        </is>
      </c>
      <c r="W279" s="64" t="inlineStr">
        <is>
          <t>Wǒ kěyǐ wèn nǐ ma?
Tôi hỏi bạn được không?</t>
        </is>
      </c>
    </row>
    <row r="280" hidden="1" ht="69.75" customHeight="1" s="99">
      <c r="A280" s="2" t="n">
        <v>384</v>
      </c>
      <c r="B280" s="3" t="inlineStr">
        <is>
          <t>HSK1</t>
        </is>
      </c>
      <c r="C280" s="4" t="inlineStr">
        <is>
          <t>下课</t>
        </is>
      </c>
      <c r="D280" s="5" t="inlineStr">
        <is>
          <t>xiàkè</t>
        </is>
      </c>
      <c r="E280" s="6" t="inlineStr">
        <is>
          <t>tan học</t>
        </is>
      </c>
      <c r="F280" s="7" t="n"/>
      <c r="G280" s="7" t="inlineStr">
        <is>
          <t>下课</t>
        </is>
      </c>
      <c r="H280" s="8">
        <f>IF(TRIM($G280)="","",IF(EXACT(TRIM($G280),TRIM($C280)),"✅ Đúng","❌ Sai"))</f>
        <v/>
      </c>
      <c r="I280" s="9">
        <f>HYPERLINK("https://translate.google.com/translate_tts?ie=UTF-8&amp;tl=zh-CN&amp;client=tw-ob&amp;q=下课","▶")</f>
        <v/>
      </c>
      <c r="J280" s="9">
        <f>HYPERLINK("https://youglish.com/pronounce/下课/chinese","🔍")</f>
        <v/>
      </c>
      <c r="K280" s="10" t="n"/>
      <c r="L280" s="11" t="n"/>
      <c r="M280" s="10" t="n"/>
      <c r="N280" s="11" t="n"/>
      <c r="O280" s="10" t="n"/>
      <c r="P280" s="11" t="n"/>
      <c r="Q280" s="10" t="n"/>
      <c r="R280" s="12" t="inlineStr">
        <is>
          <t>2026-06-17</t>
        </is>
      </c>
      <c r="S280" s="17" t="n"/>
      <c r="T280" s="21" t="inlineStr">
        <is>
          <t>下 [HẠ] · ở dưới, xuống, kém hơn
    ↳ Chiết tự: bộ 一 (nhất – mặt đất) + vạch chỉ hướng xuống — chữ chỉ sự
课 [KHÓA] · bài học, tiết học, môn
    ↳ Chiết tự: giản thể của 課: bộ 讠 (ngôn – lời nói) + 果 (quả – kết quả) — lời giảng cho ra kết quả</t>
        </is>
      </c>
      <c r="U280" s="22" t="inlineStr">
        <is>
          <t>🏫 Học tập &amp; Trường lớp</t>
        </is>
      </c>
      <c r="V280" s="63" t="inlineStr">
        <is>
          <t>下课以后我去吃饭。</t>
        </is>
      </c>
      <c r="W280" s="64" t="inlineStr">
        <is>
          <t>Xiàkè yǐhòu wǒ qù chīfàn.
Sau khi tan học tôi đi ăn.</t>
        </is>
      </c>
    </row>
    <row r="281" hidden="1" ht="58.15" customHeight="1" s="99">
      <c r="A281" s="2" t="n">
        <v>396</v>
      </c>
      <c r="B281" s="3" t="inlineStr">
        <is>
          <t>HSK1</t>
        </is>
      </c>
      <c r="C281" s="4" t="inlineStr">
        <is>
          <t>小学</t>
        </is>
      </c>
      <c r="D281" s="5" t="inlineStr">
        <is>
          <t>xiǎoxué</t>
        </is>
      </c>
      <c r="E281" s="6" t="inlineStr">
        <is>
          <t>tiểu học</t>
        </is>
      </c>
      <c r="F281" s="7" t="inlineStr">
        <is>
          <t>小学</t>
        </is>
      </c>
      <c r="G281" s="7" t="inlineStr">
        <is>
          <t>小学</t>
        </is>
      </c>
      <c r="H281" s="8">
        <f>IF(TRIM($G281)="","",IF(EXACT(TRIM($G281),TRIM($C281)),"✅ Đúng","❌ Sai"))</f>
        <v/>
      </c>
      <c r="I281" s="9">
        <f>HYPERLINK("https://translate.google.com/translate_tts?ie=UTF-8&amp;tl=zh-CN&amp;client=tw-ob&amp;q=小学","▶")</f>
        <v/>
      </c>
      <c r="J281" s="9">
        <f>HYPERLINK("https://youglish.com/pronounce/小学/chinese","🔍")</f>
        <v/>
      </c>
      <c r="K281" s="10" t="n"/>
      <c r="L281" s="11" t="n"/>
      <c r="M281" s="10" t="n"/>
      <c r="N281" s="11" t="n"/>
      <c r="O281" s="10" t="n"/>
      <c r="P281" s="11" t="n"/>
      <c r="Q281" s="10" t="n"/>
      <c r="R281" s="12" t="inlineStr">
        <is>
          <t>2026-06-17</t>
        </is>
      </c>
      <c r="S281" s="17" t="n"/>
      <c r="T281" s="21" t="inlineStr">
        <is>
          <t>小 [TIỂU] · nhỏ bé
    ↳ Chiết tự: bộ 小 (tiểu) — ba nét tách vụn ra, ý nhỏ
学 [HỌC] · học tập, trường học
    ↳ Chiết tự: giản thể của 學: bộ 冖 (mịch – mái che) + 子 (tử – trẻ) — trẻ được dạy dưới mái nhà</t>
        </is>
      </c>
      <c r="U281" s="22" t="inlineStr">
        <is>
          <t>🏫 Học tập &amp; Trường lớp</t>
        </is>
      </c>
      <c r="V281" s="63" t="inlineStr">
        <is>
          <t>他在小学教书。</t>
        </is>
      </c>
      <c r="W281" s="64" t="inlineStr">
        <is>
          <t>Tā zài xiǎoxué jiāoshū.
Anh ấy dạy học ở trường tiểu học.</t>
        </is>
      </c>
    </row>
    <row r="282" hidden="1" ht="81.40000000000001" customHeight="1" s="99">
      <c r="A282" s="2" t="n">
        <v>397</v>
      </c>
      <c r="B282" s="3" t="inlineStr">
        <is>
          <t>HSK1</t>
        </is>
      </c>
      <c r="C282" s="4" t="inlineStr">
        <is>
          <t>小学生</t>
        </is>
      </c>
      <c r="D282" s="5" t="inlineStr">
        <is>
          <t>xiǎoxuéshēng</t>
        </is>
      </c>
      <c r="E282" s="6" t="inlineStr">
        <is>
          <t>học sinh tiểu học</t>
        </is>
      </c>
      <c r="F282" s="7" t="inlineStr">
        <is>
          <t>小学生</t>
        </is>
      </c>
      <c r="G282" s="7" t="inlineStr">
        <is>
          <t>小学生</t>
        </is>
      </c>
      <c r="H282" s="8">
        <f>IF(TRIM($G282)="","",IF(EXACT(TRIM($G282),TRIM($C282)),"✅ Đúng","❌ Sai"))</f>
        <v/>
      </c>
      <c r="I282" s="9">
        <f>HYPERLINK("https://translate.google.com/translate_tts?ie=UTF-8&amp;tl=zh-CN&amp;client=tw-ob&amp;q=小学生","▶")</f>
        <v/>
      </c>
      <c r="J282" s="9">
        <f>HYPERLINK("https://youglish.com/pronounce/小学生/chinese","🔍")</f>
        <v/>
      </c>
      <c r="K282" s="10" t="n"/>
      <c r="L282" s="11" t="n"/>
      <c r="M282" s="10" t="n"/>
      <c r="N282" s="11" t="n"/>
      <c r="O282" s="10" t="n"/>
      <c r="P282" s="11" t="n"/>
      <c r="Q282" s="10" t="n"/>
      <c r="R282" s="12" t="inlineStr">
        <is>
          <t>2026-06-17</t>
        </is>
      </c>
      <c r="S282" s="18" t="n"/>
      <c r="T282" s="21" t="inlineStr">
        <is>
          <t>小 [TIỂU] · nhỏ bé
    ↳ Chiết tự: bộ 小 (tiểu) — ba nét tách vụn ra, ý nhỏ
学 [HỌC] · học tập, trường học
    ↳ Chiết tự: giản thể của 學: bộ 冖 (mịch – mái che) + 子 (tử – trẻ) — trẻ được dạy dưới mái nhà
生 [SINH] · sinh ra, sống; học trò; sống (chưa chín)
    ↳ Chiết tự: bộ 生 (sinh) — hình mầm cây nhú lên khỏi mặt đất</t>
        </is>
      </c>
      <c r="U282" s="22" t="inlineStr">
        <is>
          <t>🏫 Học tập &amp; Trường lớp</t>
        </is>
      </c>
      <c r="V282" s="63" t="inlineStr">
        <is>
          <t>我妹妹是小学生。</t>
        </is>
      </c>
      <c r="W282" s="64" t="inlineStr">
        <is>
          <t>Wǒ mèimei shì xiǎoxuéshēng.
Em gái tôi là học sinh tiểu học.</t>
        </is>
      </c>
    </row>
    <row r="283" hidden="1" ht="34.9" customHeight="1" s="99">
      <c r="A283" s="2" t="n">
        <v>399</v>
      </c>
      <c r="B283" s="25" t="inlineStr">
        <is>
          <t>HSK1+2</t>
        </is>
      </c>
      <c r="C283" s="4" t="inlineStr">
        <is>
          <t>写</t>
        </is>
      </c>
      <c r="D283" s="5" t="inlineStr">
        <is>
          <t>xiě</t>
        </is>
      </c>
      <c r="E283" s="6" t="inlineStr">
        <is>
          <t>viết</t>
        </is>
      </c>
      <c r="F283" s="7" t="n"/>
      <c r="G283" s="7" t="inlineStr">
        <is>
          <t>写</t>
        </is>
      </c>
      <c r="H283" s="8">
        <f>IF(TRIM($G283)="","",IF(EXACT(TRIM($G283),TRIM($C283)),"✅ Đúng","❌ Sai"))</f>
        <v/>
      </c>
      <c r="I283" s="9">
        <f>HYPERLINK("https://translate.google.com/translate_tts?ie=UTF-8&amp;tl=zh-CN&amp;client=tw-ob&amp;q=写","▶")</f>
        <v/>
      </c>
      <c r="J283" s="9">
        <f>HYPERLINK("https://youglish.com/pronounce/写/chinese","🔍")</f>
        <v/>
      </c>
      <c r="K283" s="10" t="n"/>
      <c r="L283" s="11" t="n"/>
      <c r="M283" s="10" t="n"/>
      <c r="N283" s="11" t="n"/>
      <c r="O283" s="10" t="n"/>
      <c r="P283" s="11" t="n"/>
      <c r="Q283" s="10" t="n"/>
      <c r="R283" s="12" t="inlineStr">
        <is>
          <t>2026-06-17</t>
        </is>
      </c>
      <c r="S283" s="18" t="n"/>
      <c r="T283" s="21" t="inlineStr">
        <is>
          <t>写 [TẢ] · viết, sao chép, miêu tả
    ↳ Chiết tự: giản thể của 寫: bộ 冖 (mịch – mái che) + 与 (dữ) — ngồi dưới mái nhà chép lại</t>
        </is>
      </c>
      <c r="U283" s="22" t="inlineStr">
        <is>
          <t>🏫 Học tập &amp; Trường lớp</t>
        </is>
      </c>
      <c r="V283" s="63" t="inlineStr">
        <is>
          <t>请写你的名字。</t>
        </is>
      </c>
      <c r="W283" s="64" t="inlineStr">
        <is>
          <t>Qǐng xiě nǐ de míngzi.
Xin viết tên của bạn.</t>
        </is>
      </c>
    </row>
    <row r="284" hidden="1" ht="34.9" customHeight="1" s="99">
      <c r="A284" s="2" t="n">
        <v>408</v>
      </c>
      <c r="B284" s="3" t="inlineStr">
        <is>
          <t>HSK1</t>
        </is>
      </c>
      <c r="C284" s="4" t="inlineStr">
        <is>
          <t>学</t>
        </is>
      </c>
      <c r="D284" s="5" t="inlineStr">
        <is>
          <t>xué</t>
        </is>
      </c>
      <c r="E284" s="6" t="inlineStr">
        <is>
          <t>học</t>
        </is>
      </c>
      <c r="F284" s="7" t="inlineStr">
        <is>
          <t>学</t>
        </is>
      </c>
      <c r="G284" s="7" t="inlineStr">
        <is>
          <t>学</t>
        </is>
      </c>
      <c r="H284" s="8">
        <f>IF(TRIM($G284)="","",IF(EXACT(TRIM($G284),TRIM($C284)),"✅ Đúng","❌ Sai"))</f>
        <v/>
      </c>
      <c r="I284" s="9">
        <f>HYPERLINK("https://translate.google.com/translate_tts?ie=UTF-8&amp;tl=zh-CN&amp;client=tw-ob&amp;q=学","▶")</f>
        <v/>
      </c>
      <c r="J284" s="9">
        <f>HYPERLINK("https://youglish.com/pronounce/学/chinese","🔍")</f>
        <v/>
      </c>
      <c r="K284" s="10" t="n"/>
      <c r="L284" s="11" t="n"/>
      <c r="M284" s="10" t="n"/>
      <c r="N284" s="11" t="n"/>
      <c r="O284" s="10" t="n"/>
      <c r="P284" s="11" t="n"/>
      <c r="Q284" s="10" t="n"/>
      <c r="R284" s="12" t="inlineStr">
        <is>
          <t>2026-06-17</t>
        </is>
      </c>
      <c r="S284" s="17" t="n"/>
      <c r="T284" s="21" t="inlineStr">
        <is>
          <t>学 [HỌC] · học tập, trường học
    ↳ Chiết tự: giản thể của 學: bộ 冖 (mịch – mái che) + 子 (tử – trẻ) — trẻ được dạy dưới mái nhà</t>
        </is>
      </c>
      <c r="U284" s="22" t="inlineStr">
        <is>
          <t>🏫 Học tập &amp; Trường lớp</t>
        </is>
      </c>
      <c r="V284" s="63" t="inlineStr">
        <is>
          <t>我想学中文。</t>
        </is>
      </c>
      <c r="W284" s="64" t="inlineStr">
        <is>
          <t>Wǒ xiǎng xué Zhōngwén.
Tôi muốn học tiếng Trung.</t>
        </is>
      </c>
    </row>
    <row r="285" hidden="1" ht="58.15" customHeight="1" s="99">
      <c r="A285" s="2" t="n">
        <v>409</v>
      </c>
      <c r="B285" s="25" t="inlineStr">
        <is>
          <t>HSK1+2</t>
        </is>
      </c>
      <c r="C285" s="4" t="inlineStr">
        <is>
          <t>学生</t>
        </is>
      </c>
      <c r="D285" s="5" t="inlineStr">
        <is>
          <t>xuéshēng</t>
        </is>
      </c>
      <c r="E285" s="6" t="inlineStr">
        <is>
          <t>học sinh, sinh viên</t>
        </is>
      </c>
      <c r="F285" s="7" t="inlineStr">
        <is>
          <t>选胜</t>
        </is>
      </c>
      <c r="G285" s="7" t="inlineStr">
        <is>
          <t>学生</t>
        </is>
      </c>
      <c r="H285" s="8">
        <f>IF(TRIM($G285)="","",IF(EXACT(TRIM($G285),TRIM($C285)),"✅ Đúng","❌ Sai"))</f>
        <v/>
      </c>
      <c r="I285" s="9">
        <f>HYPERLINK("https://translate.google.com/translate_tts?ie=UTF-8&amp;tl=zh-CN&amp;client=tw-ob&amp;q=学生","▶")</f>
        <v/>
      </c>
      <c r="J285" s="9">
        <f>HYPERLINK("https://youglish.com/pronounce/学生/chinese","🔍")</f>
        <v/>
      </c>
      <c r="K285" s="10" t="n"/>
      <c r="L285" s="11" t="n"/>
      <c r="M285" s="10" t="n"/>
      <c r="N285" s="11" t="n"/>
      <c r="O285" s="10" t="n"/>
      <c r="P285" s="11" t="n"/>
      <c r="Q285" s="10" t="n"/>
      <c r="R285" s="12" t="inlineStr">
        <is>
          <t>2026-06-17</t>
        </is>
      </c>
      <c r="S285" s="18" t="n"/>
      <c r="T285" s="21" t="inlineStr">
        <is>
          <t>学 [HỌC] · học tập, trường học
    ↳ Chiết tự: giản thể của 學: bộ 冖 (mịch – mái che) + 子 (tử – trẻ) — trẻ được dạy dưới mái nhà
生 [SINH] · sinh ra, sống; học trò; sống (chưa chín)
    ↳ Chiết tự: bộ 生 (sinh) — hình mầm cây nhú lên khỏi mặt đất</t>
        </is>
      </c>
      <c r="U285" s="22" t="inlineStr">
        <is>
          <t>🏫 Học tập &amp; Trường lớp</t>
        </is>
      </c>
      <c r="V285" s="63" t="inlineStr">
        <is>
          <t>他是我们学校的学生。</t>
        </is>
      </c>
      <c r="W285" s="64" t="inlineStr">
        <is>
          <t>Tā shì wǒmen xuéxiào de xuésheng.
Cậu ấy là học sinh trường chúng tôi.</t>
        </is>
      </c>
    </row>
    <row r="286" hidden="1" ht="69.75" customHeight="1" s="99">
      <c r="A286" s="2" t="n">
        <v>410</v>
      </c>
      <c r="B286" s="25" t="inlineStr">
        <is>
          <t>HSK1+2</t>
        </is>
      </c>
      <c r="C286" s="4" t="inlineStr">
        <is>
          <t>学习</t>
        </is>
      </c>
      <c r="D286" s="5" t="inlineStr">
        <is>
          <t>xuéxí</t>
        </is>
      </c>
      <c r="E286" s="6" t="inlineStr">
        <is>
          <t>học tập</t>
        </is>
      </c>
      <c r="F286" s="7" t="n"/>
      <c r="G286" s="7" t="inlineStr">
        <is>
          <t>学习</t>
        </is>
      </c>
      <c r="H286" s="8">
        <f>IF(TRIM($G286)="","",IF(EXACT(TRIM($G286),TRIM($C286)),"✅ Đúng","❌ Sai"))</f>
        <v/>
      </c>
      <c r="I286" s="9">
        <f>HYPERLINK("https://translate.google.com/translate_tts?ie=UTF-8&amp;tl=zh-CN&amp;client=tw-ob&amp;q=学习","▶")</f>
        <v/>
      </c>
      <c r="J286" s="9">
        <f>HYPERLINK("https://youglish.com/pronounce/学习/chinese","🔍")</f>
        <v/>
      </c>
      <c r="K286" s="10" t="n"/>
      <c r="L286" s="11" t="n"/>
      <c r="M286" s="10" t="n"/>
      <c r="N286" s="11" t="n"/>
      <c r="O286" s="10" t="n"/>
      <c r="P286" s="11" t="n"/>
      <c r="Q286" s="10" t="n"/>
      <c r="R286" s="12" t="inlineStr">
        <is>
          <t>2026-06-17</t>
        </is>
      </c>
      <c r="S286" s="17" t="n"/>
      <c r="T286" s="21" t="inlineStr">
        <is>
          <t>学 [HỌC] · học tập, trường học
    ↳ Chiết tự: giản thể của 學: bộ 冖 (mịch – mái che) + 子 (tử – trẻ) — trẻ được dạy dưới mái nhà
习 [TẬP] · học tập, luyện, thói quen
    ↳ Chiết tự: giản thể của 習: bộ 羽 (vũ – lông cánh) + 白 (bạch) — chim non ngày ngày vỗ cánh tập bay</t>
        </is>
      </c>
      <c r="U286" s="22" t="inlineStr">
        <is>
          <t>🏫 Học tập &amp; Trường lớp</t>
        </is>
      </c>
      <c r="V286" s="63" t="inlineStr">
        <is>
          <t>我每天学习两个小时。</t>
        </is>
      </c>
      <c r="W286" s="64" t="inlineStr">
        <is>
          <t>Wǒ měitiān xuéxí liǎng ge xiǎoshí.
Mỗi ngày tôi học hai tiếng.</t>
        </is>
      </c>
    </row>
    <row r="287" hidden="1" ht="69.75" customHeight="1" s="99">
      <c r="A287" s="2" t="n">
        <v>411</v>
      </c>
      <c r="B287" s="25" t="inlineStr">
        <is>
          <t>HSK1+2</t>
        </is>
      </c>
      <c r="C287" s="4" t="inlineStr">
        <is>
          <t>学校</t>
        </is>
      </c>
      <c r="D287" s="5" t="inlineStr">
        <is>
          <t>xuéxiào</t>
        </is>
      </c>
      <c r="E287" s="6" t="inlineStr">
        <is>
          <t>trường học</t>
        </is>
      </c>
      <c r="F287" s="7" t="inlineStr">
        <is>
          <t>学校</t>
        </is>
      </c>
      <c r="G287" s="7" t="inlineStr">
        <is>
          <t>xuexao</t>
        </is>
      </c>
      <c r="H287" s="8">
        <f>IF(TRIM($G287)="","",IF(EXACT(TRIM($G287),TRIM($C287)),"✅ Đúng","❌ Sai"))</f>
        <v/>
      </c>
      <c r="I287" s="9">
        <f>HYPERLINK("https://translate.google.com/translate_tts?ie=UTF-8&amp;tl=zh-CN&amp;client=tw-ob&amp;q=学校","▶")</f>
        <v/>
      </c>
      <c r="J287" s="9">
        <f>HYPERLINK("https://youglish.com/pronounce/学校/chinese","🔍")</f>
        <v/>
      </c>
      <c r="K287" s="10" t="n"/>
      <c r="L287" s="11" t="n"/>
      <c r="M287" s="10" t="n"/>
      <c r="N287" s="11" t="n"/>
      <c r="O287" s="10" t="n"/>
      <c r="P287" s="11" t="n"/>
      <c r="Q287" s="10" t="n"/>
      <c r="R287" s="12" t="inlineStr">
        <is>
          <t>2026-06-17</t>
        </is>
      </c>
      <c r="S287" s="18" t="n"/>
      <c r="T287" s="21" t="inlineStr">
        <is>
          <t>学 [HỌC] · học tập, trường học
    ↳ Chiết tự: giản thể của 學: bộ 冖 (mịch – mái che) + 子 (tử – trẻ) — trẻ được dạy dưới mái nhà
校 [HIỆU / GIÁO] · trường học; hiệu đính
    ↳ Chiết tự: bộ 木 (mộc – gỗ) + 交 (giao – âm đọc) — nơi rào gỗ tụ tập học trò</t>
        </is>
      </c>
      <c r="U287" s="22" t="inlineStr">
        <is>
          <t>🏫 Học tập &amp; Trường lớp</t>
        </is>
      </c>
      <c r="V287" s="63" t="inlineStr">
        <is>
          <t>我们的学校很大。</t>
        </is>
      </c>
      <c r="W287" s="64" t="inlineStr">
        <is>
          <t>Wǒmen de xuéxiào hěn dà.
Trường chúng tôi rất lớn.</t>
        </is>
      </c>
    </row>
    <row r="288" ht="69.75" customHeight="1" s="99">
      <c r="A288" s="2" t="n">
        <v>412</v>
      </c>
      <c r="B288" s="3" t="inlineStr">
        <is>
          <t>HSK1</t>
        </is>
      </c>
      <c r="C288" s="4" t="inlineStr">
        <is>
          <t>学院</t>
        </is>
      </c>
      <c r="D288" s="5" t="inlineStr">
        <is>
          <t>xuéyuàn</t>
        </is>
      </c>
      <c r="E288" s="6" t="inlineStr">
        <is>
          <t>học viện</t>
        </is>
      </c>
      <c r="F288" s="7" t="n"/>
      <c r="G288" s="7" t="n"/>
      <c r="H288" s="8">
        <f>IF(TRIM($G288)="","",IF(EXACT(TRIM($G288),TRIM($C288)),"✅ Đúng","❌ Sai"))</f>
        <v/>
      </c>
      <c r="I288" s="9">
        <f>HYPERLINK("https://translate.google.com/translate_tts?ie=UTF-8&amp;tl=zh-CN&amp;client=tw-ob&amp;q=学院","▶")</f>
        <v/>
      </c>
      <c r="J288" s="9">
        <f>HYPERLINK("https://youglish.com/pronounce/学院/chinese","🔍")</f>
        <v/>
      </c>
      <c r="K288" s="10" t="n"/>
      <c r="L288" s="11" t="n"/>
      <c r="M288" s="10" t="n"/>
      <c r="N288" s="11" t="n"/>
      <c r="O288" s="10" t="n"/>
      <c r="P288" s="11" t="n"/>
      <c r="Q288" s="10" t="n"/>
      <c r="R288" s="12" t="inlineStr">
        <is>
          <t>2026-06-17</t>
        </is>
      </c>
      <c r="S288" s="17" t="n"/>
      <c r="T288" s="21" t="inlineStr">
        <is>
          <t>学 [HỌC] · học tập, trường học
    ↳ Chiết tự: giản thể của 學: bộ 冖 (mịch – mái che) + 子 (tử – trẻ) — trẻ được dạy dưới mái nhà
院 [VIỆN] · sân, viện, cơ quan
    ↳ Chiết tự: bộ 阝 (phụ – gò đất) + 完 (hoàn – âm đọc) — khu có tường bao trọn</t>
        </is>
      </c>
      <c r="U288" s="22" t="inlineStr">
        <is>
          <t>🏫 Học tập &amp; Trường lớp</t>
        </is>
      </c>
      <c r="V288" s="63" t="inlineStr">
        <is>
          <t>他在外语学院工作。</t>
        </is>
      </c>
      <c r="W288" s="64" t="inlineStr">
        <is>
          <t>Tā zài wàiyǔ xuéyuàn gōngzuò.
Anh ấy làm ở học viện ngoại ngữ.</t>
        </is>
      </c>
    </row>
    <row r="289" hidden="1" ht="69.75" customHeight="1" s="99">
      <c r="A289" s="2" t="n">
        <v>464</v>
      </c>
      <c r="B289" s="25" t="inlineStr">
        <is>
          <t>HSK1+2</t>
        </is>
      </c>
      <c r="C289" s="4" t="inlineStr">
        <is>
          <t>知道</t>
        </is>
      </c>
      <c r="D289" s="5" t="inlineStr">
        <is>
          <t>zhīdào</t>
        </is>
      </c>
      <c r="E289" s="6" t="inlineStr">
        <is>
          <t>biết</t>
        </is>
      </c>
      <c r="F289" s="7" t="n"/>
      <c r="G289" s="7" t="inlineStr">
        <is>
          <t>知道</t>
        </is>
      </c>
      <c r="H289" s="8">
        <f>IF(TRIM($G289)="","",IF(EXACT(TRIM($G289),TRIM($C289)),"✅ Đúng","❌ Sai"))</f>
        <v/>
      </c>
      <c r="I289" s="9">
        <f>HYPERLINK("https://translate.google.com/translate_tts?ie=UTF-8&amp;tl=zh-CN&amp;client=tw-ob&amp;q=知道","▶")</f>
        <v/>
      </c>
      <c r="J289" s="9">
        <f>HYPERLINK("https://youglish.com/pronounce/知道/chinese","🔍")</f>
        <v/>
      </c>
      <c r="K289" s="10" t="n"/>
      <c r="L289" s="11" t="n"/>
      <c r="M289" s="10" t="n"/>
      <c r="N289" s="11" t="n"/>
      <c r="O289" s="10" t="n"/>
      <c r="P289" s="11" t="n"/>
      <c r="Q289" s="10" t="n"/>
      <c r="R289" s="12" t="inlineStr">
        <is>
          <t>2026-06-17</t>
        </is>
      </c>
      <c r="S289" s="17" t="n"/>
      <c r="T289" s="21" t="inlineStr">
        <is>
          <t>知 [TRI] · biết, hiểu biết
    ↳ Chiết tự: bộ 矢 (thỉ – mũi tên) + 口 (khẩu – miệng) — lời nói bật ra nhanh như tên vì đã hiểu
道 [ĐẠO] · con đường; đạo lý; nói
    ↳ Chiết tự: bộ 辶 (sước – bước đi) + 首 (thủ – cái đầu) — lối đi dẫn đường</t>
        </is>
      </c>
      <c r="U289" s="22" t="inlineStr">
        <is>
          <t>🏫 Học tập &amp; Trường lớp</t>
        </is>
      </c>
      <c r="V289" s="63" t="inlineStr">
        <is>
          <t>我不知道他的名字。</t>
        </is>
      </c>
      <c r="W289" s="64" t="inlineStr">
        <is>
          <t>Wǒ bù zhīdào tā de míngzi.
Tôi không biết tên anh ấy.</t>
        </is>
      </c>
    </row>
    <row r="290" hidden="1" ht="69.75" customHeight="1" s="99">
      <c r="A290" s="2" t="n">
        <v>465</v>
      </c>
      <c r="B290" s="3" t="inlineStr">
        <is>
          <t>HSK1</t>
        </is>
      </c>
      <c r="C290" s="4" t="inlineStr">
        <is>
          <t>知识</t>
        </is>
      </c>
      <c r="D290" s="5" t="inlineStr">
        <is>
          <t>zhīshì</t>
        </is>
      </c>
      <c r="E290" s="6" t="inlineStr">
        <is>
          <t>kiến thức</t>
        </is>
      </c>
      <c r="F290" s="7" t="n"/>
      <c r="G290" s="7" t="inlineStr">
        <is>
          <t>知识</t>
        </is>
      </c>
      <c r="H290" s="8">
        <f>IF(TRIM($G290)="","",IF(EXACT(TRIM($G290),TRIM($C290)),"✅ Đúng","❌ Sai"))</f>
        <v/>
      </c>
      <c r="I290" s="9">
        <f>HYPERLINK("https://translate.google.com/translate_tts?ie=UTF-8&amp;tl=zh-CN&amp;client=tw-ob&amp;q=知识","▶")</f>
        <v/>
      </c>
      <c r="J290" s="9">
        <f>HYPERLINK("https://youglish.com/pronounce/知识/chinese","🔍")</f>
        <v/>
      </c>
      <c r="K290" s="10" t="n"/>
      <c r="L290" s="11" t="n"/>
      <c r="M290" s="10" t="n"/>
      <c r="N290" s="11" t="n"/>
      <c r="O290" s="10" t="n"/>
      <c r="P290" s="11" t="n"/>
      <c r="Q290" s="10" t="n"/>
      <c r="R290" s="12" t="inlineStr">
        <is>
          <t>2026-06-17</t>
        </is>
      </c>
      <c r="S290" s="18" t="n"/>
      <c r="T290" s="21" t="inlineStr">
        <is>
          <t>知 [TRI] · biết, hiểu biết
    ↳ Chiết tự: bộ 矢 (thỉ – mũi tên) + 口 (khẩu – miệng) — lời nói bật ra nhanh như tên vì đã hiểu
识 [THỨC] · biết, nhận thức, kiến thức
    ↳ Chiết tự: giản thể của 識: bộ 讠 (ngôn – lời nói) + 只 (chích – âm đọc) — nhờ lời mà biết</t>
        </is>
      </c>
      <c r="U290" s="22" t="inlineStr">
        <is>
          <t>🏫 Học tập &amp; Trường lớp</t>
        </is>
      </c>
      <c r="V290" s="63" t="inlineStr">
        <is>
          <t>书里有很多知识。</t>
        </is>
      </c>
      <c r="W290" s="64" t="inlineStr">
        <is>
          <t>Shū li yǒu hěn duō zhīshi.
Trong sách có rất nhiều tri thức.</t>
        </is>
      </c>
    </row>
    <row r="291" hidden="1" ht="58.15" customHeight="1" s="99">
      <c r="A291" s="2" t="n">
        <v>469</v>
      </c>
      <c r="B291" s="60" t="inlineStr">
        <is>
          <t>HSK1+3</t>
        </is>
      </c>
      <c r="C291" s="4" t="inlineStr">
        <is>
          <t>中文</t>
        </is>
      </c>
      <c r="D291" s="5" t="inlineStr">
        <is>
          <t>Zhōngwén</t>
        </is>
      </c>
      <c r="E291" s="6" t="inlineStr">
        <is>
          <t>tiếng Trung (văn tự)</t>
        </is>
      </c>
      <c r="F291" s="7" t="inlineStr">
        <is>
          <t>中文</t>
        </is>
      </c>
      <c r="G291" s="7" t="inlineStr">
        <is>
          <t>中文</t>
        </is>
      </c>
      <c r="H291" s="8">
        <f>IF(TRIM($G291)="","",IF(EXACT(TRIM($G291),TRIM($C291)),"✅ Đúng","❌ Sai"))</f>
        <v/>
      </c>
      <c r="I291" s="9">
        <f>HYPERLINK("https://translate.google.com/translate_tts?ie=UTF-8&amp;tl=zh-CN&amp;client=tw-ob&amp;q=中文","▶")</f>
        <v/>
      </c>
      <c r="J291" s="9">
        <f>HYPERLINK("https://youglish.com/pronounce/中文/chinese","🔍")</f>
        <v/>
      </c>
      <c r="K291" s="10" t="n"/>
      <c r="L291" s="11" t="n"/>
      <c r="M291" s="10" t="n"/>
      <c r="N291" s="11" t="n"/>
      <c r="O291" s="10" t="n"/>
      <c r="P291" s="11" t="n"/>
      <c r="Q291" s="10" t="n"/>
      <c r="R291" s="12" t="inlineStr">
        <is>
          <t>2026-06-17</t>
        </is>
      </c>
      <c r="S291" s="18" t="n"/>
      <c r="T291" s="21" t="inlineStr">
        <is>
          <t>中 [TRUNG] · ở giữa; Trung Quốc
    ↳ Chiết tự: bộ 丨 (cổn – nét sổ) xuyên chính giữa 口 (khẩu – khung vuông) — chữ chỉ sự
文 [VĂN] · chữ viết, văn chương, văn hóa
    ↳ Chiết tự: bộ 文 (văn) — hình hoa văn xăm trên ngực người</t>
        </is>
      </c>
      <c r="U291" s="22" t="inlineStr">
        <is>
          <t>🏫 Học tập &amp; Trường lớp</t>
        </is>
      </c>
      <c r="V291" s="63" t="inlineStr">
        <is>
          <t>我的中文不太好。</t>
        </is>
      </c>
      <c r="W291" s="64" t="inlineStr">
        <is>
          <t>Wǒ de Zhōngwén bú tài hǎo.
Tiếng Trung của tôi không tốt lắm.</t>
        </is>
      </c>
    </row>
    <row r="292" ht="69.75" customHeight="1" s="99">
      <c r="A292" s="2" t="n">
        <v>471</v>
      </c>
      <c r="B292" s="3" t="inlineStr">
        <is>
          <t>HSK1</t>
        </is>
      </c>
      <c r="C292" s="4" t="inlineStr">
        <is>
          <t>中学</t>
        </is>
      </c>
      <c r="D292" s="5" t="inlineStr">
        <is>
          <t>zhōngxué</t>
        </is>
      </c>
      <c r="E292" s="6" t="inlineStr">
        <is>
          <t>cấp Trung học</t>
        </is>
      </c>
      <c r="F292" s="7" t="n"/>
      <c r="G292" s="7" t="inlineStr">
        <is>
          <t>中学</t>
        </is>
      </c>
      <c r="H292" s="8">
        <f>IF(TRIM($G292)="","",IF(EXACT(TRIM($G292),TRIM($C292)),"✅ Đúng","❌ Sai"))</f>
        <v/>
      </c>
      <c r="I292" s="9">
        <f>HYPERLINK("https://translate.google.com/translate_tts?ie=UTF-8&amp;tl=zh-CN&amp;client=tw-ob&amp;q=中学","▶")</f>
        <v/>
      </c>
      <c r="J292" s="9">
        <f>HYPERLINK("https://youglish.com/pronounce/中学/chinese","🔍")</f>
        <v/>
      </c>
      <c r="K292" s="10" t="n"/>
      <c r="L292" s="11" t="n"/>
      <c r="M292" s="10" t="n"/>
      <c r="N292" s="11" t="n"/>
      <c r="O292" s="10" t="n"/>
      <c r="P292" s="11" t="n"/>
      <c r="Q292" s="10" t="n"/>
      <c r="R292" s="12" t="inlineStr">
        <is>
          <t>2026-06-17</t>
        </is>
      </c>
      <c r="S292" s="18" t="n"/>
      <c r="T292" s="21" t="inlineStr">
        <is>
          <t>中 [TRUNG] · ở giữa; Trung Quốc
    ↳ Chiết tự: bộ 丨 (cổn – nét sổ) xuyên chính giữa 口 (khẩu – khung vuông) — chữ chỉ sự
学 [HỌC] · học tập, trường học
    ↳ Chiết tự: giản thể của 學: bộ 冖 (mịch – mái che) + 子 (tử – trẻ) — trẻ được dạy dưới mái nhà</t>
        </is>
      </c>
      <c r="U292" s="22" t="inlineStr">
        <is>
          <t>🏫 Học tập &amp; Trường lớp</t>
        </is>
      </c>
      <c r="V292" s="63" t="inlineStr">
        <is>
          <t>他在中学学习。</t>
        </is>
      </c>
      <c r="W292" s="64" t="inlineStr">
        <is>
          <t>Tā zài zhōngxué xuéxí.
Cậu ấy học ở trường trung học.</t>
        </is>
      </c>
    </row>
    <row r="293" hidden="1" ht="93" customHeight="1" s="99">
      <c r="A293" s="2" t="n">
        <v>472</v>
      </c>
      <c r="B293" s="3" t="inlineStr">
        <is>
          <t>HSK1</t>
        </is>
      </c>
      <c r="C293" s="4" t="inlineStr">
        <is>
          <t>中学生</t>
        </is>
      </c>
      <c r="D293" s="5" t="inlineStr">
        <is>
          <t>zhōngxuéshēng</t>
        </is>
      </c>
      <c r="E293" s="6" t="inlineStr">
        <is>
          <t>HS Trung học</t>
        </is>
      </c>
      <c r="F293" s="7" t="n"/>
      <c r="G293" s="13" t="inlineStr">
        <is>
          <t>中学生</t>
        </is>
      </c>
      <c r="H293" s="8">
        <f>IF(TRIM($G293)="","",IF(EXACT(TRIM($G293),TRIM($C293)),"✅ Đúng","❌ Sai"))</f>
        <v/>
      </c>
      <c r="I293" s="9">
        <f>HYPERLINK("https://translate.google.com/translate_tts?ie=UTF-8&amp;tl=zh-CN&amp;client=tw-ob&amp;q=中学生","▶")</f>
        <v/>
      </c>
      <c r="J293" s="9">
        <f>HYPERLINK("https://youglish.com/pronounce/中学生/chinese","🔍")</f>
        <v/>
      </c>
      <c r="K293" s="10" t="n"/>
      <c r="L293" s="11" t="n"/>
      <c r="M293" s="10" t="n"/>
      <c r="N293" s="11" t="n"/>
      <c r="O293" s="10" t="n"/>
      <c r="P293" s="11" t="n"/>
      <c r="Q293" s="10" t="n"/>
      <c r="R293" s="12" t="inlineStr">
        <is>
          <t>2026-06-17</t>
        </is>
      </c>
      <c r="S293" s="17" t="n"/>
      <c r="T293" s="21" t="inlineStr">
        <is>
          <t>中 [TRUNG] · ở giữa; Trung Quốc
    ↳ Chiết tự: bộ 丨 (cổn – nét sổ) xuyên chính giữa 口 (khẩu – khung vuông) — chữ chỉ sự
学 [HỌC] · học tập, trường học
    ↳ Chiết tự: giản thể của 學: bộ 冖 (mịch – mái che) + 子 (tử – trẻ) — trẻ được dạy dưới mái nhà
生 [SINH] · sinh ra, sống; học trò; sống (chưa chín)
    ↳ Chiết tự: bộ 生 (sinh) — hình mầm cây nhú lên khỏi mặt đất</t>
        </is>
      </c>
      <c r="U293" s="22" t="inlineStr">
        <is>
          <t>🏫 Học tập &amp; Trường lớp</t>
        </is>
      </c>
      <c r="V293" s="63" t="inlineStr">
        <is>
          <t>我哥哥是中学生。</t>
        </is>
      </c>
      <c r="W293" s="64" t="inlineStr">
        <is>
          <t>Wǒ gēge shì zhōngxuéshēng.
Anh tôi là học sinh trung học.</t>
        </is>
      </c>
    </row>
    <row r="294" hidden="1" ht="34.9" customHeight="1" s="99">
      <c r="A294" s="2" t="n">
        <v>478</v>
      </c>
      <c r="B294" s="25" t="inlineStr">
        <is>
          <t>HSK1+2</t>
        </is>
      </c>
      <c r="C294" s="4" t="inlineStr">
        <is>
          <t>字</t>
        </is>
      </c>
      <c r="D294" s="5" t="inlineStr">
        <is>
          <t>zì</t>
        </is>
      </c>
      <c r="E294" s="6" t="inlineStr">
        <is>
          <t>chữ, văn tự</t>
        </is>
      </c>
      <c r="F294" s="7" t="inlineStr">
        <is>
          <t>字</t>
        </is>
      </c>
      <c r="G294" s="13" t="inlineStr">
        <is>
          <t>字</t>
        </is>
      </c>
      <c r="H294" s="8">
        <f>IF(TRIM($G294)="","",IF(EXACT(TRIM($G294),TRIM($C294)),"✅ Đúng","❌ Sai"))</f>
        <v/>
      </c>
      <c r="I294" s="9">
        <f>HYPERLINK("https://translate.google.com/translate_tts?ie=UTF-8&amp;tl=zh-CN&amp;client=tw-ob&amp;q=字","▶")</f>
        <v/>
      </c>
      <c r="J294" s="9">
        <f>HYPERLINK("https://youglish.com/pronounce/字/chinese","🔍")</f>
        <v/>
      </c>
      <c r="K294" s="10" t="n"/>
      <c r="L294" s="11" t="n"/>
      <c r="M294" s="10" t="n"/>
      <c r="N294" s="11" t="n"/>
      <c r="O294" s="10" t="n"/>
      <c r="P294" s="11" t="n"/>
      <c r="Q294" s="10" t="n"/>
      <c r="R294" s="12" t="inlineStr">
        <is>
          <t>2026-06-17</t>
        </is>
      </c>
      <c r="S294" s="17" t="n"/>
      <c r="T294" s="21" t="inlineStr">
        <is>
          <t>字 [TỰ] · chữ viết
    ↳ Chiết tự: bộ 宀 (miên – mái nhà) + 子 (tử – con) — trẻ trong nhà sinh sôi như chữ nảy nở</t>
        </is>
      </c>
      <c r="U294" s="22" t="inlineStr">
        <is>
          <t>🏫 Học tập &amp; Trường lớp</t>
        </is>
      </c>
      <c r="V294" s="63" t="inlineStr">
        <is>
          <t>这个字怎么念？</t>
        </is>
      </c>
      <c r="W294" s="64" t="inlineStr">
        <is>
          <t>Zhège zì zěnme niàn?
Chữ này đọc thế nào?</t>
        </is>
      </c>
    </row>
    <row r="295" hidden="1" ht="69.75" customHeight="1" s="99">
      <c r="A295" s="2" t="n">
        <v>498</v>
      </c>
      <c r="B295" s="60" t="inlineStr">
        <is>
          <t>HSK1+3</t>
        </is>
      </c>
      <c r="C295" s="4" t="inlineStr">
        <is>
          <t>年级</t>
        </is>
      </c>
      <c r="D295" s="5" t="inlineStr">
        <is>
          <t>niánjí</t>
        </is>
      </c>
      <c r="E295" s="6" t="inlineStr">
        <is>
          <t>khối lớp</t>
        </is>
      </c>
      <c r="F295" s="7" t="n"/>
      <c r="G295" s="13" t="inlineStr">
        <is>
          <t>年级</t>
        </is>
      </c>
      <c r="H295" s="8">
        <f>IF(TRIM($G295)="","",IF(EXACT(TRIM($G295),TRIM($C295)),"✅ Đúng","❌ Sai"))</f>
        <v/>
      </c>
      <c r="I295" s="9">
        <f>HYPERLINK("https://translate.google.com/translate_tts?ie=UTF-8&amp;tl=zh-CN&amp;client=tw-ob&amp;q=年级","▶")</f>
        <v/>
      </c>
      <c r="J295" s="9">
        <f>HYPERLINK("https://youglish.com/pronounce/年级/chinese","🔍")</f>
        <v/>
      </c>
      <c r="K295" s="10" t="n"/>
      <c r="L295" s="11" t="n"/>
      <c r="M295" s="10" t="n"/>
      <c r="N295" s="11" t="n"/>
      <c r="O295" s="10" t="n"/>
      <c r="P295" s="11" t="n"/>
      <c r="Q295" s="10" t="n"/>
      <c r="R295" s="12" t="inlineStr">
        <is>
          <t>2026-06-17</t>
        </is>
      </c>
      <c r="S295" s="17" t="n"/>
      <c r="T295" s="21" t="inlineStr">
        <is>
          <t>年 [NIÊN] · năm, tuổi
    ↳ Chiết tự: bộ 干 (can) + 丿 — hình người gánh lúa chín, một vụ lúa là một năm
级 [CẤP] · cấp bậc, lớp, khối
    ↳ Chiết tự: giản thể của 級: bộ 纟 (mịch – sợi tơ) + 及 (cập – âm đọc) — thứ bậc như các nấc sợi</t>
        </is>
      </c>
      <c r="U295" s="22" t="inlineStr">
        <is>
          <t>🏫 Học tập &amp; Trường lớp</t>
        </is>
      </c>
      <c r="V295" s="63" t="inlineStr">
        <is>
          <t>我是三年级的学生。</t>
        </is>
      </c>
      <c r="W295" s="64" t="inlineStr">
        <is>
          <t>Wǒ shì sān niánjí de xuésheng.
Tôi là học sinh lớp ba.</t>
        </is>
      </c>
    </row>
    <row r="296" ht="69.75" customHeight="1" s="99">
      <c r="A296" s="2" t="n">
        <v>499</v>
      </c>
      <c r="B296" s="3" t="inlineStr">
        <is>
          <t>HSK1</t>
        </is>
      </c>
      <c r="C296" s="4" t="inlineStr">
        <is>
          <t>课堂</t>
        </is>
      </c>
      <c r="D296" s="5" t="inlineStr">
        <is>
          <t>kètáng</t>
        </is>
      </c>
      <c r="E296" s="6" t="inlineStr">
        <is>
          <t>lớp học</t>
        </is>
      </c>
      <c r="F296" s="7" t="n"/>
      <c r="G296" s="7" t="n"/>
      <c r="H296" s="8">
        <f>IF(TRIM($G296)="","",IF(EXACT(TRIM($G296),TRIM($C296)),"✅ Đúng","❌ Sai"))</f>
        <v/>
      </c>
      <c r="I296" s="9">
        <f>HYPERLINK("https://translate.google.com/translate_tts?ie=UTF-8&amp;tl=zh-CN&amp;client=tw-ob&amp;q=课堂","▶")</f>
        <v/>
      </c>
      <c r="J296" s="9">
        <f>HYPERLINK("https://youglish.com/pronounce/课堂/chinese","🔍")</f>
        <v/>
      </c>
      <c r="K296" s="10" t="n"/>
      <c r="L296" s="11" t="n"/>
      <c r="M296" s="10" t="n"/>
      <c r="N296" s="11" t="n"/>
      <c r="O296" s="10" t="n"/>
      <c r="P296" s="11" t="n"/>
      <c r="Q296" s="10" t="n"/>
      <c r="R296" s="12" t="inlineStr">
        <is>
          <t>2026-06-17</t>
        </is>
      </c>
      <c r="S296" s="18" t="n"/>
      <c r="T296" s="21" t="inlineStr">
        <is>
          <t>课 [KHÓA] · bài học, tiết học, môn
    ↳ Chiết tự: giản thể của 課: bộ 讠 (ngôn – lời nói) + 果 (quả – kết quả) — lời giảng cho ra kết quả
堂 [ĐƯỜNG] · nhà lớn, gian chính, sảnh
    ↳ Chiết tự: bộ 尚 (thượng – âm đọc) + 土 (thổ – đất) — nhà lớn trên nền đất cao</t>
        </is>
      </c>
      <c r="U296" s="22" t="inlineStr">
        <is>
          <t>🏫 Học tập &amp; Trường lớp</t>
        </is>
      </c>
      <c r="V296" s="63" t="inlineStr">
        <is>
          <t>课堂上要认真听。</t>
        </is>
      </c>
      <c r="W296" s="64" t="inlineStr">
        <is>
          <t>Kètáng shang yào rènzhēn tīng.
Trong lớp phải nghe nghiêm túc.</t>
        </is>
      </c>
    </row>
    <row r="297" ht="35.65" customHeight="1" s="99">
      <c r="A297" s="26" t="n">
        <v>520</v>
      </c>
      <c r="B297" s="79" t="inlineStr">
        <is>
          <t>HSK2</t>
        </is>
      </c>
      <c r="C297" s="80" t="inlineStr">
        <is>
          <t>懂</t>
        </is>
      </c>
      <c r="D297" s="80" t="inlineStr">
        <is>
          <t>dǒng</t>
        </is>
      </c>
      <c r="E297" s="80" t="inlineStr">
        <is>
          <t>hiểu</t>
        </is>
      </c>
      <c r="F297" s="26" t="n"/>
      <c r="G297" s="7" t="inlineStr">
        <is>
          <t>懂</t>
        </is>
      </c>
      <c r="H297" s="8">
        <f>IF(TRIM($G297)="","",IF(EXACT(TRIM($G297),TRIM($C297)),"✅ Đúng","❌ Sai"))</f>
        <v/>
      </c>
      <c r="I297" s="52" t="inlineStr">
        <is>
          <t>▶</t>
        </is>
      </c>
      <c r="J297" s="52" t="inlineStr">
        <is>
          <t>🔍</t>
        </is>
      </c>
      <c r="K297" s="26" t="n"/>
      <c r="L297" s="26" t="n"/>
      <c r="M297" s="26" t="n"/>
      <c r="N297" s="26" t="n"/>
      <c r="O297" s="26" t="n"/>
      <c r="P297" s="26" t="n"/>
      <c r="Q297" s="26" t="n"/>
      <c r="R297" s="39" t="n">
        <v>46236</v>
      </c>
      <c r="S297" s="41" t="n"/>
      <c r="T297" s="47" t="inlineStr">
        <is>
          <t>懂 [ĐỔNG] · hiểu, hiểu biết
    ↳ Chiết tự: bộ 忄 (tâm đứng – trái tim) + 董 (đổng – âm đọc) — trong lòng đã thông</t>
        </is>
      </c>
      <c r="U297" s="44" t="inlineStr">
        <is>
          <t>🏫 Học tập &amp; Trường lớp</t>
        </is>
      </c>
      <c r="V297" s="63" t="inlineStr">
        <is>
          <t>这个问题我不懂。</t>
        </is>
      </c>
      <c r="W297" s="64" t="inlineStr">
        <is>
          <t>Zhège wèntí wǒ bù dǒng.
Vấn đề này tôi không hiểu.</t>
        </is>
      </c>
    </row>
    <row r="298" ht="70.5" customHeight="1" s="99">
      <c r="A298" s="26" t="n">
        <v>528</v>
      </c>
      <c r="B298" s="79" t="inlineStr">
        <is>
          <t>HSK2</t>
        </is>
      </c>
      <c r="C298" s="80" t="inlineStr">
        <is>
          <t>教室</t>
        </is>
      </c>
      <c r="D298" s="80" t="inlineStr">
        <is>
          <t>jiàoshì</t>
        </is>
      </c>
      <c r="E298" s="80" t="inlineStr">
        <is>
          <t>phòng học</t>
        </is>
      </c>
      <c r="F298" s="26" t="n"/>
      <c r="G298" s="7" t="n"/>
      <c r="H298" s="8">
        <f>IF(TRIM($G298)="","",IF(EXACT(TRIM($G298),TRIM($C298)),"✅ Đúng","❌ Sai"))</f>
        <v/>
      </c>
      <c r="I298" s="52" t="inlineStr">
        <is>
          <t>▶</t>
        </is>
      </c>
      <c r="J298" s="52" t="inlineStr">
        <is>
          <t>🔍</t>
        </is>
      </c>
      <c r="K298" s="26" t="n"/>
      <c r="L298" s="26" t="n"/>
      <c r="M298" s="26" t="n"/>
      <c r="N298" s="26" t="n"/>
      <c r="O298" s="26" t="n"/>
      <c r="P298" s="26" t="n"/>
      <c r="Q298" s="26" t="n"/>
      <c r="R298" s="39" t="n">
        <v>46236</v>
      </c>
      <c r="S298" s="41" t="n"/>
      <c r="T298" s="47" t="inlineStr">
        <is>
          <t>教 [GIÁO] · dạy dỗ, tôn giáo
    ↳ Chiết tự: bộ 孝 (hiếu) + 攵 (phộc – tay cầm roi) — cầm roi dạy trẻ nên người
室 [THẤT] · căn phòng
    ↳ Chiết tự: bộ 宀 (miên – mái nhà) + 至 (chí – tới nơi) — nơi trong nhà để đi tới</t>
        </is>
      </c>
      <c r="U298" s="44" t="inlineStr">
        <is>
          <t>🏫 Học tập &amp; Trường lớp</t>
        </is>
      </c>
      <c r="V298" s="63" t="inlineStr">
        <is>
          <t>教室里没有人。</t>
        </is>
      </c>
      <c r="W298" s="64" t="inlineStr">
        <is>
          <t>Jiàoshì li méiyǒu rén.
Trong lớp học không có ai.</t>
        </is>
      </c>
    </row>
    <row r="299" ht="70.5" customHeight="1" s="99">
      <c r="A299" s="26" t="n">
        <v>540</v>
      </c>
      <c r="B299" s="79" t="inlineStr">
        <is>
          <t>HSK2</t>
        </is>
      </c>
      <c r="C299" s="80" t="inlineStr">
        <is>
          <t>铅笔</t>
        </is>
      </c>
      <c r="D299" s="80" t="inlineStr">
        <is>
          <t>qiānbǐ</t>
        </is>
      </c>
      <c r="E299" s="80" t="inlineStr">
        <is>
          <t>bút chì</t>
        </is>
      </c>
      <c r="F299" s="26" t="n"/>
      <c r="G299" s="7" t="n"/>
      <c r="H299" s="8">
        <f>IF(TRIM($G299)="","",IF(EXACT(TRIM($G299),TRIM($C299)),"✅ Đúng","❌ Sai"))</f>
        <v/>
      </c>
      <c r="I299" s="52" t="inlineStr">
        <is>
          <t>▶</t>
        </is>
      </c>
      <c r="J299" s="52" t="inlineStr">
        <is>
          <t>🔍</t>
        </is>
      </c>
      <c r="K299" s="26" t="n"/>
      <c r="L299" s="26" t="n"/>
      <c r="M299" s="26" t="n"/>
      <c r="N299" s="26" t="n"/>
      <c r="O299" s="26" t="n"/>
      <c r="P299" s="26" t="n"/>
      <c r="Q299" s="26" t="n"/>
      <c r="R299" s="39" t="n">
        <v>46236</v>
      </c>
      <c r="S299" s="41" t="n"/>
      <c r="T299" s="47" t="inlineStr">
        <is>
          <t>铅 [DIÊN] · chì (铅笔 = bút chì)
    ↳ Chiết tự: giản thể của 鉛: bộ 钅 (kim – kim loại) + 㕣 (duyên – âm đọc) — một loại kim loại mềm
笔 [BÚT] · cây bút, nét bút
    ↳ Chiết tự: giản thể của 筆: bộ 竹 (trúc – tre) + 毛 (mao – lông) — quản tre gắn ngòi lông</t>
        </is>
      </c>
      <c r="U299" s="44" t="inlineStr">
        <is>
          <t>🏫 Học tập &amp; Trường lớp</t>
        </is>
      </c>
      <c r="V299" s="63" t="inlineStr">
        <is>
          <t>请用铅笔写。</t>
        </is>
      </c>
      <c r="W299" s="64" t="inlineStr">
        <is>
          <t>Qǐng yòng qiānbǐ xiě.
Xin viết bằng bút chì.</t>
        </is>
      </c>
    </row>
    <row r="300" ht="35.65" customHeight="1" s="99">
      <c r="A300" s="26" t="n">
        <v>548</v>
      </c>
      <c r="B300" s="79" t="inlineStr">
        <is>
          <t>HSK2</t>
        </is>
      </c>
      <c r="C300" s="80" t="inlineStr">
        <is>
          <t>题</t>
        </is>
      </c>
      <c r="D300" s="80" t="inlineStr">
        <is>
          <t>tí</t>
        </is>
      </c>
      <c r="E300" s="80" t="inlineStr">
        <is>
          <t>đề, câu hỏi</t>
        </is>
      </c>
      <c r="F300" s="26" t="n"/>
      <c r="G300" s="7" t="n"/>
      <c r="H300" s="8">
        <f>IF(TRIM($G300)="","",IF(EXACT(TRIM($G300),TRIM($C300)),"✅ Đúng","❌ Sai"))</f>
        <v/>
      </c>
      <c r="I300" s="52" t="inlineStr">
        <is>
          <t>▶</t>
        </is>
      </c>
      <c r="J300" s="52" t="inlineStr">
        <is>
          <t>🔍</t>
        </is>
      </c>
      <c r="K300" s="26" t="n"/>
      <c r="L300" s="26" t="n"/>
      <c r="M300" s="26" t="n"/>
      <c r="N300" s="26" t="n"/>
      <c r="O300" s="26" t="n"/>
      <c r="P300" s="26" t="n"/>
      <c r="Q300" s="26" t="n"/>
      <c r="R300" s="39" t="n">
        <v>46236</v>
      </c>
      <c r="S300" s="41" t="n"/>
      <c r="T300" s="47" t="inlineStr">
        <is>
          <t>题 [ĐỀ] · đề bài, câu hỏi, đề mục
    ↳ Chiết tự: giản thể của 題: bộ 页 (hiệt – cái đầu) + 是 (thị – âm đọc) — phần đầu bài viết</t>
        </is>
      </c>
      <c r="U300" s="44" t="inlineStr">
        <is>
          <t>🏫 Học tập &amp; Trường lớp</t>
        </is>
      </c>
      <c r="V300" s="63" t="inlineStr">
        <is>
          <t>这道题很难。</t>
        </is>
      </c>
      <c r="W300" s="64" t="inlineStr">
        <is>
          <t>Zhè dào tí hěn nán.
Bài này rất khó.</t>
        </is>
      </c>
    </row>
    <row r="301" ht="70.5" customHeight="1" s="99">
      <c r="A301" s="26" t="n">
        <v>554</v>
      </c>
      <c r="B301" s="79" t="inlineStr">
        <is>
          <t>HSK2</t>
        </is>
      </c>
      <c r="C301" s="80" t="inlineStr">
        <is>
          <t>问题</t>
        </is>
      </c>
      <c r="D301" s="80" t="inlineStr">
        <is>
          <t>wèntí</t>
        </is>
      </c>
      <c r="E301" s="80" t="inlineStr">
        <is>
          <t>câu hỏi, vấn đề</t>
        </is>
      </c>
      <c r="F301" s="26" t="n"/>
      <c r="G301" s="7" t="n"/>
      <c r="H301" s="8">
        <f>IF(TRIM($G301)="","",IF(EXACT(TRIM($G301),TRIM($C301)),"✅ Đúng","❌ Sai"))</f>
        <v/>
      </c>
      <c r="I301" s="52" t="inlineStr">
        <is>
          <t>▶</t>
        </is>
      </c>
      <c r="J301" s="52" t="inlineStr">
        <is>
          <t>🔍</t>
        </is>
      </c>
      <c r="K301" s="26" t="n"/>
      <c r="L301" s="26" t="n"/>
      <c r="M301" s="26" t="n"/>
      <c r="N301" s="26" t="n"/>
      <c r="O301" s="26" t="n"/>
      <c r="P301" s="26" t="n"/>
      <c r="Q301" s="26" t="n"/>
      <c r="R301" s="39" t="n">
        <v>46236</v>
      </c>
      <c r="S301" s="41" t="n"/>
      <c r="T301" s="47" t="inlineStr">
        <is>
          <t>问 [VẤN] · hỏi, thăm hỏi
    ↳ Chiết tự: giản thể của 問: bộ 门 (môn – cửa) + 口 (khẩu – miệng) — ghé miệng vào cửa mà hỏi
题 [ĐỀ] · đề bài, câu hỏi, đề mục
    ↳ Chiết tự: giản thể của 題: bộ 页 (hiệt – cái đầu) + 是 (thị – âm đọc) — phần đầu bài viết</t>
        </is>
      </c>
      <c r="U301" s="44" t="inlineStr">
        <is>
          <t>🏫 Học tập &amp; Trường lớp</t>
        </is>
      </c>
      <c r="V301" s="63" t="inlineStr">
        <is>
          <t>我有一个问题。</t>
        </is>
      </c>
      <c r="W301" s="64" t="inlineStr">
        <is>
          <t>Wǒ yǒu yí ge wèntí.
Tôi có một câu hỏi.</t>
        </is>
      </c>
    </row>
    <row r="302" ht="70.5" customHeight="1" s="99">
      <c r="A302" s="26" t="n">
        <v>565</v>
      </c>
      <c r="B302" s="79" t="inlineStr">
        <is>
          <t>HSK2</t>
        </is>
      </c>
      <c r="C302" s="80" t="inlineStr">
        <is>
          <t>意思</t>
        </is>
      </c>
      <c r="D302" s="80" t="inlineStr">
        <is>
          <t>yìsi</t>
        </is>
      </c>
      <c r="E302" s="80" t="inlineStr">
        <is>
          <t>ý nghĩa</t>
        </is>
      </c>
      <c r="F302" s="26" t="n"/>
      <c r="G302" s="7" t="n"/>
      <c r="H302" s="8">
        <f>IF(TRIM($G302)="","",IF(EXACT(TRIM($G302),TRIM($C302)),"✅ Đúng","❌ Sai"))</f>
        <v/>
      </c>
      <c r="I302" s="52" t="inlineStr">
        <is>
          <t>▶</t>
        </is>
      </c>
      <c r="J302" s="52" t="inlineStr">
        <is>
          <t>🔍</t>
        </is>
      </c>
      <c r="K302" s="26" t="n"/>
      <c r="L302" s="26" t="n"/>
      <c r="M302" s="26" t="n"/>
      <c r="N302" s="26" t="n"/>
      <c r="O302" s="26" t="n"/>
      <c r="P302" s="26" t="n"/>
      <c r="Q302" s="26" t="n"/>
      <c r="R302" s="39" t="n">
        <v>46236</v>
      </c>
      <c r="S302" s="41" t="n"/>
      <c r="T302" s="47" t="inlineStr">
        <is>
          <t>意 [Ý] · ý nghĩ, ý nghĩa, ý muốn
    ↳ Chiết tự: bộ 音 (âm – tiếng) + 心 (tâm – trái tim) — tiếng lòng phát ra
思 [TƯ] · suy nghĩ, nhớ
    ↳ Chiết tự: bộ 田 (điền – vốn là 囟, hộp sọ) + 心 (tâm – trái tim) — óc và tim cùng vận động</t>
        </is>
      </c>
      <c r="U302" s="44" t="inlineStr">
        <is>
          <t>🏫 Học tập &amp; Trường lớp</t>
        </is>
      </c>
      <c r="V302" s="63" t="inlineStr">
        <is>
          <t>这个词是什么意思？</t>
        </is>
      </c>
      <c r="W302" s="64" t="inlineStr">
        <is>
          <t>Zhège cí shì shénme yìsi?
Từ này có nghĩa gì?</t>
        </is>
      </c>
    </row>
    <row r="303" hidden="1" ht="69.75" customHeight="1" s="99">
      <c r="A303" s="2" t="n">
        <v>4</v>
      </c>
      <c r="B303" s="25" t="inlineStr">
        <is>
          <t>HSK1+2</t>
        </is>
      </c>
      <c r="C303" s="4" t="inlineStr">
        <is>
          <t>爸爸</t>
        </is>
      </c>
      <c r="D303" s="5" t="inlineStr">
        <is>
          <t>bàba</t>
        </is>
      </c>
      <c r="E303" s="6" t="inlineStr">
        <is>
          <t>bố, ba, cha</t>
        </is>
      </c>
      <c r="F303" s="7" t="inlineStr">
        <is>
          <t>爸爸</t>
        </is>
      </c>
      <c r="G303" s="7" t="inlineStr">
        <is>
          <t>爸爸</t>
        </is>
      </c>
      <c r="H303" s="8">
        <f>IF(TRIM($G303)="","",IF(EXACT(TRIM($G303),TRIM($C303)),"✅ Đúng","❌ Sai"))</f>
        <v/>
      </c>
      <c r="I303" s="9">
        <f>HYPERLINK("https://translate.google.com/translate_tts?ie=UTF-8&amp;tl=zh-CN&amp;client=tw-ob&amp;q=爸爸","▶")</f>
        <v/>
      </c>
      <c r="J303" s="9">
        <f>HYPERLINK("https://youglish.com/pronounce/爸爸/chinese","🔍")</f>
        <v/>
      </c>
      <c r="K303" s="10" t="n"/>
      <c r="L303" s="11" t="n"/>
      <c r="M303" s="10" t="n"/>
      <c r="N303" s="11" t="n"/>
      <c r="O303" s="10" t="n"/>
      <c r="P303" s="11" t="n"/>
      <c r="Q303" s="10" t="n"/>
      <c r="R303" s="12" t="inlineStr">
        <is>
          <t>2026-06-17</t>
        </is>
      </c>
      <c r="S303" s="18" t="n"/>
      <c r="T303" s="21" t="inlineStr">
        <is>
          <t>爸 [BA] · bố, ba, cha
    ↳ Chiết tự: bộ 父 (phụ – người cha) + 巴 (ba – âm đọc) — hình thanh
爸 [BA] · bố, ba, cha
    ↳ Chiết tự: bộ 父 (phụ – người cha) + 巴 (ba – âm đọc) — hình thanh</t>
        </is>
      </c>
      <c r="U303" s="22" t="inlineStr">
        <is>
          <t>👨‍👩‍👧 Gia đình &amp; Con người</t>
        </is>
      </c>
      <c r="V303" s="63" t="inlineStr">
        <is>
          <t>我爸爸是老师。</t>
        </is>
      </c>
      <c r="W303" s="64" t="inlineStr">
        <is>
          <t>Wǒ bàba shì lǎoshī.
Bố tôi là giáo viên.</t>
        </is>
      </c>
    </row>
    <row r="304" ht="69.75" customHeight="1" s="99">
      <c r="A304" s="2" t="n">
        <v>27</v>
      </c>
      <c r="B304" s="60" t="inlineStr">
        <is>
          <t>HSK1+3</t>
        </is>
      </c>
      <c r="C304" s="4" t="inlineStr">
        <is>
          <t>别人</t>
        </is>
      </c>
      <c r="D304" s="5" t="inlineStr">
        <is>
          <t>biérén</t>
        </is>
      </c>
      <c r="E304" s="6" t="inlineStr">
        <is>
          <t>người khác</t>
        </is>
      </c>
      <c r="F304" s="7" t="n"/>
      <c r="G304" s="7" t="n"/>
      <c r="H304" s="8">
        <f>IF(TRIM($G304)="","",IF(EXACT(TRIM($G304),TRIM($C304)),"✅ Đúng","❌ Sai"))</f>
        <v/>
      </c>
      <c r="I304" s="9">
        <f>HYPERLINK("https://translate.google.com/translate_tts?ie=UTF-8&amp;tl=zh-CN&amp;client=tw-ob&amp;q=别人","▶")</f>
        <v/>
      </c>
      <c r="J304" s="9">
        <f>HYPERLINK("https://youglish.com/pronounce/别人/chinese","🔍")</f>
        <v/>
      </c>
      <c r="K304" s="10" t="n"/>
      <c r="L304" s="11" t="n"/>
      <c r="M304" s="10" t="n"/>
      <c r="N304" s="11" t="n"/>
      <c r="O304" s="10" t="n"/>
      <c r="P304" s="11" t="n"/>
      <c r="Q304" s="10" t="n"/>
      <c r="R304" s="12" t="inlineStr">
        <is>
          <t>2026-06-17</t>
        </is>
      </c>
      <c r="S304" s="17" t="n"/>
      <c r="T304" s="21" t="inlineStr">
        <is>
          <t>别 [BIỆT] · chia lìa, khác biệt; đừng
    ↳ Chiết tự: bộ 另 (lánh – khác) + 刂 (đao đứng – dao) — dùng dao tách xương ra riêng
人 [NHÂN] · người, con người
    ↳ Chiết tự: bộ 人 (nhân) — hình người đứng nghiêng, dang hai chân</t>
        </is>
      </c>
      <c r="U304" s="22" t="inlineStr">
        <is>
          <t>👨‍👩‍👧 Gia đình &amp; Con người</t>
        </is>
      </c>
      <c r="V304" s="63" t="inlineStr">
        <is>
          <t>不要说别人的坏话。</t>
        </is>
      </c>
      <c r="W304" s="64" t="inlineStr">
        <is>
          <t>Búyào shuō biérén de huàihuà.
Đừng nói xấu người khác.</t>
        </is>
      </c>
    </row>
    <row r="305" ht="69.75" customHeight="1" s="99">
      <c r="A305" s="2" t="n">
        <v>29</v>
      </c>
      <c r="B305" s="3" t="inlineStr">
        <is>
          <t>HSK1</t>
        </is>
      </c>
      <c r="C305" s="4" t="inlineStr">
        <is>
          <t>病人</t>
        </is>
      </c>
      <c r="D305" s="5" t="inlineStr">
        <is>
          <t>bìngrén</t>
        </is>
      </c>
      <c r="E305" s="6" t="inlineStr">
        <is>
          <t>bệnh nhân</t>
        </is>
      </c>
      <c r="F305" s="7" t="n"/>
      <c r="G305" s="7" t="n"/>
      <c r="H305" s="8">
        <f>IF(TRIM($G305)="","",IF(EXACT(TRIM($G305),TRIM($C305)),"✅ Đúng","❌ Sai"))</f>
        <v/>
      </c>
      <c r="I305" s="9">
        <f>HYPERLINK("https://translate.google.com/translate_tts?ie=UTF-8&amp;tl=zh-CN&amp;client=tw-ob&amp;q=病人","▶")</f>
        <v/>
      </c>
      <c r="J305" s="9">
        <f>HYPERLINK("https://youglish.com/pronounce/病人/chinese","🔍")</f>
        <v/>
      </c>
      <c r="K305" s="10" t="n"/>
      <c r="L305" s="11" t="n"/>
      <c r="M305" s="10" t="n"/>
      <c r="N305" s="11" t="n"/>
      <c r="O305" s="10" t="n"/>
      <c r="P305" s="11" t="n"/>
      <c r="Q305" s="10" t="n"/>
      <c r="R305" s="12" t="inlineStr">
        <is>
          <t>2026-06-17</t>
        </is>
      </c>
      <c r="S305" s="17" t="n"/>
      <c r="T305" s="21" t="inlineStr">
        <is>
          <t>病 [BỆNH] · bệnh tật, ốm
    ↳ Chiết tự: bộ 疒 (nạch – người ốm dựa giường) + 丙 (bính – âm đọc) — nằm liệt trên giường bệnh
人 [NHÂN] · người, con người
    ↳ Chiết tự: bộ 人 (nhân) — hình người đứng nghiêng, dang hai chân</t>
        </is>
      </c>
      <c r="U305" s="22" t="inlineStr">
        <is>
          <t>👨‍👩‍👧 Gia đình &amp; Con người</t>
        </is>
      </c>
      <c r="V305" s="63" t="inlineStr">
        <is>
          <t>医生在看病人。</t>
        </is>
      </c>
      <c r="W305" s="64" t="inlineStr">
        <is>
          <t>Yīshēng zài kàn bìngrén.
Bác sĩ đang khám bệnh nhân.</t>
        </is>
      </c>
    </row>
    <row r="306" hidden="1" ht="69.75" customHeight="1" s="99">
      <c r="A306" s="2" t="n">
        <v>74</v>
      </c>
      <c r="B306" s="25" t="inlineStr">
        <is>
          <t>HSK1+2</t>
        </is>
      </c>
      <c r="C306" s="4" t="inlineStr">
        <is>
          <t>弟弟</t>
        </is>
      </c>
      <c r="D306" s="5" t="inlineStr">
        <is>
          <t>dìdi</t>
        </is>
      </c>
      <c r="E306" s="6" t="inlineStr">
        <is>
          <t>em trai</t>
        </is>
      </c>
      <c r="F306" s="7" t="inlineStr">
        <is>
          <t>弟弟</t>
        </is>
      </c>
      <c r="G306" s="7" t="inlineStr">
        <is>
          <t>弟弟</t>
        </is>
      </c>
      <c r="H306" s="8">
        <f>IF(TRIM($G306)="","",IF(EXACT(TRIM($G306),TRIM($C306)),"✅ Đúng","❌ Sai"))</f>
        <v/>
      </c>
      <c r="I306" s="9">
        <f>HYPERLINK("https://translate.google.com/translate_tts?ie=UTF-8&amp;tl=zh-CN&amp;client=tw-ob&amp;q=弟弟","▶")</f>
        <v/>
      </c>
      <c r="J306" s="9">
        <f>HYPERLINK("https://youglish.com/pronounce/弟弟/chinese","🔍")</f>
        <v/>
      </c>
      <c r="K306" s="10" t="n"/>
      <c r="L306" s="11" t="n"/>
      <c r="M306" s="10" t="n"/>
      <c r="N306" s="11" t="n"/>
      <c r="O306" s="10" t="n"/>
      <c r="P306" s="11" t="n"/>
      <c r="Q306" s="10" t="n"/>
      <c r="R306" s="12" t="inlineStr">
        <is>
          <t>2026-06-17</t>
        </is>
      </c>
      <c r="S306" s="18" t="n"/>
      <c r="T306" s="21" t="inlineStr">
        <is>
          <t>弟 [ĐỆ] · em trai; học trò
    ↳ Chiết tự: bộ 弓 (cung – cái cung) + 丿 — hình dây quấn cán theo thứ tự, người dưới bậc
弟 [ĐỆ] · em trai; học trò
    ↳ Chiết tự: bộ 弓 (cung – cái cung) + 丿 — hình dây quấn cán theo thứ tự, người dưới bậc</t>
        </is>
      </c>
      <c r="U306" s="22" t="inlineStr">
        <is>
          <t>👨‍👩‍👧 Gia đình &amp; Con người</t>
        </is>
      </c>
      <c r="V306" s="63" t="inlineStr">
        <is>
          <t>我弟弟今年八岁。</t>
        </is>
      </c>
      <c r="W306" s="64" t="inlineStr">
        <is>
          <t>Wǒ dìdi jīnnián bā suì.
Em trai tôi năm nay tám tuổi.</t>
        </is>
      </c>
    </row>
    <row r="307" ht="58.15" customHeight="1" s="99">
      <c r="A307" s="2" t="n">
        <v>97</v>
      </c>
      <c r="B307" s="25" t="inlineStr">
        <is>
          <t>HSK1+2</t>
        </is>
      </c>
      <c r="C307" s="4" t="inlineStr">
        <is>
          <t>儿子</t>
        </is>
      </c>
      <c r="D307" s="5" t="inlineStr">
        <is>
          <t>érzi</t>
        </is>
      </c>
      <c r="E307" s="6" t="inlineStr">
        <is>
          <t>con trai</t>
        </is>
      </c>
      <c r="F307" s="7" t="n"/>
      <c r="G307" s="7" t="n"/>
      <c r="H307" s="8">
        <f>IF(TRIM($G307)="","",IF(EXACT(TRIM($G307),TRIM($C307)),"✅ Đúng","❌ Sai"))</f>
        <v/>
      </c>
      <c r="I307" s="9">
        <f>HYPERLINK("https://translate.google.com/translate_tts?ie=UTF-8&amp;tl=zh-CN&amp;client=tw-ob&amp;q=儿子","▶")</f>
        <v/>
      </c>
      <c r="J307" s="9">
        <f>HYPERLINK("https://youglish.com/pronounce/儿子/chinese","🔍")</f>
        <v/>
      </c>
      <c r="K307" s="10" t="n"/>
      <c r="L307" s="11" t="n"/>
      <c r="M307" s="10" t="n"/>
      <c r="N307" s="11" t="n"/>
      <c r="O307" s="10" t="n"/>
      <c r="P307" s="11" t="n"/>
      <c r="Q307" s="10" t="n"/>
      <c r="R307" s="12" t="inlineStr">
        <is>
          <t>2026-06-17</t>
        </is>
      </c>
      <c r="S307" s="17" t="n"/>
      <c r="T307" s="21" t="inlineStr">
        <is>
          <t>儿 [NHI] · trẻ con; hậu tố danh từ
    ↳ Chiết tự: giản thể của 兒: bộ 儿 (nhân đi – hai chân người) — hình trẻ thóp đầu chưa liền
子 [TỬ] · con cái; hậu tố danh từ; ngài
    ↳ Chiết tự: bộ 子 (tử) — hình em bé quấn tã, hai tay giơ lên</t>
        </is>
      </c>
      <c r="U307" s="22" t="inlineStr">
        <is>
          <t>👨‍👩‍👧 Gia đình &amp; Con người</t>
        </is>
      </c>
      <c r="V307" s="63" t="inlineStr">
        <is>
          <t>他们有一个儿子。</t>
        </is>
      </c>
      <c r="W307" s="64" t="inlineStr">
        <is>
          <t>Tāmen yǒu yí ge érzi.
Họ có một cậu con trai.</t>
        </is>
      </c>
    </row>
    <row r="308" hidden="1" ht="69.75" customHeight="1" s="99">
      <c r="A308" s="2" t="n">
        <v>118</v>
      </c>
      <c r="B308" s="25" t="inlineStr">
        <is>
          <t>HSK1+2</t>
        </is>
      </c>
      <c r="C308" s="4" t="inlineStr">
        <is>
          <t>哥哥</t>
        </is>
      </c>
      <c r="D308" s="5" t="inlineStr">
        <is>
          <t>gēge</t>
        </is>
      </c>
      <c r="E308" s="6" t="inlineStr">
        <is>
          <t>anh trai</t>
        </is>
      </c>
      <c r="F308" s="7" t="inlineStr">
        <is>
          <t>哥哥</t>
        </is>
      </c>
      <c r="G308" s="13" t="inlineStr">
        <is>
          <t>哥哥</t>
        </is>
      </c>
      <c r="H308" s="8">
        <f>IF(TRIM($G308)="","",IF(EXACT(TRIM($G308),TRIM($C308)),"✅ Đúng","❌ Sai"))</f>
        <v/>
      </c>
      <c r="I308" s="9">
        <f>HYPERLINK("https://translate.google.com/translate_tts?ie=UTF-8&amp;tl=zh-CN&amp;client=tw-ob&amp;q=哥哥","▶")</f>
        <v/>
      </c>
      <c r="J308" s="9">
        <f>HYPERLINK("https://youglish.com/pronounce/哥哥/chinese","🔍")</f>
        <v/>
      </c>
      <c r="K308" s="10" t="n"/>
      <c r="L308" s="11" t="n"/>
      <c r="M308" s="10" t="n"/>
      <c r="N308" s="11" t="n"/>
      <c r="O308" s="10" t="n"/>
      <c r="P308" s="11" t="n"/>
      <c r="Q308" s="10" t="n"/>
      <c r="R308" s="12" t="inlineStr">
        <is>
          <t>2026-06-17</t>
        </is>
      </c>
      <c r="S308" s="18" t="n"/>
      <c r="T308" s="21" t="inlineStr">
        <is>
          <t>哥 [CA] · anh trai
    ↳ Chiết tự: hai chữ 可 (khả) chồng lên nhau — nghĩa gốc là hát, sau mượn chỉ người anh
哥 [CA] · anh trai
    ↳ Chiết tự: hai chữ 可 (khả) chồng lên nhau — nghĩa gốc là hát, sau mượn chỉ người anh</t>
        </is>
      </c>
      <c r="U308" s="22" t="inlineStr">
        <is>
          <t>👨‍👩‍👧 Gia đình &amp; Con người</t>
        </is>
      </c>
      <c r="V308" s="63" t="inlineStr">
        <is>
          <t>我哥哥在北京工作。</t>
        </is>
      </c>
      <c r="W308" s="64" t="inlineStr">
        <is>
          <t>Wǒ gēge zài Běijīng gōngzuò.
Anh tôi làm việc ở Bắc Kinh.</t>
        </is>
      </c>
    </row>
    <row r="309" ht="46.5" customHeight="1" s="99">
      <c r="A309" s="2" t="n">
        <v>135</v>
      </c>
      <c r="B309" s="25" t="inlineStr">
        <is>
          <t>HSK1+2</t>
        </is>
      </c>
      <c r="C309" s="4" t="inlineStr">
        <is>
          <t>孩子</t>
        </is>
      </c>
      <c r="D309" s="5" t="inlineStr">
        <is>
          <t>háizi</t>
        </is>
      </c>
      <c r="E309" s="6" t="inlineStr">
        <is>
          <t>đứa trẻ, con</t>
        </is>
      </c>
      <c r="F309" s="13" t="inlineStr">
        <is>
          <t>孩子</t>
        </is>
      </c>
      <c r="G309" s="7" t="n"/>
      <c r="H309" s="8">
        <f>IF(TRIM($G309)="","",IF(EXACT(TRIM($G309),TRIM($C309)),"✅ Đúng","❌ Sai"))</f>
        <v/>
      </c>
      <c r="I309" s="9">
        <f>HYPERLINK("https://translate.google.com/translate_tts?ie=UTF-8&amp;tl=zh-CN&amp;client=tw-ob&amp;q=孩子","▶")</f>
        <v/>
      </c>
      <c r="J309" s="9">
        <f>HYPERLINK("https://youglish.com/pronounce/孩子/chinese","🔍")</f>
        <v/>
      </c>
      <c r="K309" s="10" t="n"/>
      <c r="L309" s="11" t="n"/>
      <c r="M309" s="10" t="n"/>
      <c r="N309" s="11" t="n"/>
      <c r="O309" s="10" t="n"/>
      <c r="P309" s="11" t="n"/>
      <c r="Q309" s="10" t="n"/>
      <c r="R309" s="12" t="inlineStr">
        <is>
          <t>2026-06-17</t>
        </is>
      </c>
      <c r="S309" s="17" t="n"/>
      <c r="T309" s="21" t="inlineStr">
        <is>
          <t>孩 [HÀI] · trẻ con
    ↳ Chiết tự: bộ 子 (tử – con) + 亥 (hợi – âm đọc) — hình thanh
子 [TỬ] · con cái; hậu tố danh từ; ngài
    ↳ Chiết tự: bộ 子 (tử) — hình em bé quấn tã, hai tay giơ lên</t>
        </is>
      </c>
      <c r="U309" s="22" t="inlineStr">
        <is>
          <t>👨‍👩‍👧 Gia đình &amp; Con người</t>
        </is>
      </c>
      <c r="V309" s="63" t="inlineStr">
        <is>
          <t>孩子们在玩儿。</t>
        </is>
      </c>
      <c r="W309" s="64" t="inlineStr">
        <is>
          <t>Háizimen zài wánr.
Các đứa trẻ đang chơi.</t>
        </is>
      </c>
    </row>
    <row r="310" hidden="1" ht="34.9" customHeight="1" s="99">
      <c r="A310" s="2" t="n">
        <v>169</v>
      </c>
      <c r="B310" s="25" t="inlineStr">
        <is>
          <t>HSK1+2</t>
        </is>
      </c>
      <c r="C310" s="4" t="inlineStr">
        <is>
          <t>家</t>
        </is>
      </c>
      <c r="D310" s="5" t="inlineStr">
        <is>
          <t>jiā</t>
        </is>
      </c>
      <c r="E310" s="6" t="inlineStr">
        <is>
          <t>nhà</t>
        </is>
      </c>
      <c r="F310" s="13" t="inlineStr">
        <is>
          <t>家</t>
        </is>
      </c>
      <c r="G310" s="13" t="inlineStr">
        <is>
          <t>家</t>
        </is>
      </c>
      <c r="H310" s="8">
        <f>IF(TRIM($G310)="","",IF(EXACT(TRIM($G310),TRIM($C310)),"✅ Đúng","❌ Sai"))</f>
        <v/>
      </c>
      <c r="I310" s="9">
        <f>HYPERLINK("https://translate.google.com/translate_tts?ie=UTF-8&amp;tl=zh-CN&amp;client=tw-ob&amp;q=家","▶")</f>
        <v/>
      </c>
      <c r="J310" s="9">
        <f>HYPERLINK("https://youglish.com/pronounce/家/chinese","🔍")</f>
        <v/>
      </c>
      <c r="K310" s="10" t="n"/>
      <c r="L310" s="11" t="n"/>
      <c r="M310" s="10" t="n"/>
      <c r="N310" s="11" t="n"/>
      <c r="O310" s="10" t="n"/>
      <c r="P310" s="11" t="n"/>
      <c r="Q310" s="10" t="n"/>
      <c r="R310" s="12" t="inlineStr">
        <is>
          <t>2026-06-17</t>
        </is>
      </c>
      <c r="S310" s="17" t="n"/>
      <c r="T310" s="21" t="inlineStr">
        <is>
          <t>家 [GIA] · nhà, gia đình; nhà chuyên môn
    ↳ Chiết tự: bộ 宀 (miên – mái nhà) + 豕 (thỉ – con lợn) — dưới mái có nuôi lợn mới là một gia đình</t>
        </is>
      </c>
      <c r="U310" s="22" t="inlineStr">
        <is>
          <t>👨‍👩‍👧 Gia đình &amp; Con người</t>
        </is>
      </c>
      <c r="V310" s="63" t="inlineStr">
        <is>
          <t>我家有五口人。</t>
        </is>
      </c>
      <c r="W310" s="64" t="inlineStr">
        <is>
          <t>Wǒ jiā yǒu wǔ kǒu rén.
Nhà tôi có năm người.</t>
        </is>
      </c>
    </row>
    <row r="311" hidden="1" ht="69.75" customHeight="1" s="99">
      <c r="A311" s="2" t="n">
        <v>170</v>
      </c>
      <c r="B311" s="3" t="inlineStr">
        <is>
          <t>HSK1</t>
        </is>
      </c>
      <c r="C311" s="4" t="inlineStr">
        <is>
          <t>家里</t>
        </is>
      </c>
      <c r="D311" s="5" t="inlineStr">
        <is>
          <t>jiālǐ</t>
        </is>
      </c>
      <c r="E311" s="6" t="inlineStr">
        <is>
          <t>trong nhà</t>
        </is>
      </c>
      <c r="F311" s="7" t="n"/>
      <c r="G311" s="13" t="inlineStr">
        <is>
          <t>家里</t>
        </is>
      </c>
      <c r="H311" s="8">
        <f>IF(TRIM($G311)="","",IF(EXACT(TRIM($G311),TRIM($C311)),"✅ Đúng","❌ Sai"))</f>
        <v/>
      </c>
      <c r="I311" s="9">
        <f>HYPERLINK("https://translate.google.com/translate_tts?ie=UTF-8&amp;tl=zh-CN&amp;client=tw-ob&amp;q=家里","▶")</f>
        <v/>
      </c>
      <c r="J311" s="9">
        <f>HYPERLINK("https://youglish.com/pronounce/家里/chinese","🔍")</f>
        <v/>
      </c>
      <c r="K311" s="10" t="n"/>
      <c r="L311" s="11" t="n"/>
      <c r="M311" s="10" t="n"/>
      <c r="N311" s="11" t="n"/>
      <c r="O311" s="10" t="n"/>
      <c r="P311" s="11" t="n"/>
      <c r="Q311" s="10" t="n"/>
      <c r="R311" s="12" t="inlineStr">
        <is>
          <t>2026-06-17</t>
        </is>
      </c>
      <c r="S311" s="18" t="n"/>
      <c r="T311" s="21" t="inlineStr">
        <is>
          <t>家 [GIA] · nhà, gia đình; nhà chuyên môn
    ↳ Chiết tự: bộ 宀 (miên – mái nhà) + 豕 (thỉ – con lợn) — dưới mái có nuôi lợn mới là một gia đình
里 [LÝ] · bên trong; dặm; làng
    ↳ Chiết tự: bộ 田 (điền – ruộng) + 土 (thổ – đất) — bên trong khu ruộng đất của làng</t>
        </is>
      </c>
      <c r="U311" s="22" t="inlineStr">
        <is>
          <t>👨‍👩‍👧 Gia đình &amp; Con người</t>
        </is>
      </c>
      <c r="V311" s="63" t="inlineStr">
        <is>
          <t>家里没有人。</t>
        </is>
      </c>
      <c r="W311" s="64" t="inlineStr">
        <is>
          <t>Jiā li méiyǒu rén.
Trong nhà không có ai.</t>
        </is>
      </c>
    </row>
    <row r="312" hidden="1" ht="69.75" customHeight="1" s="99">
      <c r="A312" s="2" t="n">
        <v>171</v>
      </c>
      <c r="B312" s="3" t="inlineStr">
        <is>
          <t>HSK1</t>
        </is>
      </c>
      <c r="C312" s="4" t="inlineStr">
        <is>
          <t>家人</t>
        </is>
      </c>
      <c r="D312" s="5" t="inlineStr">
        <is>
          <t>jiārén</t>
        </is>
      </c>
      <c r="E312" s="6" t="inlineStr">
        <is>
          <t>người nhà, gia đình</t>
        </is>
      </c>
      <c r="F312" s="13" t="inlineStr">
        <is>
          <t>家人</t>
        </is>
      </c>
      <c r="G312" s="13" t="inlineStr">
        <is>
          <t>家人</t>
        </is>
      </c>
      <c r="H312" s="8">
        <f>IF(TRIM($G312)="","",IF(EXACT(TRIM($G312),TRIM($C312)),"✅ Đúng","❌ Sai"))</f>
        <v/>
      </c>
      <c r="I312" s="9">
        <f>HYPERLINK("https://translate.google.com/translate_tts?ie=UTF-8&amp;tl=zh-CN&amp;client=tw-ob&amp;q=家人","▶")</f>
        <v/>
      </c>
      <c r="J312" s="9">
        <f>HYPERLINK("https://youglish.com/pronounce/家人/chinese","🔍")</f>
        <v/>
      </c>
      <c r="K312" s="10" t="n"/>
      <c r="L312" s="11" t="n"/>
      <c r="M312" s="10" t="n"/>
      <c r="N312" s="11" t="n"/>
      <c r="O312" s="10" t="n"/>
      <c r="P312" s="11" t="n"/>
      <c r="Q312" s="10" t="n"/>
      <c r="R312" s="12" t="inlineStr">
        <is>
          <t>2026-06-17</t>
        </is>
      </c>
      <c r="S312" s="17" t="n"/>
      <c r="T312" s="21" t="inlineStr">
        <is>
          <t>家 [GIA] · nhà, gia đình; nhà chuyên môn
    ↳ Chiết tự: bộ 宀 (miên – mái nhà) + 豕 (thỉ – con lợn) — dưới mái có nuôi lợn mới là một gia đình
人 [NHÂN] · người, con người
    ↳ Chiết tự: bộ 人 (nhân) — hình người đứng nghiêng, dang hai chân</t>
        </is>
      </c>
      <c r="U312" s="22" t="inlineStr">
        <is>
          <t>👨‍👩‍👧 Gia đình &amp; Con người</t>
        </is>
      </c>
      <c r="V312" s="63" t="inlineStr">
        <is>
          <t>我很爱我的家人。</t>
        </is>
      </c>
      <c r="W312" s="64" t="inlineStr">
        <is>
          <t>Wǒ hěn ài wǒ de jiārén.
Tôi rất yêu gia đình mình.</t>
        </is>
      </c>
    </row>
    <row r="313" hidden="1" ht="69.75" customHeight="1" s="99">
      <c r="A313" s="2" t="n">
        <v>178</v>
      </c>
      <c r="B313" s="25" t="inlineStr">
        <is>
          <t>HSK1+2</t>
        </is>
      </c>
      <c r="C313" s="4" t="inlineStr">
        <is>
          <t>姐姐</t>
        </is>
      </c>
      <c r="D313" s="5" t="inlineStr">
        <is>
          <t>jiějie</t>
        </is>
      </c>
      <c r="E313" s="6" t="inlineStr">
        <is>
          <t>chị gái</t>
        </is>
      </c>
      <c r="F313" s="13" t="inlineStr">
        <is>
          <t>姐姐</t>
        </is>
      </c>
      <c r="G313" s="13" t="inlineStr">
        <is>
          <t>姐姐</t>
        </is>
      </c>
      <c r="H313" s="8">
        <f>IF(TRIM($G313)="","",IF(EXACT(TRIM($G313),TRIM($C313)),"✅ Đúng","❌ Sai"))</f>
        <v/>
      </c>
      <c r="I313" s="9">
        <f>HYPERLINK("https://translate.google.com/translate_tts?ie=UTF-8&amp;tl=zh-CN&amp;client=tw-ob&amp;q=姐姐","▶")</f>
        <v/>
      </c>
      <c r="J313" s="9">
        <f>HYPERLINK("https://youglish.com/pronounce/姐姐/chinese","🔍")</f>
        <v/>
      </c>
      <c r="K313" s="10" t="n"/>
      <c r="L313" s="11" t="n"/>
      <c r="M313" s="10" t="n"/>
      <c r="N313" s="11" t="n"/>
      <c r="O313" s="10" t="n"/>
      <c r="P313" s="11" t="n"/>
      <c r="Q313" s="10" t="n"/>
      <c r="R313" s="12" t="inlineStr">
        <is>
          <t>2026-06-17</t>
        </is>
      </c>
      <c r="S313" s="18" t="n"/>
      <c r="T313" s="21" t="inlineStr">
        <is>
          <t>姐 [THƯ / TỶ] · chị gái
    ↳ Chiết tự: bộ 女 (nữ – phụ nữ) + 且 (thả – âm đọc) — người nữ lớn hơn
姐 [THƯ / TỶ] · chị gái
    ↳ Chiết tự: bộ 女 (nữ – phụ nữ) + 且 (thả – âm đọc) — người nữ lớn hơn</t>
        </is>
      </c>
      <c r="U313" s="22" t="inlineStr">
        <is>
          <t>👨‍👩‍👧 Gia đình &amp; Con người</t>
        </is>
      </c>
      <c r="V313" s="63" t="inlineStr">
        <is>
          <t>我姐姐结婚了。</t>
        </is>
      </c>
      <c r="W313" s="64" t="inlineStr">
        <is>
          <t>Wǒ jiějie jiéhūn le.
Chị tôi kết hôn rồi.</t>
        </is>
      </c>
    </row>
    <row r="314" hidden="1" ht="69.75" customHeight="1" s="99">
      <c r="A314" s="2" t="n">
        <v>220</v>
      </c>
      <c r="B314" s="25" t="inlineStr">
        <is>
          <t>HSK1+2</t>
        </is>
      </c>
      <c r="C314" s="4" t="inlineStr">
        <is>
          <t>妈妈</t>
        </is>
      </c>
      <c r="D314" s="5" t="inlineStr">
        <is>
          <t>māma</t>
        </is>
      </c>
      <c r="E314" s="6" t="inlineStr">
        <is>
          <t>mẹ, má</t>
        </is>
      </c>
      <c r="F314" s="13" t="inlineStr">
        <is>
          <t>妈妈</t>
        </is>
      </c>
      <c r="G314" s="13" t="inlineStr">
        <is>
          <t>妈妈</t>
        </is>
      </c>
      <c r="H314" s="8">
        <f>IF(TRIM($G314)="","",IF(EXACT(TRIM($G314),TRIM($C314)),"✅ Đúng","❌ Sai"))</f>
        <v/>
      </c>
      <c r="I314" s="9">
        <f>HYPERLINK("https://translate.google.com/translate_tts?ie=UTF-8&amp;tl=zh-CN&amp;client=tw-ob&amp;q=妈妈","▶")</f>
        <v/>
      </c>
      <c r="J314" s="9">
        <f>HYPERLINK("https://youglish.com/pronounce/妈妈/chinese","🔍")</f>
        <v/>
      </c>
      <c r="K314" s="10" t="n"/>
      <c r="L314" s="11" t="n"/>
      <c r="M314" s="10" t="n"/>
      <c r="N314" s="11" t="n"/>
      <c r="O314" s="10" t="n"/>
      <c r="P314" s="11" t="n"/>
      <c r="Q314" s="10" t="n"/>
      <c r="R314" s="12" t="inlineStr">
        <is>
          <t>2026-06-17</t>
        </is>
      </c>
      <c r="S314" s="18" t="n"/>
      <c r="T314" s="21" t="inlineStr">
        <is>
          <t>妈 [MA] · mẹ
    ↳ Chiết tự: giản thể của 媽: bộ 女 (nữ – phụ nữ) + 马 (mã – âm đọc) — hình thanh
妈 [MA] · mẹ
    ↳ Chiết tự: giản thể của 媽: bộ 女 (nữ – phụ nữ) + 马 (mã – âm đọc) — hình thanh</t>
        </is>
      </c>
      <c r="U314" s="22" t="inlineStr">
        <is>
          <t>👨‍👩‍👧 Gia đình &amp; Con người</t>
        </is>
      </c>
      <c r="V314" s="63" t="inlineStr">
        <is>
          <t>妈妈在做饭。</t>
        </is>
      </c>
      <c r="W314" s="64" t="inlineStr">
        <is>
          <t>Māma zài zuòfàn.
Mẹ đang nấu cơm.</t>
        </is>
      </c>
    </row>
    <row r="315" hidden="1" ht="69.75" customHeight="1" s="99">
      <c r="A315" s="2" t="n">
        <v>234</v>
      </c>
      <c r="B315" s="25" t="inlineStr">
        <is>
          <t>HSK1+2</t>
        </is>
      </c>
      <c r="C315" s="4" t="inlineStr">
        <is>
          <t>妹妹</t>
        </is>
      </c>
      <c r="D315" s="5" t="inlineStr">
        <is>
          <t>mèimei</t>
        </is>
      </c>
      <c r="E315" s="6" t="inlineStr">
        <is>
          <t>em gái</t>
        </is>
      </c>
      <c r="F315" s="13" t="inlineStr">
        <is>
          <t>妹妹</t>
        </is>
      </c>
      <c r="G315" s="13" t="inlineStr">
        <is>
          <t>妹妹</t>
        </is>
      </c>
      <c r="H315" s="8">
        <f>IF(TRIM($G315)="","",IF(EXACT(TRIM($G315),TRIM($C315)),"✅ Đúng","❌ Sai"))</f>
        <v/>
      </c>
      <c r="I315" s="9">
        <f>HYPERLINK("https://translate.google.com/translate_tts?ie=UTF-8&amp;tl=zh-CN&amp;client=tw-ob&amp;q=妹妹","▶")</f>
        <v/>
      </c>
      <c r="J315" s="9">
        <f>HYPERLINK("https://youglish.com/pronounce/妹妹/chinese","🔍")</f>
        <v/>
      </c>
      <c r="K315" s="10" t="n"/>
      <c r="L315" s="11" t="n"/>
      <c r="M315" s="10" t="n"/>
      <c r="N315" s="11" t="n"/>
      <c r="O315" s="10" t="n"/>
      <c r="P315" s="11" t="n"/>
      <c r="Q315" s="10" t="n"/>
      <c r="R315" s="12" t="inlineStr">
        <is>
          <t>2026-06-17</t>
        </is>
      </c>
      <c r="S315" s="18" t="n"/>
      <c r="T315" s="21" t="inlineStr">
        <is>
          <t>妹 [MUỘI] · em gái
    ↳ Chiết tự: bộ 女 (nữ – phụ nữ) + 未 (vị – chưa tới) — người nữ sinh sau
妹 [MUỘI] · em gái
    ↳ Chiết tự: bộ 女 (nữ – phụ nữ) + 未 (vị – chưa tới) — người nữ sinh sau</t>
        </is>
      </c>
      <c r="U315" s="22" t="inlineStr">
        <is>
          <t>👨‍👩‍👧 Gia đình &amp; Con người</t>
        </is>
      </c>
      <c r="V315" s="63" t="inlineStr">
        <is>
          <t>我妹妹很可爱。</t>
        </is>
      </c>
      <c r="W315" s="64" t="inlineStr">
        <is>
          <t>Wǒ mèimei hěn kě'ài.
Em gái tôi rất đáng yêu.</t>
        </is>
      </c>
    </row>
    <row r="316" hidden="1" ht="69.75" customHeight="1" s="99">
      <c r="A316" s="2" t="n">
        <v>245</v>
      </c>
      <c r="B316" s="25" t="inlineStr">
        <is>
          <t>HSK1+2</t>
        </is>
      </c>
      <c r="C316" s="4" t="inlineStr">
        <is>
          <t>名字</t>
        </is>
      </c>
      <c r="D316" s="5" t="inlineStr">
        <is>
          <t>míngzi</t>
        </is>
      </c>
      <c r="E316" s="6" t="inlineStr">
        <is>
          <t>tên</t>
        </is>
      </c>
      <c r="F316" s="13" t="inlineStr">
        <is>
          <t>名字</t>
        </is>
      </c>
      <c r="G316" s="13" t="inlineStr">
        <is>
          <t>名字</t>
        </is>
      </c>
      <c r="H316" s="8">
        <f>IF(TRIM($G316)="","",IF(EXACT(TRIM($G316),TRIM($C316)),"✅ Đúng","❌ Sai"))</f>
        <v/>
      </c>
      <c r="I316" s="9">
        <f>HYPERLINK("https://translate.google.com/translate_tts?ie=UTF-8&amp;tl=zh-CN&amp;client=tw-ob&amp;q=名字","▶")</f>
        <v/>
      </c>
      <c r="J316" s="9">
        <f>HYPERLINK("https://youglish.com/pronounce/名字/chinese","🔍")</f>
        <v/>
      </c>
      <c r="K316" s="10" t="n"/>
      <c r="L316" s="11" t="n"/>
      <c r="M316" s="10" t="n"/>
      <c r="N316" s="11" t="n"/>
      <c r="O316" s="10" t="n"/>
      <c r="P316" s="11" t="n"/>
      <c r="Q316" s="10" t="n"/>
      <c r="R316" s="12" t="inlineStr">
        <is>
          <t>2026-06-17</t>
        </is>
      </c>
      <c r="S316" s="17" t="n"/>
      <c r="T316" s="21" t="inlineStr">
        <is>
          <t>名 [DANH] · tên gọi, danh tiếng
    ↳ Chiết tự: bộ 夕 (tịch – buổi tối) + 口 (khẩu – miệng) — trời tối không nhìn rõ, phải xưng tên
字 [TỰ] · chữ viết
    ↳ Chiết tự: bộ 宀 (miên – mái nhà) + 子 (tử – con) — trẻ trong nhà sinh sôi như chữ nảy nở</t>
        </is>
      </c>
      <c r="U316" s="22" t="inlineStr">
        <is>
          <t>👨‍👩‍👧 Gia đình &amp; Con người</t>
        </is>
      </c>
      <c r="V316" s="63" t="inlineStr">
        <is>
          <t>你叫什么名字？</t>
        </is>
      </c>
      <c r="W316" s="64" t="inlineStr">
        <is>
          <t>Nǐ jiào shénme míngzi?
Bạn tên là gì?</t>
        </is>
      </c>
    </row>
    <row r="317" hidden="1" ht="69.75" customHeight="1" s="99">
      <c r="A317" s="2" t="n">
        <v>254</v>
      </c>
      <c r="B317" s="60" t="inlineStr">
        <is>
          <t>HSK1+3</t>
        </is>
      </c>
      <c r="C317" s="4" t="inlineStr">
        <is>
          <t>奶奶</t>
        </is>
      </c>
      <c r="D317" s="5" t="inlineStr">
        <is>
          <t>nǎinai</t>
        </is>
      </c>
      <c r="E317" s="6" t="inlineStr">
        <is>
          <t>bà nội, bà</t>
        </is>
      </c>
      <c r="F317" s="7" t="n"/>
      <c r="G317" s="13" t="inlineStr">
        <is>
          <t>奶奶</t>
        </is>
      </c>
      <c r="H317" s="8">
        <f>IF(TRIM($G317)="","",IF(EXACT(TRIM($G317),TRIM($C317)),"✅ Đúng","❌ Sai"))</f>
        <v/>
      </c>
      <c r="I317" s="9">
        <f>HYPERLINK("https://translate.google.com/translate_tts?ie=UTF-8&amp;tl=zh-CN&amp;client=tw-ob&amp;q=奶奶","▶")</f>
        <v/>
      </c>
      <c r="J317" s="9">
        <f>HYPERLINK("https://youglish.com/pronounce/奶奶/chinese","🔍")</f>
        <v/>
      </c>
      <c r="K317" s="10" t="n"/>
      <c r="L317" s="11" t="n"/>
      <c r="M317" s="10" t="n"/>
      <c r="N317" s="11" t="n"/>
      <c r="O317" s="10" t="n"/>
      <c r="P317" s="11" t="n"/>
      <c r="Q317" s="10" t="n"/>
      <c r="R317" s="12" t="inlineStr">
        <is>
          <t>2026-06-17</t>
        </is>
      </c>
      <c r="S317" s="18" t="n"/>
      <c r="T317" s="21" t="inlineStr">
        <is>
          <t>奶 [NÃI] · sữa; bà nội
    ↳ Chiết tự: bộ 女 (nữ – phụ nữ) + 乃 (nãi – âm đọc) — người mẹ cho bú
奶 [NÃI] · sữa; bà nội
    ↳ Chiết tự: bộ 女 (nữ – phụ nữ) + 乃 (nãi – âm đọc) — người mẹ cho bú</t>
        </is>
      </c>
      <c r="U317" s="22" t="inlineStr">
        <is>
          <t>👨‍👩‍👧 Gia đình &amp; Con người</t>
        </is>
      </c>
      <c r="V317" s="63" t="inlineStr">
        <is>
          <t>奶奶今年八十岁了。</t>
        </is>
      </c>
      <c r="W317" s="64" t="inlineStr">
        <is>
          <t>Nǎinai jīnnián bāshí suì le.
Bà năm nay tám mươi tuổi.</t>
        </is>
      </c>
    </row>
    <row r="318" ht="23.25" customHeight="1" s="99">
      <c r="A318" s="2" t="n">
        <v>266</v>
      </c>
      <c r="B318" s="25" t="inlineStr">
        <is>
          <t>HSK1+2</t>
        </is>
      </c>
      <c r="C318" s="4" t="inlineStr">
        <is>
          <t>女</t>
        </is>
      </c>
      <c r="D318" s="5" t="inlineStr">
        <is>
          <t>nǚ</t>
        </is>
      </c>
      <c r="E318" s="6" t="inlineStr">
        <is>
          <t>nữ (giới tính)</t>
        </is>
      </c>
      <c r="F318" s="7" t="n"/>
      <c r="G318" s="7" t="n"/>
      <c r="H318" s="8">
        <f>IF(TRIM($G318)="","",IF(EXACT(TRIM($G318),TRIM($C318)),"✅ Đúng","❌ Sai"))</f>
        <v/>
      </c>
      <c r="I318" s="9">
        <f>HYPERLINK("https://translate.google.com/translate_tts?ie=UTF-8&amp;tl=zh-CN&amp;client=tw-ob&amp;q=女","▶")</f>
        <v/>
      </c>
      <c r="J318" s="9">
        <f>HYPERLINK("https://youglish.com/pronounce/女/chinese","🔍")</f>
        <v/>
      </c>
      <c r="K318" s="10" t="n"/>
      <c r="L318" s="11" t="n"/>
      <c r="M318" s="10" t="n"/>
      <c r="N318" s="11" t="n"/>
      <c r="O318" s="10" t="n"/>
      <c r="P318" s="11" t="n"/>
      <c r="Q318" s="10" t="n"/>
      <c r="R318" s="12" t="inlineStr">
        <is>
          <t>2026-06-17</t>
        </is>
      </c>
      <c r="S318" s="18" t="n"/>
      <c r="T318" s="21" t="inlineStr">
        <is>
          <t>女 [NỮ] · nữ giới, con gái
    ↳ Chiết tự: bộ 女 (nữ) — hình người phụ nữ quỳ khoanh tay</t>
        </is>
      </c>
      <c r="U318" s="22" t="inlineStr">
        <is>
          <t>👨‍👩‍👧 Gia đình &amp; Con người</t>
        </is>
      </c>
      <c r="V318" s="63" t="inlineStr">
        <is>
          <t>她是一个女医生。</t>
        </is>
      </c>
      <c r="W318" s="64" t="inlineStr">
        <is>
          <t>Tā shì yí ge nǚ yīshēng.
Cô ấy là một bác sĩ nữ.</t>
        </is>
      </c>
    </row>
    <row r="319" ht="81.40000000000001" customHeight="1" s="99">
      <c r="A319" s="2" t="n">
        <v>268</v>
      </c>
      <c r="B319" s="3" t="inlineStr">
        <is>
          <t>HSK1</t>
        </is>
      </c>
      <c r="C319" s="4" t="inlineStr">
        <is>
          <t>女孩儿</t>
        </is>
      </c>
      <c r="D319" s="5" t="inlineStr">
        <is>
          <t>nǚháir</t>
        </is>
      </c>
      <c r="E319" s="6" t="inlineStr">
        <is>
          <t>cô bé</t>
        </is>
      </c>
      <c r="F319" s="7" t="n"/>
      <c r="G319" s="7" t="n"/>
      <c r="H319" s="8">
        <f>IF(TRIM($G319)="","",IF(EXACT(TRIM($G319),TRIM($C319)),"✅ Đúng","❌ Sai"))</f>
        <v/>
      </c>
      <c r="I319" s="9">
        <f>HYPERLINK("https://translate.google.com/translate_tts?ie=UTF-8&amp;tl=zh-CN&amp;client=tw-ob&amp;q=女孩儿","▶")</f>
        <v/>
      </c>
      <c r="J319" s="9">
        <f>HYPERLINK("https://youglish.com/pronounce/女孩儿/chinese","🔍")</f>
        <v/>
      </c>
      <c r="K319" s="10" t="n"/>
      <c r="L319" s="11" t="n"/>
      <c r="M319" s="10" t="n"/>
      <c r="N319" s="11" t="n"/>
      <c r="O319" s="10" t="n"/>
      <c r="P319" s="11" t="n"/>
      <c r="Q319" s="10" t="n"/>
      <c r="R319" s="12" t="inlineStr">
        <is>
          <t>2026-06-17</t>
        </is>
      </c>
      <c r="S319" s="17" t="n"/>
      <c r="T319" s="21" t="inlineStr">
        <is>
          <t>女 [NỮ] · nữ giới, con gái
    ↳ Chiết tự: bộ 女 (nữ) — hình người phụ nữ quỳ khoanh tay
孩 [HÀI] · trẻ con
    ↳ Chiết tự: bộ 子 (tử – con) + 亥 (hợi – âm đọc) — hình thanh
儿 [NHI] · trẻ con; hậu tố danh từ
    ↳ Chiết tự: giản thể của 兒: bộ 儿 (nhân đi – hai chân người) — hình trẻ thóp đầu chưa liền</t>
        </is>
      </c>
      <c r="U319" s="22" t="inlineStr">
        <is>
          <t>👨‍👩‍👧 Gia đình &amp; Con người</t>
        </is>
      </c>
      <c r="V319" s="63" t="inlineStr">
        <is>
          <t>那个女孩儿很漂亮。</t>
        </is>
      </c>
      <c r="W319" s="64" t="inlineStr">
        <is>
          <t>Nàge nǚháir hěn piàoliang.
Cô bé kia rất xinh.</t>
        </is>
      </c>
    </row>
    <row r="320" ht="93" customHeight="1" s="99">
      <c r="A320" s="2" t="n">
        <v>269</v>
      </c>
      <c r="B320" s="3" t="inlineStr">
        <is>
          <t>HSK1</t>
        </is>
      </c>
      <c r="C320" s="4" t="inlineStr">
        <is>
          <t>女朋友</t>
        </is>
      </c>
      <c r="D320" s="5" t="inlineStr">
        <is>
          <t>nǚpéngyǒu</t>
        </is>
      </c>
      <c r="E320" s="6" t="inlineStr">
        <is>
          <t>bạn gái</t>
        </is>
      </c>
      <c r="F320" s="7" t="n"/>
      <c r="G320" s="7" t="n"/>
      <c r="H320" s="8">
        <f>IF(TRIM($G320)="","",IF(EXACT(TRIM($G320),TRIM($C320)),"✅ Đúng","❌ Sai"))</f>
        <v/>
      </c>
      <c r="I320" s="9">
        <f>HYPERLINK("https://translate.google.com/translate_tts?ie=UTF-8&amp;tl=zh-CN&amp;client=tw-ob&amp;q=女朋友","▶")</f>
        <v/>
      </c>
      <c r="J320" s="9">
        <f>HYPERLINK("https://youglish.com/pronounce/女朋友/chinese","🔍")</f>
        <v/>
      </c>
      <c r="K320" s="10" t="n"/>
      <c r="L320" s="11" t="n"/>
      <c r="M320" s="10" t="n"/>
      <c r="N320" s="11" t="n"/>
      <c r="O320" s="10" t="n"/>
      <c r="P320" s="11" t="n"/>
      <c r="Q320" s="10" t="n"/>
      <c r="R320" s="12" t="inlineStr">
        <is>
          <t>2026-06-17</t>
        </is>
      </c>
      <c r="S320" s="18" t="n"/>
      <c r="T320" s="21" t="inlineStr">
        <is>
          <t>女 [NỮ] · nữ giới, con gái
    ↳ Chiết tự: bộ 女 (nữ) — hình người phụ nữ quỳ khoanh tay
朋 [BẰNG] · bạn bè
    ↳ Chiết tự: hai bộ 月 — hình hai xâu vỏ sò treo sóng đôi, bạn cùng nhóm
友 [HỮU] · bạn bè, thân thiết
    ↳ Chiết tự: hai bộ 又 (hựu – bàn tay) chồng nhau — hai bàn tay nắm lấy nhau</t>
        </is>
      </c>
      <c r="U320" s="22" t="inlineStr">
        <is>
          <t>👨‍👩‍👧 Gia đình &amp; Con người</t>
        </is>
      </c>
      <c r="V320" s="63" t="inlineStr">
        <is>
          <t>他有女朋友了。</t>
        </is>
      </c>
      <c r="W320" s="64" t="inlineStr">
        <is>
          <t>Tā yǒu nǚpéngyou le.
Anh ấy có bạn gái rồi.</t>
        </is>
      </c>
    </row>
    <row r="321" ht="58.15" customHeight="1" s="99">
      <c r="A321" s="2" t="n">
        <v>270</v>
      </c>
      <c r="B321" s="3" t="inlineStr">
        <is>
          <t>HSK1</t>
        </is>
      </c>
      <c r="C321" s="4" t="inlineStr">
        <is>
          <t>女人</t>
        </is>
      </c>
      <c r="D321" s="5" t="inlineStr">
        <is>
          <t>nǚrén</t>
        </is>
      </c>
      <c r="E321" s="6" t="inlineStr">
        <is>
          <t>phụ nữ</t>
        </is>
      </c>
      <c r="F321" s="7" t="n"/>
      <c r="G321" s="7" t="n"/>
      <c r="H321" s="8">
        <f>IF(TRIM($G321)="","",IF(EXACT(TRIM($G321),TRIM($C321)),"✅ Đúng","❌ Sai"))</f>
        <v/>
      </c>
      <c r="I321" s="9">
        <f>HYPERLINK("https://translate.google.com/translate_tts?ie=UTF-8&amp;tl=zh-CN&amp;client=tw-ob&amp;q=女人","▶")</f>
        <v/>
      </c>
      <c r="J321" s="9">
        <f>HYPERLINK("https://youglish.com/pronounce/女人/chinese","🔍")</f>
        <v/>
      </c>
      <c r="K321" s="10" t="n"/>
      <c r="L321" s="11" t="n"/>
      <c r="M321" s="10" t="n"/>
      <c r="N321" s="11" t="n"/>
      <c r="O321" s="10" t="n"/>
      <c r="P321" s="11" t="n"/>
      <c r="Q321" s="10" t="n"/>
      <c r="R321" s="12" t="inlineStr">
        <is>
          <t>2026-06-17</t>
        </is>
      </c>
      <c r="S321" s="17" t="n"/>
      <c r="T321" s="21" t="inlineStr">
        <is>
          <t>女 [NỮ] · nữ giới, con gái
    ↳ Chiết tự: bộ 女 (nữ) — hình người phụ nữ quỳ khoanh tay
人 [NHÂN] · người, con người
    ↳ Chiết tự: bộ 人 (nhân) — hình người đứng nghiêng, dang hai chân</t>
        </is>
      </c>
      <c r="U321" s="22" t="inlineStr">
        <is>
          <t>👨‍👩‍👧 Gia đình &amp; Con người</t>
        </is>
      </c>
      <c r="V321" s="63" t="inlineStr">
        <is>
          <t>这个女人是我妈妈。</t>
        </is>
      </c>
      <c r="W321" s="64" t="inlineStr">
        <is>
          <t>Zhège nǚrén shì wǒ māma.
Người phụ nữ này là mẹ tôi.</t>
        </is>
      </c>
    </row>
    <row r="322" ht="46.5" customHeight="1" s="99">
      <c r="A322" s="2" t="n">
        <v>271</v>
      </c>
      <c r="B322" s="3" t="inlineStr">
        <is>
          <t>HSK1</t>
        </is>
      </c>
      <c r="C322" s="4" t="inlineStr">
        <is>
          <t>女生</t>
        </is>
      </c>
      <c r="D322" s="5" t="inlineStr">
        <is>
          <t>nǚshēng</t>
        </is>
      </c>
      <c r="E322" s="6" t="inlineStr">
        <is>
          <t>nữ sinh</t>
        </is>
      </c>
      <c r="F322" s="7" t="n"/>
      <c r="G322" s="7" t="n"/>
      <c r="H322" s="8">
        <f>IF(TRIM($G322)="","",IF(EXACT(TRIM($G322),TRIM($C322)),"✅ Đúng","❌ Sai"))</f>
        <v/>
      </c>
      <c r="I322" s="9">
        <f>HYPERLINK("https://translate.google.com/translate_tts?ie=UTF-8&amp;tl=zh-CN&amp;client=tw-ob&amp;q=女生","▶")</f>
        <v/>
      </c>
      <c r="J322" s="9">
        <f>HYPERLINK("https://youglish.com/pronounce/女生/chinese","🔍")</f>
        <v/>
      </c>
      <c r="K322" s="10" t="n"/>
      <c r="L322" s="11" t="n"/>
      <c r="M322" s="10" t="n"/>
      <c r="N322" s="11" t="n"/>
      <c r="O322" s="10" t="n"/>
      <c r="P322" s="11" t="n"/>
      <c r="Q322" s="10" t="n"/>
      <c r="R322" s="12" t="inlineStr">
        <is>
          <t>2026-06-17</t>
        </is>
      </c>
      <c r="S322" s="18" t="n"/>
      <c r="T322" s="21" t="inlineStr">
        <is>
          <t>女 [NỮ] · nữ giới, con gái
    ↳ Chiết tự: bộ 女 (nữ) — hình người phụ nữ quỳ khoanh tay
生 [SINH] · sinh ra, sống; học trò; sống (chưa chín)
    ↳ Chiết tự: bộ 生 (sinh) — hình mầm cây nhú lên khỏi mặt đất</t>
        </is>
      </c>
      <c r="U322" s="22" t="inlineStr">
        <is>
          <t>👨‍👩‍👧 Gia đình &amp; Con người</t>
        </is>
      </c>
      <c r="V322" s="63" t="inlineStr">
        <is>
          <t>我们班女生比较多。</t>
        </is>
      </c>
      <c r="W322" s="64" t="inlineStr">
        <is>
          <t>Wǒmen bān nǚshēng bǐjiào duō.
Lớp tôi nữ sinh khá nhiều.</t>
        </is>
      </c>
    </row>
    <row r="323" hidden="1" ht="69.75" customHeight="1" s="99">
      <c r="A323" s="2" t="n">
        <v>274</v>
      </c>
      <c r="B323" s="25" t="inlineStr">
        <is>
          <t>HSK1+2</t>
        </is>
      </c>
      <c r="C323" s="4" t="inlineStr">
        <is>
          <t>朋友</t>
        </is>
      </c>
      <c r="D323" s="5" t="inlineStr">
        <is>
          <t>péngyǒu</t>
        </is>
      </c>
      <c r="E323" s="6" t="inlineStr">
        <is>
          <t>bạn, bạn bè</t>
        </is>
      </c>
      <c r="F323" s="13" t="inlineStr">
        <is>
          <t>朋友</t>
        </is>
      </c>
      <c r="G323" s="13" t="inlineStr">
        <is>
          <t>朋友</t>
        </is>
      </c>
      <c r="H323" s="8">
        <f>IF(TRIM($G323)="","",IF(EXACT(TRIM($G323),TRIM($C323)),"✅ Đúng","❌ Sai"))</f>
        <v/>
      </c>
      <c r="I323" s="9">
        <f>HYPERLINK("https://translate.google.com/translate_tts?ie=UTF-8&amp;tl=zh-CN&amp;client=tw-ob&amp;q=朋友","▶")</f>
        <v/>
      </c>
      <c r="J323" s="9">
        <f>HYPERLINK("https://youglish.com/pronounce/朋友/chinese","🔍")</f>
        <v/>
      </c>
      <c r="K323" s="10" t="n"/>
      <c r="L323" s="11" t="n"/>
      <c r="M323" s="10" t="n"/>
      <c r="N323" s="11" t="n"/>
      <c r="O323" s="10" t="n"/>
      <c r="P323" s="11" t="n"/>
      <c r="Q323" s="10" t="n"/>
      <c r="R323" s="12" t="inlineStr">
        <is>
          <t>2026-06-17</t>
        </is>
      </c>
      <c r="S323" s="17" t="n"/>
      <c r="T323" s="21" t="inlineStr">
        <is>
          <t>朋 [BẰNG] · bạn bè
    ↳ Chiết tự: hai bộ 月 — hình hai xâu vỏ sò treo sóng đôi, bạn cùng nhóm
友 [HỮU] · bạn bè, thân thiết
    ↳ Chiết tự: hai bộ 又 (hựu – bàn tay) chồng nhau — hai bàn tay nắm lấy nhau</t>
        </is>
      </c>
      <c r="U323" s="22" t="inlineStr">
        <is>
          <t>👨‍👩‍👧 Gia đình &amp; Con người</t>
        </is>
      </c>
      <c r="V323" s="63" t="inlineStr">
        <is>
          <t>他是我的好朋友。</t>
        </is>
      </c>
      <c r="W323" s="64" t="inlineStr">
        <is>
          <t>Tā shì wǒ de hǎo péngyou.
Cậu ấy là bạn tốt của tôi.</t>
        </is>
      </c>
    </row>
    <row r="324" hidden="1" ht="34.9" customHeight="1" s="99">
      <c r="A324" s="2" t="n">
        <v>295</v>
      </c>
      <c r="B324" s="25" t="inlineStr">
        <is>
          <t>HSK1+2</t>
        </is>
      </c>
      <c r="C324" s="4" t="inlineStr">
        <is>
          <t>人</t>
        </is>
      </c>
      <c r="D324" s="5" t="inlineStr">
        <is>
          <t>rén</t>
        </is>
      </c>
      <c r="E324" s="6" t="inlineStr">
        <is>
          <t>người</t>
        </is>
      </c>
      <c r="F324" s="13" t="inlineStr">
        <is>
          <t>人</t>
        </is>
      </c>
      <c r="G324" s="13" t="inlineStr">
        <is>
          <t>人</t>
        </is>
      </c>
      <c r="H324" s="8">
        <f>IF(TRIM($G324)="","",IF(EXACT(TRIM($G324),TRIM($C324)),"✅ Đúng","❌ Sai"))</f>
        <v/>
      </c>
      <c r="I324" s="9">
        <f>HYPERLINK("https://translate.google.com/translate_tts?ie=UTF-8&amp;tl=zh-CN&amp;client=tw-ob&amp;q=人","▶")</f>
        <v/>
      </c>
      <c r="J324" s="9">
        <f>HYPERLINK("https://youglish.com/pronounce/人/chinese","🔍")</f>
        <v/>
      </c>
      <c r="K324" s="10" t="n"/>
      <c r="L324" s="11" t="n"/>
      <c r="M324" s="10" t="n"/>
      <c r="N324" s="11" t="n"/>
      <c r="O324" s="10" t="n"/>
      <c r="P324" s="11" t="n"/>
      <c r="Q324" s="10" t="n"/>
      <c r="R324" s="12" t="inlineStr">
        <is>
          <t>2026-06-17</t>
        </is>
      </c>
      <c r="S324" s="18" t="n"/>
      <c r="T324" s="21" t="inlineStr">
        <is>
          <t>人 [NHÂN] · người, con người
    ↳ Chiết tự: bộ 人 (nhân) — hình người đứng nghiêng, dang hai chân</t>
        </is>
      </c>
      <c r="U324" s="22" t="inlineStr">
        <is>
          <t>👨‍👩‍👧 Gia đình &amp; Con người</t>
        </is>
      </c>
      <c r="V324" s="63" t="inlineStr">
        <is>
          <t>这里的人很多。</t>
        </is>
      </c>
      <c r="W324" s="64" t="inlineStr">
        <is>
          <t>Zhèli de rén hěn duō.
Ở đây rất nhiều người.</t>
        </is>
      </c>
    </row>
    <row r="325" hidden="1" ht="69.75" customHeight="1" s="99">
      <c r="A325" s="2" t="n">
        <v>366</v>
      </c>
      <c r="B325" s="3" t="inlineStr">
        <is>
          <t>HSK1</t>
        </is>
      </c>
      <c r="C325" s="4" t="inlineStr">
        <is>
          <t>网友</t>
        </is>
      </c>
      <c r="D325" s="5" t="inlineStr">
        <is>
          <t>wǎngyǒu</t>
        </is>
      </c>
      <c r="E325" s="6" t="inlineStr">
        <is>
          <t>bạn trên mạng</t>
        </is>
      </c>
      <c r="F325" s="7" t="n"/>
      <c r="G325" s="13" t="inlineStr">
        <is>
          <t>网友</t>
        </is>
      </c>
      <c r="H325" s="8">
        <f>IF(TRIM($G325)="","",IF(EXACT(TRIM($G325),TRIM($C325)),"✅ Đúng","❌ Sai"))</f>
        <v/>
      </c>
      <c r="I325" s="9">
        <f>HYPERLINK("https://translate.google.com/translate_tts?ie=UTF-8&amp;tl=zh-CN&amp;client=tw-ob&amp;q=网友","▶")</f>
        <v/>
      </c>
      <c r="J325" s="9">
        <f>HYPERLINK("https://youglish.com/pronounce/网友/chinese","🔍")</f>
        <v/>
      </c>
      <c r="K325" s="10" t="n"/>
      <c r="L325" s="11" t="n"/>
      <c r="M325" s="10" t="n"/>
      <c r="N325" s="11" t="n"/>
      <c r="O325" s="10" t="n"/>
      <c r="P325" s="11" t="n"/>
      <c r="Q325" s="10" t="n"/>
      <c r="R325" s="12" t="inlineStr">
        <is>
          <t>2026-06-17</t>
        </is>
      </c>
      <c r="S325" s="17" t="n"/>
      <c r="T325" s="21" t="inlineStr">
        <is>
          <t>网 [VÕNG] · lưới; mạng Internet
    ↳ Chiết tự: giản thể của 網: bộ 网 (võng) — hình tấm lưới đan mắt cáo
友 [HỮU] · bạn bè, thân thiết
    ↳ Chiết tự: hai bộ 又 (hựu – bàn tay) chồng nhau — hai bàn tay nắm lấy nhau</t>
        </is>
      </c>
      <c r="U325" s="22" t="inlineStr">
        <is>
          <t>👨‍👩‍👧 Gia đình &amp; Con người</t>
        </is>
      </c>
      <c r="V325" s="63" t="inlineStr">
        <is>
          <t>我有很多网友。</t>
        </is>
      </c>
      <c r="W325" s="64" t="inlineStr">
        <is>
          <t>Wǒ yǒu hěn duō wǎngyǒu.
Tôi có nhiều bạn trên mạng.</t>
        </is>
      </c>
    </row>
    <row r="326" ht="81.40000000000001" customHeight="1" s="99">
      <c r="A326" s="2" t="n">
        <v>392</v>
      </c>
      <c r="B326" s="3" t="inlineStr">
        <is>
          <t>HSK1</t>
        </is>
      </c>
      <c r="C326" s="4" t="inlineStr">
        <is>
          <t>小孩儿</t>
        </is>
      </c>
      <c r="D326" s="5" t="inlineStr">
        <is>
          <t>xiǎoháir</t>
        </is>
      </c>
      <c r="E326" s="6" t="inlineStr">
        <is>
          <t>trẻ em</t>
        </is>
      </c>
      <c r="F326" s="7" t="n"/>
      <c r="G326" s="7" t="n"/>
      <c r="H326" s="8">
        <f>IF(TRIM($G326)="","",IF(EXACT(TRIM($G326),TRIM($C326)),"✅ Đúng","❌ Sai"))</f>
        <v/>
      </c>
      <c r="I326" s="9">
        <f>HYPERLINK("https://translate.google.com/translate_tts?ie=UTF-8&amp;tl=zh-CN&amp;client=tw-ob&amp;q=小孩儿","▶")</f>
        <v/>
      </c>
      <c r="J326" s="9">
        <f>HYPERLINK("https://youglish.com/pronounce/小孩儿/chinese","🔍")</f>
        <v/>
      </c>
      <c r="K326" s="10" t="n"/>
      <c r="L326" s="11" t="n"/>
      <c r="M326" s="10" t="n"/>
      <c r="N326" s="11" t="n"/>
      <c r="O326" s="10" t="n"/>
      <c r="P326" s="11" t="n"/>
      <c r="Q326" s="10" t="n"/>
      <c r="R326" s="12" t="inlineStr">
        <is>
          <t>2026-06-17</t>
        </is>
      </c>
      <c r="S326" s="17" t="n"/>
      <c r="T326" s="21" t="inlineStr">
        <is>
          <t>小 [TIỂU] · nhỏ bé
    ↳ Chiết tự: bộ 小 (tiểu) — ba nét tách vụn ra, ý nhỏ
孩 [HÀI] · trẻ con
    ↳ Chiết tự: bộ 子 (tử – con) + 亥 (hợi – âm đọc) — hình thanh
儿 [NHI] · trẻ con; hậu tố danh từ
    ↳ Chiết tự: giản thể của 兒: bộ 儿 (nhân đi – hai chân người) — hình trẻ thóp đầu chưa liền</t>
        </is>
      </c>
      <c r="U326" s="22" t="inlineStr">
        <is>
          <t>👨‍👩‍👧 Gia đình &amp; Con người</t>
        </is>
      </c>
      <c r="V326" s="63" t="inlineStr">
        <is>
          <t>小孩儿在哭。</t>
        </is>
      </c>
      <c r="W326" s="64" t="inlineStr">
        <is>
          <t>Xiǎoháir zài kū.
Đứa nhỏ đang khóc.</t>
        </is>
      </c>
    </row>
    <row r="327" hidden="1" ht="93" customHeight="1" s="99">
      <c r="A327" s="2" t="n">
        <v>394</v>
      </c>
      <c r="B327" s="3" t="inlineStr">
        <is>
          <t>HSK1</t>
        </is>
      </c>
      <c r="C327" s="4" t="inlineStr">
        <is>
          <t>小朋友</t>
        </is>
      </c>
      <c r="D327" s="5" t="inlineStr">
        <is>
          <t>xiǎopéngyǒu</t>
        </is>
      </c>
      <c r="E327" s="6" t="inlineStr">
        <is>
          <t>bạn nhỏ</t>
        </is>
      </c>
      <c r="F327" s="7" t="inlineStr">
        <is>
          <t>小朋友</t>
        </is>
      </c>
      <c r="G327" s="13" t="inlineStr">
        <is>
          <t>小朋友</t>
        </is>
      </c>
      <c r="H327" s="8">
        <f>IF(TRIM($G327)="","",IF(EXACT(TRIM($G327),TRIM($C327)),"✅ Đúng","❌ Sai"))</f>
        <v/>
      </c>
      <c r="I327" s="9">
        <f>HYPERLINK("https://translate.google.com/translate_tts?ie=UTF-8&amp;tl=zh-CN&amp;client=tw-ob&amp;q=小朋友","▶")</f>
        <v/>
      </c>
      <c r="J327" s="9">
        <f>HYPERLINK("https://youglish.com/pronounce/小朋友/chinese","🔍")</f>
        <v/>
      </c>
      <c r="K327" s="10" t="n"/>
      <c r="L327" s="11" t="n"/>
      <c r="M327" s="10" t="n"/>
      <c r="N327" s="11" t="n"/>
      <c r="O327" s="10" t="n"/>
      <c r="P327" s="11" t="n"/>
      <c r="Q327" s="10" t="n"/>
      <c r="R327" s="12" t="inlineStr">
        <is>
          <t>2026-06-17</t>
        </is>
      </c>
      <c r="S327" s="17" t="n"/>
      <c r="T327" s="21" t="inlineStr">
        <is>
          <t>小 [TIỂU] · nhỏ bé
    ↳ Chiết tự: bộ 小 (tiểu) — ba nét tách vụn ra, ý nhỏ
朋 [BẰNG] · bạn bè
    ↳ Chiết tự: hai bộ 月 — hình hai xâu vỏ sò treo sóng đôi, bạn cùng nhóm
友 [HỮU] · bạn bè, thân thiết
    ↳ Chiết tự: hai bộ 又 (hựu – bàn tay) chồng nhau — hai bàn tay nắm lấy nhau</t>
        </is>
      </c>
      <c r="U327" s="22" t="inlineStr">
        <is>
          <t>👨‍👩‍👧 Gia đình &amp; Con người</t>
        </is>
      </c>
      <c r="V327" s="63" t="inlineStr">
        <is>
          <t>小朋友们好！</t>
        </is>
      </c>
      <c r="W327" s="64" t="inlineStr">
        <is>
          <t>Xiǎopéngyoumen hǎo!
Các bạn nhỏ, chào các em!</t>
        </is>
      </c>
    </row>
    <row r="328" hidden="1" ht="69.75" customHeight="1" s="99">
      <c r="A328" s="2" t="n">
        <v>414</v>
      </c>
      <c r="B328" s="60" t="inlineStr">
        <is>
          <t>HSK1+3</t>
        </is>
      </c>
      <c r="C328" s="4" t="inlineStr">
        <is>
          <t>爷爷</t>
        </is>
      </c>
      <c r="D328" s="5" t="inlineStr">
        <is>
          <t>yéye</t>
        </is>
      </c>
      <c r="E328" s="6" t="inlineStr">
        <is>
          <t>ông nội, ông</t>
        </is>
      </c>
      <c r="F328" s="7" t="inlineStr">
        <is>
          <t>爷爷</t>
        </is>
      </c>
      <c r="G328" s="13" t="inlineStr">
        <is>
          <t>爷爷</t>
        </is>
      </c>
      <c r="H328" s="8">
        <f>IF(TRIM($G328)="","",IF(EXACT(TRIM($G328),TRIM($C328)),"✅ Đúng","❌ Sai"))</f>
        <v/>
      </c>
      <c r="I328" s="9">
        <f>HYPERLINK("https://translate.google.com/translate_tts?ie=UTF-8&amp;tl=zh-CN&amp;client=tw-ob&amp;q=爷爷","▶")</f>
        <v/>
      </c>
      <c r="J328" s="9">
        <f>HYPERLINK("https://youglish.com/pronounce/爷爷/chinese","🔍")</f>
        <v/>
      </c>
      <c r="K328" s="10" t="n"/>
      <c r="L328" s="11" t="n"/>
      <c r="M328" s="10" t="n"/>
      <c r="N328" s="11" t="n"/>
      <c r="O328" s="10" t="n"/>
      <c r="P328" s="11" t="n"/>
      <c r="Q328" s="10" t="n"/>
      <c r="R328" s="12" t="inlineStr">
        <is>
          <t>2026-06-17</t>
        </is>
      </c>
      <c r="S328" s="17" t="n"/>
      <c r="T328" s="21" t="inlineStr">
        <is>
          <t>爷 [GIA] · ông nội; ông (tôn xưng)
    ↳ Chiết tự: giản thể của 爺: bộ 父 (phụ – người cha) + 卩 (tiết – âm đọc) — cha của cha
爷 [GIA] · ông nội; ông (tôn xưng)
    ↳ Chiết tự: giản thể của 爺: bộ 父 (phụ – người cha) + 卩 (tiết – âm đọc) — cha của cha</t>
        </is>
      </c>
      <c r="U328" s="22" t="inlineStr">
        <is>
          <t>👨‍👩‍👧 Gia đình &amp; Con người</t>
        </is>
      </c>
      <c r="V328" s="63" t="inlineStr">
        <is>
          <t>爷爷喜欢喝茶。</t>
        </is>
      </c>
      <c r="W328" s="64" t="inlineStr">
        <is>
          <t>Yéye xǐhuan hē chá.
Ông thích uống trà.</t>
        </is>
      </c>
    </row>
    <row r="329" hidden="1" ht="34.9" customHeight="1" s="99">
      <c r="A329" s="2" t="n">
        <v>492</v>
      </c>
      <c r="B329" s="3" t="inlineStr">
        <is>
          <t>HSK1</t>
        </is>
      </c>
      <c r="C329" s="4" t="inlineStr">
        <is>
          <t>名</t>
        </is>
      </c>
      <c r="D329" s="5" t="inlineStr">
        <is>
          <t>míng</t>
        </is>
      </c>
      <c r="E329" s="6" t="inlineStr">
        <is>
          <t>tên, danh</t>
        </is>
      </c>
      <c r="F329" s="7" t="inlineStr">
        <is>
          <t>名</t>
        </is>
      </c>
      <c r="G329" s="13" t="inlineStr">
        <is>
          <t>名</t>
        </is>
      </c>
      <c r="H329" s="8">
        <f>IF(TRIM($G329)="","",IF(EXACT(TRIM($G329),TRIM($C329)),"✅ Đúng","❌ Sai"))</f>
        <v/>
      </c>
      <c r="I329" s="9">
        <f>HYPERLINK("https://translate.google.com/translate_tts?ie=UTF-8&amp;tl=zh-CN&amp;client=tw-ob&amp;q=名","▶")</f>
        <v/>
      </c>
      <c r="J329" s="9">
        <f>HYPERLINK("https://youglish.com/pronounce/名/chinese","🔍")</f>
        <v/>
      </c>
      <c r="K329" s="10" t="n"/>
      <c r="L329" s="11" t="n"/>
      <c r="M329" s="10" t="n"/>
      <c r="N329" s="11" t="n"/>
      <c r="O329" s="10" t="n"/>
      <c r="P329" s="11" t="n"/>
      <c r="Q329" s="10" t="n"/>
      <c r="R329" s="12" t="inlineStr">
        <is>
          <t>2026-06-17</t>
        </is>
      </c>
      <c r="S329" s="17" t="n"/>
      <c r="T329" s="21" t="inlineStr">
        <is>
          <t>名 [DANH] · tên gọi, danh tiếng
    ↳ Chiết tự: bộ 夕 (tịch – buổi tối) + 口 (khẩu – miệng) — trời tối không nhìn rõ, phải xưng tên</t>
        </is>
      </c>
      <c r="U329" s="22" t="inlineStr">
        <is>
          <t>👨‍👩‍👧 Gia đình &amp; Con người</t>
        </is>
      </c>
      <c r="V329" s="63" t="inlineStr">
        <is>
          <t>请写上你的名。</t>
        </is>
      </c>
      <c r="W329" s="64" t="inlineStr">
        <is>
          <t>Qǐng xiě shàng nǐ de míng.
Xin viết tên của bạn vào.</t>
        </is>
      </c>
    </row>
    <row r="330" hidden="1" ht="34.9" customHeight="1" s="99">
      <c r="A330" s="2" t="n">
        <v>493</v>
      </c>
      <c r="B330" s="25" t="inlineStr">
        <is>
          <t>HSK1+2</t>
        </is>
      </c>
      <c r="C330" s="4" t="inlineStr">
        <is>
          <t>男</t>
        </is>
      </c>
      <c r="D330" s="5" t="inlineStr">
        <is>
          <t>nán</t>
        </is>
      </c>
      <c r="E330" s="6" t="inlineStr">
        <is>
          <t>nam (giới tính)</t>
        </is>
      </c>
      <c r="F330" s="7" t="inlineStr">
        <is>
          <t>男</t>
        </is>
      </c>
      <c r="G330" s="13" t="inlineStr">
        <is>
          <t>男</t>
        </is>
      </c>
      <c r="H330" s="8">
        <f>IF(TRIM($G330)="","",IF(EXACT(TRIM($G330),TRIM($C330)),"✅ Đúng","❌ Sai"))</f>
        <v/>
      </c>
      <c r="I330" s="9">
        <f>HYPERLINK("https://translate.google.com/translate_tts?ie=UTF-8&amp;tl=zh-CN&amp;client=tw-ob&amp;q=男","▶")</f>
        <v/>
      </c>
      <c r="J330" s="9">
        <f>HYPERLINK("https://youglish.com/pronounce/男/chinese","🔍")</f>
        <v/>
      </c>
      <c r="K330" s="10" t="n"/>
      <c r="L330" s="11" t="n"/>
      <c r="M330" s="10" t="n"/>
      <c r="N330" s="11" t="n"/>
      <c r="O330" s="10" t="n"/>
      <c r="P330" s="11" t="n"/>
      <c r="Q330" s="10" t="n"/>
      <c r="R330" s="12" t="inlineStr">
        <is>
          <t>2026-06-17</t>
        </is>
      </c>
      <c r="S330" s="18" t="n"/>
      <c r="T330" s="21" t="inlineStr">
        <is>
          <t>男 [NAM] · nam giới, con trai
    ↳ Chiết tự: bộ 田 (điền – ruộng) + 力 (lực – sức) — người dùng sức cày ruộng</t>
        </is>
      </c>
      <c r="U330" s="22" t="inlineStr">
        <is>
          <t>👨‍👩‍👧 Gia đình &amp; Con người</t>
        </is>
      </c>
      <c r="V330" s="63" t="inlineStr">
        <is>
          <t>他是一个男老师。</t>
        </is>
      </c>
      <c r="W330" s="64" t="inlineStr">
        <is>
          <t>Tā shì yí ge nán lǎoshī.
Thầy ấy là giáo viên nam.</t>
        </is>
      </c>
    </row>
    <row r="331" ht="93" customHeight="1" s="99">
      <c r="A331" s="2" t="n">
        <v>494</v>
      </c>
      <c r="B331" s="3" t="inlineStr">
        <is>
          <t>HSK1</t>
        </is>
      </c>
      <c r="C331" s="4" t="inlineStr">
        <is>
          <t>男孩儿</t>
        </is>
      </c>
      <c r="D331" s="5" t="inlineStr">
        <is>
          <t>nánháir</t>
        </is>
      </c>
      <c r="E331" s="6" t="inlineStr">
        <is>
          <t>cậu bé</t>
        </is>
      </c>
      <c r="F331" s="7" t="inlineStr">
        <is>
          <t>男孩</t>
        </is>
      </c>
      <c r="G331" s="7" t="n"/>
      <c r="H331" s="8">
        <f>IF(TRIM($G331)="","",IF(EXACT(TRIM($G331),TRIM($C331)),"✅ Đúng","❌ Sai"))</f>
        <v/>
      </c>
      <c r="I331" s="9">
        <f>HYPERLINK("https://translate.google.com/translate_tts?ie=UTF-8&amp;tl=zh-CN&amp;client=tw-ob&amp;q=男孩儿","▶")</f>
        <v/>
      </c>
      <c r="J331" s="9">
        <f>HYPERLINK("https://youglish.com/pronounce/男孩儿/chinese","🔍")</f>
        <v/>
      </c>
      <c r="K331" s="10" t="n"/>
      <c r="L331" s="11" t="n"/>
      <c r="M331" s="10" t="n"/>
      <c r="N331" s="11" t="n"/>
      <c r="O331" s="10" t="n"/>
      <c r="P331" s="11" t="n"/>
      <c r="Q331" s="10" t="n"/>
      <c r="R331" s="12" t="inlineStr">
        <is>
          <t>2026-06-17</t>
        </is>
      </c>
      <c r="S331" s="17" t="n"/>
      <c r="T331" s="21" t="inlineStr">
        <is>
          <t>男 [NAM] · nam giới, con trai
    ↳ Chiết tự: bộ 田 (điền – ruộng) + 力 (lực – sức) — người dùng sức cày ruộng
孩 [HÀI] · trẻ con
    ↳ Chiết tự: bộ 子 (tử – con) + 亥 (hợi – âm đọc) — hình thanh
儿 [NHI] · trẻ con; hậu tố danh từ
    ↳ Chiết tự: giản thể của 兒: bộ 儿 (nhân đi – hai chân người) — hình trẻ thóp đầu chưa liền</t>
        </is>
      </c>
      <c r="U331" s="22" t="inlineStr">
        <is>
          <t>👨‍👩‍👧 Gia đình &amp; Con người</t>
        </is>
      </c>
      <c r="V331" s="63" t="inlineStr">
        <is>
          <t>那个男孩儿很聪明。</t>
        </is>
      </c>
      <c r="W331" s="64" t="inlineStr">
        <is>
          <t>Nàge nánháir hěn cōngming.
Cậu bé kia rất thông minh.</t>
        </is>
      </c>
    </row>
    <row r="332" hidden="1" ht="104.65" customHeight="1" s="99">
      <c r="A332" s="2" t="n">
        <v>495</v>
      </c>
      <c r="B332" s="3" t="inlineStr">
        <is>
          <t>HSK1</t>
        </is>
      </c>
      <c r="C332" s="4" t="inlineStr">
        <is>
          <t>男朋友</t>
        </is>
      </c>
      <c r="D332" s="5" t="inlineStr">
        <is>
          <t>nánpéngyǒu</t>
        </is>
      </c>
      <c r="E332" s="6" t="inlineStr">
        <is>
          <t>bạn trai</t>
        </is>
      </c>
      <c r="F332" s="7" t="inlineStr">
        <is>
          <t>男朋友</t>
        </is>
      </c>
      <c r="G332" s="13" t="inlineStr">
        <is>
          <t>男朋友</t>
        </is>
      </c>
      <c r="H332" s="8">
        <f>IF(TRIM($G332)="","",IF(EXACT(TRIM($G332),TRIM($C332)),"✅ Đúng","❌ Sai"))</f>
        <v/>
      </c>
      <c r="I332" s="9">
        <f>HYPERLINK("https://translate.google.com/translate_tts?ie=UTF-8&amp;tl=zh-CN&amp;client=tw-ob&amp;q=男朋友","▶")</f>
        <v/>
      </c>
      <c r="J332" s="9">
        <f>HYPERLINK("https://youglish.com/pronounce/男朋友/chinese","🔍")</f>
        <v/>
      </c>
      <c r="K332" s="10" t="n"/>
      <c r="L332" s="11" t="n"/>
      <c r="M332" s="10" t="n"/>
      <c r="N332" s="11" t="n"/>
      <c r="O332" s="10" t="n"/>
      <c r="P332" s="11" t="n"/>
      <c r="Q332" s="10" t="n"/>
      <c r="R332" s="12" t="inlineStr">
        <is>
          <t>2026-06-17</t>
        </is>
      </c>
      <c r="S332" s="18" t="n"/>
      <c r="T332" s="21" t="inlineStr">
        <is>
          <t>男 [NAM] · nam giới, con trai
    ↳ Chiết tự: bộ 田 (điền – ruộng) + 力 (lực – sức) — người dùng sức cày ruộng
朋 [BẰNG] · bạn bè
    ↳ Chiết tự: hai bộ 月 — hình hai xâu vỏ sò treo sóng đôi, bạn cùng nhóm
友 [HỮU] · bạn bè, thân thiết
    ↳ Chiết tự: hai bộ 又 (hựu – bàn tay) chồng nhau — hai bàn tay nắm lấy nhau</t>
        </is>
      </c>
      <c r="U332" s="22" t="inlineStr">
        <is>
          <t>👨‍👩‍👧 Gia đình &amp; Con người</t>
        </is>
      </c>
      <c r="V332" s="63" t="inlineStr">
        <is>
          <t>她的男朋友是医生。</t>
        </is>
      </c>
      <c r="W332" s="64" t="inlineStr">
        <is>
          <t>Tā de nánpéngyou shì yīshēng.
Bạn trai cô ấy là bác sĩ.</t>
        </is>
      </c>
    </row>
    <row r="333" hidden="1" ht="69.75" customHeight="1" s="99">
      <c r="A333" s="2" t="n">
        <v>496</v>
      </c>
      <c r="B333" s="3" t="inlineStr">
        <is>
          <t>HSK1</t>
        </is>
      </c>
      <c r="C333" s="4" t="inlineStr">
        <is>
          <t>男人</t>
        </is>
      </c>
      <c r="D333" s="5" t="inlineStr">
        <is>
          <t>nánrén</t>
        </is>
      </c>
      <c r="E333" s="6" t="inlineStr">
        <is>
          <t>đàn ông</t>
        </is>
      </c>
      <c r="F333" s="7" t="inlineStr">
        <is>
          <t>男人</t>
        </is>
      </c>
      <c r="G333" s="13" t="inlineStr">
        <is>
          <t>男人</t>
        </is>
      </c>
      <c r="H333" s="8">
        <f>IF(TRIM($G333)="","",IF(EXACT(TRIM($G333),TRIM($C333)),"✅ Đúng","❌ Sai"))</f>
        <v/>
      </c>
      <c r="I333" s="9">
        <f>HYPERLINK("https://translate.google.com/translate_tts?ie=UTF-8&amp;tl=zh-CN&amp;client=tw-ob&amp;q=男人","▶")</f>
        <v/>
      </c>
      <c r="J333" s="9">
        <f>HYPERLINK("https://youglish.com/pronounce/男人/chinese","🔍")</f>
        <v/>
      </c>
      <c r="K333" s="10" t="n"/>
      <c r="L333" s="11" t="n"/>
      <c r="M333" s="10" t="n"/>
      <c r="N333" s="11" t="n"/>
      <c r="O333" s="10" t="n"/>
      <c r="P333" s="11" t="n"/>
      <c r="Q333" s="10" t="n"/>
      <c r="R333" s="12" t="inlineStr">
        <is>
          <t>2026-06-17</t>
        </is>
      </c>
      <c r="S333" s="17" t="n"/>
      <c r="T333" s="21" t="inlineStr">
        <is>
          <t>男 [NAM] · nam giới, con trai
    ↳ Chiết tự: bộ 田 (điền – ruộng) + 力 (lực – sức) — người dùng sức cày ruộng
人 [NHÂN] · người, con người
    ↳ Chiết tự: bộ 人 (nhân) — hình người đứng nghiêng, dang hai chân</t>
        </is>
      </c>
      <c r="U333" s="22" t="inlineStr">
        <is>
          <t>👨‍👩‍👧 Gia đình &amp; Con người</t>
        </is>
      </c>
      <c r="V333" s="63" t="inlineStr">
        <is>
          <t>那个男人是他爸爸。</t>
        </is>
      </c>
      <c r="W333" s="64" t="inlineStr">
        <is>
          <t>Nàge nánrén shì tā bàba.
Người đàn ông kia là bố cậu ấy.</t>
        </is>
      </c>
    </row>
    <row r="334" hidden="1" ht="58.15" customHeight="1" s="99">
      <c r="A334" s="2" t="n">
        <v>497</v>
      </c>
      <c r="B334" s="3" t="inlineStr">
        <is>
          <t>HSK1</t>
        </is>
      </c>
      <c r="C334" s="4" t="inlineStr">
        <is>
          <t>男生</t>
        </is>
      </c>
      <c r="D334" s="5" t="inlineStr">
        <is>
          <t>nánshēng</t>
        </is>
      </c>
      <c r="E334" s="6" t="inlineStr">
        <is>
          <t>nam sinh</t>
        </is>
      </c>
      <c r="F334" s="7" t="inlineStr">
        <is>
          <t>男生</t>
        </is>
      </c>
      <c r="G334" s="13" t="inlineStr">
        <is>
          <t>男生</t>
        </is>
      </c>
      <c r="H334" s="8">
        <f>IF(TRIM($G334)="","",IF(EXACT(TRIM($G334),TRIM($C334)),"✅ Đúng","❌ Sai"))</f>
        <v/>
      </c>
      <c r="I334" s="9">
        <f>HYPERLINK("https://translate.google.com/translate_tts?ie=UTF-8&amp;tl=zh-CN&amp;client=tw-ob&amp;q=男生","▶")</f>
        <v/>
      </c>
      <c r="J334" s="9">
        <f>HYPERLINK("https://youglish.com/pronounce/男生/chinese","🔍")</f>
        <v/>
      </c>
      <c r="K334" s="10" t="n"/>
      <c r="L334" s="11" t="n"/>
      <c r="M334" s="10" t="n"/>
      <c r="N334" s="11" t="n"/>
      <c r="O334" s="10" t="n"/>
      <c r="P334" s="11" t="n"/>
      <c r="Q334" s="10" t="n"/>
      <c r="R334" s="12" t="inlineStr">
        <is>
          <t>2026-06-17</t>
        </is>
      </c>
      <c r="S334" s="18" t="n"/>
      <c r="T334" s="21" t="inlineStr">
        <is>
          <t>男 [NAM] · nam giới, con trai
    ↳ Chiết tự: bộ 田 (điền – ruộng) + 力 (lực – sức) — người dùng sức cày ruộng
生 [SINH] · sinh ra, sống; học trò; sống (chưa chín)
    ↳ Chiết tự: bộ 生 (sinh) — hình mầm cây nhú lên khỏi mặt đất</t>
        </is>
      </c>
      <c r="U334" s="22" t="inlineStr">
        <is>
          <t>👨‍👩‍👧 Gia đình &amp; Con người</t>
        </is>
      </c>
      <c r="V334" s="63" t="inlineStr">
        <is>
          <t>男生在打球。</t>
        </is>
      </c>
      <c r="W334" s="64" t="inlineStr">
        <is>
          <t>Nánshēng zài dǎ qiú.
Nam sinh đang chơi bóng.</t>
        </is>
      </c>
    </row>
    <row r="335" ht="35.65" customHeight="1" s="99">
      <c r="A335" s="26" t="n">
        <v>500</v>
      </c>
      <c r="B335" s="80" t="inlineStr">
        <is>
          <t>HSK1</t>
        </is>
      </c>
      <c r="C335" s="80" t="inlineStr">
        <is>
          <t>爸</t>
        </is>
      </c>
      <c r="D335" s="80" t="inlineStr">
        <is>
          <t>bà</t>
        </is>
      </c>
      <c r="E335" s="80" t="inlineStr">
        <is>
          <t>bố (rút gọn)</t>
        </is>
      </c>
      <c r="F335" s="26" t="n"/>
      <c r="G335" s="7" t="n"/>
      <c r="H335" s="8">
        <f>IF(TRIM($G335)="","",IF(EXACT(TRIM($G335),TRIM($C335)),"✅ Đúng","❌ Sai"))</f>
        <v/>
      </c>
      <c r="I335" s="53">
        <f>HYPERLINK("https://translate.google.com/translate_tts?ie=UTF-8&amp;tl=zh-CN&amp;client=tw-ob&amp;q=爸","▶")</f>
        <v/>
      </c>
      <c r="J335" s="53">
        <f>HYPERLINK("https://youglish.com/pronounce/爸/chinese","🔍")</f>
        <v/>
      </c>
      <c r="K335" s="26" t="n"/>
      <c r="L335" s="26" t="n"/>
      <c r="M335" s="26" t="n"/>
      <c r="N335" s="26" t="n"/>
      <c r="O335" s="26" t="n"/>
      <c r="P335" s="26" t="n"/>
      <c r="Q335" s="26" t="n"/>
      <c r="R335" s="39" t="inlineStr">
        <is>
          <t>2026-06-17</t>
        </is>
      </c>
      <c r="S335" s="41" t="n"/>
      <c r="T335" s="49" t="inlineStr">
        <is>
          <t>爸 [BA] · bố, ba, cha
    ↳ Chiết tự: bộ 父 (phụ – người cha) + 巴 (ba – âm đọc) — hình thanh</t>
        </is>
      </c>
      <c r="U335" s="45" t="inlineStr">
        <is>
          <t>👨‍👩‍👧 Gia đình &amp; Con người</t>
        </is>
      </c>
      <c r="V335" s="63" t="inlineStr">
        <is>
          <t>爸，我回来了。</t>
        </is>
      </c>
      <c r="W335" s="64" t="inlineStr">
        <is>
          <t>Bà, wǒ huílai le.
Bố ơi, con về rồi.</t>
        </is>
      </c>
    </row>
    <row r="336" ht="58.9" customHeight="1" s="99">
      <c r="A336" s="26" t="n">
        <v>504</v>
      </c>
      <c r="B336" s="79" t="inlineStr">
        <is>
          <t>HSK2</t>
        </is>
      </c>
      <c r="C336" s="80" t="inlineStr">
        <is>
          <t>女儿</t>
        </is>
      </c>
      <c r="D336" s="80" t="inlineStr">
        <is>
          <t>nǚ'ér</t>
        </is>
      </c>
      <c r="E336" s="80" t="inlineStr">
        <is>
          <t>con gái</t>
        </is>
      </c>
      <c r="F336" s="26" t="n"/>
      <c r="G336" s="7" t="n"/>
      <c r="H336" s="8">
        <f>IF(TRIM($G336)="","",IF(EXACT(TRIM($G336),TRIM($C336)),"✅ Đúng","❌ Sai"))</f>
        <v/>
      </c>
      <c r="I336" s="52" t="inlineStr">
        <is>
          <t>▶</t>
        </is>
      </c>
      <c r="J336" s="52" t="inlineStr">
        <is>
          <t>🔍</t>
        </is>
      </c>
      <c r="K336" s="26" t="n"/>
      <c r="L336" s="26" t="n"/>
      <c r="M336" s="26" t="n"/>
      <c r="N336" s="26" t="n"/>
      <c r="O336" s="26" t="n"/>
      <c r="P336" s="26" t="n"/>
      <c r="Q336" s="26" t="n"/>
      <c r="R336" s="39" t="n">
        <v>46236</v>
      </c>
      <c r="S336" s="41" t="n"/>
      <c r="T336" s="47" t="inlineStr">
        <is>
          <t>女 [NỮ] · nữ giới, con gái
    ↳ Chiết tự: bộ 女 (nữ) — hình người phụ nữ quỳ khoanh tay
儿 [NHI] · trẻ con; hậu tố danh từ
    ↳ Chiết tự: giản thể của 兒: bộ 儿 (nhân đi – hai chân người) — hình trẻ thóp đầu chưa liền</t>
        </is>
      </c>
      <c r="U336" s="44" t="inlineStr">
        <is>
          <t>👨‍👩‍👧 Gia đình &amp; Con người</t>
        </is>
      </c>
      <c r="V336" s="63" t="inlineStr">
        <is>
          <t>他的女儿五岁了。</t>
        </is>
      </c>
      <c r="W336" s="64" t="inlineStr">
        <is>
          <t>Tā de nǚ'ér wǔ suì le.
Con gái anh ấy năm tuổi rồi.</t>
        </is>
      </c>
    </row>
    <row r="337" hidden="1" ht="58.9" customHeight="1" s="99">
      <c r="A337" s="26" t="n">
        <v>517</v>
      </c>
      <c r="B337" s="79" t="inlineStr">
        <is>
          <t>HSK2</t>
        </is>
      </c>
      <c r="C337" s="80" t="inlineStr">
        <is>
          <t>大家</t>
        </is>
      </c>
      <c r="D337" s="80" t="inlineStr">
        <is>
          <t>dàjiā</t>
        </is>
      </c>
      <c r="E337" s="80" t="inlineStr">
        <is>
          <t>mọi người</t>
        </is>
      </c>
      <c r="F337" s="26" t="n"/>
      <c r="G337" s="13" t="inlineStr">
        <is>
          <t>大家</t>
        </is>
      </c>
      <c r="H337" s="8">
        <f>IF(TRIM($G337)="","",IF(EXACT(TRIM($G337),TRIM($C337)),"✅ Đúng","❌ Sai"))</f>
        <v/>
      </c>
      <c r="I337" s="52" t="inlineStr">
        <is>
          <t>▶</t>
        </is>
      </c>
      <c r="J337" s="52" t="inlineStr">
        <is>
          <t>🔍</t>
        </is>
      </c>
      <c r="K337" s="26" t="n"/>
      <c r="L337" s="26" t="n"/>
      <c r="M337" s="26" t="n"/>
      <c r="N337" s="26" t="n"/>
      <c r="O337" s="26" t="n"/>
      <c r="P337" s="26" t="n"/>
      <c r="Q337" s="26" t="n"/>
      <c r="R337" s="39" t="n">
        <v>46236</v>
      </c>
      <c r="S337" s="41" t="n"/>
      <c r="T337" s="47" t="inlineStr">
        <is>
          <t>大 [ĐẠI] · to lớn, vĩ đại
    ↳ Chiết tự: bộ 大 (đại) — hình người dang rộng hai tay hai chân
家 [GIA] · nhà, gia đình; nhà chuyên môn
    ↳ Chiết tự: bộ 宀 (miên – mái nhà) + 豕 (thỉ – con lợn) — dưới mái có nuôi lợn mới là một gia đình</t>
        </is>
      </c>
      <c r="U337" s="44" t="inlineStr">
        <is>
          <t>👨‍👩‍👧 Gia đình &amp; Con người</t>
        </is>
      </c>
      <c r="V337" s="63" t="inlineStr">
        <is>
          <t>大家好！</t>
        </is>
      </c>
      <c r="W337" s="64" t="inlineStr">
        <is>
          <t>Dàjiā hǎo!
Xin chào mọi người!</t>
        </is>
      </c>
    </row>
    <row r="338" hidden="1" ht="58.9" customHeight="1" s="99">
      <c r="A338" s="26" t="n">
        <v>538</v>
      </c>
      <c r="B338" s="79" t="inlineStr">
        <is>
          <t>HSK2</t>
        </is>
      </c>
      <c r="C338" s="80" t="inlineStr">
        <is>
          <t>妻子</t>
        </is>
      </c>
      <c r="D338" s="80" t="inlineStr">
        <is>
          <t>qīzi</t>
        </is>
      </c>
      <c r="E338" s="80" t="inlineStr">
        <is>
          <t>vợ</t>
        </is>
      </c>
      <c r="F338" s="26" t="n"/>
      <c r="G338" s="13" t="inlineStr">
        <is>
          <t>妻子</t>
        </is>
      </c>
      <c r="H338" s="8">
        <f>IF(TRIM($G338)="","",IF(EXACT(TRIM($G338),TRIM($C338)),"✅ Đúng","❌ Sai"))</f>
        <v/>
      </c>
      <c r="I338" s="52" t="inlineStr">
        <is>
          <t>▶</t>
        </is>
      </c>
      <c r="J338" s="52" t="inlineStr">
        <is>
          <t>🔍</t>
        </is>
      </c>
      <c r="K338" s="26" t="n"/>
      <c r="L338" s="26" t="n"/>
      <c r="M338" s="26" t="n"/>
      <c r="N338" s="26" t="n"/>
      <c r="O338" s="26" t="n"/>
      <c r="P338" s="26" t="n"/>
      <c r="Q338" s="26" t="n"/>
      <c r="R338" s="39" t="n">
        <v>46236</v>
      </c>
      <c r="S338" s="41" t="n"/>
      <c r="T338" s="47" t="inlineStr">
        <is>
          <t>妻 [THÊ] · vợ
    ↳ Chiết tự: bộ 女 (nữ – phụ nữ) + 彐 (kệ – bàn tay) — người phụ nữ chải tóc, đã thành gia thất
子 [TỬ] · con cái; hậu tố danh từ; ngài
    ↳ Chiết tự: bộ 子 (tử) — hình em bé quấn tã, hai tay giơ lên</t>
        </is>
      </c>
      <c r="U338" s="44" t="inlineStr">
        <is>
          <t>👨‍👩‍👧 Gia đình &amp; Con người</t>
        </is>
      </c>
      <c r="V338" s="63" t="inlineStr">
        <is>
          <t>他的妻子是老师。</t>
        </is>
      </c>
      <c r="W338" s="64" t="inlineStr">
        <is>
          <t>Tā de qīzi shì lǎoshī.
Vợ anh ấy là giáo viên.</t>
        </is>
      </c>
    </row>
    <row r="339" ht="35.65" customHeight="1" s="99">
      <c r="A339" s="26" t="n">
        <v>557</v>
      </c>
      <c r="B339" s="79" t="inlineStr">
        <is>
          <t>HSK2</t>
        </is>
      </c>
      <c r="C339" s="80" t="inlineStr">
        <is>
          <t>姓</t>
        </is>
      </c>
      <c r="D339" s="80" t="inlineStr">
        <is>
          <t>xìng</t>
        </is>
      </c>
      <c r="E339" s="80" t="inlineStr">
        <is>
          <t>họ, mang họ</t>
        </is>
      </c>
      <c r="F339" s="26" t="n"/>
      <c r="G339" s="7" t="n"/>
      <c r="H339" s="8">
        <f>IF(TRIM($G339)="","",IF(EXACT(TRIM($G339),TRIM($C339)),"✅ Đúng","❌ Sai"))</f>
        <v/>
      </c>
      <c r="I339" s="52" t="inlineStr">
        <is>
          <t>▶</t>
        </is>
      </c>
      <c r="J339" s="52" t="inlineStr">
        <is>
          <t>🔍</t>
        </is>
      </c>
      <c r="K339" s="26" t="n"/>
      <c r="L339" s="26" t="n"/>
      <c r="M339" s="26" t="n"/>
      <c r="N339" s="26" t="n"/>
      <c r="O339" s="26" t="n"/>
      <c r="P339" s="26" t="n"/>
      <c r="Q339" s="26" t="n"/>
      <c r="R339" s="39" t="n">
        <v>46236</v>
      </c>
      <c r="S339" s="41" t="n"/>
      <c r="T339" s="47" t="inlineStr">
        <is>
          <t>姓 [TÍNH] · họ (tên họ)
    ↳ Chiết tự: bộ 女 (nữ – phụ nữ) + 生 (sinh – sinh ra) — dòng dõi tính theo người mẹ sinh ra</t>
        </is>
      </c>
      <c r="U339" s="44" t="inlineStr">
        <is>
          <t>👨‍👩‍👧 Gia đình &amp; Con người</t>
        </is>
      </c>
      <c r="V339" s="63" t="inlineStr">
        <is>
          <t>我姓王。</t>
        </is>
      </c>
      <c r="W339" s="64" t="inlineStr">
        <is>
          <t>Wǒ xìng Wáng.
Tôi họ Vương.</t>
        </is>
      </c>
    </row>
    <row r="340" hidden="1" ht="58.9" customHeight="1" s="99">
      <c r="A340" s="26" t="n">
        <v>572</v>
      </c>
      <c r="B340" s="79" t="inlineStr">
        <is>
          <t>HSK2</t>
        </is>
      </c>
      <c r="C340" s="80" t="inlineStr">
        <is>
          <t>丈夫</t>
        </is>
      </c>
      <c r="D340" s="80" t="inlineStr">
        <is>
          <t>zhàngfu</t>
        </is>
      </c>
      <c r="E340" s="80" t="inlineStr">
        <is>
          <t>chồng</t>
        </is>
      </c>
      <c r="F340" s="26" t="n"/>
      <c r="G340" s="13" t="inlineStr">
        <is>
          <t>丈夫</t>
        </is>
      </c>
      <c r="H340" s="8">
        <f>IF(TRIM($G340)="","",IF(EXACT(TRIM($G340),TRIM($C340)),"✅ Đúng","❌ Sai"))</f>
        <v/>
      </c>
      <c r="I340" s="52" t="inlineStr">
        <is>
          <t>▶</t>
        </is>
      </c>
      <c r="J340" s="52" t="inlineStr">
        <is>
          <t>🔍</t>
        </is>
      </c>
      <c r="K340" s="26" t="n"/>
      <c r="L340" s="26" t="n"/>
      <c r="M340" s="26" t="n"/>
      <c r="N340" s="26" t="n"/>
      <c r="O340" s="26" t="n"/>
      <c r="P340" s="26" t="n"/>
      <c r="Q340" s="26" t="n"/>
      <c r="R340" s="39" t="n">
        <v>46236</v>
      </c>
      <c r="S340" s="41" t="n"/>
      <c r="T340" s="47" t="inlineStr">
        <is>
          <t>丈 [TRƯỢNG] · trượng (đơn vị dài); 丈夫 = chồng
    ↳ Chiết tự: bộ 一 (nhất) + 乂 — hình tay cầm gậy đo
夫 [PHU] · người đàn ông, người chồng
    ↳ Chiết tự: bộ 大 (đại – người) + 一 (nhất – cây trâm) — đàn ông trưởng thành cài trâm</t>
        </is>
      </c>
      <c r="U340" s="44" t="inlineStr">
        <is>
          <t>👨‍👩‍👧 Gia đình &amp; Con người</t>
        </is>
      </c>
      <c r="V340" s="63" t="inlineStr">
        <is>
          <t>她的丈夫在银行工作。</t>
        </is>
      </c>
      <c r="W340" s="64" t="inlineStr">
        <is>
          <t>Tā de zhàngfu zài yínháng gōngzuò.
Chồng cô ấy làm ở ngân hàng.</t>
        </is>
      </c>
    </row>
    <row r="341" hidden="1" ht="93" customHeight="1" s="99">
      <c r="A341" s="2" t="n">
        <v>32</v>
      </c>
      <c r="B341" s="25" t="inlineStr">
        <is>
          <t>HSK1+2</t>
        </is>
      </c>
      <c r="C341" s="4" t="inlineStr">
        <is>
          <t>不客气</t>
        </is>
      </c>
      <c r="D341" s="5" t="inlineStr">
        <is>
          <t>búkèqi</t>
        </is>
      </c>
      <c r="E341" s="6" t="inlineStr">
        <is>
          <t>không có gì</t>
        </is>
      </c>
      <c r="F341" s="7" t="inlineStr">
        <is>
          <t>不客气</t>
        </is>
      </c>
      <c r="G341" s="7" t="inlineStr">
        <is>
          <t>不客气</t>
        </is>
      </c>
      <c r="H341" s="8">
        <f>IF(TRIM($G341)="","",IF(EXACT(TRIM($G341),TRIM($C341)),"✅ Đúng","❌ Sai"))</f>
        <v/>
      </c>
      <c r="I341" s="9">
        <f>HYPERLINK("https://translate.google.com/translate_tts?ie=UTF-8&amp;tl=zh-CN&amp;client=tw-ob&amp;q=不客气","▶")</f>
        <v/>
      </c>
      <c r="J341" s="9">
        <f>HYPERLINK("https://youglish.com/pronounce/不客气/chinese","🔍")</f>
        <v/>
      </c>
      <c r="K341" s="10" t="n"/>
      <c r="L341" s="11" t="n"/>
      <c r="M341" s="10" t="n"/>
      <c r="N341" s="11" t="n"/>
      <c r="O341" s="10" t="n"/>
      <c r="P341" s="11" t="n"/>
      <c r="Q341" s="10" t="n"/>
      <c r="R341" s="12" t="inlineStr">
        <is>
          <t>2026-06-17</t>
        </is>
      </c>
      <c r="S341" s="18" t="n"/>
      <c r="T341" s="21" t="inlineStr">
        <is>
          <t>不 [BẤT] · không, chẳng (phủ định)
    ↳ Chiết tự: bộ 一 (nhất – vòm trời) + 丿 (phiệt) — chim bay lên đụng trời, không qua được
客 [KHÁCH] · khách, người ngoài
    ↳ Chiết tự: bộ 宀 (miên – mái nhà) + 各 (các – âm đọc) — người từ ngoài ghé vào nhà
气 [KHÍ] · hơi, không khí; tức giận
    ↳ Chiết tự: giản thể của 氣: bộ 气 (khí) — hình làn hơi bốc lên</t>
        </is>
      </c>
      <c r="U341" s="22" t="inlineStr">
        <is>
          <t>💬 Giao tiếp &amp; Lễ nghi</t>
        </is>
      </c>
      <c r="V341" s="63" t="inlineStr">
        <is>
          <t>不客气，这是应该的。</t>
        </is>
      </c>
      <c r="W341" s="64" t="inlineStr">
        <is>
          <t>Bú kèqi, zhè shì yīnggāi de.
Không có gì, chuyện nên làm thôi.</t>
        </is>
      </c>
    </row>
    <row r="342" ht="34.9" customHeight="1" s="99">
      <c r="A342" s="2" t="n">
        <v>40</v>
      </c>
      <c r="B342" s="3" t="inlineStr">
        <is>
          <t>HSK1</t>
        </is>
      </c>
      <c r="C342" s="4" t="inlineStr">
        <is>
          <t>唱</t>
        </is>
      </c>
      <c r="D342" s="5" t="inlineStr">
        <is>
          <t>chàng</t>
        </is>
      </c>
      <c r="E342" s="6" t="inlineStr">
        <is>
          <t>hát</t>
        </is>
      </c>
      <c r="F342" s="7" t="n"/>
      <c r="G342" s="7" t="inlineStr">
        <is>
          <t>唱</t>
        </is>
      </c>
      <c r="H342" s="8">
        <f>IF(TRIM($G342)="","",IF(EXACT(TRIM($G342),TRIM($C342)),"✅ Đúng","❌ Sai"))</f>
        <v/>
      </c>
      <c r="I342" s="9">
        <f>HYPERLINK("https://translate.google.com/translate_tts?ie=UTF-8&amp;tl=zh-CN&amp;client=tw-ob&amp;q=唱","▶")</f>
        <v/>
      </c>
      <c r="J342" s="9">
        <f>HYPERLINK("https://youglish.com/pronounce/唱/chinese","🔍")</f>
        <v/>
      </c>
      <c r="K342" s="10" t="n"/>
      <c r="L342" s="11" t="n"/>
      <c r="M342" s="10" t="n"/>
      <c r="N342" s="11" t="n"/>
      <c r="O342" s="10" t="n"/>
      <c r="P342" s="11" t="n"/>
      <c r="Q342" s="10" t="n"/>
      <c r="R342" s="12" t="inlineStr">
        <is>
          <t>2026-06-17</t>
        </is>
      </c>
      <c r="S342" s="18" t="n"/>
      <c r="T342" s="21" t="inlineStr">
        <is>
          <t>唱 [XƯỚNG] · hát, xướng lên
    ↳ Chiết tự: bộ 口 (khẩu – miệng) + 昌 (xương – rạng rỡ) — miệng cất tiếng ca vang</t>
        </is>
      </c>
      <c r="U342" s="22" t="inlineStr">
        <is>
          <t>💬 Giao tiếp &amp; Lễ nghi</t>
        </is>
      </c>
      <c r="V342" s="63" t="inlineStr">
        <is>
          <t>她唱得很好。</t>
        </is>
      </c>
      <c r="W342" s="64" t="inlineStr">
        <is>
          <t>Tā chàng de hěn hǎo.
Cô ấy hát rất hay.</t>
        </is>
      </c>
    </row>
    <row r="343" ht="69.75" customHeight="1" s="99">
      <c r="A343" s="2" t="n">
        <v>41</v>
      </c>
      <c r="B343" s="25" t="inlineStr">
        <is>
          <t>HSK1+2</t>
        </is>
      </c>
      <c r="C343" s="4" t="inlineStr">
        <is>
          <t>唱歌</t>
        </is>
      </c>
      <c r="D343" s="5" t="inlineStr">
        <is>
          <t>chànggē</t>
        </is>
      </c>
      <c r="E343" s="6" t="inlineStr">
        <is>
          <t>hát, ca hát</t>
        </is>
      </c>
      <c r="F343" s="7" t="n"/>
      <c r="G343" s="7" t="inlineStr">
        <is>
          <t>唱歌</t>
        </is>
      </c>
      <c r="H343" s="8">
        <f>IF(TRIM($G343)="","",IF(EXACT(TRIM($G343),TRIM($C343)),"✅ Đúng","❌ Sai"))</f>
        <v/>
      </c>
      <c r="I343" s="9">
        <f>HYPERLINK("https://translate.google.com/translate_tts?ie=UTF-8&amp;tl=zh-CN&amp;client=tw-ob&amp;q=唱歌","▶")</f>
        <v/>
      </c>
      <c r="J343" s="9">
        <f>HYPERLINK("https://youglish.com/pronounce/唱歌/chinese","🔍")</f>
        <v/>
      </c>
      <c r="K343" s="10" t="n"/>
      <c r="L343" s="11" t="n"/>
      <c r="M343" s="10" t="n"/>
      <c r="N343" s="11" t="n"/>
      <c r="O343" s="10" t="n"/>
      <c r="P343" s="11" t="n"/>
      <c r="Q343" s="10" t="n"/>
      <c r="R343" s="12" t="inlineStr">
        <is>
          <t>2026-06-17</t>
        </is>
      </c>
      <c r="S343" s="17" t="n"/>
      <c r="T343" s="21" t="inlineStr">
        <is>
          <t>唱 [XƯỚNG] · hát, xướng lên
    ↳ Chiết tự: bộ 口 (khẩu – miệng) + 昌 (xương – rạng rỡ) — miệng cất tiếng ca vang
歌 [CA] · hát, bài ca
    ↳ Chiết tự: bộ 哥 (ca – âm đọc) + 欠 (khiếm – há miệng) — mở miệng cất tiếng</t>
        </is>
      </c>
      <c r="U343" s="22" t="inlineStr">
        <is>
          <t>💬 Giao tiếp &amp; Lễ nghi</t>
        </is>
      </c>
      <c r="V343" s="63" t="inlineStr">
        <is>
          <t>我喜欢唱歌。</t>
        </is>
      </c>
      <c r="W343" s="64" t="inlineStr">
        <is>
          <t>Wǒ xǐhuan chànggē.
Tôi thích ca hát.</t>
        </is>
      </c>
    </row>
    <row r="344" hidden="1" ht="104.65" customHeight="1" s="99">
      <c r="A344" s="2" t="n">
        <v>93</v>
      </c>
      <c r="B344" s="25" t="inlineStr">
        <is>
          <t>HSK1+2</t>
        </is>
      </c>
      <c r="C344" s="4" t="inlineStr">
        <is>
          <t>对不起</t>
        </is>
      </c>
      <c r="D344" s="5" t="inlineStr">
        <is>
          <t>duìbuqǐ</t>
        </is>
      </c>
      <c r="E344" s="6" t="inlineStr">
        <is>
          <t>xin lỗi</t>
        </is>
      </c>
      <c r="F344" s="7" t="inlineStr">
        <is>
          <t>对不起</t>
        </is>
      </c>
      <c r="G344" s="7" t="inlineStr">
        <is>
          <t>对不起</t>
        </is>
      </c>
      <c r="H344" s="8">
        <f>IF(TRIM($G344)="","",IF(EXACT(TRIM($G344),TRIM($C344)),"✅ Đúng","❌ Sai"))</f>
        <v/>
      </c>
      <c r="I344" s="9">
        <f>HYPERLINK("https://translate.google.com/translate_tts?ie=UTF-8&amp;tl=zh-CN&amp;client=tw-ob&amp;q=对不起","▶")</f>
        <v/>
      </c>
      <c r="J344" s="9">
        <f>HYPERLINK("https://youglish.com/pronounce/对不起/chinese","🔍")</f>
        <v/>
      </c>
      <c r="K344" s="10" t="n"/>
      <c r="L344" s="11" t="n"/>
      <c r="M344" s="10" t="n"/>
      <c r="N344" s="11" t="n"/>
      <c r="O344" s="10" t="n"/>
      <c r="P344" s="11" t="n"/>
      <c r="Q344" s="10" t="n"/>
      <c r="R344" s="12" t="inlineStr">
        <is>
          <t>2026-06-17</t>
        </is>
      </c>
      <c r="S344" s="17" t="n"/>
      <c r="T344" s="21" t="inlineStr">
        <is>
          <t>对 [ĐỐI] · đúng, đối diện, đối với
    ↳ Chiết tự: giản thể của 對: bộ 又 (hựu – bàn tay) + 寸 (thốn – tấc tay) — hai bên đối chiếu cho khớp
不 [BẤT] · không, chẳng (phủ định)
    ↳ Chiết tự: bộ 一 (nhất – vòm trời) + 丿 (phiệt) — chim bay lên đụng trời, không qua được
起 [KHỞI] · đứng dậy, khởi đầu, nổi lên
    ↳ Chiết tự: bộ 走 (tẩu – đi) + 己 (kỷ – bản thân) — tự mình bước dậy</t>
        </is>
      </c>
      <c r="U344" s="22" t="inlineStr">
        <is>
          <t>💬 Giao tiếp &amp; Lễ nghi</t>
        </is>
      </c>
      <c r="V344" s="63" t="inlineStr">
        <is>
          <t>对不起，我来晚了。</t>
        </is>
      </c>
      <c r="W344" s="64" t="inlineStr">
        <is>
          <t>Duìbuqǐ, wǒ lái wǎn le.
Xin lỗi, tôi đến muộn.</t>
        </is>
      </c>
    </row>
    <row r="345" hidden="1" ht="69.75" customHeight="1" s="99">
      <c r="A345" s="2" t="n">
        <v>117</v>
      </c>
      <c r="B345" s="25" t="inlineStr">
        <is>
          <t>HSK1+2</t>
        </is>
      </c>
      <c r="C345" s="4" t="inlineStr">
        <is>
          <t>告诉</t>
        </is>
      </c>
      <c r="D345" s="5" t="inlineStr">
        <is>
          <t>gàosù</t>
        </is>
      </c>
      <c r="E345" s="6" t="inlineStr">
        <is>
          <t>nói, kể lại</t>
        </is>
      </c>
      <c r="F345" s="7" t="n"/>
      <c r="G345" s="7" t="inlineStr">
        <is>
          <t>告诉</t>
        </is>
      </c>
      <c r="H345" s="8">
        <f>IF(TRIM($G345)="","",IF(EXACT(TRIM($G345),TRIM($C345)),"✅ Đúng","❌ Sai"))</f>
        <v/>
      </c>
      <c r="I345" s="9">
        <f>HYPERLINK("https://translate.google.com/translate_tts?ie=UTF-8&amp;tl=zh-CN&amp;client=tw-ob&amp;q=告诉","▶")</f>
        <v/>
      </c>
      <c r="J345" s="9">
        <f>HYPERLINK("https://youglish.com/pronounce/告诉/chinese","🔍")</f>
        <v/>
      </c>
      <c r="K345" s="10" t="n"/>
      <c r="L345" s="11" t="n"/>
      <c r="M345" s="10" t="n"/>
      <c r="N345" s="11" t="n"/>
      <c r="O345" s="10" t="n"/>
      <c r="P345" s="11" t="n"/>
      <c r="Q345" s="10" t="n"/>
      <c r="R345" s="12" t="inlineStr">
        <is>
          <t>2026-06-17</t>
        </is>
      </c>
      <c r="S345" s="17" t="n"/>
      <c r="T345" s="21" t="inlineStr">
        <is>
          <t>告 [CÁO] · báo cho biết, tố cáo
    ↳ Chiết tự: bộ 牛 (ngưu – trâu) + 口 (khẩu – miệng) — dâng trâu tế và khấn báo
诉 [TỐ] · kể, nói cho biết, tố cáo
    ↳ Chiết tự: giản thể của 訴: bộ 讠 (ngôn – lời nói) + 斥 (xích – âm đọc) — bày tỏ bằng lời</t>
        </is>
      </c>
      <c r="U345" s="22" t="inlineStr">
        <is>
          <t>💬 Giao tiếp &amp; Lễ nghi</t>
        </is>
      </c>
      <c r="V345" s="63" t="inlineStr">
        <is>
          <t>请告诉我你的电话。</t>
        </is>
      </c>
      <c r="W345" s="64" t="inlineStr">
        <is>
          <t>Qǐng gàosu wǒ nǐ de diànhuà.
Xin cho tôi biết số điện thoại của bạn.</t>
        </is>
      </c>
    </row>
    <row r="346" hidden="1" ht="34.9" customHeight="1" s="99">
      <c r="A346" s="2" t="n">
        <v>119</v>
      </c>
      <c r="B346" s="3" t="inlineStr">
        <is>
          <t>HSK1</t>
        </is>
      </c>
      <c r="C346" s="4" t="inlineStr">
        <is>
          <t>歌</t>
        </is>
      </c>
      <c r="D346" s="5" t="inlineStr">
        <is>
          <t>gē</t>
        </is>
      </c>
      <c r="E346" s="6" t="inlineStr">
        <is>
          <t>bài hát</t>
        </is>
      </c>
      <c r="F346" s="7" t="n"/>
      <c r="G346" s="7" t="inlineStr">
        <is>
          <t>歌</t>
        </is>
      </c>
      <c r="H346" s="8">
        <f>IF(TRIM($G346)="","",IF(EXACT(TRIM($G346),TRIM($C346)),"✅ Đúng","❌ Sai"))</f>
        <v/>
      </c>
      <c r="I346" s="9">
        <f>HYPERLINK("https://translate.google.com/translate_tts?ie=UTF-8&amp;tl=zh-CN&amp;client=tw-ob&amp;q=歌","▶")</f>
        <v/>
      </c>
      <c r="J346" s="9">
        <f>HYPERLINK("https://youglish.com/pronounce/歌/chinese","🔍")</f>
        <v/>
      </c>
      <c r="K346" s="10" t="n"/>
      <c r="L346" s="11" t="n"/>
      <c r="M346" s="10" t="n"/>
      <c r="N346" s="11" t="n"/>
      <c r="O346" s="10" t="n"/>
      <c r="P346" s="11" t="n"/>
      <c r="Q346" s="10" t="n"/>
      <c r="R346" s="12" t="inlineStr">
        <is>
          <t>2026-06-17</t>
        </is>
      </c>
      <c r="S346" s="17" t="n"/>
      <c r="T346" s="21" t="inlineStr">
        <is>
          <t>歌 [CA] · hát, bài ca
    ↳ Chiết tự: bộ 哥 (ca – âm đọc) + 欠 (khiếm – há miệng) — mở miệng cất tiếng</t>
        </is>
      </c>
      <c r="U346" s="22" t="inlineStr">
        <is>
          <t>💬 Giao tiếp &amp; Lễ nghi</t>
        </is>
      </c>
      <c r="V346" s="63" t="inlineStr">
        <is>
          <t>这首歌很好听。</t>
        </is>
      </c>
      <c r="W346" s="64" t="inlineStr">
        <is>
          <t>Zhè shǒu gē hěn hǎotīng.
Bài hát này rất hay.</t>
        </is>
      </c>
    </row>
    <row r="347" hidden="1" ht="34.9" customHeight="1" s="99">
      <c r="A347" s="2" t="n">
        <v>151</v>
      </c>
      <c r="B347" s="3" t="inlineStr">
        <is>
          <t>HSK1</t>
        </is>
      </c>
      <c r="C347" s="4" t="inlineStr">
        <is>
          <t>话</t>
        </is>
      </c>
      <c r="D347" s="5" t="inlineStr">
        <is>
          <t>huà</t>
        </is>
      </c>
      <c r="E347" s="6" t="inlineStr">
        <is>
          <t>lời nói</t>
        </is>
      </c>
      <c r="F347" s="7" t="n"/>
      <c r="G347" s="7" t="inlineStr">
        <is>
          <t>话</t>
        </is>
      </c>
      <c r="H347" s="8">
        <f>IF(TRIM($G347)="","",IF(EXACT(TRIM($G347),TRIM($C347)),"✅ Đúng","❌ Sai"))</f>
        <v/>
      </c>
      <c r="I347" s="9">
        <f>HYPERLINK("https://translate.google.com/translate_tts?ie=UTF-8&amp;tl=zh-CN&amp;client=tw-ob&amp;q=话","▶")</f>
        <v/>
      </c>
      <c r="J347" s="9">
        <f>HYPERLINK("https://youglish.com/pronounce/话/chinese","🔍")</f>
        <v/>
      </c>
      <c r="K347" s="10" t="n"/>
      <c r="L347" s="11" t="n"/>
      <c r="M347" s="10" t="n"/>
      <c r="N347" s="11" t="n"/>
      <c r="O347" s="10" t="n"/>
      <c r="P347" s="11" t="n"/>
      <c r="Q347" s="10" t="n"/>
      <c r="R347" s="12" t="inlineStr">
        <is>
          <t>2026-06-17</t>
        </is>
      </c>
      <c r="S347" s="17" t="n"/>
      <c r="T347" s="21" t="inlineStr">
        <is>
          <t>话 [THOẠI] · lời nói, câu chuyện
    ↳ Chiết tự: giản thể của 話: bộ 讠 (ngôn – lời nói) + 舌 (thiệt – cái lưỡi) — lưỡi phát thành lời</t>
        </is>
      </c>
      <c r="U347" s="22" t="inlineStr">
        <is>
          <t>💬 Giao tiếp &amp; Lễ nghi</t>
        </is>
      </c>
      <c r="V347" s="63" t="inlineStr">
        <is>
          <t>他的话我听不懂。</t>
        </is>
      </c>
      <c r="W347" s="64" t="inlineStr">
        <is>
          <t>Tā de huà wǒ tīng bu dǒng.
Lời anh ấy tôi nghe không hiểu.</t>
        </is>
      </c>
    </row>
    <row r="348" hidden="1" ht="34.9" customHeight="1" s="99">
      <c r="A348" s="2" t="n">
        <v>173</v>
      </c>
      <c r="B348" s="3" t="inlineStr">
        <is>
          <t>HSK1</t>
        </is>
      </c>
      <c r="C348" s="4" t="inlineStr">
        <is>
          <t>见</t>
        </is>
      </c>
      <c r="D348" s="5" t="inlineStr">
        <is>
          <t>jiàn</t>
        </is>
      </c>
      <c r="E348" s="6" t="inlineStr">
        <is>
          <t>gặp, thấy</t>
        </is>
      </c>
      <c r="F348" s="7" t="n"/>
      <c r="G348" s="7" t="inlineStr">
        <is>
          <t>见</t>
        </is>
      </c>
      <c r="H348" s="8">
        <f>IF(TRIM($G348)="","",IF(EXACT(TRIM($G348),TRIM($C348)),"✅ Đúng","❌ Sai"))</f>
        <v/>
      </c>
      <c r="I348" s="9">
        <f>HYPERLINK("https://translate.google.com/translate_tts?ie=UTF-8&amp;tl=zh-CN&amp;client=tw-ob&amp;q=见","▶")</f>
        <v/>
      </c>
      <c r="J348" s="9">
        <f>HYPERLINK("https://youglish.com/pronounce/见/chinese","🔍")</f>
        <v/>
      </c>
      <c r="K348" s="10" t="n"/>
      <c r="L348" s="11" t="n"/>
      <c r="M348" s="10" t="n"/>
      <c r="N348" s="11" t="n"/>
      <c r="O348" s="10" t="n"/>
      <c r="P348" s="11" t="n"/>
      <c r="Q348" s="10" t="n"/>
      <c r="R348" s="12" t="inlineStr">
        <is>
          <t>2026-06-17</t>
        </is>
      </c>
      <c r="S348" s="17" t="n"/>
      <c r="T348" s="21" t="inlineStr">
        <is>
          <t>见 [KIẾN] · thấy, gặp mặt
    ↳ Chiết tự: giản thể của 見: bộ 目 (mục – con mắt) trên 儿 (nhân đi – người) — người mở mắt trông</t>
        </is>
      </c>
      <c r="U348" s="22" t="inlineStr">
        <is>
          <t>💬 Giao tiếp &amp; Lễ nghi</t>
        </is>
      </c>
      <c r="V348" s="63" t="inlineStr">
        <is>
          <t>明天见！</t>
        </is>
      </c>
      <c r="W348" s="64" t="inlineStr">
        <is>
          <t>Míngtiān jiàn!
Mai gặp lại!</t>
        </is>
      </c>
    </row>
    <row r="349" hidden="1" ht="69.75" customHeight="1" s="99">
      <c r="A349" s="2" t="n">
        <v>174</v>
      </c>
      <c r="B349" s="60" t="inlineStr">
        <is>
          <t>HSK1+3</t>
        </is>
      </c>
      <c r="C349" s="4" t="inlineStr">
        <is>
          <t>见面</t>
        </is>
      </c>
      <c r="D349" s="5" t="inlineStr">
        <is>
          <t>jiànmiàn</t>
        </is>
      </c>
      <c r="E349" s="6" t="inlineStr">
        <is>
          <t>gặp mặt</t>
        </is>
      </c>
      <c r="F349" s="7" t="n"/>
      <c r="G349" s="7" t="inlineStr">
        <is>
          <t>见面</t>
        </is>
      </c>
      <c r="H349" s="8">
        <f>IF(TRIM($G349)="","",IF(EXACT(TRIM($G349),TRIM($C349)),"✅ Đúng","❌ Sai"))</f>
        <v/>
      </c>
      <c r="I349" s="9">
        <f>HYPERLINK("https://translate.google.com/translate_tts?ie=UTF-8&amp;tl=zh-CN&amp;client=tw-ob&amp;q=见面","▶")</f>
        <v/>
      </c>
      <c r="J349" s="9">
        <f>HYPERLINK("https://youglish.com/pronounce/见面/chinese","🔍")</f>
        <v/>
      </c>
      <c r="K349" s="10" t="n"/>
      <c r="L349" s="11" t="n"/>
      <c r="M349" s="10" t="n"/>
      <c r="N349" s="11" t="n"/>
      <c r="O349" s="10" t="n"/>
      <c r="P349" s="11" t="n"/>
      <c r="Q349" s="10" t="n"/>
      <c r="R349" s="12" t="inlineStr">
        <is>
          <t>2026-06-17</t>
        </is>
      </c>
      <c r="S349" s="18" t="n"/>
      <c r="T349" s="21" t="inlineStr">
        <is>
          <t>见 [KIẾN] · thấy, gặp mặt
    ↳ Chiết tự: giản thể của 見: bộ 目 (mục – con mắt) trên 儿 (nhân đi – người) — người mở mắt trông
面 [DIỆN] · mặt, bề mặt, phía; sợi mì
    ↳ Chiết tự: bộ 面 (diện) — hình khuôn mặt có con mắt; giản thể gộp cả 麵 (mì)</t>
        </is>
      </c>
      <c r="U349" s="22" t="inlineStr">
        <is>
          <t>💬 Giao tiếp &amp; Lễ nghi</t>
        </is>
      </c>
      <c r="V349" s="63" t="inlineStr">
        <is>
          <t>我们什么时候见面？</t>
        </is>
      </c>
      <c r="W349" s="64" t="inlineStr">
        <is>
          <t>Wǒmen shénme shíhou jiànmiàn?
Chúng ta gặp nhau khi nào?</t>
        </is>
      </c>
    </row>
    <row r="350" hidden="1" ht="34.9" customHeight="1" s="99">
      <c r="A350" s="2" t="n">
        <v>176</v>
      </c>
      <c r="B350" s="25" t="inlineStr">
        <is>
          <t>HSK1+2</t>
        </is>
      </c>
      <c r="C350" s="4" t="inlineStr">
        <is>
          <t>叫</t>
        </is>
      </c>
      <c r="D350" s="5" t="inlineStr">
        <is>
          <t>jiào</t>
        </is>
      </c>
      <c r="E350" s="6" t="inlineStr">
        <is>
          <t>gọi, kêu</t>
        </is>
      </c>
      <c r="F350" s="13" t="inlineStr">
        <is>
          <t>叫</t>
        </is>
      </c>
      <c r="G350" s="7" t="inlineStr">
        <is>
          <t>叫</t>
        </is>
      </c>
      <c r="H350" s="8">
        <f>IF(TRIM($G350)="","",IF(EXACT(TRIM($G350),TRIM($C350)),"✅ Đúng","❌ Sai"))</f>
        <v/>
      </c>
      <c r="I350" s="9">
        <f>HYPERLINK("https://translate.google.com/translate_tts?ie=UTF-8&amp;tl=zh-CN&amp;client=tw-ob&amp;q=叫","▶")</f>
        <v/>
      </c>
      <c r="J350" s="9">
        <f>HYPERLINK("https://youglish.com/pronounce/叫/chinese","🔍")</f>
        <v/>
      </c>
      <c r="K350" s="10" t="n"/>
      <c r="L350" s="11" t="n"/>
      <c r="M350" s="10" t="n"/>
      <c r="N350" s="11" t="n"/>
      <c r="O350" s="10" t="n"/>
      <c r="P350" s="11" t="n"/>
      <c r="Q350" s="10" t="n"/>
      <c r="R350" s="12" t="inlineStr">
        <is>
          <t>2026-06-17</t>
        </is>
      </c>
      <c r="S350" s="18" t="n"/>
      <c r="T350" s="21" t="inlineStr">
        <is>
          <t>叫 [KHIẾU] · kêu, gọi, tên là
    ↳ Chiết tự: bộ 口 (khẩu – miệng) + 丩 (cù – âm đọc) — miệng cất tiếng gọi</t>
        </is>
      </c>
      <c r="U350" s="22" t="inlineStr">
        <is>
          <t>💬 Giao tiếp &amp; Lễ nghi</t>
        </is>
      </c>
      <c r="V350" s="63" t="inlineStr">
        <is>
          <t>我叫小明。</t>
        </is>
      </c>
      <c r="W350" s="64" t="inlineStr">
        <is>
          <t>Wǒ jiào Xiǎomíng.
Tôi tên là Tiểu Minh.</t>
        </is>
      </c>
    </row>
    <row r="351" hidden="1" ht="69.75" customHeight="1" s="99">
      <c r="A351" s="2" t="n">
        <v>179</v>
      </c>
      <c r="B351" s="25" t="inlineStr">
        <is>
          <t>HSK1+2</t>
        </is>
      </c>
      <c r="C351" s="4" t="inlineStr">
        <is>
          <t>介绍</t>
        </is>
      </c>
      <c r="D351" s="5" t="inlineStr">
        <is>
          <t>jièshào</t>
        </is>
      </c>
      <c r="E351" s="6" t="inlineStr">
        <is>
          <t>giới thiệu</t>
        </is>
      </c>
      <c r="F351" s="7" t="n"/>
      <c r="G351" s="7" t="inlineStr">
        <is>
          <t>介绍</t>
        </is>
      </c>
      <c r="H351" s="8">
        <f>IF(TRIM($G351)="","",IF(EXACT(TRIM($G351),TRIM($C351)),"✅ Đúng","❌ Sai"))</f>
        <v/>
      </c>
      <c r="I351" s="9">
        <f>HYPERLINK("https://translate.google.com/translate_tts?ie=UTF-8&amp;tl=zh-CN&amp;client=tw-ob&amp;q=介绍","▶")</f>
        <v/>
      </c>
      <c r="J351" s="9">
        <f>HYPERLINK("https://youglish.com/pronounce/介绍/chinese","🔍")</f>
        <v/>
      </c>
      <c r="K351" s="10" t="n"/>
      <c r="L351" s="11" t="n"/>
      <c r="M351" s="10" t="n"/>
      <c r="N351" s="11" t="n"/>
      <c r="O351" s="10" t="n"/>
      <c r="P351" s="11" t="n"/>
      <c r="Q351" s="10" t="n"/>
      <c r="R351" s="12" t="inlineStr">
        <is>
          <t>2026-06-17</t>
        </is>
      </c>
      <c r="S351" s="17" t="n"/>
      <c r="T351" s="21" t="inlineStr">
        <is>
          <t>介 [GIỚI] · ở giữa, giới thiệu, môi giới
    ↳ Chiết tự: bộ 人 (nhân – người) + 八 (bát – chia hai bên) — người đứng chen giữa hai bên
绍 [THIỆU] · nối tiếp, giới thiệu
    ↳ Chiết tự: giản thể của 紹: bộ 纟 (mịch – sợi tơ) + 召 (triệu – gọi) — nối hai bên lại như nối sợi</t>
        </is>
      </c>
      <c r="U351" s="22" t="inlineStr">
        <is>
          <t>💬 Giao tiếp &amp; Lễ nghi</t>
        </is>
      </c>
      <c r="V351" s="63" t="inlineStr">
        <is>
          <t>我给你介绍一下。</t>
        </is>
      </c>
      <c r="W351" s="64" t="inlineStr">
        <is>
          <t>Wǒ gěi nǐ jièshào yíxià.
Tôi giới thiệu cho bạn một chút.</t>
        </is>
      </c>
    </row>
    <row r="352" hidden="1" ht="104.65" customHeight="1" s="99">
      <c r="A352" s="2" t="n">
        <v>191</v>
      </c>
      <c r="B352" s="3" t="inlineStr">
        <is>
          <t>HSK1</t>
        </is>
      </c>
      <c r="C352" s="4" t="inlineStr">
        <is>
          <t>开玩笑</t>
        </is>
      </c>
      <c r="D352" s="5" t="inlineStr">
        <is>
          <t>kāiwánxiào</t>
        </is>
      </c>
      <c r="E352" s="6" t="inlineStr">
        <is>
          <t>nói đùa</t>
        </is>
      </c>
      <c r="F352" s="7" t="n"/>
      <c r="G352" s="7" t="inlineStr">
        <is>
          <t>开玩笑</t>
        </is>
      </c>
      <c r="H352" s="8">
        <f>IF(TRIM($G352)="","",IF(EXACT(TRIM($G352),TRIM($C352)),"✅ Đúng","❌ Sai"))</f>
        <v/>
      </c>
      <c r="I352" s="9">
        <f>HYPERLINK("https://translate.google.com/translate_tts?ie=UTF-8&amp;tl=zh-CN&amp;client=tw-ob&amp;q=开玩笑","▶")</f>
        <v/>
      </c>
      <c r="J352" s="9">
        <f>HYPERLINK("https://youglish.com/pronounce/开玩笑/chinese","🔍")</f>
        <v/>
      </c>
      <c r="K352" s="10" t="n"/>
      <c r="L352" s="11" t="n"/>
      <c r="M352" s="10" t="n"/>
      <c r="N352" s="11" t="n"/>
      <c r="O352" s="10" t="n"/>
      <c r="P352" s="11" t="n"/>
      <c r="Q352" s="10" t="n"/>
      <c r="R352" s="12" t="inlineStr">
        <is>
          <t>2026-06-17</t>
        </is>
      </c>
      <c r="S352" s="17" t="n"/>
      <c r="T352" s="21" t="inlineStr">
        <is>
          <t>开 [KHAI] · mở ra, bắt đầu, khai trương
    ↳ Chiết tự: giản thể của 開: bộ 廾 (củng – hai tay) — hai tay nhấc then cửa lên
玩 [NGOẠN] · chơi đùa, thưởng ngoạn
    ↳ Chiết tự: bộ 王 (ngọc – viên ngọc) + 元 (nguyên – âm đọc) — mân mê viên ngọc trong tay
笑 [TIẾU] · cười
    ↳ Chiết tự: bộ 竹 (trúc – cây tre) + 夭 (yêu – uốn cong) — tre rung như người cười ngả nghiêng</t>
        </is>
      </c>
      <c r="U352" s="22" t="inlineStr">
        <is>
          <t>💬 Giao tiếp &amp; Lễ nghi</t>
        </is>
      </c>
      <c r="V352" s="63" t="inlineStr">
        <is>
          <t>你别开玩笑了。</t>
        </is>
      </c>
      <c r="W352" s="64" t="inlineStr">
        <is>
          <t>Nǐ bié kāi wánxiào le.
Bạn đừng đùa nữa.</t>
        </is>
      </c>
    </row>
    <row r="353" hidden="1" ht="58.15" customHeight="1" s="99">
      <c r="A353" s="2" t="n">
        <v>202</v>
      </c>
      <c r="B353" s="3" t="inlineStr">
        <is>
          <t>HSK1</t>
        </is>
      </c>
      <c r="C353" s="4" t="inlineStr">
        <is>
          <t>客气</t>
        </is>
      </c>
      <c r="D353" s="5" t="inlineStr">
        <is>
          <t>kèqi</t>
        </is>
      </c>
      <c r="E353" s="6" t="inlineStr">
        <is>
          <t>khách sáo</t>
        </is>
      </c>
      <c r="F353" s="7" t="n"/>
      <c r="G353" s="7" t="inlineStr">
        <is>
          <t>客气</t>
        </is>
      </c>
      <c r="H353" s="8">
        <f>IF(TRIM($G353)="","",IF(EXACT(TRIM($G353),TRIM($C353)),"✅ Đúng","❌ Sai"))</f>
        <v/>
      </c>
      <c r="I353" s="9">
        <f>HYPERLINK("https://translate.google.com/translate_tts?ie=UTF-8&amp;tl=zh-CN&amp;client=tw-ob&amp;q=客气","▶")</f>
        <v/>
      </c>
      <c r="J353" s="9">
        <f>HYPERLINK("https://youglish.com/pronounce/客气/chinese","🔍")</f>
        <v/>
      </c>
      <c r="K353" s="10" t="n"/>
      <c r="L353" s="11" t="n"/>
      <c r="M353" s="10" t="n"/>
      <c r="N353" s="11" t="n"/>
      <c r="O353" s="10" t="n"/>
      <c r="P353" s="11" t="n"/>
      <c r="Q353" s="10" t="n"/>
      <c r="R353" s="12" t="inlineStr">
        <is>
          <t>2026-06-17</t>
        </is>
      </c>
      <c r="S353" s="18" t="n"/>
      <c r="T353" s="21" t="inlineStr">
        <is>
          <t>客 [KHÁCH] · khách, người ngoài
    ↳ Chiết tự: bộ 宀 (miên – mái nhà) + 各 (các – âm đọc) — người từ ngoài ghé vào nhà
气 [KHÍ] · hơi, không khí; tức giận
    ↳ Chiết tự: giản thể của 氣: bộ 气 (khí) — hình làn hơi bốc lên</t>
        </is>
      </c>
      <c r="U353" s="22" t="inlineStr">
        <is>
          <t>💬 Giao tiếp &amp; Lễ nghi</t>
        </is>
      </c>
      <c r="V353" s="63" t="inlineStr">
        <is>
          <t>你太客气了。</t>
        </is>
      </c>
      <c r="W353" s="64" t="inlineStr">
        <is>
          <t>Nǐ tài kèqi le.
Bạn khách sáo quá.</t>
        </is>
      </c>
    </row>
    <row r="354" hidden="1" ht="34.9" customHeight="1" s="99">
      <c r="A354" s="2" t="n">
        <v>204</v>
      </c>
      <c r="B354" s="60" t="inlineStr">
        <is>
          <t>HSK1+3</t>
        </is>
      </c>
      <c r="C354" s="4" t="inlineStr">
        <is>
          <t>哭</t>
        </is>
      </c>
      <c r="D354" s="5" t="inlineStr">
        <is>
          <t>kū</t>
        </is>
      </c>
      <c r="E354" s="6" t="inlineStr">
        <is>
          <t>khóc</t>
        </is>
      </c>
      <c r="F354" s="7" t="n"/>
      <c r="G354" s="7" t="inlineStr">
        <is>
          <t>哭</t>
        </is>
      </c>
      <c r="H354" s="8">
        <f>IF(TRIM($G354)="","",IF(EXACT(TRIM($G354),TRIM($C354)),"✅ Đúng","❌ Sai"))</f>
        <v/>
      </c>
      <c r="I354" s="9">
        <f>HYPERLINK("https://translate.google.com/translate_tts?ie=UTF-8&amp;tl=zh-CN&amp;client=tw-ob&amp;q=哭","▶")</f>
        <v/>
      </c>
      <c r="J354" s="9">
        <f>HYPERLINK("https://youglish.com/pronounce/哭/chinese","🔍")</f>
        <v/>
      </c>
      <c r="K354" s="10" t="n"/>
      <c r="L354" s="11" t="n"/>
      <c r="M354" s="10" t="n"/>
      <c r="N354" s="11" t="n"/>
      <c r="O354" s="10" t="n"/>
      <c r="P354" s="11" t="n"/>
      <c r="Q354" s="10" t="n"/>
      <c r="R354" s="12" t="inlineStr">
        <is>
          <t>2026-06-17</t>
        </is>
      </c>
      <c r="S354" s="18" t="n"/>
      <c r="T354" s="21" t="inlineStr">
        <is>
          <t>哭 [KHỐC] · khóc, than khóc
    ↳ Chiết tự: hai bộ 口 (khẩu – hai mắt) + 犬 (khuyển – con chó) — tiếng gào như chó tru</t>
        </is>
      </c>
      <c r="U354" s="22" t="inlineStr">
        <is>
          <t>💬 Giao tiếp &amp; Lễ nghi</t>
        </is>
      </c>
      <c r="V354" s="63" t="inlineStr">
        <is>
          <t>孩子哭了。</t>
        </is>
      </c>
      <c r="W354" s="64" t="inlineStr">
        <is>
          <t>Háizi kū le.
Đứa trẻ khóc rồi.</t>
        </is>
      </c>
    </row>
    <row r="355" hidden="1" ht="93" customHeight="1" s="99">
      <c r="A355" s="2" t="n">
        <v>230</v>
      </c>
      <c r="B355" s="25" t="inlineStr">
        <is>
          <t>HSK1+2</t>
        </is>
      </c>
      <c r="C355" s="4" t="inlineStr">
        <is>
          <t>没关系</t>
        </is>
      </c>
      <c r="D355" s="5" t="inlineStr">
        <is>
          <t>méiguānxi</t>
        </is>
      </c>
      <c r="E355" s="6" t="inlineStr">
        <is>
          <t>không sao</t>
        </is>
      </c>
      <c r="F355" s="13" t="inlineStr">
        <is>
          <t>没全息</t>
        </is>
      </c>
      <c r="G355" s="7" t="inlineStr">
        <is>
          <t>没关系</t>
        </is>
      </c>
      <c r="H355" s="8">
        <f>IF(TRIM($G355)="","",IF(EXACT(TRIM($G355),TRIM($C355)),"✅ Đúng","❌ Sai"))</f>
        <v/>
      </c>
      <c r="I355" s="9">
        <f>HYPERLINK("https://translate.google.com/translate_tts?ie=UTF-8&amp;tl=zh-CN&amp;client=tw-ob&amp;q=没关系","▶")</f>
        <v/>
      </c>
      <c r="J355" s="9">
        <f>HYPERLINK("https://youglish.com/pronounce/没关系/chinese","🔍")</f>
        <v/>
      </c>
      <c r="K355" s="10" t="n"/>
      <c r="L355" s="11" t="n"/>
      <c r="M355" s="10" t="n"/>
      <c r="N355" s="11" t="n"/>
      <c r="O355" s="10" t="n"/>
      <c r="P355" s="11" t="n"/>
      <c r="Q355" s="10" t="n"/>
      <c r="R355" s="12" t="inlineStr">
        <is>
          <t>2026-06-17</t>
        </is>
      </c>
      <c r="S355" s="18" t="n"/>
      <c r="T355" s="21" t="inlineStr">
        <is>
          <t>没 [MỘT / MẶC] · không có; chìm mất
    ↳ Chiết tự: bộ 氵 (thủy – nước) + 殳 (thù) — chìm xuống nước rồi mất
关 [QUAN] · đóng lại; liên quan; cửa ải
    ↳ Chiết tự: giản thể của 關: bộ 丷 (bát) + 天 (thiên) — hình then ngang cài cửa
系 [HỆ] · hệ thống, quan hệ; buộc
    ↳ Chiết tự: bộ 糸 (mịch – sợi tơ) + 丿 — sợi tơ buộc nối các vật</t>
        </is>
      </c>
      <c r="U355" s="22" t="inlineStr">
        <is>
          <t>💬 Giao tiếp &amp; Lễ nghi</t>
        </is>
      </c>
      <c r="V355" s="63" t="inlineStr">
        <is>
          <t>没关系，别担心。</t>
        </is>
      </c>
      <c r="W355" s="64" t="inlineStr">
        <is>
          <t>Méi guānxi, bié dānxīn.
Không sao, đừng lo.</t>
        </is>
      </c>
    </row>
    <row r="356" hidden="1" ht="69.75" customHeight="1" s="99">
      <c r="A356" s="2" t="n">
        <v>261</v>
      </c>
      <c r="B356" s="3" t="inlineStr">
        <is>
          <t>HSK1</t>
        </is>
      </c>
      <c r="C356" s="4" t="inlineStr">
        <is>
          <t>你好</t>
        </is>
      </c>
      <c r="D356" s="5" t="inlineStr">
        <is>
          <t>nǐhǎo</t>
        </is>
      </c>
      <c r="E356" s="6" t="inlineStr">
        <is>
          <t>xin chào</t>
        </is>
      </c>
      <c r="F356" s="13" t="inlineStr">
        <is>
          <t>你好</t>
        </is>
      </c>
      <c r="G356" s="7" t="inlineStr">
        <is>
          <t>你好</t>
        </is>
      </c>
      <c r="H356" s="8">
        <f>IF(TRIM($G356)="","",IF(EXACT(TRIM($G356),TRIM($C356)),"✅ Đúng","❌ Sai"))</f>
        <v/>
      </c>
      <c r="I356" s="9">
        <f>HYPERLINK("https://translate.google.com/translate_tts?ie=UTF-8&amp;tl=zh-CN&amp;client=tw-ob&amp;q=你好","▶")</f>
        <v/>
      </c>
      <c r="J356" s="9">
        <f>HYPERLINK("https://youglish.com/pronounce/你好/chinese","🔍")</f>
        <v/>
      </c>
      <c r="K356" s="10" t="n"/>
      <c r="L356" s="11" t="n"/>
      <c r="M356" s="10" t="n"/>
      <c r="N356" s="11" t="n"/>
      <c r="O356" s="10" t="n"/>
      <c r="P356" s="11" t="n"/>
      <c r="Q356" s="10" t="n"/>
      <c r="R356" s="12" t="inlineStr">
        <is>
          <t>2026-06-17</t>
        </is>
      </c>
      <c r="S356" s="17" t="n"/>
      <c r="T356" s="21" t="inlineStr">
        <is>
          <t>你 [NHĨ] · bạn, anh, chị (ngôi thứ hai)
    ↳ Chiết tự: bộ 亻 (nhân đứng – người) + 尔 (nhĩ – âm đọc) — người đối diện
好 [HẢO / HIẾU] · tốt đẹp; thích, yêu
    ↳ Chiết tự: bộ 女 (nữ – mẹ) + 子 (tử – con) — mẹ bồng con là cảnh tốt đẹp nhất</t>
        </is>
      </c>
      <c r="U356" s="22" t="inlineStr">
        <is>
          <t>💬 Giao tiếp &amp; Lễ nghi</t>
        </is>
      </c>
      <c r="V356" s="63" t="inlineStr">
        <is>
          <t>你好，我叫小王。</t>
        </is>
      </c>
      <c r="W356" s="64" t="inlineStr">
        <is>
          <t>Nǐ hǎo, wǒ jiào Xiǎo Wáng.
Xin chào, tôi tên Tiểu Vương.</t>
        </is>
      </c>
    </row>
    <row r="357" hidden="1" ht="34.9" customHeight="1" s="99">
      <c r="A357" s="2" t="n">
        <v>286</v>
      </c>
      <c r="B357" s="25" t="inlineStr">
        <is>
          <t>HSK1+2</t>
        </is>
      </c>
      <c r="C357" s="4" t="inlineStr">
        <is>
          <t>请</t>
        </is>
      </c>
      <c r="D357" s="5" t="inlineStr">
        <is>
          <t>qǐng</t>
        </is>
      </c>
      <c r="E357" s="6" t="inlineStr">
        <is>
          <t>mời</t>
        </is>
      </c>
      <c r="F357" s="7" t="n"/>
      <c r="G357" s="7" t="inlineStr">
        <is>
          <t>请</t>
        </is>
      </c>
      <c r="H357" s="8">
        <f>IF(TRIM($G357)="","",IF(EXACT(TRIM($G357),TRIM($C357)),"✅ Đúng","❌ Sai"))</f>
        <v/>
      </c>
      <c r="I357" s="9">
        <f>HYPERLINK("https://translate.google.com/translate_tts?ie=UTF-8&amp;tl=zh-CN&amp;client=tw-ob&amp;q=请","▶")</f>
        <v/>
      </c>
      <c r="J357" s="9">
        <f>HYPERLINK("https://youglish.com/pronounce/请/chinese","🔍")</f>
        <v/>
      </c>
      <c r="K357" s="10" t="n"/>
      <c r="L357" s="11" t="n"/>
      <c r="M357" s="10" t="n"/>
      <c r="N357" s="11" t="n"/>
      <c r="O357" s="10" t="n"/>
      <c r="P357" s="11" t="n"/>
      <c r="Q357" s="10" t="n"/>
      <c r="R357" s="12" t="inlineStr">
        <is>
          <t>2026-06-17</t>
        </is>
      </c>
      <c r="S357" s="17" t="n"/>
      <c r="T357" s="21" t="inlineStr">
        <is>
          <t>请 [THỈNH] · mời, xin, thỉnh cầu
    ↳ Chiết tự: giản thể của 請: bộ 讠 (ngôn – lời nói) + 青 (thanh – trong xanh) — lời nói nhã nhặn</t>
        </is>
      </c>
      <c r="U357" s="22" t="inlineStr">
        <is>
          <t>💬 Giao tiếp &amp; Lễ nghi</t>
        </is>
      </c>
      <c r="V357" s="63" t="inlineStr">
        <is>
          <t>请喝茶。</t>
        </is>
      </c>
      <c r="W357" s="64" t="inlineStr">
        <is>
          <t>Qǐng hē chá.
Mời uống trà.</t>
        </is>
      </c>
    </row>
    <row r="358" hidden="1" ht="69.75" customHeight="1" s="99">
      <c r="A358" s="2" t="n">
        <v>287</v>
      </c>
      <c r="B358" s="60" t="inlineStr">
        <is>
          <t>HSK1+3</t>
        </is>
      </c>
      <c r="C358" s="4" t="inlineStr">
        <is>
          <t>请假</t>
        </is>
      </c>
      <c r="D358" s="5" t="inlineStr">
        <is>
          <t>qǐngjià</t>
        </is>
      </c>
      <c r="E358" s="6" t="inlineStr">
        <is>
          <t>xin nghỉ phép</t>
        </is>
      </c>
      <c r="F358" s="7" t="n"/>
      <c r="G358" s="7" t="inlineStr">
        <is>
          <t>请假</t>
        </is>
      </c>
      <c r="H358" s="8">
        <f>IF(TRIM($G358)="","",IF(EXACT(TRIM($G358),TRIM($C358)),"✅ Đúng","❌ Sai"))</f>
        <v/>
      </c>
      <c r="I358" s="9">
        <f>HYPERLINK("https://translate.google.com/translate_tts?ie=UTF-8&amp;tl=zh-CN&amp;client=tw-ob&amp;q=请假","▶")</f>
        <v/>
      </c>
      <c r="J358" s="9">
        <f>HYPERLINK("https://youglish.com/pronounce/请假/chinese","🔍")</f>
        <v/>
      </c>
      <c r="K358" s="10" t="n"/>
      <c r="L358" s="11" t="n"/>
      <c r="M358" s="10" t="n"/>
      <c r="N358" s="11" t="n"/>
      <c r="O358" s="10" t="n"/>
      <c r="P358" s="11" t="n"/>
      <c r="Q358" s="10" t="n"/>
      <c r="R358" s="12" t="inlineStr">
        <is>
          <t>2026-06-17</t>
        </is>
      </c>
      <c r="S358" s="18" t="n"/>
      <c r="T358" s="21" t="inlineStr">
        <is>
          <t>请 [THỈNH] · mời, xin, thỉnh cầu
    ↳ Chiết tự: giản thể của 請: bộ 讠 (ngôn – lời nói) + 青 (thanh – trong xanh) — lời nói nhã nhặn
假 [GIẢ / GIÁ] · giả tạo; nghỉ phép
    ↳ Chiết tự: bộ 亻 (nhân đứng – người) + 叚 (giả – mượn) — người mượn tạm, mượn ngày nghỉ</t>
        </is>
      </c>
      <c r="U358" s="22" t="inlineStr">
        <is>
          <t>💬 Giao tiếp &amp; Lễ nghi</t>
        </is>
      </c>
      <c r="V358" s="63" t="inlineStr">
        <is>
          <t>我想请一天假。</t>
        </is>
      </c>
      <c r="W358" s="64" t="inlineStr">
        <is>
          <t>Wǒ xiǎng qǐng yì tiān jià.
Tôi muốn xin nghỉ một ngày.</t>
        </is>
      </c>
    </row>
    <row r="359" hidden="1" ht="69.75" customHeight="1" s="99">
      <c r="A359" s="2" t="n">
        <v>288</v>
      </c>
      <c r="B359" s="3" t="inlineStr">
        <is>
          <t>HSK1</t>
        </is>
      </c>
      <c r="C359" s="4" t="inlineStr">
        <is>
          <t>请进</t>
        </is>
      </c>
      <c r="D359" s="5" t="inlineStr">
        <is>
          <t>qǐngjìn</t>
        </is>
      </c>
      <c r="E359" s="6" t="inlineStr">
        <is>
          <t>mời vào</t>
        </is>
      </c>
      <c r="F359" s="7" t="n"/>
      <c r="G359" s="7" t="inlineStr">
        <is>
          <t>请进</t>
        </is>
      </c>
      <c r="H359" s="8">
        <f>IF(TRIM($G359)="","",IF(EXACT(TRIM($G359),TRIM($C359)),"✅ Đúng","❌ Sai"))</f>
        <v/>
      </c>
      <c r="I359" s="9">
        <f>HYPERLINK("https://translate.google.com/translate_tts?ie=UTF-8&amp;tl=zh-CN&amp;client=tw-ob&amp;q=请进","▶")</f>
        <v/>
      </c>
      <c r="J359" s="9">
        <f>HYPERLINK("https://youglish.com/pronounce/请进/chinese","🔍")</f>
        <v/>
      </c>
      <c r="K359" s="10" t="n"/>
      <c r="L359" s="11" t="n"/>
      <c r="M359" s="10" t="n"/>
      <c r="N359" s="11" t="n"/>
      <c r="O359" s="10" t="n"/>
      <c r="P359" s="11" t="n"/>
      <c r="Q359" s="10" t="n"/>
      <c r="R359" s="12" t="inlineStr">
        <is>
          <t>2026-06-17</t>
        </is>
      </c>
      <c r="S359" s="17" t="n"/>
      <c r="T359" s="21" t="inlineStr">
        <is>
          <t>请 [THỈNH] · mời, xin, thỉnh cầu
    ↳ Chiết tự: giản thể của 請: bộ 讠 (ngôn – lời nói) + 青 (thanh – trong xanh) — lời nói nhã nhặn
进 [TIẾN] · đi vào, tiến lên
    ↳ Chiết tự: giản thể của 進: bộ 辶 (sước – bước đi) + 井 (tỉnh – âm đọc) — bước vào bên trong</t>
        </is>
      </c>
      <c r="U359" s="22" t="inlineStr">
        <is>
          <t>💬 Giao tiếp &amp; Lễ nghi</t>
        </is>
      </c>
      <c r="V359" s="63" t="inlineStr">
        <is>
          <t>请进，请坐。</t>
        </is>
      </c>
      <c r="W359" s="64" t="inlineStr">
        <is>
          <t>Qǐng jìn, qǐng zuò.
Xin vào, xin ngồi.</t>
        </is>
      </c>
    </row>
    <row r="360" hidden="1" ht="69.75" customHeight="1" s="99">
      <c r="A360" s="2" t="n">
        <v>289</v>
      </c>
      <c r="B360" s="3" t="inlineStr">
        <is>
          <t>HSK1</t>
        </is>
      </c>
      <c r="C360" s="4" t="inlineStr">
        <is>
          <t>请问</t>
        </is>
      </c>
      <c r="D360" s="5" t="inlineStr">
        <is>
          <t>qǐngwèn</t>
        </is>
      </c>
      <c r="E360" s="6" t="inlineStr">
        <is>
          <t>xin hỏi</t>
        </is>
      </c>
      <c r="F360" s="7" t="n"/>
      <c r="G360" s="7" t="inlineStr">
        <is>
          <t>请问</t>
        </is>
      </c>
      <c r="H360" s="8">
        <f>IF(TRIM($G360)="","",IF(EXACT(TRIM($G360),TRIM($C360)),"✅ Đúng","❌ Sai"))</f>
        <v/>
      </c>
      <c r="I360" s="9">
        <f>HYPERLINK("https://translate.google.com/translate_tts?ie=UTF-8&amp;tl=zh-CN&amp;client=tw-ob&amp;q=请问","▶")</f>
        <v/>
      </c>
      <c r="J360" s="9">
        <f>HYPERLINK("https://youglish.com/pronounce/请问/chinese","🔍")</f>
        <v/>
      </c>
      <c r="K360" s="10" t="n"/>
      <c r="L360" s="11" t="n"/>
      <c r="M360" s="10" t="n"/>
      <c r="N360" s="11" t="n"/>
      <c r="O360" s="10" t="n"/>
      <c r="P360" s="11" t="n"/>
      <c r="Q360" s="10" t="n"/>
      <c r="R360" s="12" t="inlineStr">
        <is>
          <t>2026-06-17</t>
        </is>
      </c>
      <c r="S360" s="18" t="n"/>
      <c r="T360" s="21" t="inlineStr">
        <is>
          <t>请 [THỈNH] · mời, xin, thỉnh cầu
    ↳ Chiết tự: giản thể của 請: bộ 讠 (ngôn – lời nói) + 青 (thanh – trong xanh) — lời nói nhã nhặn
问 [VẤN] · hỏi, thăm hỏi
    ↳ Chiết tự: giản thể của 問: bộ 门 (môn – cửa) + 口 (khẩu – miệng) — ghé miệng vào cửa mà hỏi</t>
        </is>
      </c>
      <c r="U360" s="22" t="inlineStr">
        <is>
          <t>💬 Giao tiếp &amp; Lễ nghi</t>
        </is>
      </c>
      <c r="V360" s="63" t="inlineStr">
        <is>
          <t>请问，洗手间在哪儿？</t>
        </is>
      </c>
      <c r="W360" s="64" t="inlineStr">
        <is>
          <t>Qǐngwèn, xǐshǒujiān zài nǎr?
Xin hỏi, nhà vệ sinh ở đâu?</t>
        </is>
      </c>
    </row>
    <row r="361" hidden="1" ht="69.75" customHeight="1" s="99">
      <c r="A361" s="2" t="n">
        <v>290</v>
      </c>
      <c r="B361" s="3" t="inlineStr">
        <is>
          <t>HSK1</t>
        </is>
      </c>
      <c r="C361" s="4" t="inlineStr">
        <is>
          <t>请坐</t>
        </is>
      </c>
      <c r="D361" s="5" t="inlineStr">
        <is>
          <t>qǐngzuò</t>
        </is>
      </c>
      <c r="E361" s="6" t="inlineStr">
        <is>
          <t>mời ngồi</t>
        </is>
      </c>
      <c r="F361" s="7" t="n"/>
      <c r="G361" s="7" t="inlineStr">
        <is>
          <t>请坐</t>
        </is>
      </c>
      <c r="H361" s="8">
        <f>IF(TRIM($G361)="","",IF(EXACT(TRIM($G361),TRIM($C361)),"✅ Đúng","❌ Sai"))</f>
        <v/>
      </c>
      <c r="I361" s="9">
        <f>HYPERLINK("https://translate.google.com/translate_tts?ie=UTF-8&amp;tl=zh-CN&amp;client=tw-ob&amp;q=请坐","▶")</f>
        <v/>
      </c>
      <c r="J361" s="9">
        <f>HYPERLINK("https://youglish.com/pronounce/请坐/chinese","🔍")</f>
        <v/>
      </c>
      <c r="K361" s="10" t="n"/>
      <c r="L361" s="11" t="n"/>
      <c r="M361" s="10" t="n"/>
      <c r="N361" s="11" t="n"/>
      <c r="O361" s="10" t="n"/>
      <c r="P361" s="11" t="n"/>
      <c r="Q361" s="10" t="n"/>
      <c r="R361" s="12" t="inlineStr">
        <is>
          <t>2026-06-17</t>
        </is>
      </c>
      <c r="S361" s="17" t="n"/>
      <c r="T361" s="21" t="inlineStr">
        <is>
          <t>请 [THỈNH] · mời, xin, thỉnh cầu
    ↳ Chiết tự: giản thể của 請: bộ 讠 (ngôn – lời nói) + 青 (thanh – trong xanh) — lời nói nhã nhặn
坐 [TỌA] · ngồi
    ↳ Chiết tự: hai bộ 人 (nhân – người) trên 土 (thổ – đất) — hai người ngồi đối nhau trên đất</t>
        </is>
      </c>
      <c r="U361" s="22" t="inlineStr">
        <is>
          <t>💬 Giao tiếp &amp; Lễ nghi</t>
        </is>
      </c>
      <c r="V361" s="63" t="inlineStr">
        <is>
          <t>请坐这儿。</t>
        </is>
      </c>
      <c r="W361" s="64" t="inlineStr">
        <is>
          <t>Qǐng zuò zhèr.
Xin ngồi ở đây.</t>
        </is>
      </c>
    </row>
    <row r="362" hidden="1" ht="34.9" customHeight="1" s="99">
      <c r="A362" s="2" t="n">
        <v>339</v>
      </c>
      <c r="B362" s="3" t="inlineStr">
        <is>
          <t>HSK1</t>
        </is>
      </c>
      <c r="C362" s="4" t="inlineStr">
        <is>
          <t>说</t>
        </is>
      </c>
      <c r="D362" s="5" t="inlineStr">
        <is>
          <t>shuō</t>
        </is>
      </c>
      <c r="E362" s="6" t="inlineStr">
        <is>
          <t>nói</t>
        </is>
      </c>
      <c r="F362" s="13" t="inlineStr">
        <is>
          <t>说</t>
        </is>
      </c>
      <c r="G362" s="7" t="inlineStr">
        <is>
          <t>说</t>
        </is>
      </c>
      <c r="H362" s="8">
        <f>IF(TRIM($G362)="","",IF(EXACT(TRIM($G362),TRIM($C362)),"✅ Đúng","❌ Sai"))</f>
        <v/>
      </c>
      <c r="I362" s="9">
        <f>HYPERLINK("https://translate.google.com/translate_tts?ie=UTF-8&amp;tl=zh-CN&amp;client=tw-ob&amp;q=说","▶")</f>
        <v/>
      </c>
      <c r="J362" s="9">
        <f>HYPERLINK("https://youglish.com/pronounce/说/chinese","🔍")</f>
        <v/>
      </c>
      <c r="K362" s="10" t="n"/>
      <c r="L362" s="11" t="n"/>
      <c r="M362" s="10" t="n"/>
      <c r="N362" s="11" t="n"/>
      <c r="O362" s="10" t="n"/>
      <c r="P362" s="11" t="n"/>
      <c r="Q362" s="10" t="n"/>
      <c r="R362" s="12" t="inlineStr">
        <is>
          <t>2026-06-17</t>
        </is>
      </c>
      <c r="S362" s="18" t="n"/>
      <c r="T362" s="21" t="inlineStr">
        <is>
          <t>说 [THUYẾT] · nói, thuyết minh
    ↳ Chiết tự: giản thể của 說: bộ 讠 (ngôn – lời nói) + 兑 (đoài – thông suốt) — mở lời cho thông</t>
        </is>
      </c>
      <c r="U362" s="22" t="inlineStr">
        <is>
          <t>💬 Giao tiếp &amp; Lễ nghi</t>
        </is>
      </c>
      <c r="V362" s="63" t="inlineStr">
        <is>
          <t>请说慢一点儿。</t>
        </is>
      </c>
      <c r="W362" s="64" t="inlineStr">
        <is>
          <t>Qǐng shuō màn yìdiǎnr.
Xin nói chậm một chút.</t>
        </is>
      </c>
    </row>
    <row r="363" hidden="1" ht="69.75" customHeight="1" s="99">
      <c r="A363" s="2" t="n">
        <v>340</v>
      </c>
      <c r="B363" s="25" t="inlineStr">
        <is>
          <t>HSK1+2</t>
        </is>
      </c>
      <c r="C363" s="4" t="inlineStr">
        <is>
          <t>说话</t>
        </is>
      </c>
      <c r="D363" s="5" t="inlineStr">
        <is>
          <t>shuōhuà</t>
        </is>
      </c>
      <c r="E363" s="6" t="inlineStr">
        <is>
          <t>nói, trò chuyện</t>
        </is>
      </c>
      <c r="F363" s="7" t="n"/>
      <c r="G363" s="7" t="inlineStr">
        <is>
          <t>说话</t>
        </is>
      </c>
      <c r="H363" s="8">
        <f>IF(TRIM($G363)="","",IF(EXACT(TRIM($G363),TRIM($C363)),"✅ Đúng","❌ Sai"))</f>
        <v/>
      </c>
      <c r="I363" s="9">
        <f>HYPERLINK("https://translate.google.com/translate_tts?ie=UTF-8&amp;tl=zh-CN&amp;client=tw-ob&amp;q=说话","▶")</f>
        <v/>
      </c>
      <c r="J363" s="9">
        <f>HYPERLINK("https://youglish.com/pronounce/说话/chinese","🔍")</f>
        <v/>
      </c>
      <c r="K363" s="10" t="n"/>
      <c r="L363" s="11" t="n"/>
      <c r="M363" s="10" t="n"/>
      <c r="N363" s="11" t="n"/>
      <c r="O363" s="10" t="n"/>
      <c r="P363" s="11" t="n"/>
      <c r="Q363" s="10" t="n"/>
      <c r="R363" s="12" t="inlineStr">
        <is>
          <t>2026-06-17</t>
        </is>
      </c>
      <c r="S363" s="17" t="n"/>
      <c r="T363" s="21" t="inlineStr">
        <is>
          <t>说 [THUYẾT] · nói, thuyết minh
    ↳ Chiết tự: giản thể của 說: bộ 讠 (ngôn – lời nói) + 兑 (đoài – thông suốt) — mở lời cho thông
话 [THOẠI] · lời nói, câu chuyện
    ↳ Chiết tự: giản thể của 話: bộ 讠 (ngôn – lời nói) + 舌 (thiệt – cái lưỡi) — lưỡi phát thành lời</t>
        </is>
      </c>
      <c r="U363" s="22" t="inlineStr">
        <is>
          <t>💬 Giao tiếp &amp; Lễ nghi</t>
        </is>
      </c>
      <c r="V363" s="63" t="inlineStr">
        <is>
          <t>他说话很快。</t>
        </is>
      </c>
      <c r="W363" s="64" t="inlineStr">
        <is>
          <t>Tā shuōhuà hěn kuài.
Anh ấy nói rất nhanh.</t>
        </is>
      </c>
    </row>
    <row r="364" hidden="1" ht="34.9" customHeight="1" s="99">
      <c r="A364" s="2" t="n">
        <v>351</v>
      </c>
      <c r="B364" s="25" t="inlineStr">
        <is>
          <t>HSK1+2</t>
        </is>
      </c>
      <c r="C364" s="4" t="inlineStr">
        <is>
          <t>听</t>
        </is>
      </c>
      <c r="D364" s="5" t="inlineStr">
        <is>
          <t>tīng</t>
        </is>
      </c>
      <c r="E364" s="6" t="inlineStr">
        <is>
          <t>nghe</t>
        </is>
      </c>
      <c r="F364" s="13" t="inlineStr">
        <is>
          <t>听</t>
        </is>
      </c>
      <c r="G364" s="7" t="inlineStr">
        <is>
          <t>听</t>
        </is>
      </c>
      <c r="H364" s="8">
        <f>IF(TRIM($G364)="","",IF(EXACT(TRIM($G364),TRIM($C364)),"✅ Đúng","❌ Sai"))</f>
        <v/>
      </c>
      <c r="I364" s="9">
        <f>HYPERLINK("https://translate.google.com/translate_tts?ie=UTF-8&amp;tl=zh-CN&amp;client=tw-ob&amp;q=听","▶")</f>
        <v/>
      </c>
      <c r="J364" s="9">
        <f>HYPERLINK("https://youglish.com/pronounce/听/chinese","🔍")</f>
        <v/>
      </c>
      <c r="K364" s="10" t="n"/>
      <c r="L364" s="11" t="n"/>
      <c r="M364" s="10" t="n"/>
      <c r="N364" s="11" t="n"/>
      <c r="O364" s="10" t="n"/>
      <c r="P364" s="11" t="n"/>
      <c r="Q364" s="10" t="n"/>
      <c r="R364" s="12" t="inlineStr">
        <is>
          <t>2026-06-17</t>
        </is>
      </c>
      <c r="S364" s="18" t="n"/>
      <c r="T364" s="21" t="inlineStr">
        <is>
          <t>听 [THÍNH] · nghe, nghe theo
    ↳ Chiết tự: giản thể của 聽: bộ 口 (khẩu – miệng) + 斤 (cân – âm đọc) — bản phồn thể là 耳 (nhĩ – tai) nghe lời</t>
        </is>
      </c>
      <c r="U364" s="22" t="inlineStr">
        <is>
          <t>💬 Giao tiếp &amp; Lễ nghi</t>
        </is>
      </c>
      <c r="V364" s="63" t="inlineStr">
        <is>
          <t>请听我说。</t>
        </is>
      </c>
      <c r="W364" s="64" t="inlineStr">
        <is>
          <t>Qǐng tīng wǒ shuō.
Xin nghe tôi nói.</t>
        </is>
      </c>
    </row>
    <row r="365" hidden="1" ht="69.75" customHeight="1" s="99">
      <c r="A365" s="2" t="n">
        <v>352</v>
      </c>
      <c r="B365" s="3" t="inlineStr">
        <is>
          <t>HSK1</t>
        </is>
      </c>
      <c r="C365" s="4" t="inlineStr">
        <is>
          <t>听到</t>
        </is>
      </c>
      <c r="D365" s="5" t="inlineStr">
        <is>
          <t>tīngdào</t>
        </is>
      </c>
      <c r="E365" s="6" t="inlineStr">
        <is>
          <t>nghe thấy</t>
        </is>
      </c>
      <c r="F365" s="13" t="inlineStr">
        <is>
          <t>听到</t>
        </is>
      </c>
      <c r="G365" s="7" t="inlineStr">
        <is>
          <t>听到</t>
        </is>
      </c>
      <c r="H365" s="8">
        <f>IF(TRIM($G365)="","",IF(EXACT(TRIM($G365),TRIM($C365)),"✅ Đúng","❌ Sai"))</f>
        <v/>
      </c>
      <c r="I365" s="9">
        <f>HYPERLINK("https://translate.google.com/translate_tts?ie=UTF-8&amp;tl=zh-CN&amp;client=tw-ob&amp;q=听到","▶")</f>
        <v/>
      </c>
      <c r="J365" s="9">
        <f>HYPERLINK("https://youglish.com/pronounce/听到/chinese","🔍")</f>
        <v/>
      </c>
      <c r="K365" s="10" t="n"/>
      <c r="L365" s="11" t="n"/>
      <c r="M365" s="10" t="n"/>
      <c r="N365" s="11" t="n"/>
      <c r="O365" s="10" t="n"/>
      <c r="P365" s="11" t="n"/>
      <c r="Q365" s="10" t="n"/>
      <c r="R365" s="12" t="inlineStr">
        <is>
          <t>2026-06-17</t>
        </is>
      </c>
      <c r="S365" s="17" t="n"/>
      <c r="T365" s="21" t="inlineStr">
        <is>
          <t>听 [THÍNH] · nghe, nghe theo
    ↳ Chiết tự: giản thể của 聽: bộ 口 (khẩu – miệng) + 斤 (cân – âm đọc) — bản phồn thể là 耳 (nhĩ – tai) nghe lời
到 [ĐÁO] · đến, tới, chu đáo
    ↳ Chiết tự: bộ 至 (chí – tới nơi) + 刂 (đao đứng – âm đọc) — mũi tên cắm tới đích</t>
        </is>
      </c>
      <c r="U365" s="22" t="inlineStr">
        <is>
          <t>💬 Giao tiếp &amp; Lễ nghi</t>
        </is>
      </c>
      <c r="V365" s="63" t="inlineStr">
        <is>
          <t>我听到有人叫我。</t>
        </is>
      </c>
      <c r="W365" s="64" t="inlineStr">
        <is>
          <t>Wǒ tīngdào yǒu rén jiào wǒ.
Tôi nghe thấy có người gọi tôi.</t>
        </is>
      </c>
    </row>
    <row r="366" hidden="1" ht="69.75" customHeight="1" s="99">
      <c r="A366" s="2" t="n">
        <v>353</v>
      </c>
      <c r="B366" s="3" t="inlineStr">
        <is>
          <t>HSK1</t>
        </is>
      </c>
      <c r="C366" s="4" t="inlineStr">
        <is>
          <t>听见</t>
        </is>
      </c>
      <c r="D366" s="5" t="inlineStr">
        <is>
          <t>tīngjiàn</t>
        </is>
      </c>
      <c r="E366" s="6" t="inlineStr">
        <is>
          <t>nghe thấy</t>
        </is>
      </c>
      <c r="F366" s="7" t="n"/>
      <c r="G366" s="7" t="inlineStr">
        <is>
          <t>听见</t>
        </is>
      </c>
      <c r="H366" s="8">
        <f>IF(TRIM($G366)="","",IF(EXACT(TRIM($G366),TRIM($C366)),"✅ Đúng","❌ Sai"))</f>
        <v/>
      </c>
      <c r="I366" s="9">
        <f>HYPERLINK("https://translate.google.com/translate_tts?ie=UTF-8&amp;tl=zh-CN&amp;client=tw-ob&amp;q=听见","▶")</f>
        <v/>
      </c>
      <c r="J366" s="9">
        <f>HYPERLINK("https://youglish.com/pronounce/听见/chinese","🔍")</f>
        <v/>
      </c>
      <c r="K366" s="10" t="n"/>
      <c r="L366" s="11" t="n"/>
      <c r="M366" s="10" t="n"/>
      <c r="N366" s="11" t="n"/>
      <c r="O366" s="10" t="n"/>
      <c r="P366" s="11" t="n"/>
      <c r="Q366" s="10" t="n"/>
      <c r="R366" s="12" t="inlineStr">
        <is>
          <t>2026-06-17</t>
        </is>
      </c>
      <c r="S366" s="18" t="n"/>
      <c r="T366" s="21" t="inlineStr">
        <is>
          <t>听 [THÍNH] · nghe, nghe theo
    ↳ Chiết tự: giản thể của 聽: bộ 口 (khẩu – miệng) + 斤 (cân – âm đọc) — bản phồn thể là 耳 (nhĩ – tai) nghe lời
见 [KIẾN] · thấy, gặp mặt
    ↳ Chiết tự: giản thể của 見: bộ 目 (mục – con mắt) trên 儿 (nhân đi – người) — người mở mắt trông</t>
        </is>
      </c>
      <c r="U366" s="22" t="inlineStr">
        <is>
          <t>💬 Giao tiếp &amp; Lễ nghi</t>
        </is>
      </c>
      <c r="V366" s="63" t="inlineStr">
        <is>
          <t>你听见了吗？</t>
        </is>
      </c>
      <c r="W366" s="64" t="inlineStr">
        <is>
          <t>Nǐ tīngjiàn le ma?
Bạn có nghe thấy không?</t>
        </is>
      </c>
    </row>
    <row r="367" ht="69.75" customHeight="1" s="99">
      <c r="A367" s="2" t="n">
        <v>361</v>
      </c>
      <c r="B367" s="3" t="inlineStr">
        <is>
          <t>HSK1</t>
        </is>
      </c>
      <c r="C367" s="4" t="inlineStr">
        <is>
          <t>玩儿</t>
        </is>
      </c>
      <c r="D367" s="5" t="inlineStr">
        <is>
          <t>wánr</t>
        </is>
      </c>
      <c r="E367" s="6" t="inlineStr">
        <is>
          <t>chơi</t>
        </is>
      </c>
      <c r="F367" s="7" t="n"/>
      <c r="G367" s="7" t="inlineStr">
        <is>
          <t>玩儿</t>
        </is>
      </c>
      <c r="H367" s="8">
        <f>IF(TRIM($G367)="","",IF(EXACT(TRIM($G367),TRIM($C367)),"✅ Đúng","❌ Sai"))</f>
        <v/>
      </c>
      <c r="I367" s="9">
        <f>HYPERLINK("https://translate.google.com/translate_tts?ie=UTF-8&amp;tl=zh-CN&amp;client=tw-ob&amp;q=玩儿","▶")</f>
        <v/>
      </c>
      <c r="J367" s="9">
        <f>HYPERLINK("https://youglish.com/pronounce/玩儿/chinese","🔍")</f>
        <v/>
      </c>
      <c r="K367" s="10" t="n"/>
      <c r="L367" s="11" t="n"/>
      <c r="M367" s="10" t="n"/>
      <c r="N367" s="11" t="n"/>
      <c r="O367" s="10" t="n"/>
      <c r="P367" s="11" t="n"/>
      <c r="Q367" s="10" t="n"/>
      <c r="R367" s="12" t="inlineStr">
        <is>
          <t>2026-06-17</t>
        </is>
      </c>
      <c r="S367" s="18" t="n"/>
      <c r="T367" s="21" t="inlineStr">
        <is>
          <t>玩 [NGOẠN] · chơi đùa, thưởng ngoạn
    ↳ Chiết tự: bộ 王 (ngọc – viên ngọc) + 元 (nguyên – âm đọc) — mân mê viên ngọc trong tay
儿 [NHI] · trẻ con; hậu tố danh từ
    ↳ Chiết tự: giản thể của 兒: bộ 儿 (nhân đi – hai chân người) — hình trẻ thóp đầu chưa liền</t>
        </is>
      </c>
      <c r="U367" s="22" t="inlineStr">
        <is>
          <t>💬 Giao tiếp &amp; Lễ nghi</t>
        </is>
      </c>
      <c r="V367" s="63" t="inlineStr">
        <is>
          <t>周末我们去玩儿。</t>
        </is>
      </c>
      <c r="W367" s="64" t="inlineStr">
        <is>
          <t>Zhōumò wǒmen qù wánr.
Cuối tuần chúng ta đi chơi.</t>
        </is>
      </c>
    </row>
    <row r="368" hidden="1" ht="58.15" customHeight="1" s="99">
      <c r="A368" s="2" t="n">
        <v>388</v>
      </c>
      <c r="B368" s="25" t="inlineStr">
        <is>
          <t>HSK1+2</t>
        </is>
      </c>
      <c r="C368" s="4" t="inlineStr">
        <is>
          <t>先生</t>
        </is>
      </c>
      <c r="D368" s="5" t="inlineStr">
        <is>
          <t>xiānsheng</t>
        </is>
      </c>
      <c r="E368" s="6" t="inlineStr">
        <is>
          <t>quý ông</t>
        </is>
      </c>
      <c r="F368" s="7" t="n"/>
      <c r="G368" s="7" t="inlineStr">
        <is>
          <t>先生</t>
        </is>
      </c>
      <c r="H368" s="8">
        <f>IF(TRIM($G368)="","",IF(EXACT(TRIM($G368),TRIM($C368)),"✅ Đúng","❌ Sai"))</f>
        <v/>
      </c>
      <c r="I368" s="9">
        <f>HYPERLINK("https://translate.google.com/translate_tts?ie=UTF-8&amp;tl=zh-CN&amp;client=tw-ob&amp;q=先生","▶")</f>
        <v/>
      </c>
      <c r="J368" s="9">
        <f>HYPERLINK("https://youglish.com/pronounce/先生/chinese","🔍")</f>
        <v/>
      </c>
      <c r="K368" s="10" t="n"/>
      <c r="L368" s="11" t="n"/>
      <c r="M368" s="10" t="n"/>
      <c r="N368" s="11" t="n"/>
      <c r="O368" s="10" t="n"/>
      <c r="P368" s="11" t="n"/>
      <c r="Q368" s="10" t="n"/>
      <c r="R368" s="12" t="inlineStr">
        <is>
          <t>2026-06-17</t>
        </is>
      </c>
      <c r="S368" s="17" t="n"/>
      <c r="T368" s="21" t="inlineStr">
        <is>
          <t>先 [TIÊN] · trước, trước tiên, tổ tiên
    ↳ Chiết tự: bộ 之 (chi – bàn chân) + 儿 (nhân đi – người) — bàn chân vượt lên trước người
生 [SINH] · sinh ra, sống; học trò; sống (chưa chín)
    ↳ Chiết tự: bộ 生 (sinh) — hình mầm cây nhú lên khỏi mặt đất</t>
        </is>
      </c>
      <c r="U368" s="22" t="inlineStr">
        <is>
          <t>💬 Giao tiếp &amp; Lễ nghi</t>
        </is>
      </c>
      <c r="V368" s="63" t="inlineStr">
        <is>
          <t>王先生，您好。</t>
        </is>
      </c>
      <c r="W368" s="64" t="inlineStr">
        <is>
          <t>Wáng xiānsheng, nín hǎo.
Thưa ông Vương, xin chào.</t>
        </is>
      </c>
    </row>
    <row r="369" hidden="1" ht="58.15" customHeight="1" s="99">
      <c r="A369" s="2" t="n">
        <v>393</v>
      </c>
      <c r="B369" s="25" t="inlineStr">
        <is>
          <t>HSK1+2</t>
        </is>
      </c>
      <c r="C369" s="4" t="inlineStr">
        <is>
          <t>小姐</t>
        </is>
      </c>
      <c r="D369" s="5" t="inlineStr">
        <is>
          <t>xiǎojiě</t>
        </is>
      </c>
      <c r="E369" s="6" t="inlineStr">
        <is>
          <t>tiểu thư, cô</t>
        </is>
      </c>
      <c r="F369" s="7" t="n"/>
      <c r="G369" s="7" t="inlineStr">
        <is>
          <t>小姐</t>
        </is>
      </c>
      <c r="H369" s="8">
        <f>IF(TRIM($G369)="","",IF(EXACT(TRIM($G369),TRIM($C369)),"✅ Đúng","❌ Sai"))</f>
        <v/>
      </c>
      <c r="I369" s="9">
        <f>HYPERLINK("https://translate.google.com/translate_tts?ie=UTF-8&amp;tl=zh-CN&amp;client=tw-ob&amp;q=小姐","▶")</f>
        <v/>
      </c>
      <c r="J369" s="9">
        <f>HYPERLINK("https://youglish.com/pronounce/小姐/chinese","🔍")</f>
        <v/>
      </c>
      <c r="K369" s="10" t="n"/>
      <c r="L369" s="11" t="n"/>
      <c r="M369" s="10" t="n"/>
      <c r="N369" s="11" t="n"/>
      <c r="O369" s="10" t="n"/>
      <c r="P369" s="11" t="n"/>
      <c r="Q369" s="10" t="n"/>
      <c r="R369" s="12" t="inlineStr">
        <is>
          <t>2026-06-17</t>
        </is>
      </c>
      <c r="S369" s="18" t="n"/>
      <c r="T369" s="21" t="inlineStr">
        <is>
          <t>小 [TIỂU] · nhỏ bé
    ↳ Chiết tự: bộ 小 (tiểu) — ba nét tách vụn ra, ý nhỏ
姐 [THƯ / TỶ] · chị gái
    ↳ Chiết tự: bộ 女 (nữ – phụ nữ) + 且 (thả – âm đọc) — người nữ lớn hơn</t>
        </is>
      </c>
      <c r="U369" s="22" t="inlineStr">
        <is>
          <t>💬 Giao tiếp &amp; Lễ nghi</t>
        </is>
      </c>
      <c r="V369" s="63" t="inlineStr">
        <is>
          <t>李小姐在开会。</t>
        </is>
      </c>
      <c r="W369" s="64" t="inlineStr">
        <is>
          <t>Lǐ xiǎojiě zài kāihuì.
Cô Lý đang họp.</t>
        </is>
      </c>
    </row>
    <row r="370" hidden="1" ht="34.9" customHeight="1" s="99">
      <c r="A370" s="2" t="n">
        <v>398</v>
      </c>
      <c r="B370" s="25" t="inlineStr">
        <is>
          <t>HSK1+2</t>
        </is>
      </c>
      <c r="C370" s="4" t="inlineStr">
        <is>
          <t>笑</t>
        </is>
      </c>
      <c r="D370" s="5" t="inlineStr">
        <is>
          <t>xiào</t>
        </is>
      </c>
      <c r="E370" s="6" t="inlineStr">
        <is>
          <t>cười</t>
        </is>
      </c>
      <c r="F370" s="7" t="inlineStr">
        <is>
          <t>笑</t>
        </is>
      </c>
      <c r="G370" s="7" t="inlineStr">
        <is>
          <t>笑</t>
        </is>
      </c>
      <c r="H370" s="8">
        <f>IF(TRIM($G370)="","",IF(EXACT(TRIM($G370),TRIM($C370)),"✅ Đúng","❌ Sai"))</f>
        <v/>
      </c>
      <c r="I370" s="9">
        <f>HYPERLINK("https://translate.google.com/translate_tts?ie=UTF-8&amp;tl=zh-CN&amp;client=tw-ob&amp;q=笑","▶")</f>
        <v/>
      </c>
      <c r="J370" s="9">
        <f>HYPERLINK("https://youglish.com/pronounce/笑/chinese","🔍")</f>
        <v/>
      </c>
      <c r="K370" s="10" t="n"/>
      <c r="L370" s="11" t="n"/>
      <c r="M370" s="10" t="n"/>
      <c r="N370" s="11" t="n"/>
      <c r="O370" s="10" t="n"/>
      <c r="P370" s="11" t="n"/>
      <c r="Q370" s="10" t="n"/>
      <c r="R370" s="12" t="inlineStr">
        <is>
          <t>2026-06-17</t>
        </is>
      </c>
      <c r="S370" s="17" t="n"/>
      <c r="T370" s="21" t="inlineStr">
        <is>
          <t>笑 [TIẾU] · cười
    ↳ Chiết tự: bộ 竹 (trúc – cây tre) + 夭 (yêu – uốn cong) — tre rung như người cười ngả nghiêng</t>
        </is>
      </c>
      <c r="U370" s="22" t="inlineStr">
        <is>
          <t>💬 Giao tiếp &amp; Lễ nghi</t>
        </is>
      </c>
      <c r="V370" s="63" t="inlineStr">
        <is>
          <t>他笑得很开心。</t>
        </is>
      </c>
      <c r="W370" s="64" t="inlineStr">
        <is>
          <t>Tā xiào de hěn kāixīn.
Anh ấy cười rất vui.</t>
        </is>
      </c>
    </row>
    <row r="371" hidden="1" ht="69.75" customHeight="1" s="99">
      <c r="A371" s="2" t="n">
        <v>400</v>
      </c>
      <c r="B371" s="25" t="inlineStr">
        <is>
          <t>HSK1+2</t>
        </is>
      </c>
      <c r="C371" s="4" t="inlineStr">
        <is>
          <t>谢谢</t>
        </is>
      </c>
      <c r="D371" s="5" t="inlineStr">
        <is>
          <t>xièxie</t>
        </is>
      </c>
      <c r="E371" s="6" t="inlineStr">
        <is>
          <t>cảm ơn</t>
        </is>
      </c>
      <c r="F371" s="7" t="inlineStr">
        <is>
          <t>谢谢</t>
        </is>
      </c>
      <c r="G371" s="7" t="inlineStr">
        <is>
          <t>谢谢</t>
        </is>
      </c>
      <c r="H371" s="8">
        <f>IF(TRIM($G371)="","",IF(EXACT(TRIM($G371),TRIM($C371)),"✅ Đúng","❌ Sai"))</f>
        <v/>
      </c>
      <c r="I371" s="9">
        <f>HYPERLINK("https://translate.google.com/translate_tts?ie=UTF-8&amp;tl=zh-CN&amp;client=tw-ob&amp;q=谢谢","▶")</f>
        <v/>
      </c>
      <c r="J371" s="9">
        <f>HYPERLINK("https://youglish.com/pronounce/谢谢/chinese","🔍")</f>
        <v/>
      </c>
      <c r="K371" s="10" t="n"/>
      <c r="L371" s="11" t="n"/>
      <c r="M371" s="10" t="n"/>
      <c r="N371" s="11" t="n"/>
      <c r="O371" s="10" t="n"/>
      <c r="P371" s="11" t="n"/>
      <c r="Q371" s="10" t="n"/>
      <c r="R371" s="12" t="inlineStr">
        <is>
          <t>2026-06-17</t>
        </is>
      </c>
      <c r="S371" s="17" t="n"/>
      <c r="T371" s="21" t="inlineStr">
        <is>
          <t>谢 [TẠ] · cảm ơn, cảm tạ; tàn tạ
    ↳ Chiết tự: giản thể của 謝: bộ 讠 (ngôn – lời nói) + 射 (xạ – bắn) — bắn lời cảm tạ tới người
谢 [TẠ] · cảm ơn, cảm tạ; tàn tạ
    ↳ Chiết tự: giản thể của 謝: bộ 讠 (ngôn – lời nói) + 射 (xạ – bắn) — bắn lời cảm tạ tới người</t>
        </is>
      </c>
      <c r="U371" s="22" t="inlineStr">
        <is>
          <t>💬 Giao tiếp &amp; Lễ nghi</t>
        </is>
      </c>
      <c r="V371" s="63" t="inlineStr">
        <is>
          <t>谢谢你的帮助。</t>
        </is>
      </c>
      <c r="W371" s="64" t="inlineStr">
        <is>
          <t>Xièxie nǐ de bāngzhù.
Cảm ơn bạn đã giúp.</t>
        </is>
      </c>
    </row>
    <row r="372" hidden="1" ht="69.75" customHeight="1" s="99">
      <c r="A372" s="2" t="n">
        <v>444</v>
      </c>
      <c r="B372" s="25" t="inlineStr">
        <is>
          <t>HSK1+2</t>
        </is>
      </c>
      <c r="C372" s="4" t="inlineStr">
        <is>
          <t>再见</t>
        </is>
      </c>
      <c r="D372" s="5" t="inlineStr">
        <is>
          <t>zàijiàn</t>
        </is>
      </c>
      <c r="E372" s="6" t="inlineStr">
        <is>
          <t>tạm biệt</t>
        </is>
      </c>
      <c r="F372" s="7" t="inlineStr">
        <is>
          <t>再见</t>
        </is>
      </c>
      <c r="G372" s="7" t="inlineStr">
        <is>
          <t>再见</t>
        </is>
      </c>
      <c r="H372" s="8">
        <f>IF(TRIM($G372)="","",IF(EXACT(TRIM($G372),TRIM($C372)),"✅ Đúng","❌ Sai"))</f>
        <v/>
      </c>
      <c r="I372" s="9">
        <f>HYPERLINK("https://translate.google.com/translate_tts?ie=UTF-8&amp;tl=zh-CN&amp;client=tw-ob&amp;q=再见","▶")</f>
        <v/>
      </c>
      <c r="J372" s="9">
        <f>HYPERLINK("https://youglish.com/pronounce/再见/chinese","🔍")</f>
        <v/>
      </c>
      <c r="K372" s="10" t="n"/>
      <c r="L372" s="11" t="n"/>
      <c r="M372" s="10" t="n"/>
      <c r="N372" s="11" t="n"/>
      <c r="O372" s="10" t="n"/>
      <c r="P372" s="11" t="n"/>
      <c r="Q372" s="10" t="n"/>
      <c r="R372" s="12" t="inlineStr">
        <is>
          <t>2026-06-17</t>
        </is>
      </c>
      <c r="S372" s="17" t="n"/>
      <c r="T372" s="21" t="inlineStr">
        <is>
          <t>再 [TÁI] · lại, lần nữa
    ↳ Chiết tự: bộ 冂 (quynh) + 一 (nhất) + 土 — chồng thêm một lớp nữa
见 [KIẾN] · thấy, gặp mặt
    ↳ Chiết tự: giản thể của 見: bộ 目 (mục – con mắt) trên 儿 (nhân đi – người) — người mở mắt trông</t>
        </is>
      </c>
      <c r="U372" s="22" t="inlineStr">
        <is>
          <t>💬 Giao tiếp &amp; Lễ nghi</t>
        </is>
      </c>
      <c r="V372" s="63" t="inlineStr">
        <is>
          <t>再见，明天见。</t>
        </is>
      </c>
      <c r="W372" s="64" t="inlineStr">
        <is>
          <t>Zàijiàn, míngtiān jiàn.
Tạm biệt, mai gặp lại.</t>
        </is>
      </c>
    </row>
    <row r="373" hidden="1" ht="35.65" customHeight="1" s="99">
      <c r="A373" s="26" t="n">
        <v>508</v>
      </c>
      <c r="B373" s="28" t="inlineStr">
        <is>
          <t>HSK2</t>
        </is>
      </c>
      <c r="C373" s="26" t="inlineStr">
        <is>
          <t>喂</t>
        </is>
      </c>
      <c r="D373" s="26" t="inlineStr">
        <is>
          <t>wèi</t>
        </is>
      </c>
      <c r="E373" s="26" t="inlineStr">
        <is>
          <t>a lô, này</t>
        </is>
      </c>
      <c r="F373" s="26" t="n"/>
      <c r="G373" s="7" t="inlineStr">
        <is>
          <t>喂</t>
        </is>
      </c>
      <c r="H373" s="8">
        <f>IF(TRIM($G373)="","",IF(EXACT(TRIM($G373),TRIM($C373)),"✅ Đúng","❌ Sai"))</f>
        <v/>
      </c>
      <c r="I373" s="52" t="inlineStr">
        <is>
          <t>▶</t>
        </is>
      </c>
      <c r="J373" s="52" t="inlineStr">
        <is>
          <t>🔍</t>
        </is>
      </c>
      <c r="K373" s="26" t="n"/>
      <c r="L373" s="26" t="n"/>
      <c r="M373" s="26" t="n"/>
      <c r="N373" s="26" t="n"/>
      <c r="O373" s="26" t="n"/>
      <c r="P373" s="26" t="n"/>
      <c r="Q373" s="26" t="n"/>
      <c r="R373" s="39" t="n">
        <v>46236</v>
      </c>
      <c r="S373" s="41" t="n"/>
      <c r="T373" s="47" t="inlineStr">
        <is>
          <t>喂 [UY] · này, a-lô; cho ăn
    ↳ Chiết tự: bộ 口 (khẩu – miệng) + 畏 (úy – âm đọc) — cất tiếng gọi, đút cho ăn</t>
        </is>
      </c>
      <c r="U373" s="44" t="inlineStr">
        <is>
          <t>💬 Giao tiếp &amp; Lễ nghi</t>
        </is>
      </c>
      <c r="V373" s="63" t="inlineStr">
        <is>
          <t>喂，你是小王吗？</t>
        </is>
      </c>
      <c r="W373" s="64" t="inlineStr">
        <is>
          <t>Wéi, nǐ shì Xiǎo Wáng ma?
Alô, bạn là Tiểu Vương phải không?</t>
        </is>
      </c>
    </row>
    <row r="374" hidden="1" ht="69.75" customHeight="1" s="99">
      <c r="A374" s="2" t="n">
        <v>104</v>
      </c>
      <c r="B374" s="3" t="inlineStr">
        <is>
          <t>HSK1</t>
        </is>
      </c>
      <c r="C374" s="4" t="inlineStr">
        <is>
          <t>放假</t>
        </is>
      </c>
      <c r="D374" s="5" t="inlineStr">
        <is>
          <t>fàngjià</t>
        </is>
      </c>
      <c r="E374" s="6" t="inlineStr">
        <is>
          <t>nghỉ định kỳ</t>
        </is>
      </c>
      <c r="F374" s="7" t="n"/>
      <c r="G374" s="7" t="inlineStr">
        <is>
          <t>放假</t>
        </is>
      </c>
      <c r="H374" s="8">
        <f>IF(TRIM($G374)="","",IF(EXACT(TRIM($G374),TRIM($C374)),"✅ Đúng","❌ Sai"))</f>
        <v/>
      </c>
      <c r="I374" s="9">
        <f>HYPERLINK("https://translate.google.com/translate_tts?ie=UTF-8&amp;tl=zh-CN&amp;client=tw-ob&amp;q=放假","▶")</f>
        <v/>
      </c>
      <c r="J374" s="9">
        <f>HYPERLINK("https://youglish.com/pronounce/放假/chinese","🔍")</f>
        <v/>
      </c>
      <c r="K374" s="10" t="n"/>
      <c r="L374" s="11" t="n"/>
      <c r="M374" s="10" t="n"/>
      <c r="N374" s="11" t="n"/>
      <c r="O374" s="10" t="n"/>
      <c r="P374" s="11" t="n"/>
      <c r="Q374" s="10" t="n"/>
      <c r="R374" s="12" t="inlineStr">
        <is>
          <t>2026-06-17</t>
        </is>
      </c>
      <c r="S374" s="18" t="n"/>
      <c r="T374" s="21" t="inlineStr">
        <is>
          <t>放 [PHÓNG] · đặt, thả, buông
    ↳ Chiết tự: bộ 方 (phương – âm đọc) + 攵 (phộc – tay cầm roi) — đánh cho đi ra, buông ra
假 [GIẢ / GIÁ] · giả tạo; nghỉ phép
    ↳ Chiết tự: bộ 亻 (nhân đứng – người) + 叚 (giả – mượn) — người mượn tạm, mượn ngày nghỉ</t>
        </is>
      </c>
      <c r="U374" s="22" t="inlineStr">
        <is>
          <t>💼 Công việc &amp; Mua sắm</t>
        </is>
      </c>
      <c r="V374" s="63" t="inlineStr">
        <is>
          <t>下星期学校放假。</t>
        </is>
      </c>
      <c r="W374" s="64" t="inlineStr">
        <is>
          <t>Xià xīngqī xuéxiào fàngjià.
Tuần sau trường nghỉ lễ.</t>
        </is>
      </c>
    </row>
    <row r="375" hidden="1" ht="58.15" customHeight="1" s="99">
      <c r="A375" s="2" t="n">
        <v>123</v>
      </c>
      <c r="B375" s="3" t="inlineStr">
        <is>
          <t>HSK1</t>
        </is>
      </c>
      <c r="C375" s="4" t="inlineStr">
        <is>
          <t>工人</t>
        </is>
      </c>
      <c r="D375" s="5" t="inlineStr">
        <is>
          <t>gōngrén</t>
        </is>
      </c>
      <c r="E375" s="6" t="inlineStr">
        <is>
          <t>công nhân</t>
        </is>
      </c>
      <c r="F375" s="7" t="inlineStr">
        <is>
          <t>工人</t>
        </is>
      </c>
      <c r="G375" s="7" t="inlineStr">
        <is>
          <t>工人</t>
        </is>
      </c>
      <c r="H375" s="8">
        <f>IF(TRIM($G375)="","",IF(EXACT(TRIM($G375),TRIM($C375)),"✅ Đúng","❌ Sai"))</f>
        <v/>
      </c>
      <c r="I375" s="9">
        <f>HYPERLINK("https://translate.google.com/translate_tts?ie=UTF-8&amp;tl=zh-CN&amp;client=tw-ob&amp;q=工人","▶")</f>
        <v/>
      </c>
      <c r="J375" s="9">
        <f>HYPERLINK("https://youglish.com/pronounce/工人/chinese","🔍")</f>
        <v/>
      </c>
      <c r="K375" s="10" t="n"/>
      <c r="L375" s="11" t="n"/>
      <c r="M375" s="10" t="n"/>
      <c r="N375" s="11" t="n"/>
      <c r="O375" s="10" t="n"/>
      <c r="P375" s="11" t="n"/>
      <c r="Q375" s="10" t="n"/>
      <c r="R375" s="12" t="inlineStr">
        <is>
          <t>2026-06-17</t>
        </is>
      </c>
      <c r="S375" s="17" t="n"/>
      <c r="T375" s="21" t="inlineStr">
        <is>
          <t>工 [CÔNG] · công việc, thợ, khéo
    ↳ Chiết tự: bộ 工 (công) — hình cái thước/đục của người thợ
人 [NHÂN] · người, con người
    ↳ Chiết tự: bộ 人 (nhân) — hình người đứng nghiêng, dang hai chân</t>
        </is>
      </c>
      <c r="U375" s="22" t="inlineStr">
        <is>
          <t>💼 Công việc &amp; Mua sắm</t>
        </is>
      </c>
      <c r="V375" s="63" t="inlineStr">
        <is>
          <t>他是工厂的工人。</t>
        </is>
      </c>
      <c r="W375" s="64" t="inlineStr">
        <is>
          <t>Tā shì gōngchǎng de gōngrén.
Anh ấy là công nhân nhà máy.</t>
        </is>
      </c>
    </row>
    <row r="376" hidden="1" ht="58.15" customHeight="1" s="99">
      <c r="A376" s="2" t="n">
        <v>124</v>
      </c>
      <c r="B376" s="25" t="inlineStr">
        <is>
          <t>HSK1+2</t>
        </is>
      </c>
      <c r="C376" s="4" t="inlineStr">
        <is>
          <t>工作</t>
        </is>
      </c>
      <c r="D376" s="5" t="inlineStr">
        <is>
          <t>gōngzuò</t>
        </is>
      </c>
      <c r="E376" s="6" t="inlineStr">
        <is>
          <t>công việc</t>
        </is>
      </c>
      <c r="F376" s="7" t="inlineStr">
        <is>
          <t>工作</t>
        </is>
      </c>
      <c r="G376" s="7" t="inlineStr">
        <is>
          <t>工作</t>
        </is>
      </c>
      <c r="H376" s="8">
        <f>IF(TRIM($G376)="","",IF(EXACT(TRIM($G376),TRIM($C376)),"✅ Đúng","❌ Sai"))</f>
        <v/>
      </c>
      <c r="I376" s="9">
        <f>HYPERLINK("https://translate.google.com/translate_tts?ie=UTF-8&amp;tl=zh-CN&amp;client=tw-ob&amp;q=工作","▶")</f>
        <v/>
      </c>
      <c r="J376" s="9">
        <f>HYPERLINK("https://youglish.com/pronounce/工作/chinese","🔍")</f>
        <v/>
      </c>
      <c r="K376" s="10" t="n"/>
      <c r="L376" s="11" t="n"/>
      <c r="M376" s="10" t="n"/>
      <c r="N376" s="11" t="n"/>
      <c r="O376" s="10" t="n"/>
      <c r="P376" s="11" t="n"/>
      <c r="Q376" s="10" t="n"/>
      <c r="R376" s="12" t="inlineStr">
        <is>
          <t>2026-06-17</t>
        </is>
      </c>
      <c r="S376" s="18" t="n"/>
      <c r="T376" s="21" t="inlineStr">
        <is>
          <t>工 [CÔNG] · công việc, thợ, khéo
    ↳ Chiết tự: bộ 工 (công) — hình cái thước/đục của người thợ
作 [TÁC] · làm, chế tác, tác phẩm
    ↳ Chiết tự: bộ 亻 (nhân đứng – người) + 乍 (sạ – âm đọc) — người khởi sự tạo ra</t>
        </is>
      </c>
      <c r="U376" s="22" t="inlineStr">
        <is>
          <t>💼 Công việc &amp; Mua sắm</t>
        </is>
      </c>
      <c r="V376" s="63" t="inlineStr">
        <is>
          <t>我的工作很忙。</t>
        </is>
      </c>
      <c r="W376" s="64" t="inlineStr">
        <is>
          <t>Wǒ de gōngzuò hěn máng.
Công việc của tôi rất bận.</t>
        </is>
      </c>
    </row>
    <row r="377" hidden="1" ht="34.9" customHeight="1" s="99">
      <c r="A377" s="2" t="n">
        <v>127</v>
      </c>
      <c r="B377" s="25" t="inlineStr">
        <is>
          <t>HSK1+2</t>
        </is>
      </c>
      <c r="C377" s="4" t="inlineStr">
        <is>
          <t>贵</t>
        </is>
      </c>
      <c r="D377" s="5" t="inlineStr">
        <is>
          <t>guì</t>
        </is>
      </c>
      <c r="E377" s="6" t="inlineStr">
        <is>
          <t>đắt</t>
        </is>
      </c>
      <c r="F377" s="13" t="inlineStr">
        <is>
          <t>贵</t>
        </is>
      </c>
      <c r="G377" s="7" t="inlineStr">
        <is>
          <t>贵</t>
        </is>
      </c>
      <c r="H377" s="8">
        <f>IF(TRIM($G377)="","",IF(EXACT(TRIM($G377),TRIM($C377)),"✅ Đúng","❌ Sai"))</f>
        <v/>
      </c>
      <c r="I377" s="9">
        <f>HYPERLINK("https://translate.google.com/translate_tts?ie=UTF-8&amp;tl=zh-CN&amp;client=tw-ob&amp;q=贵","▶")</f>
        <v/>
      </c>
      <c r="J377" s="9">
        <f>HYPERLINK("https://youglish.com/pronounce/贵/chinese","🔍")</f>
        <v/>
      </c>
      <c r="K377" s="10" t="n"/>
      <c r="L377" s="11" t="n"/>
      <c r="M377" s="10" t="n"/>
      <c r="N377" s="11" t="n"/>
      <c r="O377" s="10" t="n"/>
      <c r="P377" s="11" t="n"/>
      <c r="Q377" s="10" t="n"/>
      <c r="R377" s="12" t="inlineStr">
        <is>
          <t>2026-06-17</t>
        </is>
      </c>
      <c r="S377" s="17" t="n"/>
      <c r="T377" s="21" t="inlineStr">
        <is>
          <t>贵 [QUÝ] · đắt tiền; quý giá, tôn quý
    ↳ Chiết tự: giản thể của 貴: bộ 贝 (bối – vỏ sò, tiền) + 中 — tốn nhiều tiền nên quý</t>
        </is>
      </c>
      <c r="U377" s="22" t="inlineStr">
        <is>
          <t>💼 Công việc &amp; Mua sắm</t>
        </is>
      </c>
      <c r="V377" s="63" t="inlineStr">
        <is>
          <t>这件衣服太贵了。</t>
        </is>
      </c>
      <c r="W377" s="64" t="inlineStr">
        <is>
          <t>Zhè jiàn yīfu tài guì le.
Bộ quần áo này quá đắt.</t>
        </is>
      </c>
    </row>
    <row r="378" hidden="1" ht="69.75" customHeight="1" s="99">
      <c r="A378" s="2" t="n">
        <v>190</v>
      </c>
      <c r="B378" s="3" t="inlineStr">
        <is>
          <t>HSK1</t>
        </is>
      </c>
      <c r="C378" s="4" t="inlineStr">
        <is>
          <t>开会</t>
        </is>
      </c>
      <c r="D378" s="5" t="inlineStr">
        <is>
          <t>kāihuì</t>
        </is>
      </c>
      <c r="E378" s="6" t="inlineStr">
        <is>
          <t>mở họp, họp</t>
        </is>
      </c>
      <c r="F378" s="13" t="inlineStr">
        <is>
          <t>开会</t>
        </is>
      </c>
      <c r="G378" s="7" t="inlineStr">
        <is>
          <t>开会</t>
        </is>
      </c>
      <c r="H378" s="8">
        <f>IF(TRIM($G378)="","",IF(EXACT(TRIM($G378),TRIM($C378)),"✅ Đúng","❌ Sai"))</f>
        <v/>
      </c>
      <c r="I378" s="9">
        <f>HYPERLINK("https://translate.google.com/translate_tts?ie=UTF-8&amp;tl=zh-CN&amp;client=tw-ob&amp;q=开会","▶")</f>
        <v/>
      </c>
      <c r="J378" s="9">
        <f>HYPERLINK("https://youglish.com/pronounce/开会/chinese","🔍")</f>
        <v/>
      </c>
      <c r="K378" s="10" t="n"/>
      <c r="L378" s="11" t="n"/>
      <c r="M378" s="10" t="n"/>
      <c r="N378" s="11" t="n"/>
      <c r="O378" s="10" t="n"/>
      <c r="P378" s="11" t="n"/>
      <c r="Q378" s="10" t="n"/>
      <c r="R378" s="12" t="inlineStr">
        <is>
          <t>2026-06-17</t>
        </is>
      </c>
      <c r="S378" s="18" t="n"/>
      <c r="T378" s="21" t="inlineStr">
        <is>
          <t>开 [KHAI] · mở ra, bắt đầu, khai trương
    ↳ Chiết tự: giản thể của 開: bộ 廾 (củng – hai tay) — hai tay nhấc then cửa lên
会 [HỘI] · biết làm; họp, hội
    ↳ Chiết tự: giản thể của 會: bộ 人 (nhân – người) + 云 (vân – mây) — người tụ như mây thì thành hội, hội đủ thì biết</t>
        </is>
      </c>
      <c r="U378" s="22" t="inlineStr">
        <is>
          <t>💼 Công việc &amp; Mua sắm</t>
        </is>
      </c>
      <c r="V378" s="63" t="inlineStr">
        <is>
          <t>经理在开会。</t>
        </is>
      </c>
      <c r="W378" s="64" t="inlineStr">
        <is>
          <t>Jīnglǐ zài kāihuì.
Giám đốc đang họp.</t>
        </is>
      </c>
    </row>
    <row r="379" hidden="1" ht="58.15" customHeight="1" s="99">
      <c r="A379" s="2" t="n">
        <v>210</v>
      </c>
      <c r="B379" s="25" t="inlineStr">
        <is>
          <t>HSK1+2</t>
        </is>
      </c>
      <c r="C379" s="4" t="inlineStr">
        <is>
          <t>老师</t>
        </is>
      </c>
      <c r="D379" s="5" t="inlineStr">
        <is>
          <t>lǎoshī</t>
        </is>
      </c>
      <c r="E379" s="6" t="inlineStr">
        <is>
          <t>giáo viên, thầy/cô</t>
        </is>
      </c>
      <c r="F379" s="13" t="inlineStr">
        <is>
          <t>考试</t>
        </is>
      </c>
      <c r="G379" s="7" t="inlineStr">
        <is>
          <t>老师</t>
        </is>
      </c>
      <c r="H379" s="8">
        <f>IF(TRIM($G379)="","",IF(EXACT(TRIM($G379),TRIM($C379)),"✅ Đúng","❌ Sai"))</f>
        <v/>
      </c>
      <c r="I379" s="9">
        <f>HYPERLINK("https://translate.google.com/translate_tts?ie=UTF-8&amp;tl=zh-CN&amp;client=tw-ob&amp;q=老师","▶")</f>
        <v/>
      </c>
      <c r="J379" s="9">
        <f>HYPERLINK("https://youglish.com/pronounce/老师/chinese","🔍")</f>
        <v/>
      </c>
      <c r="K379" s="10" t="n"/>
      <c r="L379" s="11" t="n"/>
      <c r="M379" s="10" t="n"/>
      <c r="N379" s="11" t="n"/>
      <c r="O379" s="10" t="n"/>
      <c r="P379" s="11" t="n"/>
      <c r="Q379" s="10" t="n"/>
      <c r="R379" s="12" t="inlineStr">
        <is>
          <t>2026-06-17</t>
        </is>
      </c>
      <c r="S379" s="18" t="n"/>
      <c r="T379" s="21" t="inlineStr">
        <is>
          <t>老 [LÃO] · già; cũ; luôn luôn; tiền tố tôn xưng
    ↳ Chiết tự: bộ 老 (lão) — hình cụ già tóc dài chống gậy
师 [SƯ] · thầy, bậc thầy; sư đoàn
    ↳ Chiết tự: giản thể của 師: bộ 巾 (cân – khăn) + 阜 (phụ – gò đất) — người dẫn dắt cả đoàn</t>
        </is>
      </c>
      <c r="U379" s="22" t="inlineStr">
        <is>
          <t>💼 Công việc &amp; Mua sắm</t>
        </is>
      </c>
      <c r="V379" s="63" t="inlineStr">
        <is>
          <t>老师，请问这个字怎么读？</t>
        </is>
      </c>
      <c r="W379" s="64" t="inlineStr">
        <is>
          <t>Lǎoshī, qǐngwèn zhège zì zěnme dú?
Thưa thầy, chữ này đọc thế nào ạ?</t>
        </is>
      </c>
    </row>
    <row r="380" hidden="1" ht="34.9" customHeight="1" s="99">
      <c r="A380" s="2" t="n">
        <v>224</v>
      </c>
      <c r="B380" s="25" t="inlineStr">
        <is>
          <t>HSK1+2</t>
        </is>
      </c>
      <c r="C380" s="4" t="inlineStr">
        <is>
          <t>买</t>
        </is>
      </c>
      <c r="D380" s="5" t="inlineStr">
        <is>
          <t>mǎi</t>
        </is>
      </c>
      <c r="E380" s="6" t="inlineStr">
        <is>
          <t>mua</t>
        </is>
      </c>
      <c r="F380" s="13" t="inlineStr">
        <is>
          <t>买</t>
        </is>
      </c>
      <c r="G380" s="7" t="inlineStr">
        <is>
          <t>买</t>
        </is>
      </c>
      <c r="H380" s="8">
        <f>IF(TRIM($G380)="","",IF(EXACT(TRIM($G380),TRIM($C380)),"✅ Đúng","❌ Sai"))</f>
        <v/>
      </c>
      <c r="I380" s="9">
        <f>HYPERLINK("https://translate.google.com/translate_tts?ie=UTF-8&amp;tl=zh-CN&amp;client=tw-ob&amp;q=买","▶")</f>
        <v/>
      </c>
      <c r="J380" s="9">
        <f>HYPERLINK("https://youglish.com/pronounce/买/chinese","🔍")</f>
        <v/>
      </c>
      <c r="K380" s="10" t="n"/>
      <c r="L380" s="11" t="n"/>
      <c r="M380" s="10" t="n"/>
      <c r="N380" s="11" t="n"/>
      <c r="O380" s="10" t="n"/>
      <c r="P380" s="11" t="n"/>
      <c r="Q380" s="10" t="n"/>
      <c r="R380" s="12" t="inlineStr">
        <is>
          <t>2026-06-17</t>
        </is>
      </c>
      <c r="S380" s="18" t="n"/>
      <c r="T380" s="21" t="inlineStr">
        <is>
          <t>买 [MÃI] · mua
    ↳ Chiết tự: giản thể của 買: bộ 罒 (võng – cái lưới) + 贝 (bối – vỏ sò/tiền) — quăng lưới gom tiền đi mua</t>
        </is>
      </c>
      <c r="U380" s="22" t="inlineStr">
        <is>
          <t>💼 Công việc &amp; Mua sắm</t>
        </is>
      </c>
      <c r="V380" s="63" t="inlineStr">
        <is>
          <t>我想买一本书。</t>
        </is>
      </c>
      <c r="W380" s="64" t="inlineStr">
        <is>
          <t>Wǒ xiǎng mǎi yì běn shū.
Tôi muốn mua một quyển sách.</t>
        </is>
      </c>
    </row>
    <row r="381" hidden="1" ht="34.9" customHeight="1" s="99">
      <c r="A381" s="2" t="n">
        <v>225</v>
      </c>
      <c r="B381" s="25" t="inlineStr">
        <is>
          <t>HSK1+2</t>
        </is>
      </c>
      <c r="C381" s="4" t="inlineStr">
        <is>
          <t>卖</t>
        </is>
      </c>
      <c r="D381" s="5" t="inlineStr">
        <is>
          <t>mài</t>
        </is>
      </c>
      <c r="E381" s="6" t="inlineStr">
        <is>
          <t>bán</t>
        </is>
      </c>
      <c r="F381" s="13" t="inlineStr">
        <is>
          <t>卖</t>
        </is>
      </c>
      <c r="G381" s="7" t="inlineStr">
        <is>
          <t>卖</t>
        </is>
      </c>
      <c r="H381" s="8">
        <f>IF(TRIM($G381)="","",IF(EXACT(TRIM($G381),TRIM($C381)),"✅ Đúng","❌ Sai"))</f>
        <v/>
      </c>
      <c r="I381" s="9">
        <f>HYPERLINK("https://translate.google.com/translate_tts?ie=UTF-8&amp;tl=zh-CN&amp;client=tw-ob&amp;q=卖","▶")</f>
        <v/>
      </c>
      <c r="J381" s="9">
        <f>HYPERLINK("https://youglish.com/pronounce/卖/chinese","🔍")</f>
        <v/>
      </c>
      <c r="K381" s="10" t="n"/>
      <c r="L381" s="11" t="n"/>
      <c r="M381" s="10" t="n"/>
      <c r="N381" s="11" t="n"/>
      <c r="O381" s="10" t="n"/>
      <c r="P381" s="11" t="n"/>
      <c r="Q381" s="10" t="n"/>
      <c r="R381" s="12" t="inlineStr">
        <is>
          <t>2026-06-17</t>
        </is>
      </c>
      <c r="S381" s="17" t="n"/>
      <c r="T381" s="21" t="inlineStr">
        <is>
          <t>卖 [MẠI] · bán
    ↳ Chiết tự: giản thể của 賣: bộ 十 (thập) + 买 (mãi – mua) — đối lập với mua</t>
        </is>
      </c>
      <c r="U381" s="22" t="inlineStr">
        <is>
          <t>💼 Công việc &amp; Mua sắm</t>
        </is>
      </c>
      <c r="V381" s="63" t="inlineStr">
        <is>
          <t>这里卖水果。</t>
        </is>
      </c>
      <c r="W381" s="64" t="inlineStr">
        <is>
          <t>Zhèli mài shuǐguǒ.
Ở đây bán trái cây.</t>
        </is>
      </c>
    </row>
    <row r="382" hidden="1" ht="34.9" customHeight="1" s="99">
      <c r="A382" s="2" t="n">
        <v>275</v>
      </c>
      <c r="B382" s="25" t="inlineStr">
        <is>
          <t>HSK1+2</t>
        </is>
      </c>
      <c r="C382" s="4" t="inlineStr">
        <is>
          <t>票</t>
        </is>
      </c>
      <c r="D382" s="5" t="inlineStr">
        <is>
          <t>piào</t>
        </is>
      </c>
      <c r="E382" s="6" t="inlineStr">
        <is>
          <t>vé, phiếu</t>
        </is>
      </c>
      <c r="F382" s="7" t="n"/>
      <c r="G382" s="7" t="inlineStr">
        <is>
          <t>票</t>
        </is>
      </c>
      <c r="H382" s="8">
        <f>IF(TRIM($G382)="","",IF(EXACT(TRIM($G382),TRIM($C382)),"✅ Đúng","❌ Sai"))</f>
        <v/>
      </c>
      <c r="I382" s="9">
        <f>HYPERLINK("https://translate.google.com/translate_tts?ie=UTF-8&amp;tl=zh-CN&amp;client=tw-ob&amp;q=票","▶")</f>
        <v/>
      </c>
      <c r="J382" s="9">
        <f>HYPERLINK("https://youglish.com/pronounce/票/chinese","🔍")</f>
        <v/>
      </c>
      <c r="K382" s="10" t="n"/>
      <c r="L382" s="11" t="n"/>
      <c r="M382" s="10" t="n"/>
      <c r="N382" s="11" t="n"/>
      <c r="O382" s="10" t="n"/>
      <c r="P382" s="11" t="n"/>
      <c r="Q382" s="10" t="n"/>
      <c r="R382" s="12" t="inlineStr">
        <is>
          <t>2026-06-17</t>
        </is>
      </c>
      <c r="S382" s="18" t="n"/>
      <c r="T382" s="21" t="inlineStr">
        <is>
          <t>票 [PHIẾU] · vé, phiếu, tờ
    ↳ Chiết tự: bộ 覀 (á – che đậy) + 示 (thị – bàn thờ) — mảnh giấy làm bằng chứng</t>
        </is>
      </c>
      <c r="U382" s="22" t="inlineStr">
        <is>
          <t>💼 Công việc &amp; Mua sắm</t>
        </is>
      </c>
      <c r="V382" s="63" t="inlineStr">
        <is>
          <t>我买了两张票。</t>
        </is>
      </c>
      <c r="W382" s="64" t="inlineStr">
        <is>
          <t>Wǒ mǎi le liǎng zhāng piào.
Tôi mua hai cái vé.</t>
        </is>
      </c>
    </row>
    <row r="383" hidden="1" ht="34.9" customHeight="1" s="99">
      <c r="A383" s="2" t="n">
        <v>284</v>
      </c>
      <c r="B383" s="25" t="inlineStr">
        <is>
          <t>HSK1+2</t>
        </is>
      </c>
      <c r="C383" s="4" t="inlineStr">
        <is>
          <t>钱</t>
        </is>
      </c>
      <c r="D383" s="5" t="inlineStr">
        <is>
          <t>qián</t>
        </is>
      </c>
      <c r="E383" s="6" t="inlineStr">
        <is>
          <t>tiền</t>
        </is>
      </c>
      <c r="F383" s="13" t="inlineStr">
        <is>
          <t>钱</t>
        </is>
      </c>
      <c r="G383" s="7" t="inlineStr">
        <is>
          <t>钱</t>
        </is>
      </c>
      <c r="H383" s="8">
        <f>IF(TRIM($G383)="","",IF(EXACT(TRIM($G383),TRIM($C383)),"✅ Đúng","❌ Sai"))</f>
        <v/>
      </c>
      <c r="I383" s="9">
        <f>HYPERLINK("https://translate.google.com/translate_tts?ie=UTF-8&amp;tl=zh-CN&amp;client=tw-ob&amp;q=钱","▶")</f>
        <v/>
      </c>
      <c r="J383" s="9">
        <f>HYPERLINK("https://youglish.com/pronounce/钱/chinese","🔍")</f>
        <v/>
      </c>
      <c r="K383" s="10" t="n"/>
      <c r="L383" s="11" t="n"/>
      <c r="M383" s="10" t="n"/>
      <c r="N383" s="11" t="n"/>
      <c r="O383" s="10" t="n"/>
      <c r="P383" s="11" t="n"/>
      <c r="Q383" s="10" t="n"/>
      <c r="R383" s="12" t="inlineStr">
        <is>
          <t>2026-06-17</t>
        </is>
      </c>
      <c r="S383" s="17" t="n"/>
      <c r="T383" s="21" t="inlineStr">
        <is>
          <t>钱 [TIỀN] · tiền bạc
    ↳ Chiết tự: giản thể của 錢: bộ 钅 (kim – kim loại) + 戋 (tiên – âm đọc) — mảnh kim loại làm tiền</t>
        </is>
      </c>
      <c r="U383" s="22" t="inlineStr">
        <is>
          <t>💼 Công việc &amp; Mua sắm</t>
        </is>
      </c>
      <c r="V383" s="63" t="inlineStr">
        <is>
          <t>我没带钱。</t>
        </is>
      </c>
      <c r="W383" s="64" t="inlineStr">
        <is>
          <t>Wǒ méi dài qián.
Tôi không mang tiền.</t>
        </is>
      </c>
    </row>
    <row r="384" hidden="1" ht="69.75" customHeight="1" s="99">
      <c r="A384" s="2" t="n">
        <v>285</v>
      </c>
      <c r="B384" s="3" t="inlineStr">
        <is>
          <t>HSK1</t>
        </is>
      </c>
      <c r="C384" s="4" t="inlineStr">
        <is>
          <t>钱包</t>
        </is>
      </c>
      <c r="D384" s="5" t="inlineStr">
        <is>
          <t>qiánbāo</t>
        </is>
      </c>
      <c r="E384" s="6" t="inlineStr">
        <is>
          <t>ví tiền</t>
        </is>
      </c>
      <c r="F384" s="7" t="n"/>
      <c r="G384" s="7" t="inlineStr">
        <is>
          <t>钱包</t>
        </is>
      </c>
      <c r="H384" s="8">
        <f>IF(TRIM($G384)="","",IF(EXACT(TRIM($G384),TRIM($C384)),"✅ Đúng","❌ Sai"))</f>
        <v/>
      </c>
      <c r="I384" s="9">
        <f>HYPERLINK("https://translate.google.com/translate_tts?ie=UTF-8&amp;tl=zh-CN&amp;client=tw-ob&amp;q=钱包","▶")</f>
        <v/>
      </c>
      <c r="J384" s="9">
        <f>HYPERLINK("https://youglish.com/pronounce/钱包/chinese","🔍")</f>
        <v/>
      </c>
      <c r="K384" s="10" t="n"/>
      <c r="L384" s="11" t="n"/>
      <c r="M384" s="10" t="n"/>
      <c r="N384" s="11" t="n"/>
      <c r="O384" s="10" t="n"/>
      <c r="P384" s="11" t="n"/>
      <c r="Q384" s="10" t="n"/>
      <c r="R384" s="12" t="inlineStr">
        <is>
          <t>2026-06-17</t>
        </is>
      </c>
      <c r="S384" s="18" t="n"/>
      <c r="T384" s="21" t="inlineStr">
        <is>
          <t>钱 [TIỀN] · tiền bạc
    ↳ Chiết tự: giản thể của 錢: bộ 钅 (kim – kim loại) + 戋 (tiên – âm đọc) — mảnh kim loại làm tiền
包 [BAO] · bao bọc, gói; cái túi
    ↳ Chiết tự: bộ 勹 (bao – ôm bọc) + 巳 (tị – thai nhi) — bụng mẹ bọc lấy thai</t>
        </is>
      </c>
      <c r="U384" s="22" t="inlineStr">
        <is>
          <t>💼 Công việc &amp; Mua sắm</t>
        </is>
      </c>
      <c r="V384" s="63" t="inlineStr">
        <is>
          <t>我的钱包不见了。</t>
        </is>
      </c>
      <c r="W384" s="64" t="inlineStr">
        <is>
          <t>Wǒ de qiánbāo bú jiàn le.
Ví của tôi mất rồi.</t>
        </is>
      </c>
    </row>
    <row r="385" hidden="1" ht="69.75" customHeight="1" s="99">
      <c r="A385" s="2" t="n">
        <v>303</v>
      </c>
      <c r="B385" s="3" t="inlineStr">
        <is>
          <t>HSK1</t>
        </is>
      </c>
      <c r="C385" s="4" t="inlineStr">
        <is>
          <t>商场</t>
        </is>
      </c>
      <c r="D385" s="5" t="inlineStr">
        <is>
          <t>shāngchǎng</t>
        </is>
      </c>
      <c r="E385" s="6" t="inlineStr">
        <is>
          <t>trung tâm thương mại</t>
        </is>
      </c>
      <c r="F385" s="13" t="inlineStr">
        <is>
          <t>商场</t>
        </is>
      </c>
      <c r="G385" s="7" t="inlineStr">
        <is>
          <t>商场</t>
        </is>
      </c>
      <c r="H385" s="8">
        <f>IF(TRIM($G385)="","",IF(EXACT(TRIM($G385),TRIM($C385)),"✅ Đúng","❌ Sai"))</f>
        <v/>
      </c>
      <c r="I385" s="9">
        <f>HYPERLINK("https://translate.google.com/translate_tts?ie=UTF-8&amp;tl=zh-CN&amp;client=tw-ob&amp;q=商场","▶")</f>
        <v/>
      </c>
      <c r="J385" s="9">
        <f>HYPERLINK("https://youglish.com/pronounce/商场/chinese","🔍")</f>
        <v/>
      </c>
      <c r="K385" s="10" t="n"/>
      <c r="L385" s="11" t="n"/>
      <c r="M385" s="10" t="n"/>
      <c r="N385" s="11" t="n"/>
      <c r="O385" s="10" t="n"/>
      <c r="P385" s="11" t="n"/>
      <c r="Q385" s="10" t="n"/>
      <c r="R385" s="12" t="inlineStr">
        <is>
          <t>2026-06-17</t>
        </is>
      </c>
      <c r="S385" s="18" t="n"/>
      <c r="T385" s="21" t="inlineStr">
        <is>
          <t>商 [THƯƠNG] · buôn bán; bàn bạc
    ↳ Chiết tự: bộ 亠 (đầu) + 冂 (quynh) + 口 (khẩu) — hình lều chợ, nơi bàn giá cả
场 [TRƯỜNG] · sân bãi, nơi rộng
    ↳ Chiết tự: giản thể của 場: bộ 土 (thổ – đất) + 昜 (dương – nắng) — khoảng đất trống phơi nắng</t>
        </is>
      </c>
      <c r="U385" s="22" t="inlineStr">
        <is>
          <t>💼 Công việc &amp; Mua sắm</t>
        </is>
      </c>
      <c r="V385" s="63" t="inlineStr">
        <is>
          <t>商场在车站旁边。</t>
        </is>
      </c>
      <c r="W385" s="64" t="inlineStr">
        <is>
          <t>Shāngchǎng zài chēzhàn pángbiān.
Trung tâm thương mại ở cạnh bến xe.</t>
        </is>
      </c>
    </row>
    <row r="386" hidden="1" ht="69.75" customHeight="1" s="99">
      <c r="A386" s="2" t="n">
        <v>304</v>
      </c>
      <c r="B386" s="25" t="inlineStr">
        <is>
          <t>HSK1+2</t>
        </is>
      </c>
      <c r="C386" s="4" t="inlineStr">
        <is>
          <t>商店</t>
        </is>
      </c>
      <c r="D386" s="5" t="inlineStr">
        <is>
          <t>shāngdiàn</t>
        </is>
      </c>
      <c r="E386" s="6" t="inlineStr">
        <is>
          <t>cửa hàng</t>
        </is>
      </c>
      <c r="F386" s="7" t="n"/>
      <c r="G386" s="7" t="inlineStr">
        <is>
          <t>商店</t>
        </is>
      </c>
      <c r="H386" s="8">
        <f>IF(TRIM($G386)="","",IF(EXACT(TRIM($G386),TRIM($C386)),"✅ Đúng","❌ Sai"))</f>
        <v/>
      </c>
      <c r="I386" s="9">
        <f>HYPERLINK("https://translate.google.com/translate_tts?ie=UTF-8&amp;tl=zh-CN&amp;client=tw-ob&amp;q=商店","▶")</f>
        <v/>
      </c>
      <c r="J386" s="9">
        <f>HYPERLINK("https://youglish.com/pronounce/商店/chinese","🔍")</f>
        <v/>
      </c>
      <c r="K386" s="10" t="n"/>
      <c r="L386" s="11" t="n"/>
      <c r="M386" s="10" t="n"/>
      <c r="N386" s="11" t="n"/>
      <c r="O386" s="10" t="n"/>
      <c r="P386" s="11" t="n"/>
      <c r="Q386" s="10" t="n"/>
      <c r="R386" s="12" t="inlineStr">
        <is>
          <t>2026-06-17</t>
        </is>
      </c>
      <c r="S386" s="17" t="n"/>
      <c r="T386" s="21" t="inlineStr">
        <is>
          <t>商 [THƯƠNG] · buôn bán; bàn bạc
    ↳ Chiết tự: bộ 亠 (đầu) + 冂 (quynh) + 口 (khẩu) — hình lều chợ, nơi bàn giá cả
店 [ĐIẾM] · cửa hàng, quán
    ↳ Chiết tự: bộ 广 (nghiễm – mái nhà) + 占 (chiếm – âm đọc) — mái nhà chiếm chỗ bày bán</t>
        </is>
      </c>
      <c r="U386" s="22" t="inlineStr">
        <is>
          <t>💼 Công việc &amp; Mua sắm</t>
        </is>
      </c>
      <c r="V386" s="63" t="inlineStr">
        <is>
          <t>这家商店很大。</t>
        </is>
      </c>
      <c r="W386" s="64" t="inlineStr">
        <is>
          <t>Zhè jiā shāngdiàn hěn dà.
Cửa hàng này rất lớn.</t>
        </is>
      </c>
    </row>
    <row r="387" hidden="1" ht="69.75" customHeight="1" s="99">
      <c r="A387" s="2" t="n">
        <v>306</v>
      </c>
      <c r="B387" s="25" t="inlineStr">
        <is>
          <t>HSK1+2</t>
        </is>
      </c>
      <c r="C387" s="4" t="inlineStr">
        <is>
          <t>上班</t>
        </is>
      </c>
      <c r="D387" s="5" t="inlineStr">
        <is>
          <t>shàngbān</t>
        </is>
      </c>
      <c r="E387" s="6" t="inlineStr">
        <is>
          <t>đi làm</t>
        </is>
      </c>
      <c r="F387" s="7" t="n"/>
      <c r="G387" s="7" t="inlineStr">
        <is>
          <t>上班</t>
        </is>
      </c>
      <c r="H387" s="8">
        <f>IF(TRIM($G387)="","",IF(EXACT(TRIM($G387),TRIM($C387)),"✅ Đúng","❌ Sai"))</f>
        <v/>
      </c>
      <c r="I387" s="9">
        <f>HYPERLINK("https://translate.google.com/translate_tts?ie=UTF-8&amp;tl=zh-CN&amp;client=tw-ob&amp;q=上班","▶")</f>
        <v/>
      </c>
      <c r="J387" s="9">
        <f>HYPERLINK("https://youglish.com/pronounce/上班/chinese","🔍")</f>
        <v/>
      </c>
      <c r="K387" s="10" t="n"/>
      <c r="L387" s="11" t="n"/>
      <c r="M387" s="10" t="n"/>
      <c r="N387" s="11" t="n"/>
      <c r="O387" s="10" t="n"/>
      <c r="P387" s="11" t="n"/>
      <c r="Q387" s="10" t="n"/>
      <c r="R387" s="12" t="inlineStr">
        <is>
          <t>2026-06-17</t>
        </is>
      </c>
      <c r="S387" s="17" t="n"/>
      <c r="T387" s="21" t="inlineStr">
        <is>
          <t>上 [THƯỢNG] · ở trên, lên, trước đó
    ↳ Chiết tự: bộ 一 (nhất – mặt đất) + vạch chỉ hướng lên — chữ chỉ sự
班 [BAN] · lớp học, tổ, ca làm
    ↳ Chiết tự: bộ 玨 (hai viên ngọc) + 刂 (đao đứng – dao) — chia ngọc thành từng phần</t>
        </is>
      </c>
      <c r="U387" s="22" t="inlineStr">
        <is>
          <t>💼 Công việc &amp; Mua sắm</t>
        </is>
      </c>
      <c r="V387" s="63" t="inlineStr">
        <is>
          <t>我八点上班。</t>
        </is>
      </c>
      <c r="W387" s="64" t="inlineStr">
        <is>
          <t>Wǒ bā diǎn shàngbān.
Tôi đi làm lúc tám giờ.</t>
        </is>
      </c>
    </row>
    <row r="388" hidden="1" ht="69.75" customHeight="1" s="99">
      <c r="A388" s="2" t="n">
        <v>380</v>
      </c>
      <c r="B388" s="3" t="inlineStr">
        <is>
          <t>HSK1</t>
        </is>
      </c>
      <c r="C388" s="4" t="inlineStr">
        <is>
          <t>下班</t>
        </is>
      </c>
      <c r="D388" s="5" t="inlineStr">
        <is>
          <t>xiàbān</t>
        </is>
      </c>
      <c r="E388" s="6" t="inlineStr">
        <is>
          <t>tan làm</t>
        </is>
      </c>
      <c r="F388" s="7" t="n"/>
      <c r="G388" s="13" t="inlineStr">
        <is>
          <t>下班</t>
        </is>
      </c>
      <c r="H388" s="8">
        <f>IF(TRIM($G388)="","",IF(EXACT(TRIM($G388),TRIM($C388)),"✅ Đúng","❌ Sai"))</f>
        <v/>
      </c>
      <c r="I388" s="9">
        <f>HYPERLINK("https://translate.google.com/translate_tts?ie=UTF-8&amp;tl=zh-CN&amp;client=tw-ob&amp;q=下班","▶")</f>
        <v/>
      </c>
      <c r="J388" s="9">
        <f>HYPERLINK("https://youglish.com/pronounce/下班/chinese","🔍")</f>
        <v/>
      </c>
      <c r="K388" s="10" t="n"/>
      <c r="L388" s="11" t="n"/>
      <c r="M388" s="10" t="n"/>
      <c r="N388" s="11" t="n"/>
      <c r="O388" s="10" t="n"/>
      <c r="P388" s="11" t="n"/>
      <c r="Q388" s="10" t="n"/>
      <c r="R388" s="12" t="inlineStr">
        <is>
          <t>2026-06-17</t>
        </is>
      </c>
      <c r="S388" s="17" t="n"/>
      <c r="T388" s="21" t="inlineStr">
        <is>
          <t>下 [HẠ] · ở dưới, xuống, kém hơn
    ↳ Chiết tự: bộ 一 (nhất – mặt đất) + vạch chỉ hướng xuống — chữ chỉ sự
班 [BAN] · lớp học, tổ, ca làm
    ↳ Chiết tự: bộ 玨 (hai viên ngọc) + 刂 (đao đứng – dao) — chia ngọc thành từng phần</t>
        </is>
      </c>
      <c r="U388" s="22" t="inlineStr">
        <is>
          <t>💼 Công việc &amp; Mua sắm</t>
        </is>
      </c>
      <c r="V388" s="63" t="inlineStr">
        <is>
          <t>我五点下班。</t>
        </is>
      </c>
      <c r="W388" s="64" t="inlineStr">
        <is>
          <t>Wǒ wǔ diǎn xiàbān.
Tôi tan làm lúc năm giờ.</t>
        </is>
      </c>
    </row>
    <row r="389" hidden="1" ht="58.15" customHeight="1" s="99">
      <c r="A389" s="2" t="n">
        <v>419</v>
      </c>
      <c r="B389" s="25" t="inlineStr">
        <is>
          <t>HSK1+2</t>
        </is>
      </c>
      <c r="C389" s="4" t="inlineStr">
        <is>
          <t>医生</t>
        </is>
      </c>
      <c r="D389" s="5" t="inlineStr">
        <is>
          <t>yīshēng</t>
        </is>
      </c>
      <c r="E389" s="6" t="inlineStr">
        <is>
          <t>bác sĩ</t>
        </is>
      </c>
      <c r="F389" s="7" t="inlineStr">
        <is>
          <t>医生</t>
        </is>
      </c>
      <c r="G389" s="13" t="inlineStr">
        <is>
          <t>医生</t>
        </is>
      </c>
      <c r="H389" s="8">
        <f>IF(TRIM($G389)="","",IF(EXACT(TRIM($G389),TRIM($C389)),"✅ Đúng","❌ Sai"))</f>
        <v/>
      </c>
      <c r="I389" s="9">
        <f>HYPERLINK("https://translate.google.com/translate_tts?ie=UTF-8&amp;tl=zh-CN&amp;client=tw-ob&amp;q=医生","▶")</f>
        <v/>
      </c>
      <c r="J389" s="9">
        <f>HYPERLINK("https://youglish.com/pronounce/医生/chinese","🔍")</f>
        <v/>
      </c>
      <c r="K389" s="10" t="n"/>
      <c r="L389" s="11" t="n"/>
      <c r="M389" s="10" t="n"/>
      <c r="N389" s="11" t="n"/>
      <c r="O389" s="10" t="n"/>
      <c r="P389" s="11" t="n"/>
      <c r="Q389" s="10" t="n"/>
      <c r="R389" s="12" t="inlineStr">
        <is>
          <t>2026-06-17</t>
        </is>
      </c>
      <c r="S389" s="18" t="n"/>
      <c r="T389" s="21" t="inlineStr">
        <is>
          <t>医 [Y] · chữa bệnh, thầy thuốc
    ↳ Chiết tự: giản thể của 醫: bộ 匚 (phương – hộp) chứa 矢 (thỉ – mũi tên) — hộp đựng dụng cụ rút tên chữa thương
生 [SINH] · sinh ra, sống; học trò; sống (chưa chín)
    ↳ Chiết tự: bộ 生 (sinh) — hình mầm cây nhú lên khỏi mặt đất</t>
        </is>
      </c>
      <c r="U389" s="22" t="inlineStr">
        <is>
          <t>💼 Công việc &amp; Mua sắm</t>
        </is>
      </c>
      <c r="V389" s="63" t="inlineStr">
        <is>
          <t>他是一位好医生。</t>
        </is>
      </c>
      <c r="W389" s="64" t="inlineStr">
        <is>
          <t>Tā shì yí wèi hǎo yīshēng.
Ông ấy là một bác sĩ giỏi.</t>
        </is>
      </c>
    </row>
    <row r="390" hidden="1" ht="105.4" customHeight="1" s="99">
      <c r="A390" s="26" t="n">
        <v>521</v>
      </c>
      <c r="B390" s="79" t="inlineStr">
        <is>
          <t>HSK2</t>
        </is>
      </c>
      <c r="C390" s="80" t="inlineStr">
        <is>
          <t>服务员</t>
        </is>
      </c>
      <c r="D390" s="80" t="inlineStr">
        <is>
          <t>fúwùyuán</t>
        </is>
      </c>
      <c r="E390" s="80" t="inlineStr">
        <is>
          <t>nhân viên phục vụ</t>
        </is>
      </c>
      <c r="F390" s="26" t="n"/>
      <c r="G390" s="13" t="inlineStr">
        <is>
          <t>服务员</t>
        </is>
      </c>
      <c r="H390" s="8">
        <f>IF(TRIM($G390)="","",IF(EXACT(TRIM($G390),TRIM($C390)),"✅ Đúng","❌ Sai"))</f>
        <v/>
      </c>
      <c r="I390" s="52" t="inlineStr">
        <is>
          <t>▶</t>
        </is>
      </c>
      <c r="J390" s="52" t="inlineStr">
        <is>
          <t>🔍</t>
        </is>
      </c>
      <c r="K390" s="26" t="n"/>
      <c r="L390" s="26" t="n"/>
      <c r="M390" s="26" t="n"/>
      <c r="N390" s="26" t="n"/>
      <c r="O390" s="26" t="n"/>
      <c r="P390" s="26" t="n"/>
      <c r="Q390" s="26" t="n"/>
      <c r="R390" s="39" t="n">
        <v>46236</v>
      </c>
      <c r="S390" s="41" t="n"/>
      <c r="T390" s="47" t="inlineStr">
        <is>
          <t>服 [PHỤC] · quần áo; phục tùng; uống thuốc
    ↳ Chiết tự: bộ 月 (nhục – thân người) + 卩 (tiết) + 又 (hựu – tay) — tay khoác lên thân
务 [VỤ] · công việc, nhiệm vụ
    ↳ Chiết tự: giản thể của 務: bộ 夂 (truy) + 力 (lực – sức) — dốc sức làm việc
员 [VIÊN] · nhân viên, thành viên
    ↳ Chiết tự: giản thể của 員: bộ 口 (khẩu – miệng) + 贝 (bối – tiền) — người trong một tổ chức</t>
        </is>
      </c>
      <c r="U390" s="44" t="inlineStr">
        <is>
          <t>💼 Công việc &amp; Mua sắm</t>
        </is>
      </c>
      <c r="V390" s="63" t="inlineStr">
        <is>
          <t>服务员，请给我菜单。</t>
        </is>
      </c>
      <c r="W390" s="64" t="inlineStr">
        <is>
          <t>Fúwùyuán, qǐng gěi wǒ càidān.
Nhân viên ơi, cho tôi thực đơn.</t>
        </is>
      </c>
    </row>
    <row r="391" hidden="1" ht="58.9" customHeight="1" s="99">
      <c r="A391" s="26" t="n">
        <v>523</v>
      </c>
      <c r="B391" s="79" t="inlineStr">
        <is>
          <t>HSK2</t>
        </is>
      </c>
      <c r="C391" s="80" t="inlineStr">
        <is>
          <t>公司</t>
        </is>
      </c>
      <c r="D391" s="80" t="inlineStr">
        <is>
          <t>gōngsī</t>
        </is>
      </c>
      <c r="E391" s="80" t="inlineStr">
        <is>
          <t>công ty</t>
        </is>
      </c>
      <c r="F391" s="26" t="n"/>
      <c r="G391" s="13" t="inlineStr">
        <is>
          <t>公司</t>
        </is>
      </c>
      <c r="H391" s="8">
        <f>IF(TRIM($G391)="","",IF(EXACT(TRIM($G391),TRIM($C391)),"✅ Đúng","❌ Sai"))</f>
        <v/>
      </c>
      <c r="I391" s="52" t="inlineStr">
        <is>
          <t>▶</t>
        </is>
      </c>
      <c r="J391" s="52" t="inlineStr">
        <is>
          <t>🔍</t>
        </is>
      </c>
      <c r="K391" s="26" t="n"/>
      <c r="L391" s="26" t="n"/>
      <c r="M391" s="26" t="n"/>
      <c r="N391" s="26" t="n"/>
      <c r="O391" s="26" t="n"/>
      <c r="P391" s="26" t="n"/>
      <c r="Q391" s="26" t="n"/>
      <c r="R391" s="39" t="n">
        <v>46236</v>
      </c>
      <c r="S391" s="41" t="n"/>
      <c r="T391" s="47" t="inlineStr">
        <is>
          <t>公 [CÔNG] · chung, công cộng; ông
    ↳ Chiết tự: bộ 八 (bát – chia) + 厶 (tư – riêng tư) — chia bỏ cái riêng thì thành cái chung
司 [TY] · quản lý, cơ quan (公司 = công ty)
    ↳ Chiết tự: bộ 口 (khẩu – miệng) + 乛 — người cầm lệnh phát ngôn</t>
        </is>
      </c>
      <c r="U391" s="44" t="inlineStr">
        <is>
          <t>💼 Công việc &amp; Mua sắm</t>
        </is>
      </c>
      <c r="V391" s="63" t="inlineStr">
        <is>
          <t>我在一家中国公司工作。</t>
        </is>
      </c>
      <c r="W391" s="64" t="inlineStr">
        <is>
          <t>Wǒ zài yì jiā Zhōngguó gōngsī gōngzuò.
Tôi làm ở một công ty Trung Quốc.</t>
        </is>
      </c>
    </row>
    <row r="392" hidden="1" ht="70.5" customHeight="1" s="99">
      <c r="A392" s="26" t="n">
        <v>537</v>
      </c>
      <c r="B392" s="79" t="inlineStr">
        <is>
          <t>HSK2</t>
        </is>
      </c>
      <c r="C392" s="80" t="inlineStr">
        <is>
          <t>便宜</t>
        </is>
      </c>
      <c r="D392" s="80" t="inlineStr">
        <is>
          <t>piányi</t>
        </is>
      </c>
      <c r="E392" s="80" t="inlineStr">
        <is>
          <t>rẻ</t>
        </is>
      </c>
      <c r="F392" s="26" t="n"/>
      <c r="G392" s="13" t="inlineStr">
        <is>
          <t>便宜</t>
        </is>
      </c>
      <c r="H392" s="8">
        <f>IF(TRIM($G392)="","",IF(EXACT(TRIM($G392),TRIM($C392)),"✅ Đúng","❌ Sai"))</f>
        <v/>
      </c>
      <c r="I392" s="52" t="inlineStr">
        <is>
          <t>▶</t>
        </is>
      </c>
      <c r="J392" s="52" t="inlineStr">
        <is>
          <t>🔍</t>
        </is>
      </c>
      <c r="K392" s="26" t="n"/>
      <c r="L392" s="26" t="n"/>
      <c r="M392" s="26" t="n"/>
      <c r="N392" s="26" t="n"/>
      <c r="O392" s="26" t="n"/>
      <c r="P392" s="26" t="n"/>
      <c r="Q392" s="26" t="n"/>
      <c r="R392" s="39" t="n">
        <v>46236</v>
      </c>
      <c r="S392" s="41" t="n"/>
      <c r="T392" s="47" t="inlineStr">
        <is>
          <t>便 [TIỆN / PHIỀN] · tiện lợi; rẻ (便宜)
    ↳ Chiết tự: bộ 亻 (nhân đứng – người) + 更 (canh – thay đổi) — người sửa cho thuận tiện
宜 [NGHI] · thích hợp, nên
    ↳ Chiết tự: bộ 宀 (miên – mái nhà) + 且 (thả) — bày đồ tế trong nhà cho phải phép</t>
        </is>
      </c>
      <c r="U392" s="44" t="inlineStr">
        <is>
          <t>💼 Công việc &amp; Mua sắm</t>
        </is>
      </c>
      <c r="V392" s="63" t="inlineStr">
        <is>
          <t>这个很便宜。</t>
        </is>
      </c>
      <c r="W392" s="64" t="inlineStr">
        <is>
          <t>Zhège hěn piányi.
Cái này rất rẻ.</t>
        </is>
      </c>
    </row>
    <row r="393" ht="34.9" customHeight="1" s="99">
      <c r="A393" s="2" t="n">
        <v>5</v>
      </c>
      <c r="B393" s="25" t="inlineStr">
        <is>
          <t>HSK1+2</t>
        </is>
      </c>
      <c r="C393" s="4" t="inlineStr">
        <is>
          <t>吧</t>
        </is>
      </c>
      <c r="D393" s="5" t="inlineStr">
        <is>
          <t>ba</t>
        </is>
      </c>
      <c r="E393" s="6" t="inlineStr">
        <is>
          <t>nào, nhé (trợ từ)</t>
        </is>
      </c>
      <c r="F393" s="7" t="n"/>
      <c r="G393" s="7" t="n"/>
      <c r="H393" s="8">
        <f>IF(TRIM($G393)="","",IF(EXACT(TRIM($G393),TRIM($C393)),"✅ Đúng","❌ Sai"))</f>
        <v/>
      </c>
      <c r="I393" s="9">
        <f>HYPERLINK("https://translate.google.com/translate_tts?ie=UTF-8&amp;tl=zh-CN&amp;client=tw-ob&amp;q=吧","▶")</f>
        <v/>
      </c>
      <c r="J393" s="9">
        <f>HYPERLINK("https://youglish.com/pronounce/吧/chinese","🔍")</f>
        <v/>
      </c>
      <c r="K393" s="10" t="n"/>
      <c r="L393" s="11" t="n"/>
      <c r="M393" s="10" t="n"/>
      <c r="N393" s="11" t="n"/>
      <c r="O393" s="10" t="n"/>
      <c r="P393" s="11" t="n"/>
      <c r="Q393" s="10" t="n"/>
      <c r="R393" s="12" t="inlineStr">
        <is>
          <t>2026-06-17</t>
        </is>
      </c>
      <c r="S393" s="17" t="n"/>
      <c r="T393" s="21" t="inlineStr">
        <is>
          <t>吧 [BA] · nhé, đi (trợ từ đề nghị)
    ↳ Chiết tự: bộ 口 (khẩu – miệng) + 巴 (ba – âm đọc) — hình thanh, tiếng gợi ý</t>
        </is>
      </c>
      <c r="U393" s="22" t="inlineStr">
        <is>
          <t>🔗 Từ nối &amp; Trợ từ</t>
        </is>
      </c>
      <c r="V393" s="63" t="inlineStr">
        <is>
          <t>我们走吧。</t>
        </is>
      </c>
      <c r="W393" s="64" t="inlineStr">
        <is>
          <t>Wǒmen zǒu ba.
Chúng ta đi thôi.</t>
        </is>
      </c>
    </row>
    <row r="394" ht="58.15" customHeight="1" s="99">
      <c r="A394" s="2" t="n">
        <v>33</v>
      </c>
      <c r="B394" s="3" t="inlineStr">
        <is>
          <t>HSK1</t>
        </is>
      </c>
      <c r="C394" s="4" t="inlineStr">
        <is>
          <t>不用</t>
        </is>
      </c>
      <c r="D394" s="5" t="inlineStr">
        <is>
          <t>búyòng</t>
        </is>
      </c>
      <c r="E394" s="6" t="inlineStr">
        <is>
          <t>không cần</t>
        </is>
      </c>
      <c r="F394" s="7" t="n"/>
      <c r="G394" s="7" t="n"/>
      <c r="H394" s="8">
        <f>IF(TRIM($G394)="","",IF(EXACT(TRIM($G394),TRIM($C394)),"✅ Đúng","❌ Sai"))</f>
        <v/>
      </c>
      <c r="I394" s="9">
        <f>HYPERLINK("https://translate.google.com/translate_tts?ie=UTF-8&amp;tl=zh-CN&amp;client=tw-ob&amp;q=不用","▶")</f>
        <v/>
      </c>
      <c r="J394" s="9">
        <f>HYPERLINK("https://youglish.com/pronounce/不用/chinese","🔍")</f>
        <v/>
      </c>
      <c r="K394" s="10" t="n"/>
      <c r="L394" s="11" t="n"/>
      <c r="M394" s="10" t="n"/>
      <c r="N394" s="11" t="n"/>
      <c r="O394" s="10" t="n"/>
      <c r="P394" s="11" t="n"/>
      <c r="Q394" s="10" t="n"/>
      <c r="R394" s="12" t="inlineStr">
        <is>
          <t>2026-06-17</t>
        </is>
      </c>
      <c r="S394" s="17" t="n"/>
      <c r="T394" s="21" t="inlineStr">
        <is>
          <t>不 [BẤT] · không, chẳng (phủ định)
    ↳ Chiết tự: bộ 一 (nhất – vòm trời) + 丿 (phiệt) — chim bay lên đụng trời, không qua được
用 [DỤNG] · dùng, sử dụng, công dụng
    ↳ Chiết tự: bộ 用 (dụng) — hình cái thùng gỗ dùng đong</t>
        </is>
      </c>
      <c r="U394" s="22" t="inlineStr">
        <is>
          <t>🔗 Từ nối &amp; Trợ từ</t>
        </is>
      </c>
      <c r="V394" s="63" t="inlineStr">
        <is>
          <t>不用谢。</t>
        </is>
      </c>
      <c r="W394" s="64" t="inlineStr">
        <is>
          <t>Búyòng xiè.
Không cần cảm ơn.</t>
        </is>
      </c>
    </row>
    <row r="395" hidden="1" ht="34.9" customHeight="1" s="99">
      <c r="A395" s="2" t="n">
        <v>34</v>
      </c>
      <c r="B395" s="25" t="inlineStr">
        <is>
          <t>HSK1+2</t>
        </is>
      </c>
      <c r="C395" s="4" t="inlineStr">
        <is>
          <t>不</t>
        </is>
      </c>
      <c r="D395" s="5" t="inlineStr">
        <is>
          <t>bù</t>
        </is>
      </c>
      <c r="E395" s="6" t="inlineStr">
        <is>
          <t>không</t>
        </is>
      </c>
      <c r="F395" s="13" t="inlineStr">
        <is>
          <t>不</t>
        </is>
      </c>
      <c r="G395" s="7" t="inlineStr">
        <is>
          <t>不</t>
        </is>
      </c>
      <c r="H395" s="8">
        <f>IF(TRIM($G395)="","",IF(EXACT(TRIM($G395),TRIM($C395)),"✅ Đúng","❌ Sai"))</f>
        <v/>
      </c>
      <c r="I395" s="9">
        <f>HYPERLINK("https://translate.google.com/translate_tts?ie=UTF-8&amp;tl=zh-CN&amp;client=tw-ob&amp;q=不","▶")</f>
        <v/>
      </c>
      <c r="J395" s="9">
        <f>HYPERLINK("https://youglish.com/pronounce/不/chinese","🔍")</f>
        <v/>
      </c>
      <c r="K395" s="10" t="n"/>
      <c r="L395" s="11" t="n"/>
      <c r="M395" s="10" t="n"/>
      <c r="N395" s="11" t="n"/>
      <c r="O395" s="10" t="n"/>
      <c r="P395" s="11" t="n"/>
      <c r="Q395" s="10" t="n"/>
      <c r="R395" s="12" t="inlineStr">
        <is>
          <t>2026-06-17</t>
        </is>
      </c>
      <c r="S395" s="18" t="n"/>
      <c r="T395" s="21" t="inlineStr">
        <is>
          <t>不 [BẤT] · không, chẳng (phủ định)
    ↳ Chiết tự: bộ 一 (nhất – vòm trời) + 丿 (phiệt) — chim bay lên đụng trời, không qua được</t>
        </is>
      </c>
      <c r="U395" s="22" t="inlineStr">
        <is>
          <t>🔗 Từ nối &amp; Trợ từ</t>
        </is>
      </c>
      <c r="V395" s="63" t="inlineStr">
        <is>
          <t>我不喜欢喝咖啡。</t>
        </is>
      </c>
      <c r="W395" s="64" t="inlineStr">
        <is>
          <t>Wǒ bù xǐhuan hē kāfēi.
Tôi không thích uống cà phê.</t>
        </is>
      </c>
    </row>
    <row r="396" ht="34.9" customHeight="1" s="99">
      <c r="A396" s="2" t="n">
        <v>54</v>
      </c>
      <c r="B396" s="25" t="inlineStr">
        <is>
          <t>HSK1+2</t>
        </is>
      </c>
      <c r="C396" s="4" t="inlineStr">
        <is>
          <t>从</t>
        </is>
      </c>
      <c r="D396" s="5" t="inlineStr">
        <is>
          <t>cóng</t>
        </is>
      </c>
      <c r="E396" s="6" t="inlineStr">
        <is>
          <t>từ, qua, theo</t>
        </is>
      </c>
      <c r="F396" s="7" t="n"/>
      <c r="G396" s="7" t="inlineStr">
        <is>
          <t>从</t>
        </is>
      </c>
      <c r="H396" s="8">
        <f>IF(TRIM($G396)="","",IF(EXACT(TRIM($G396),TRIM($C396)),"✅ Đúng","❌ Sai"))</f>
        <v/>
      </c>
      <c r="I396" s="9">
        <f>HYPERLINK("https://translate.google.com/translate_tts?ie=UTF-8&amp;tl=zh-CN&amp;client=tw-ob&amp;q=从","▶")</f>
        <v/>
      </c>
      <c r="J396" s="9">
        <f>HYPERLINK("https://youglish.com/pronounce/从/chinese","🔍")</f>
        <v/>
      </c>
      <c r="K396" s="10" t="n"/>
      <c r="L396" s="11" t="n"/>
      <c r="M396" s="10" t="n"/>
      <c r="N396" s="11" t="n"/>
      <c r="O396" s="10" t="n"/>
      <c r="P396" s="11" t="n"/>
      <c r="Q396" s="10" t="n"/>
      <c r="R396" s="12" t="inlineStr">
        <is>
          <t>2026-06-17</t>
        </is>
      </c>
      <c r="S396" s="18" t="n"/>
      <c r="T396" s="21" t="inlineStr">
        <is>
          <t>从 [TÒNG / TỪ] · đi theo; từ (giới từ)
    ↳ Chiết tự: hai bộ 人 (nhân – người) nối nhau — người sau bước theo người trước</t>
        </is>
      </c>
      <c r="U396" s="22" t="inlineStr">
        <is>
          <t>🔗 Từ nối &amp; Trợ từ</t>
        </is>
      </c>
      <c r="V396" s="63" t="inlineStr">
        <is>
          <t>我从中国来。</t>
        </is>
      </c>
      <c r="W396" s="64" t="inlineStr">
        <is>
          <t>Wǒ cóng Zhōngguó lái.
Tôi đến từ Trung Quốc.</t>
        </is>
      </c>
    </row>
    <row r="397" hidden="1" ht="34.9" customHeight="1" s="99">
      <c r="A397" s="2" t="n">
        <v>67</v>
      </c>
      <c r="B397" s="25" t="inlineStr">
        <is>
          <t>HSK1+2</t>
        </is>
      </c>
      <c r="C397" s="4" t="inlineStr">
        <is>
          <t>的</t>
        </is>
      </c>
      <c r="D397" s="5" t="inlineStr">
        <is>
          <t>de</t>
        </is>
      </c>
      <c r="E397" s="6" t="inlineStr">
        <is>
          <t>của (sở hữu)</t>
        </is>
      </c>
      <c r="F397" s="7" t="n"/>
      <c r="G397" s="13" t="inlineStr">
        <is>
          <t>的</t>
        </is>
      </c>
      <c r="H397" s="8">
        <f>IF(TRIM($G397)="","",IF(EXACT(TRIM($G397),TRIM($C397)),"✅ Đúng","❌ Sai"))</f>
        <v/>
      </c>
      <c r="I397" s="9">
        <f>HYPERLINK("https://translate.google.com/translate_tts?ie=UTF-8&amp;tl=zh-CN&amp;client=tw-ob&amp;q=的","▶")</f>
        <v/>
      </c>
      <c r="J397" s="9">
        <f>HYPERLINK("https://youglish.com/pronounce/的/chinese","🔍")</f>
        <v/>
      </c>
      <c r="K397" s="10" t="n"/>
      <c r="L397" s="11" t="n"/>
      <c r="M397" s="10" t="n"/>
      <c r="N397" s="11" t="n"/>
      <c r="O397" s="10" t="n"/>
      <c r="P397" s="11" t="n"/>
      <c r="Q397" s="10" t="n"/>
      <c r="R397" s="12" t="inlineStr">
        <is>
          <t>2026-06-17</t>
        </is>
      </c>
      <c r="S397" s="17" t="n"/>
      <c r="T397" s="21" t="inlineStr">
        <is>
          <t>的 [ĐÍCH] · của, thuộc về (trợ từ); đích xác
    ↳ Chiết tự: bộ 白 (bạch – trắng) + 勺 (chước – cái muôi) — vốn nghĩa "cái đích trắng", mượn làm trợ từ</t>
        </is>
      </c>
      <c r="U397" s="22" t="inlineStr">
        <is>
          <t>🔗 Từ nối &amp; Trợ từ</t>
        </is>
      </c>
      <c r="V397" s="63" t="inlineStr">
        <is>
          <t>这是我的书。</t>
        </is>
      </c>
      <c r="W397" s="64" t="inlineStr">
        <is>
          <t>Zhè shì wǒ de shū.
Đây là sách của tôi.</t>
        </is>
      </c>
    </row>
    <row r="398" hidden="1" ht="34.9" customHeight="1" s="99">
      <c r="A398" s="2" t="n">
        <v>89</v>
      </c>
      <c r="B398" s="25" t="inlineStr">
        <is>
          <t>HSK1+2</t>
        </is>
      </c>
      <c r="C398" s="4" t="inlineStr">
        <is>
          <t>都</t>
        </is>
      </c>
      <c r="D398" s="5" t="inlineStr">
        <is>
          <t>dōu</t>
        </is>
      </c>
      <c r="E398" s="6" t="inlineStr">
        <is>
          <t>đều</t>
        </is>
      </c>
      <c r="F398" s="13" t="inlineStr">
        <is>
          <t>多</t>
        </is>
      </c>
      <c r="G398" s="7" t="inlineStr">
        <is>
          <t>都</t>
        </is>
      </c>
      <c r="H398" s="8">
        <f>IF(TRIM($G398)="","",IF(EXACT(TRIM($G398),TRIM($C398)),"✅ Đúng","❌ Sai"))</f>
        <v/>
      </c>
      <c r="I398" s="9">
        <f>HYPERLINK("https://translate.google.com/translate_tts?ie=UTF-8&amp;tl=zh-CN&amp;client=tw-ob&amp;q=都","▶")</f>
        <v/>
      </c>
      <c r="J398" s="9">
        <f>HYPERLINK("https://youglish.com/pronounce/都/chinese","🔍")</f>
        <v/>
      </c>
      <c r="K398" s="10" t="n"/>
      <c r="L398" s="11" t="n"/>
      <c r="M398" s="10" t="n"/>
      <c r="N398" s="11" t="n"/>
      <c r="O398" s="10" t="n"/>
      <c r="P398" s="11" t="n"/>
      <c r="Q398" s="10" t="n"/>
      <c r="R398" s="12" t="inlineStr">
        <is>
          <t>2026-06-17</t>
        </is>
      </c>
      <c r="S398" s="17" t="n"/>
      <c r="T398" s="21" t="inlineStr">
        <is>
          <t>都 [ĐÔ / ĐÔ] · đều, cả; thủ đô
    ↳ Chiết tự: bộ 者 (giả – âm đọc) + 阝 (ấp – vùng đất) — cả vùng, cả thảy</t>
        </is>
      </c>
      <c r="U398" s="22" t="inlineStr">
        <is>
          <t>🔗 Từ nối &amp; Trợ từ</t>
        </is>
      </c>
      <c r="V398" s="63" t="inlineStr">
        <is>
          <t>我们都是学生。</t>
        </is>
      </c>
      <c r="W398" s="64" t="inlineStr">
        <is>
          <t>Wǒmen dōu shì xuésheng.
Chúng tôi đều là học sinh.</t>
        </is>
      </c>
    </row>
    <row r="399" hidden="1" ht="34.9" customHeight="1" s="99">
      <c r="A399" s="2" t="n">
        <v>122</v>
      </c>
      <c r="B399" s="60" t="inlineStr">
        <is>
          <t>HSK1+3</t>
        </is>
      </c>
      <c r="C399" s="4" t="inlineStr">
        <is>
          <t>跟</t>
        </is>
      </c>
      <c r="D399" s="5" t="inlineStr">
        <is>
          <t>gēn</t>
        </is>
      </c>
      <c r="E399" s="6" t="inlineStr">
        <is>
          <t>và, cùng</t>
        </is>
      </c>
      <c r="F399" s="7" t="n"/>
      <c r="G399" s="13" t="inlineStr">
        <is>
          <t>跟</t>
        </is>
      </c>
      <c r="H399" s="8">
        <f>IF(TRIM($G399)="","",IF(EXACT(TRIM($G399),TRIM($C399)),"✅ Đúng","❌ Sai"))</f>
        <v/>
      </c>
      <c r="I399" s="9">
        <f>HYPERLINK("https://translate.google.com/translate_tts?ie=UTF-8&amp;tl=zh-CN&amp;client=tw-ob&amp;q=跟","▶")</f>
        <v/>
      </c>
      <c r="J399" s="9">
        <f>HYPERLINK("https://youglish.com/pronounce/跟/chinese","🔍")</f>
        <v/>
      </c>
      <c r="K399" s="10" t="n"/>
      <c r="L399" s="11" t="n"/>
      <c r="M399" s="10" t="n"/>
      <c r="N399" s="11" t="n"/>
      <c r="O399" s="10" t="n"/>
      <c r="P399" s="11" t="n"/>
      <c r="Q399" s="10" t="n"/>
      <c r="R399" s="12" t="inlineStr">
        <is>
          <t>2026-06-17</t>
        </is>
      </c>
      <c r="S399" s="18" t="n"/>
      <c r="T399" s="21" t="inlineStr">
        <is>
          <t>跟 [CAN] · theo sau; với, cùng; gót chân
    ↳ Chiết tự: bộ 足 (túc – bàn chân) + 艮 (cấn – âm đọc) — bám gót người đi trước</t>
        </is>
      </c>
      <c r="U399" s="22" t="inlineStr">
        <is>
          <t>🔗 Từ nối &amp; Trợ từ</t>
        </is>
      </c>
      <c r="V399" s="63" t="inlineStr">
        <is>
          <t>我跟他一起去。</t>
        </is>
      </c>
      <c r="W399" s="64" t="inlineStr">
        <is>
          <t>Wǒ gēn tā yìqǐ qù.
Tôi đi cùng anh ấy.</t>
        </is>
      </c>
    </row>
    <row r="400" ht="34.9" customHeight="1" s="99">
      <c r="A400" s="2" t="n">
        <v>132</v>
      </c>
      <c r="B400" s="25" t="inlineStr">
        <is>
          <t>HSK1+2</t>
        </is>
      </c>
      <c r="C400" s="4" t="inlineStr">
        <is>
          <t>还</t>
        </is>
      </c>
      <c r="D400" s="5" t="inlineStr">
        <is>
          <t>hái</t>
        </is>
      </c>
      <c r="E400" s="6" t="inlineStr">
        <is>
          <t>vẫn, còn</t>
        </is>
      </c>
      <c r="F400" s="7" t="n"/>
      <c r="G400" s="7" t="n"/>
      <c r="H400" s="8">
        <f>IF(TRIM($G400)="","",IF(EXACT(TRIM($G400),TRIM($C400)),"✅ Đúng","❌ Sai"))</f>
        <v/>
      </c>
      <c r="I400" s="9">
        <f>HYPERLINK("https://translate.google.com/translate_tts?ie=UTF-8&amp;tl=zh-CN&amp;client=tw-ob&amp;q=还","▶")</f>
        <v/>
      </c>
      <c r="J400" s="9">
        <f>HYPERLINK("https://youglish.com/pronounce/还/chinese","🔍")</f>
        <v/>
      </c>
      <c r="K400" s="10" t="n"/>
      <c r="L400" s="11" t="n"/>
      <c r="M400" s="10" t="n"/>
      <c r="N400" s="11" t="n"/>
      <c r="O400" s="10" t="n"/>
      <c r="P400" s="11" t="n"/>
      <c r="Q400" s="10" t="n"/>
      <c r="R400" s="12" t="inlineStr">
        <is>
          <t>2026-06-17</t>
        </is>
      </c>
      <c r="S400" s="18" t="n"/>
      <c r="T400" s="21" t="inlineStr">
        <is>
          <t>还 [HOÀN / HÁI] · còn, vẫn; trả lại
    ↳ Chiết tự: giản thể của 還: bộ 辶 (sước – bước đi) + 不 (bất) — đi rồi lại quay về</t>
        </is>
      </c>
      <c r="U400" s="22" t="inlineStr">
        <is>
          <t>🔗 Từ nối &amp; Trợ từ</t>
        </is>
      </c>
      <c r="V400" s="63" t="inlineStr">
        <is>
          <t>他还没来。</t>
        </is>
      </c>
      <c r="W400" s="64" t="inlineStr">
        <is>
          <t>Tā hái méi lái.
Anh ấy còn chưa đến.</t>
        </is>
      </c>
    </row>
    <row r="401" hidden="1" ht="69.75" customHeight="1" s="99">
      <c r="A401" s="2" t="n">
        <v>133</v>
      </c>
      <c r="B401" s="60" t="inlineStr">
        <is>
          <t>HSK1+3</t>
        </is>
      </c>
      <c r="C401" s="4" t="inlineStr">
        <is>
          <t>还是</t>
        </is>
      </c>
      <c r="D401" s="5" t="inlineStr">
        <is>
          <t>háishi</t>
        </is>
      </c>
      <c r="E401" s="6" t="inlineStr">
        <is>
          <t>hay là</t>
        </is>
      </c>
      <c r="F401" s="7" t="n"/>
      <c r="G401" s="13" t="inlineStr">
        <is>
          <t>还是</t>
        </is>
      </c>
      <c r="H401" s="8">
        <f>IF(TRIM($G401)="","",IF(EXACT(TRIM($G401),TRIM($C401)),"✅ Đúng","❌ Sai"))</f>
        <v/>
      </c>
      <c r="I401" s="9">
        <f>HYPERLINK("https://translate.google.com/translate_tts?ie=UTF-8&amp;tl=zh-CN&amp;client=tw-ob&amp;q=还是","▶")</f>
        <v/>
      </c>
      <c r="J401" s="9">
        <f>HYPERLINK("https://youglish.com/pronounce/还是/chinese","🔍")</f>
        <v/>
      </c>
      <c r="K401" s="10" t="n"/>
      <c r="L401" s="11" t="n"/>
      <c r="M401" s="10" t="n"/>
      <c r="N401" s="11" t="n"/>
      <c r="O401" s="10" t="n"/>
      <c r="P401" s="11" t="n"/>
      <c r="Q401" s="10" t="n"/>
      <c r="R401" s="12" t="inlineStr">
        <is>
          <t>2026-06-17</t>
        </is>
      </c>
      <c r="S401" s="17" t="n"/>
      <c r="T401" s="21" t="inlineStr">
        <is>
          <t>还 [HOÀN / HÁI] · còn, vẫn; trả lại
    ↳ Chiết tự: giản thể của 還: bộ 辶 (sước – bước đi) + 不 (bất) — đi rồi lại quay về
是 [THỊ] · là, đúng, phải
    ↳ Chiết tự: bộ 日 (nhật – mặt trời) + 正 (chính – ngay thẳng) — mặt trời đi đúng đường, không sai</t>
        </is>
      </c>
      <c r="U401" s="22" t="inlineStr">
        <is>
          <t>🔗 Từ nối &amp; Trợ từ</t>
        </is>
      </c>
      <c r="V401" s="63" t="inlineStr">
        <is>
          <t>你喝茶还是喝咖啡？</t>
        </is>
      </c>
      <c r="W401" s="64" t="inlineStr">
        <is>
          <t>Nǐ hē chá háishi hē kāfēi?
Bạn uống trà hay cà phê?</t>
        </is>
      </c>
    </row>
    <row r="402" hidden="1" ht="69.75" customHeight="1" s="99">
      <c r="A402" s="2" t="n">
        <v>134</v>
      </c>
      <c r="B402" s="3" t="inlineStr">
        <is>
          <t>HSK1</t>
        </is>
      </c>
      <c r="C402" s="4" t="inlineStr">
        <is>
          <t>还有</t>
        </is>
      </c>
      <c r="D402" s="5" t="inlineStr">
        <is>
          <t>háiyǒu</t>
        </is>
      </c>
      <c r="E402" s="6" t="inlineStr">
        <is>
          <t>còn có, còn nữa</t>
        </is>
      </c>
      <c r="F402" s="7" t="n"/>
      <c r="G402" s="13" t="inlineStr">
        <is>
          <t>还有</t>
        </is>
      </c>
      <c r="H402" s="8">
        <f>IF(TRIM($G402)="","",IF(EXACT(TRIM($G402),TRIM($C402)),"✅ Đúng","❌ Sai"))</f>
        <v/>
      </c>
      <c r="I402" s="9">
        <f>HYPERLINK("https://translate.google.com/translate_tts?ie=UTF-8&amp;tl=zh-CN&amp;client=tw-ob&amp;q=还有","▶")</f>
        <v/>
      </c>
      <c r="J402" s="9">
        <f>HYPERLINK("https://youglish.com/pronounce/还有/chinese","🔍")</f>
        <v/>
      </c>
      <c r="K402" s="10" t="n"/>
      <c r="L402" s="11" t="n"/>
      <c r="M402" s="10" t="n"/>
      <c r="N402" s="11" t="n"/>
      <c r="O402" s="10" t="n"/>
      <c r="P402" s="11" t="n"/>
      <c r="Q402" s="10" t="n"/>
      <c r="R402" s="12" t="inlineStr">
        <is>
          <t>2026-06-17</t>
        </is>
      </c>
      <c r="S402" s="18" t="n"/>
      <c r="T402" s="21" t="inlineStr">
        <is>
          <t>还 [HOÀN / HÁI] · còn, vẫn; trả lại
    ↳ Chiết tự: giản thể của 還: bộ 辶 (sước – bước đi) + 不 (bất) — đi rồi lại quay về
有 [HỮU] · có, sở hữu
    ↳ Chiết tự: bộ 又 (hựu – bàn tay) + 月 (nhục – miếng thịt) — tay cầm miếng thịt là có của</t>
        </is>
      </c>
      <c r="U402" s="22" t="inlineStr">
        <is>
          <t>🔗 Từ nối &amp; Trợ từ</t>
        </is>
      </c>
      <c r="V402" s="63" t="inlineStr">
        <is>
          <t>还有一个问题。</t>
        </is>
      </c>
      <c r="W402" s="64" t="inlineStr">
        <is>
          <t>Hái yǒu yí ge wèntí.
Còn một vấn đề nữa.</t>
        </is>
      </c>
    </row>
    <row r="403" hidden="1" ht="34.9" customHeight="1" s="99">
      <c r="A403" s="2" t="n">
        <v>145</v>
      </c>
      <c r="B403" s="25" t="inlineStr">
        <is>
          <t>HSK1+2</t>
        </is>
      </c>
      <c r="C403" s="4" t="inlineStr">
        <is>
          <t>和</t>
        </is>
      </c>
      <c r="D403" s="5" t="inlineStr">
        <is>
          <t>hé</t>
        </is>
      </c>
      <c r="E403" s="6" t="inlineStr">
        <is>
          <t>và</t>
        </is>
      </c>
      <c r="F403" s="7" t="inlineStr">
        <is>
          <t>和</t>
        </is>
      </c>
      <c r="G403" s="13" t="inlineStr">
        <is>
          <t>和</t>
        </is>
      </c>
      <c r="H403" s="8">
        <f>IF(TRIM($G403)="","",IF(EXACT(TRIM($G403),TRIM($C403)),"✅ Đúng","❌ Sai"))</f>
        <v/>
      </c>
      <c r="I403" s="9">
        <f>HYPERLINK("https://translate.google.com/translate_tts?ie=UTF-8&amp;tl=zh-CN&amp;client=tw-ob&amp;q=和","▶")</f>
        <v/>
      </c>
      <c r="J403" s="9">
        <f>HYPERLINK("https://youglish.com/pronounce/和/chinese","🔍")</f>
        <v/>
      </c>
      <c r="K403" s="10" t="n"/>
      <c r="L403" s="11" t="n"/>
      <c r="M403" s="10" t="n"/>
      <c r="N403" s="11" t="n"/>
      <c r="O403" s="10" t="n"/>
      <c r="P403" s="11" t="n"/>
      <c r="Q403" s="10" t="n"/>
      <c r="R403" s="12" t="inlineStr">
        <is>
          <t>2026-06-17</t>
        </is>
      </c>
      <c r="S403" s="17" t="n"/>
      <c r="T403" s="21" t="inlineStr">
        <is>
          <t>和 [HÒA] · hòa thuận; và, với
    ↳ Chiết tự: bộ 禾 (hòa – cây lúa) + 口 (khẩu – miệng) — chia lúa cho mọi miệng ăn thì hòa</t>
        </is>
      </c>
      <c r="U403" s="22" t="inlineStr">
        <is>
          <t>🔗 Từ nối &amp; Trợ từ</t>
        </is>
      </c>
      <c r="V403" s="63" t="inlineStr">
        <is>
          <t>我和他是同学。</t>
        </is>
      </c>
      <c r="W403" s="64" t="inlineStr">
        <is>
          <t>Wǒ hé tā shì tóngxué.
Tôi và cậu ấy là bạn học.</t>
        </is>
      </c>
    </row>
    <row r="404" ht="34.9" customHeight="1" s="99">
      <c r="A404" s="2" t="n">
        <v>153</v>
      </c>
      <c r="B404" s="25" t="inlineStr">
        <is>
          <t>HSK1+2</t>
        </is>
      </c>
      <c r="C404" s="4" t="inlineStr">
        <is>
          <t>还</t>
        </is>
      </c>
      <c r="D404" s="5" t="inlineStr">
        <is>
          <t>huán</t>
        </is>
      </c>
      <c r="E404" s="6" t="inlineStr">
        <is>
          <t>trả</t>
        </is>
      </c>
      <c r="F404" s="7" t="n"/>
      <c r="G404" s="7" t="n"/>
      <c r="H404" s="8">
        <f>IF(TRIM($G404)="","",IF(EXACT(TRIM($G404),TRIM($C404)),"✅ Đúng","❌ Sai"))</f>
        <v/>
      </c>
      <c r="I404" s="9">
        <f>HYPERLINK("https://translate.google.com/translate_tts?ie=UTF-8&amp;tl=zh-CN&amp;client=tw-ob&amp;q=还","▶")</f>
        <v/>
      </c>
      <c r="J404" s="9">
        <f>HYPERLINK("https://youglish.com/pronounce/还/chinese","🔍")</f>
        <v/>
      </c>
      <c r="K404" s="10" t="n"/>
      <c r="L404" s="11" t="n"/>
      <c r="M404" s="10" t="n"/>
      <c r="N404" s="11" t="n"/>
      <c r="O404" s="10" t="n"/>
      <c r="P404" s="11" t="n"/>
      <c r="Q404" s="10" t="n"/>
      <c r="R404" s="12" t="inlineStr">
        <is>
          <t>2026-06-17</t>
        </is>
      </c>
      <c r="S404" s="17" t="n"/>
      <c r="T404" s="21" t="inlineStr">
        <is>
          <t>还 [HOÀN / HÁI] · còn, vẫn; trả lại
    ↳ Chiết tự: giản thể của 還: bộ 辶 (sước – bước đi) + 不 (bất) — đi rồi lại quay về</t>
        </is>
      </c>
      <c r="U404" s="22" t="inlineStr">
        <is>
          <t>🔗 Từ nối &amp; Trợ từ</t>
        </is>
      </c>
      <c r="V404" s="63" t="inlineStr">
        <is>
          <t>他还没来。</t>
        </is>
      </c>
      <c r="W404" s="64" t="inlineStr">
        <is>
          <t>Tā hái méi lái.
Anh ấy còn chưa đến.</t>
        </is>
      </c>
    </row>
    <row r="405" ht="34.9" customHeight="1" s="99">
      <c r="A405" s="2" t="n">
        <v>186</v>
      </c>
      <c r="B405" s="60" t="inlineStr">
        <is>
          <t>HSK1+2+3</t>
        </is>
      </c>
      <c r="C405" s="4" t="inlineStr">
        <is>
          <t>就</t>
        </is>
      </c>
      <c r="D405" s="5" t="inlineStr">
        <is>
          <t>jiù</t>
        </is>
      </c>
      <c r="E405" s="6" t="inlineStr">
        <is>
          <t>đã; lập tức, ngay</t>
        </is>
      </c>
      <c r="F405" s="7" t="n"/>
      <c r="G405" s="7" t="n"/>
      <c r="H405" s="8">
        <f>IF(TRIM($G405)="","",IF(EXACT(TRIM($G405),TRIM($C405)),"✅ Đúng","❌ Sai"))</f>
        <v/>
      </c>
      <c r="I405" s="9">
        <f>HYPERLINK("https://translate.google.com/translate_tts?ie=UTF-8&amp;tl=zh-CN&amp;client=tw-ob&amp;q=就","▶")</f>
        <v/>
      </c>
      <c r="J405" s="9">
        <f>HYPERLINK("https://youglish.com/pronounce/就/chinese","🔍")</f>
        <v/>
      </c>
      <c r="K405" s="10" t="n"/>
      <c r="L405" s="11" t="n"/>
      <c r="M405" s="10" t="n"/>
      <c r="N405" s="11" t="n"/>
      <c r="O405" s="10" t="n"/>
      <c r="P405" s="11" t="n"/>
      <c r="Q405" s="10" t="n"/>
      <c r="R405" s="12" t="inlineStr">
        <is>
          <t>2026-06-17</t>
        </is>
      </c>
      <c r="S405" s="18" t="n"/>
      <c r="T405" s="21" t="inlineStr">
        <is>
          <t>就 [TỰU] · liền, ngay; tiến tới
    ↳ Chiết tự: bộ 京 (kinh – gò cao) + 尤 (vưu) — tiến thẳng tới chỗ cao</t>
        </is>
      </c>
      <c r="U405" s="22" t="inlineStr">
        <is>
          <t>🔗 Từ nối &amp; Trợ từ</t>
        </is>
      </c>
      <c r="V405" s="63" t="inlineStr">
        <is>
          <t>我马上就来。</t>
        </is>
      </c>
      <c r="W405" s="64" t="inlineStr">
        <is>
          <t>Wǒ mǎshàng jiù lái.
Tôi đến ngay đây.</t>
        </is>
      </c>
    </row>
    <row r="406" hidden="1" ht="34.9" customHeight="1" s="99">
      <c r="A406" s="2" t="n">
        <v>211</v>
      </c>
      <c r="B406" s="25" t="inlineStr">
        <is>
          <t>HSK1+2</t>
        </is>
      </c>
      <c r="C406" s="4" t="inlineStr">
        <is>
          <t>了</t>
        </is>
      </c>
      <c r="D406" s="5" t="inlineStr">
        <is>
          <t>le</t>
        </is>
      </c>
      <c r="E406" s="6" t="inlineStr">
        <is>
          <t>rồi (trợ từ)</t>
        </is>
      </c>
      <c r="F406" s="7" t="n"/>
      <c r="G406" s="13" t="inlineStr">
        <is>
          <t>了</t>
        </is>
      </c>
      <c r="H406" s="8">
        <f>IF(TRIM($G406)="","",IF(EXACT(TRIM($G406),TRIM($C406)),"✅ Đúng","❌ Sai"))</f>
        <v/>
      </c>
      <c r="I406" s="9">
        <f>HYPERLINK("https://translate.google.com/translate_tts?ie=UTF-8&amp;tl=zh-CN&amp;client=tw-ob&amp;q=了","▶")</f>
        <v/>
      </c>
      <c r="J406" s="9">
        <f>HYPERLINK("https://youglish.com/pronounce/了/chinese","🔍")</f>
        <v/>
      </c>
      <c r="K406" s="10" t="n"/>
      <c r="L406" s="11" t="n"/>
      <c r="M406" s="10" t="n"/>
      <c r="N406" s="11" t="n"/>
      <c r="O406" s="10" t="n"/>
      <c r="P406" s="11" t="n"/>
      <c r="Q406" s="10" t="n"/>
      <c r="R406" s="12" t="inlineStr">
        <is>
          <t>2026-06-17</t>
        </is>
      </c>
      <c r="S406" s="17" t="n"/>
      <c r="T406" s="21" t="inlineStr">
        <is>
          <t>了 [LIỄU] · xong, rồi (trợ từ hoàn thành)
    ↳ Chiết tự: bộ 亅 (quyết – nét móc) — hình đứa trẻ bó tã không thấy tay, việc đã trọn</t>
        </is>
      </c>
      <c r="U406" s="22" t="inlineStr">
        <is>
          <t>🔗 Từ nối &amp; Trợ từ</t>
        </is>
      </c>
      <c r="V406" s="63" t="inlineStr">
        <is>
          <t>我吃饭了。</t>
        </is>
      </c>
      <c r="W406" s="64" t="inlineStr">
        <is>
          <t>Wǒ chīfàn le.
Tôi đã ăn cơm rồi.</t>
        </is>
      </c>
    </row>
    <row r="407" hidden="1" ht="34.9" customHeight="1" s="99">
      <c r="A407" s="2" t="n">
        <v>223</v>
      </c>
      <c r="B407" s="25" t="inlineStr">
        <is>
          <t>HSK1+2</t>
        </is>
      </c>
      <c r="C407" s="4" t="inlineStr">
        <is>
          <t>吗</t>
        </is>
      </c>
      <c r="D407" s="5" t="inlineStr">
        <is>
          <t>ma</t>
        </is>
      </c>
      <c r="E407" s="6" t="inlineStr">
        <is>
          <t>không? (trợ từ)</t>
        </is>
      </c>
      <c r="F407" s="13" t="inlineStr">
        <is>
          <t>吗</t>
        </is>
      </c>
      <c r="G407" s="13" t="inlineStr">
        <is>
          <t>吗</t>
        </is>
      </c>
      <c r="H407" s="8">
        <f>IF(TRIM($G407)="","",IF(EXACT(TRIM($G407),TRIM($C407)),"✅ Đúng","❌ Sai"))</f>
        <v/>
      </c>
      <c r="I407" s="9">
        <f>HYPERLINK("https://translate.google.com/translate_tts?ie=UTF-8&amp;tl=zh-CN&amp;client=tw-ob&amp;q=吗","▶")</f>
        <v/>
      </c>
      <c r="J407" s="9">
        <f>HYPERLINK("https://youglish.com/pronounce/吗/chinese","🔍")</f>
        <v/>
      </c>
      <c r="K407" s="10" t="n"/>
      <c r="L407" s="11" t="n"/>
      <c r="M407" s="10" t="n"/>
      <c r="N407" s="11" t="n"/>
      <c r="O407" s="10" t="n"/>
      <c r="P407" s="11" t="n"/>
      <c r="Q407" s="10" t="n"/>
      <c r="R407" s="12" t="inlineStr">
        <is>
          <t>2026-06-17</t>
        </is>
      </c>
      <c r="S407" s="17" t="n"/>
      <c r="T407" s="21" t="inlineStr">
        <is>
          <t>吗 [MA] · à, không? (trợ từ nghi vấn)
    ↳ Chiết tự: giản thể của 嗎: bộ 口 (khẩu – miệng) + 马 (mã – âm đọc) — hình thanh, chỉ tiếng hỏi</t>
        </is>
      </c>
      <c r="U407" s="22" t="inlineStr">
        <is>
          <t>🔗 Từ nối &amp; Trợ từ</t>
        </is>
      </c>
      <c r="V407" s="63" t="inlineStr">
        <is>
          <t>你是学生吗？</t>
        </is>
      </c>
      <c r="W407" s="64" t="inlineStr">
        <is>
          <t>Nǐ shì xuésheng ma?
Bạn là học sinh phải không?</t>
        </is>
      </c>
    </row>
    <row r="408" hidden="1" ht="34.9" customHeight="1" s="99">
      <c r="A408" s="2" t="n">
        <v>237</v>
      </c>
      <c r="B408" s="3" t="inlineStr">
        <is>
          <t>HSK1</t>
        </is>
      </c>
      <c r="C408" s="4" t="inlineStr">
        <is>
          <t>们</t>
        </is>
      </c>
      <c r="D408" s="5" t="inlineStr">
        <is>
          <t>men</t>
        </is>
      </c>
      <c r="E408" s="6" t="inlineStr">
        <is>
          <t>các (hậu tố số nhiều)</t>
        </is>
      </c>
      <c r="F408" s="13" t="inlineStr">
        <is>
          <t>们</t>
        </is>
      </c>
      <c r="G408" s="13" t="inlineStr">
        <is>
          <t>们</t>
        </is>
      </c>
      <c r="H408" s="8">
        <f>IF(TRIM($G408)="","",IF(EXACT(TRIM($G408),TRIM($C408)),"✅ Đúng","❌ Sai"))</f>
        <v/>
      </c>
      <c r="I408" s="9">
        <f>HYPERLINK("https://translate.google.com/translate_tts?ie=UTF-8&amp;tl=zh-CN&amp;client=tw-ob&amp;q=们","▶")</f>
        <v/>
      </c>
      <c r="J408" s="9">
        <f>HYPERLINK("https://youglish.com/pronounce/们/chinese","🔍")</f>
        <v/>
      </c>
      <c r="K408" s="10" t="n"/>
      <c r="L408" s="11" t="n"/>
      <c r="M408" s="10" t="n"/>
      <c r="N408" s="11" t="n"/>
      <c r="O408" s="10" t="n"/>
      <c r="P408" s="11" t="n"/>
      <c r="Q408" s="10" t="n"/>
      <c r="R408" s="12" t="inlineStr">
        <is>
          <t>2026-06-17</t>
        </is>
      </c>
      <c r="S408" s="17" t="n"/>
      <c r="T408" s="21" t="inlineStr">
        <is>
          <t>们 [MÔN] · hậu tố số nhiều (chúng, các)
    ↳ Chiết tự: giản thể của 們: bộ 亻 (nhân đứng – người) + 门 (môn – âm đọc) — một nhóm người</t>
        </is>
      </c>
      <c r="U408" s="22" t="inlineStr">
        <is>
          <t>🔗 Từ nối &amp; Trợ từ</t>
        </is>
      </c>
      <c r="V408" s="63" t="inlineStr">
        <is>
          <t>同学们都来了。</t>
        </is>
      </c>
      <c r="W408" s="64" t="inlineStr">
        <is>
          <t>Tóngxuémen dōu lái le.
Các bạn học đều đến rồi.</t>
        </is>
      </c>
    </row>
    <row r="409" ht="23.25" customHeight="1" s="99">
      <c r="A409" s="2" t="n">
        <v>258</v>
      </c>
      <c r="B409" s="25" t="inlineStr">
        <is>
          <t>HSK1+2</t>
        </is>
      </c>
      <c r="C409" s="4" t="inlineStr">
        <is>
          <t>呢</t>
        </is>
      </c>
      <c r="D409" s="5" t="inlineStr">
        <is>
          <t>ne</t>
        </is>
      </c>
      <c r="E409" s="6" t="inlineStr">
        <is>
          <t>còn...? (trợ từ)</t>
        </is>
      </c>
      <c r="F409" s="7" t="n"/>
      <c r="G409" s="7" t="n"/>
      <c r="H409" s="8">
        <f>IF(TRIM($G409)="","",IF(EXACT(TRIM($G409),TRIM($C409)),"✅ Đúng","❌ Sai"))</f>
        <v/>
      </c>
      <c r="I409" s="9">
        <f>HYPERLINK("https://translate.google.com/translate_tts?ie=UTF-8&amp;tl=zh-CN&amp;client=tw-ob&amp;q=呢","▶")</f>
        <v/>
      </c>
      <c r="J409" s="9">
        <f>HYPERLINK("https://youglish.com/pronounce/呢/chinese","🔍")</f>
        <v/>
      </c>
      <c r="K409" s="10" t="n"/>
      <c r="L409" s="11" t="n"/>
      <c r="M409" s="10" t="n"/>
      <c r="N409" s="11" t="n"/>
      <c r="O409" s="10" t="n"/>
      <c r="P409" s="11" t="n"/>
      <c r="Q409" s="10" t="n"/>
      <c r="R409" s="12" t="inlineStr">
        <is>
          <t>2026-06-17</t>
        </is>
      </c>
      <c r="S409" s="18" t="n"/>
      <c r="T409" s="21" t="inlineStr">
        <is>
          <t>呢 [NI] · nhỉ, thế? (trợ từ nghi vấn)
    ↳ Chiết tự: bộ 口 (khẩu – miệng) + 尼 (ni – âm đọc) — hình thanh</t>
        </is>
      </c>
      <c r="U409" s="22" t="inlineStr">
        <is>
          <t>🔗 Từ nối &amp; Trợ từ</t>
        </is>
      </c>
      <c r="V409" s="63" t="inlineStr">
        <is>
          <t>我很好，你呢？</t>
        </is>
      </c>
      <c r="W409" s="64" t="inlineStr">
        <is>
          <t>Wǒ hěn hǎo, nǐ ne?
Tôi rất tốt, còn bạn?</t>
        </is>
      </c>
    </row>
    <row r="410" ht="34.9" customHeight="1" s="99">
      <c r="A410" s="2" t="n">
        <v>415</v>
      </c>
      <c r="B410" s="25" t="inlineStr">
        <is>
          <t>HSK1+2</t>
        </is>
      </c>
      <c r="C410" s="4" t="inlineStr">
        <is>
          <t>也</t>
        </is>
      </c>
      <c r="D410" s="5" t="inlineStr">
        <is>
          <t>yě</t>
        </is>
      </c>
      <c r="E410" s="6" t="inlineStr">
        <is>
          <t>cũng</t>
        </is>
      </c>
      <c r="F410" s="7" t="n"/>
      <c r="G410" s="7" t="n"/>
      <c r="H410" s="8">
        <f>IF(TRIM($G410)="","",IF(EXACT(TRIM($G410),TRIM($C410)),"✅ Đúng","❌ Sai"))</f>
        <v/>
      </c>
      <c r="I410" s="9">
        <f>HYPERLINK("https://translate.google.com/translate_tts?ie=UTF-8&amp;tl=zh-CN&amp;client=tw-ob&amp;q=也","▶")</f>
        <v/>
      </c>
      <c r="J410" s="9">
        <f>HYPERLINK("https://youglish.com/pronounce/也/chinese","🔍")</f>
        <v/>
      </c>
      <c r="K410" s="10" t="n"/>
      <c r="L410" s="11" t="n"/>
      <c r="M410" s="10" t="n"/>
      <c r="N410" s="11" t="n"/>
      <c r="O410" s="10" t="n"/>
      <c r="P410" s="11" t="n"/>
      <c r="Q410" s="10" t="n"/>
      <c r="R410" s="12" t="inlineStr">
        <is>
          <t>2026-06-17</t>
        </is>
      </c>
      <c r="S410" s="18" t="n"/>
      <c r="T410" s="21" t="inlineStr">
        <is>
          <t>也 [DÃ] · cũng, vậy
    ↳ Chiết tự: bộ 乙 (ất) — vốn vẽ cái chậu, mượn âm làm phó từ "cũng"</t>
        </is>
      </c>
      <c r="U410" s="22" t="inlineStr">
        <is>
          <t>🔗 Từ nối &amp; Trợ từ</t>
        </is>
      </c>
      <c r="V410" s="63" t="inlineStr">
        <is>
          <t>我也想去。</t>
        </is>
      </c>
      <c r="W410" s="64" t="inlineStr">
        <is>
          <t>Wǒ yě xiǎng qù.
Tôi cũng muốn đi.</t>
        </is>
      </c>
    </row>
    <row r="411" ht="104.65" customHeight="1" s="99">
      <c r="A411" s="2" t="n">
        <v>423</v>
      </c>
      <c r="B411" s="3" t="inlineStr">
        <is>
          <t>HSK1</t>
        </is>
      </c>
      <c r="C411" s="4" t="inlineStr">
        <is>
          <t>一块儿</t>
        </is>
      </c>
      <c r="D411" s="5" t="inlineStr">
        <is>
          <t>yíkuàir</t>
        </is>
      </c>
      <c r="E411" s="6" t="inlineStr">
        <is>
          <t>cùng nhau</t>
        </is>
      </c>
      <c r="F411" s="7" t="n"/>
      <c r="G411" s="7" t="n"/>
      <c r="H411" s="8">
        <f>IF(TRIM($G411)="","",IF(EXACT(TRIM($G411),TRIM($C411)),"✅ Đúng","❌ Sai"))</f>
        <v/>
      </c>
      <c r="I411" s="9">
        <f>HYPERLINK("https://translate.google.com/translate_tts?ie=UTF-8&amp;tl=zh-CN&amp;client=tw-ob&amp;q=一块儿","▶")</f>
        <v/>
      </c>
      <c r="J411" s="9">
        <f>HYPERLINK("https://youglish.com/pronounce/一块儿/chinese","🔍")</f>
        <v/>
      </c>
      <c r="K411" s="10" t="n"/>
      <c r="L411" s="11" t="n"/>
      <c r="M411" s="10" t="n"/>
      <c r="N411" s="11" t="n"/>
      <c r="O411" s="10" t="n"/>
      <c r="P411" s="11" t="n"/>
      <c r="Q411" s="10" t="n"/>
      <c r="R411" s="12" t="inlineStr">
        <is>
          <t>2026-06-17</t>
        </is>
      </c>
      <c r="S411" s="18" t="n"/>
      <c r="T411" s="21" t="inlineStr">
        <is>
          <t>一 [NHẤT] · số một, thứ nhất, toàn bộ
    ↳ Chiết tự: một nét ngang 一 (nhất) — chữ chỉ sự, vạch một gạch là số 1
块 [KHỐI] · cục, khối; đồng (tiền)
    ↳ Chiết tự: giản thể của 塊: bộ 土 (thổ – đất) + 夬 (quái – âm đọc) — một cục đất
儿 [NHI] · trẻ con; hậu tố danh từ
    ↳ Chiết tự: giản thể của 兒: bộ 儿 (nhân đi – hai chân người) — hình trẻ thóp đầu chưa liền</t>
        </is>
      </c>
      <c r="U411" s="22" t="inlineStr">
        <is>
          <t>🔗 Từ nối &amp; Trợ từ</t>
        </is>
      </c>
      <c r="V411" s="63" t="inlineStr">
        <is>
          <t>我们一块儿吃饭。</t>
        </is>
      </c>
      <c r="W411" s="64" t="inlineStr">
        <is>
          <t>Wǒmen yíkuàir chīfàn.
Chúng ta cùng ăn cơm.</t>
        </is>
      </c>
    </row>
    <row r="412" ht="69.75" customHeight="1" s="99">
      <c r="A412" s="2" t="n">
        <v>428</v>
      </c>
      <c r="B412" s="25" t="inlineStr">
        <is>
          <t>HSK1+2</t>
        </is>
      </c>
      <c r="C412" s="4" t="inlineStr">
        <is>
          <t>一起</t>
        </is>
      </c>
      <c r="D412" s="5" t="inlineStr">
        <is>
          <t>yìqǐ</t>
        </is>
      </c>
      <c r="E412" s="6" t="inlineStr">
        <is>
          <t>cùng</t>
        </is>
      </c>
      <c r="F412" s="7" t="n"/>
      <c r="G412" s="7" t="inlineStr">
        <is>
          <t>一起</t>
        </is>
      </c>
      <c r="H412" s="8">
        <f>IF(TRIM($G412)="","",IF(EXACT(TRIM($G412),TRIM($C412)),"✅ Đúng","❌ Sai"))</f>
        <v/>
      </c>
      <c r="I412" s="9">
        <f>HYPERLINK("https://translate.google.com/translate_tts?ie=UTF-8&amp;tl=zh-CN&amp;client=tw-ob&amp;q=一起","▶")</f>
        <v/>
      </c>
      <c r="J412" s="9">
        <f>HYPERLINK("https://youglish.com/pronounce/一起/chinese","🔍")</f>
        <v/>
      </c>
      <c r="K412" s="10" t="n"/>
      <c r="L412" s="11" t="n"/>
      <c r="M412" s="10" t="n"/>
      <c r="N412" s="11" t="n"/>
      <c r="O412" s="10" t="n"/>
      <c r="P412" s="11" t="n"/>
      <c r="Q412" s="10" t="n"/>
      <c r="R412" s="12" t="inlineStr">
        <is>
          <t>2026-06-17</t>
        </is>
      </c>
      <c r="S412" s="17" t="n"/>
      <c r="T412" s="21" t="inlineStr">
        <is>
          <t>一 [NHẤT] · số một, thứ nhất, toàn bộ
    ↳ Chiết tự: một nét ngang 一 (nhất) — chữ chỉ sự, vạch một gạch là số 1
起 [KHỞI] · đứng dậy, khởi đầu, nổi lên
    ↳ Chiết tự: bộ 走 (tẩu – đi) + 己 (kỷ – bản thân) — tự mình bước dậy</t>
        </is>
      </c>
      <c r="U412" s="22" t="inlineStr">
        <is>
          <t>🔗 Từ nối &amp; Trợ từ</t>
        </is>
      </c>
      <c r="V412" s="63" t="inlineStr">
        <is>
          <t>我们一起走吧。</t>
        </is>
      </c>
      <c r="W412" s="64" t="inlineStr">
        <is>
          <t>Wǒmen yìqǐ zǒu ba.
Chúng ta cùng đi nhé.</t>
        </is>
      </c>
    </row>
    <row r="413" ht="34.9" customHeight="1" s="99">
      <c r="A413" s="2" t="n">
        <v>459</v>
      </c>
      <c r="B413" s="25" t="inlineStr">
        <is>
          <t>HSK1+2</t>
        </is>
      </c>
      <c r="C413" s="4" t="inlineStr">
        <is>
          <t>着</t>
        </is>
      </c>
      <c r="D413" s="5" t="inlineStr">
        <is>
          <t>zhe</t>
        </is>
      </c>
      <c r="E413" s="6" t="inlineStr">
        <is>
          <t>(trợ từ tiếp diễn)</t>
        </is>
      </c>
      <c r="F413" s="7" t="n"/>
      <c r="G413" s="7" t="n"/>
      <c r="H413" s="8">
        <f>IF(TRIM($G413)="","",IF(EXACT(TRIM($G413),TRIM($C413)),"✅ Đúng","❌ Sai"))</f>
        <v/>
      </c>
      <c r="I413" s="9">
        <f>HYPERLINK("https://translate.google.com/translate_tts?ie=UTF-8&amp;tl=zh-CN&amp;client=tw-ob&amp;q=着","▶")</f>
        <v/>
      </c>
      <c r="J413" s="9">
        <f>HYPERLINK("https://youglish.com/pronounce/着/chinese","🔍")</f>
        <v/>
      </c>
      <c r="K413" s="10" t="n"/>
      <c r="L413" s="11" t="n"/>
      <c r="M413" s="10" t="n"/>
      <c r="N413" s="11" t="n"/>
      <c r="O413" s="10" t="n"/>
      <c r="P413" s="11" t="n"/>
      <c r="Q413" s="10" t="n"/>
      <c r="R413" s="12" t="inlineStr">
        <is>
          <t>2026-06-17</t>
        </is>
      </c>
      <c r="S413" s="18" t="n"/>
      <c r="T413" s="21" t="inlineStr">
        <is>
          <t>着 [TRƯỚC / TRẢ] · trợ từ tiếp diễn; mặc, dính
    ↳ Chiết tự: bộ 羊 (dương) + 目 (mục – con mắt) — mắt dõi theo, trạng thái đang diễn ra</t>
        </is>
      </c>
      <c r="U413" s="22" t="inlineStr">
        <is>
          <t>🔗 Từ nối &amp; Trợ từ</t>
        </is>
      </c>
      <c r="V413" s="63" t="inlineStr">
        <is>
          <t>他站着说话。</t>
        </is>
      </c>
      <c r="W413" s="64" t="inlineStr">
        <is>
          <t>Tā zhàn zhe shuōhuà.
Anh ấy đứng nói chuyện.</t>
        </is>
      </c>
    </row>
    <row r="414" ht="23.25" customHeight="1" s="99">
      <c r="A414" s="2" t="n">
        <v>479</v>
      </c>
      <c r="B414" s="3" t="inlineStr">
        <is>
          <t>HSK1</t>
        </is>
      </c>
      <c r="C414" s="4" t="inlineStr">
        <is>
          <t>子</t>
        </is>
      </c>
      <c r="D414" s="5" t="inlineStr">
        <is>
          <t>zi</t>
        </is>
      </c>
      <c r="E414" s="6" t="inlineStr">
        <is>
          <t>cái (hậu tố)</t>
        </is>
      </c>
      <c r="F414" s="7" t="n"/>
      <c r="G414" s="7" t="n"/>
      <c r="H414" s="8">
        <f>IF(TRIM($G414)="","",IF(EXACT(TRIM($G414),TRIM($C414)),"✅ Đúng","❌ Sai"))</f>
        <v/>
      </c>
      <c r="I414" s="9">
        <f>HYPERLINK("https://translate.google.com/translate_tts?ie=UTF-8&amp;tl=zh-CN&amp;client=tw-ob&amp;q=子","▶")</f>
        <v/>
      </c>
      <c r="J414" s="9">
        <f>HYPERLINK("https://youglish.com/pronounce/子/chinese","🔍")</f>
        <v/>
      </c>
      <c r="K414" s="10" t="n"/>
      <c r="L414" s="11" t="n"/>
      <c r="M414" s="10" t="n"/>
      <c r="N414" s="11" t="n"/>
      <c r="O414" s="10" t="n"/>
      <c r="P414" s="11" t="n"/>
      <c r="Q414" s="10" t="n"/>
      <c r="R414" s="12" t="inlineStr">
        <is>
          <t>2026-06-17</t>
        </is>
      </c>
      <c r="S414" s="18" t="n"/>
      <c r="T414" s="21" t="inlineStr">
        <is>
          <t>子 [TỬ] · con cái; hậu tố danh từ; ngài
    ↳ Chiết tự: bộ 子 (tử) — hình em bé quấn tã, hai tay giơ lên</t>
        </is>
      </c>
      <c r="U414" s="22" t="inlineStr">
        <is>
          <t>🔗 Từ nối &amp; Trợ từ</t>
        </is>
      </c>
      <c r="V414" s="63" t="inlineStr">
        <is>
          <t>桌子上有一本书。</t>
        </is>
      </c>
      <c r="W414" s="64" t="inlineStr">
        <is>
          <t>Zhuōzi shang yǒu yì běn shū.
Trên bàn có một quyển sách.</t>
        </is>
      </c>
    </row>
    <row r="415" ht="35.65" customHeight="1" s="99">
      <c r="A415" s="26" t="n">
        <v>518</v>
      </c>
      <c r="B415" s="79" t="inlineStr">
        <is>
          <t>HSK2</t>
        </is>
      </c>
      <c r="C415" s="80" t="inlineStr">
        <is>
          <t>得</t>
        </is>
      </c>
      <c r="D415" s="80" t="inlineStr">
        <is>
          <t>de</t>
        </is>
      </c>
      <c r="E415" s="80" t="inlineStr">
        <is>
          <t>trợ từ bổ ngữ</t>
        </is>
      </c>
      <c r="F415" s="26" t="n"/>
      <c r="G415" s="13" t="n"/>
      <c r="H415" s="8">
        <f>IF(TRIM($G415)="","",IF(EXACT(TRIM($G415),TRIM($C415)),"✅ Đúng","❌ Sai"))</f>
        <v/>
      </c>
      <c r="I415" s="52" t="inlineStr">
        <is>
          <t>▶</t>
        </is>
      </c>
      <c r="J415" s="52" t="inlineStr">
        <is>
          <t>🔍</t>
        </is>
      </c>
      <c r="K415" s="26" t="n"/>
      <c r="L415" s="26" t="n"/>
      <c r="M415" s="26" t="n"/>
      <c r="N415" s="26" t="n"/>
      <c r="O415" s="26" t="n"/>
      <c r="P415" s="26" t="n"/>
      <c r="Q415" s="26" t="n"/>
      <c r="R415" s="39" t="n">
        <v>46236</v>
      </c>
      <c r="S415" s="41" t="n"/>
      <c r="T415" s="47" t="inlineStr">
        <is>
          <t>得 [ĐẮC] · được, đạt được; trợ từ bổ ngữ
    ↳ Chiết tự: bộ 彳 (xích – bước đi) + 旦 + 寸 (thốn – tay) — đi đường nhặt được của</t>
        </is>
      </c>
      <c r="U415" s="44" t="inlineStr">
        <is>
          <t>🔗 Từ nối &amp; Trợ từ</t>
        </is>
      </c>
      <c r="V415" s="63" t="inlineStr">
        <is>
          <t>他跑得很快。</t>
        </is>
      </c>
      <c r="W415" s="64" t="inlineStr">
        <is>
          <t>Tā pǎo de hěn kuài.
Anh ấy chạy rất nhanh.</t>
        </is>
      </c>
    </row>
    <row r="416" ht="70.5" customHeight="1" s="99">
      <c r="A416" s="26" t="n">
        <v>545</v>
      </c>
      <c r="B416" s="79" t="inlineStr">
        <is>
          <t>HSK2</t>
        </is>
      </c>
      <c r="C416" s="80" t="inlineStr">
        <is>
          <t>虽然</t>
        </is>
      </c>
      <c r="D416" s="80" t="inlineStr">
        <is>
          <t>suīrán</t>
        </is>
      </c>
      <c r="E416" s="80" t="inlineStr">
        <is>
          <t>tuy rằng</t>
        </is>
      </c>
      <c r="F416" s="26" t="n"/>
      <c r="G416" s="7" t="n"/>
      <c r="H416" s="8">
        <f>IF(TRIM($G416)="","",IF(EXACT(TRIM($G416),TRIM($C416)),"✅ Đúng","❌ Sai"))</f>
        <v/>
      </c>
      <c r="I416" s="52" t="inlineStr">
        <is>
          <t>▶</t>
        </is>
      </c>
      <c r="J416" s="52" t="inlineStr">
        <is>
          <t>🔍</t>
        </is>
      </c>
      <c r="K416" s="26" t="n"/>
      <c r="L416" s="26" t="n"/>
      <c r="M416" s="26" t="n"/>
      <c r="N416" s="26" t="n"/>
      <c r="O416" s="26" t="n"/>
      <c r="P416" s="26" t="n"/>
      <c r="Q416" s="26" t="n"/>
      <c r="R416" s="39" t="n">
        <v>46236</v>
      </c>
      <c r="S416" s="41" t="n"/>
      <c r="T416" s="47" t="inlineStr">
        <is>
          <t>虽 [TUY] · tuy rằng, mặc dù
    ↳ Chiết tự: giản thể của 雖: bộ 口 (khẩu) + 虫 (trùng – sâu bọ) — chữ mượn âm làm liên từ
然 [NHIÊN] · như vậy, đúng thế
    ↳ Chiết tự: bộ 月 (nhục – thịt) + 犬 (khuyển – chó) + 灬 (hỏa – lửa) — nghĩa gốc là đốt thịt, mượn làm đại từ</t>
        </is>
      </c>
      <c r="U416" s="44" t="inlineStr">
        <is>
          <t>🔗 Từ nối &amp; Trợ từ</t>
        </is>
      </c>
      <c r="V416" s="63" t="inlineStr">
        <is>
          <t>虽然很累，但是很开心。</t>
        </is>
      </c>
      <c r="W416" s="64" t="inlineStr">
        <is>
          <t>Suīrán hěn lèi, dànshì hěn kāixīn.
Tuy rất mệt nhưng rất vui.</t>
        </is>
      </c>
    </row>
    <row r="417" ht="70.5" customHeight="1" s="99">
      <c r="A417" s="26" t="n">
        <v>567</v>
      </c>
      <c r="B417" s="79" t="inlineStr">
        <is>
          <t>HSK2</t>
        </is>
      </c>
      <c r="C417" s="80" t="inlineStr">
        <is>
          <t>因为</t>
        </is>
      </c>
      <c r="D417" s="80" t="inlineStr">
        <is>
          <t>yīnwèi</t>
        </is>
      </c>
      <c r="E417" s="80" t="inlineStr">
        <is>
          <t>bởi vì</t>
        </is>
      </c>
      <c r="F417" s="26" t="n"/>
      <c r="G417" s="7" t="n"/>
      <c r="H417" s="8">
        <f>IF(TRIM($G417)="","",IF(EXACT(TRIM($G417),TRIM($C417)),"✅ Đúng","❌ Sai"))</f>
        <v/>
      </c>
      <c r="I417" s="52" t="inlineStr">
        <is>
          <t>▶</t>
        </is>
      </c>
      <c r="J417" s="52" t="inlineStr">
        <is>
          <t>🔍</t>
        </is>
      </c>
      <c r="K417" s="26" t="n"/>
      <c r="L417" s="26" t="n"/>
      <c r="M417" s="26" t="n"/>
      <c r="N417" s="26" t="n"/>
      <c r="O417" s="26" t="n"/>
      <c r="P417" s="26" t="n"/>
      <c r="Q417" s="26" t="n"/>
      <c r="R417" s="39" t="n">
        <v>46236</v>
      </c>
      <c r="S417" s="41" t="n"/>
      <c r="T417" s="47" t="inlineStr">
        <is>
          <t>因 [NHÂN] · nguyên nhân, bởi vì
    ↳ Chiết tự: bộ 囗 (vi – vây quanh) + 大 (đại – người) — người nằm trên chiếu, cái nền dựa vào
为 [VI / VỊ] · làm, là; vì, cho
    ↳ Chiết tự: giản thể của 為: bộ 丶 (chủ) + 力 — hình bàn tay dắt voi làm việc</t>
        </is>
      </c>
      <c r="U417" s="44" t="inlineStr">
        <is>
          <t>🔗 Từ nối &amp; Trợ từ</t>
        </is>
      </c>
      <c r="V417" s="63" t="inlineStr">
        <is>
          <t>因为下雨，我没去。</t>
        </is>
      </c>
      <c r="W417" s="64" t="inlineStr">
        <is>
          <t>Yīnwèi xià yǔ, wǒ méi qù.
Vì mưa nên tôi không đi.</t>
        </is>
      </c>
    </row>
    <row r="418" hidden="1" ht="70.5" customHeight="1" s="99">
      <c r="A418" s="26" t="n">
        <v>568</v>
      </c>
      <c r="B418" s="79" t="inlineStr">
        <is>
          <t>HSK2</t>
        </is>
      </c>
      <c r="C418" s="80" t="inlineStr">
        <is>
          <t>所以</t>
        </is>
      </c>
      <c r="D418" s="80" t="inlineStr">
        <is>
          <t>suǒyǐ</t>
        </is>
      </c>
      <c r="E418" s="80" t="inlineStr">
        <is>
          <t>cho nên</t>
        </is>
      </c>
      <c r="F418" s="26" t="n"/>
      <c r="G418" s="13" t="inlineStr">
        <is>
          <t>所以</t>
        </is>
      </c>
      <c r="H418" s="8">
        <f>IF(TRIM($G418)="","",IF(EXACT(TRIM($G418),TRIM($C418)),"✅ Đúng","❌ Sai"))</f>
        <v/>
      </c>
      <c r="I418" s="52" t="inlineStr">
        <is>
          <t>▶</t>
        </is>
      </c>
      <c r="J418" s="52" t="inlineStr">
        <is>
          <t>🔍</t>
        </is>
      </c>
      <c r="K418" s="26" t="n"/>
      <c r="L418" s="26" t="n"/>
      <c r="M418" s="26" t="n"/>
      <c r="N418" s="26" t="n"/>
      <c r="O418" s="26" t="n"/>
      <c r="P418" s="26" t="n"/>
      <c r="Q418" s="26" t="n"/>
      <c r="R418" s="39" t="n">
        <v>46236</v>
      </c>
      <c r="S418" s="41" t="n"/>
      <c r="T418" s="47" t="inlineStr">
        <is>
          <t>所 [SỞ] · nơi chốn; cái mà (所以 = cho nên)
    ↳ Chiết tự: bộ 户 (hộ – cánh cửa) + 斤 (cân – cái rìu) — tiếng chặt gỗ, mượn chỉ nơi chốn
以 [DĨ] · lấy, dùng, bằng; để mà
    ↳ Chiết tự: bộ 人 (nhân – người) + 厶 — người dùng công cụ để làm</t>
        </is>
      </c>
      <c r="U418" s="44" t="inlineStr">
        <is>
          <t>🔗 Từ nối &amp; Trợ từ</t>
        </is>
      </c>
      <c r="V418" s="63" t="inlineStr">
        <is>
          <t>下雨了，所以我没去。</t>
        </is>
      </c>
      <c r="W418" s="64" t="inlineStr">
        <is>
          <t>Xià yǔ le, suǒyǐ wǒ méi qù.
Trời mưa nên tôi không đi.</t>
        </is>
      </c>
    </row>
    <row r="419" hidden="1" ht="70.5" customHeight="1" s="99">
      <c r="A419" s="26" t="n">
        <v>574</v>
      </c>
      <c r="B419" s="79" t="inlineStr">
        <is>
          <t>HSK2</t>
        </is>
      </c>
      <c r="C419" s="80" t="inlineStr">
        <is>
          <t>但是</t>
        </is>
      </c>
      <c r="D419" s="80" t="inlineStr">
        <is>
          <t>dànshì</t>
        </is>
      </c>
      <c r="E419" s="80" t="inlineStr">
        <is>
          <t>nhưng mà</t>
        </is>
      </c>
      <c r="F419" s="26" t="n"/>
      <c r="G419" s="13" t="inlineStr">
        <is>
          <t>但是</t>
        </is>
      </c>
      <c r="H419" s="8">
        <f>IF(TRIM($G419)="","",IF(EXACT(TRIM($G419),TRIM($C419)),"✅ Đúng","❌ Sai"))</f>
        <v/>
      </c>
      <c r="I419" s="52" t="inlineStr">
        <is>
          <t>▶</t>
        </is>
      </c>
      <c r="J419" s="52" t="inlineStr">
        <is>
          <t>🔍</t>
        </is>
      </c>
      <c r="K419" s="26" t="n"/>
      <c r="L419" s="26" t="n"/>
      <c r="M419" s="26" t="n"/>
      <c r="N419" s="26" t="n"/>
      <c r="O419" s="26" t="n"/>
      <c r="P419" s="26" t="n"/>
      <c r="Q419" s="26" t="n"/>
      <c r="R419" s="39" t="n">
        <v>46236</v>
      </c>
      <c r="S419" s="41" t="n"/>
      <c r="T419" s="47" t="inlineStr">
        <is>
          <t>但 [ĐÃN] · nhưng, chỉ
    ↳ Chiết tự: bộ 亻 (nhân đứng – người) + 旦 (đán – buổi sớm) — chữ mượn âm làm liên từ
是 [THỊ] · là, đúng, phải
    ↳ Chiết tự: bộ 日 (nhật – mặt trời) + 正 (chính – ngay thẳng) — mặt trời đi đúng đường, không sai</t>
        </is>
      </c>
      <c r="U419" s="44" t="inlineStr">
        <is>
          <t>🔗 Từ nối &amp; Trợ từ</t>
        </is>
      </c>
      <c r="V419" s="63" t="inlineStr">
        <is>
          <t>他很忙，但是很开心。</t>
        </is>
      </c>
      <c r="W419" s="64" t="inlineStr">
        <is>
          <t>Tā hěn máng, dànshì hěn kāixīn.
Anh ấy rất bận nhưng rất vui.</t>
        </is>
      </c>
    </row>
    <row r="420" hidden="1" ht="23.25" customHeight="1" s="99">
      <c r="A420" s="2" t="n">
        <v>3</v>
      </c>
      <c r="B420" s="25" t="inlineStr">
        <is>
          <t>HSK1+2</t>
        </is>
      </c>
      <c r="C420" s="4" t="inlineStr">
        <is>
          <t>八</t>
        </is>
      </c>
      <c r="D420" s="5" t="inlineStr">
        <is>
          <t>bā</t>
        </is>
      </c>
      <c r="E420" s="6" t="inlineStr">
        <is>
          <t>số 8</t>
        </is>
      </c>
      <c r="F420" s="7" t="inlineStr">
        <is>
          <t>八</t>
        </is>
      </c>
      <c r="G420" s="7" t="inlineStr">
        <is>
          <t>八</t>
        </is>
      </c>
      <c r="H420" s="8">
        <f>IF(TRIM($G420)="","",IF(EXACT(TRIM($G420),TRIM($C420)),"✅ Đúng","❌ Sai"))</f>
        <v/>
      </c>
      <c r="I420" s="9">
        <f>HYPERLINK("https://translate.google.com/translate_tts?ie=UTF-8&amp;tl=zh-CN&amp;client=tw-ob&amp;q=八","▶")</f>
        <v/>
      </c>
      <c r="J420" s="9">
        <f>HYPERLINK("https://youglish.com/pronounce/八/chinese","🔍")</f>
        <v/>
      </c>
      <c r="K420" s="10" t="n"/>
      <c r="L420" s="11" t="n"/>
      <c r="M420" s="10" t="n"/>
      <c r="N420" s="11" t="n"/>
      <c r="O420" s="10" t="n"/>
      <c r="P420" s="11" t="n"/>
      <c r="Q420" s="10" t="n"/>
      <c r="R420" s="12" t="inlineStr">
        <is>
          <t>2026-06-17</t>
        </is>
      </c>
      <c r="S420" s="17" t="n"/>
      <c r="T420" s="21" t="inlineStr">
        <is>
          <t>八 [BÁT] · số tám; chia tách
    ↳ Chiết tự: bộ 八 (bát) — hai nét rẽ ra hai phía, nghĩa gốc là "chia"</t>
        </is>
      </c>
      <c r="U420" s="22" t="inlineStr">
        <is>
          <t>🔢 Số đếm &amp; Lượng từ</t>
        </is>
      </c>
      <c r="V420" s="63" t="inlineStr">
        <is>
          <t>我们班有八个人。</t>
        </is>
      </c>
      <c r="W420" s="64" t="inlineStr">
        <is>
          <t>Wǒmen bān yǒu bā ge rén.
Lớp tôi có tám người.</t>
        </is>
      </c>
    </row>
    <row r="421" hidden="1" ht="23.25" customHeight="1" s="99">
      <c r="A421" s="2" t="n">
        <v>8</v>
      </c>
      <c r="B421" s="25" t="inlineStr">
        <is>
          <t>HSK1+2</t>
        </is>
      </c>
      <c r="C421" s="4" t="inlineStr">
        <is>
          <t>百</t>
        </is>
      </c>
      <c r="D421" s="5" t="inlineStr">
        <is>
          <t>bǎi</t>
        </is>
      </c>
      <c r="E421" s="6" t="inlineStr">
        <is>
          <t>một trăm</t>
        </is>
      </c>
      <c r="F421" s="7" t="n"/>
      <c r="G421" s="13" t="inlineStr">
        <is>
          <t>百</t>
        </is>
      </c>
      <c r="H421" s="8">
        <f>IF(TRIM($G421)="","",IF(EXACT(TRIM($G421),TRIM($C421)),"✅ Đúng","❌ Sai"))</f>
        <v/>
      </c>
      <c r="I421" s="9">
        <f>HYPERLINK("https://translate.google.com/translate_tts?ie=UTF-8&amp;tl=zh-CN&amp;client=tw-ob&amp;q=百","▶")</f>
        <v/>
      </c>
      <c r="J421" s="9">
        <f>HYPERLINK("https://youglish.com/pronounce/百/chinese","🔍")</f>
        <v/>
      </c>
      <c r="K421" s="10" t="n"/>
      <c r="L421" s="11" t="n"/>
      <c r="M421" s="10" t="n"/>
      <c r="N421" s="11" t="n"/>
      <c r="O421" s="10" t="n"/>
      <c r="P421" s="11" t="n"/>
      <c r="Q421" s="10" t="n"/>
      <c r="R421" s="12" t="inlineStr">
        <is>
          <t>2026-06-17</t>
        </is>
      </c>
      <c r="S421" s="18" t="n"/>
      <c r="T421" s="21" t="inlineStr">
        <is>
          <t>百 [BÁCH] · một trăm; nhiều
    ↳ Chiết tự: bộ 一 (nhất) + 白 (bạch – âm đọc) — chữ chỉ số</t>
        </is>
      </c>
      <c r="U421" s="22" t="inlineStr">
        <is>
          <t>🔢 Số đếm &amp; Lượng từ</t>
        </is>
      </c>
      <c r="V421" s="63" t="inlineStr">
        <is>
          <t>这本书一百块。</t>
        </is>
      </c>
      <c r="W421" s="64" t="inlineStr">
        <is>
          <t>Zhè běn shū yìbǎi kuài.
Quyển sách này một trăm tệ.</t>
        </is>
      </c>
    </row>
    <row r="422" hidden="1" ht="34.9" customHeight="1" s="99">
      <c r="A422" s="2" t="n">
        <v>10</v>
      </c>
      <c r="B422" s="60" t="inlineStr">
        <is>
          <t>HSK1+3</t>
        </is>
      </c>
      <c r="C422" s="4" t="inlineStr">
        <is>
          <t>半</t>
        </is>
      </c>
      <c r="D422" s="5" t="inlineStr">
        <is>
          <t>bàn</t>
        </is>
      </c>
      <c r="E422" s="6" t="inlineStr">
        <is>
          <t>một nửa</t>
        </is>
      </c>
      <c r="F422" s="7" t="n"/>
      <c r="G422" s="13" t="inlineStr">
        <is>
          <t>半</t>
        </is>
      </c>
      <c r="H422" s="8">
        <f>IF(TRIM($G422)="","",IF(EXACT(TRIM($G422),TRIM($C422)),"✅ Đúng","❌ Sai"))</f>
        <v/>
      </c>
      <c r="I422" s="9">
        <f>HYPERLINK("https://translate.google.com/translate_tts?ie=UTF-8&amp;tl=zh-CN&amp;client=tw-ob&amp;q=半","▶")</f>
        <v/>
      </c>
      <c r="J422" s="9">
        <f>HYPERLINK("https://youglish.com/pronounce/半/chinese","🔍")</f>
        <v/>
      </c>
      <c r="K422" s="10" t="n"/>
      <c r="L422" s="11" t="n"/>
      <c r="M422" s="10" t="n"/>
      <c r="N422" s="11" t="n"/>
      <c r="O422" s="10" t="n"/>
      <c r="P422" s="11" t="n"/>
      <c r="Q422" s="10" t="n"/>
      <c r="R422" s="12" t="inlineStr">
        <is>
          <t>2026-06-17</t>
        </is>
      </c>
      <c r="S422" s="18" t="n"/>
      <c r="T422" s="21" t="inlineStr">
        <is>
          <t>半 [BÁN] · một nửa, phân nửa
    ↳ Chiết tự: bộ 八 (bát – chia) + 牛 (ngưu – con trâu) — xẻ đôi con trâu</t>
        </is>
      </c>
      <c r="U422" s="22" t="inlineStr">
        <is>
          <t>🔢 Số đếm &amp; Lượng từ</t>
        </is>
      </c>
      <c r="V422" s="63" t="inlineStr">
        <is>
          <t>现在两点半。</t>
        </is>
      </c>
      <c r="W422" s="64" t="inlineStr">
        <is>
          <t>Xiànzài liǎng diǎn bàn.
Bây giờ hai giờ ba mươi.</t>
        </is>
      </c>
    </row>
    <row r="423" ht="34.9" customHeight="1" s="99">
      <c r="A423" s="2" t="n">
        <v>22</v>
      </c>
      <c r="B423" s="25" t="inlineStr">
        <is>
          <t>HSK1+2</t>
        </is>
      </c>
      <c r="C423" s="4" t="inlineStr">
        <is>
          <t>本</t>
        </is>
      </c>
      <c r="D423" s="5" t="inlineStr">
        <is>
          <t>běn</t>
        </is>
      </c>
      <c r="E423" s="6" t="inlineStr">
        <is>
          <t>cuốn, quyển, tập</t>
        </is>
      </c>
      <c r="F423" s="7" t="n"/>
      <c r="G423" s="7" t="n"/>
      <c r="H423" s="8">
        <f>IF(TRIM($G423)="","",IF(EXACT(TRIM($G423),TRIM($C423)),"✅ Đúng","❌ Sai"))</f>
        <v/>
      </c>
      <c r="I423" s="9">
        <f>HYPERLINK("https://translate.google.com/translate_tts?ie=UTF-8&amp;tl=zh-CN&amp;client=tw-ob&amp;q=本","▶")</f>
        <v/>
      </c>
      <c r="J423" s="9">
        <f>HYPERLINK("https://youglish.com/pronounce/本/chinese","🔍")</f>
        <v/>
      </c>
      <c r="K423" s="10" t="n"/>
      <c r="L423" s="11" t="n"/>
      <c r="M423" s="10" t="n"/>
      <c r="N423" s="11" t="n"/>
      <c r="O423" s="10" t="n"/>
      <c r="P423" s="11" t="n"/>
      <c r="Q423" s="10" t="n"/>
      <c r="R423" s="12" t="inlineStr">
        <is>
          <t>2026-06-17</t>
        </is>
      </c>
      <c r="S423" s="18" t="n"/>
      <c r="T423" s="21" t="inlineStr">
        <is>
          <t>本 [BẢN] · gốc rễ, vốn có; quyển (lượng từ)
    ↳ Chiết tự: bộ 木 (mộc – cây) + 一 (nhất) đánh dấu phần gốc — chữ chỉ sự</t>
        </is>
      </c>
      <c r="U423" s="22" t="inlineStr">
        <is>
          <t>🔢 Số đếm &amp; Lượng từ</t>
        </is>
      </c>
      <c r="V423" s="63" t="inlineStr">
        <is>
          <t>我买了三本书。</t>
        </is>
      </c>
      <c r="W423" s="64" t="inlineStr">
        <is>
          <t>Wǒ mǎi le sān běn shū.
Tôi mua ba quyển sách.</t>
        </is>
      </c>
    </row>
    <row r="424" ht="34.9" customHeight="1" s="99">
      <c r="A424" s="2" t="n">
        <v>53</v>
      </c>
      <c r="B424" s="25" t="inlineStr">
        <is>
          <t>HSK1+2</t>
        </is>
      </c>
      <c r="C424" s="4" t="inlineStr">
        <is>
          <t>次</t>
        </is>
      </c>
      <c r="D424" s="5" t="inlineStr">
        <is>
          <t>cì</t>
        </is>
      </c>
      <c r="E424" s="6" t="inlineStr">
        <is>
          <t>lần</t>
        </is>
      </c>
      <c r="F424" s="7" t="n"/>
      <c r="G424" s="7" t="n"/>
      <c r="H424" s="8">
        <f>IF(TRIM($G424)="","",IF(EXACT(TRIM($G424),TRIM($C424)),"✅ Đúng","❌ Sai"))</f>
        <v/>
      </c>
      <c r="I424" s="9">
        <f>HYPERLINK("https://translate.google.com/translate_tts?ie=UTF-8&amp;tl=zh-CN&amp;client=tw-ob&amp;q=次","▶")</f>
        <v/>
      </c>
      <c r="J424" s="9">
        <f>HYPERLINK("https://youglish.com/pronounce/次/chinese","🔍")</f>
        <v/>
      </c>
      <c r="K424" s="10" t="n"/>
      <c r="L424" s="11" t="n"/>
      <c r="M424" s="10" t="n"/>
      <c r="N424" s="11" t="n"/>
      <c r="O424" s="10" t="n"/>
      <c r="P424" s="11" t="n"/>
      <c r="Q424" s="10" t="n"/>
      <c r="R424" s="12" t="inlineStr">
        <is>
          <t>2026-06-17</t>
        </is>
      </c>
      <c r="S424" s="17" t="n"/>
      <c r="T424" s="21" t="inlineStr">
        <is>
          <t>次 [THỨ] · lần, lượt; thứ hạng
    ↳ Chiết tự: bộ 冫 (băng) + 欠 (khiếm – há miệng) — xếp lần lượt kế tiếp</t>
        </is>
      </c>
      <c r="U424" s="22" t="inlineStr">
        <is>
          <t>🔢 Số đếm &amp; Lượng từ</t>
        </is>
      </c>
      <c r="V424" s="63" t="inlineStr">
        <is>
          <t>我去过两次北京。</t>
        </is>
      </c>
      <c r="W424" s="64" t="inlineStr">
        <is>
          <t>Wǒ qù guo liǎng cì Běijīng.
Tôi đã đến Bắc Kinh hai lần.</t>
        </is>
      </c>
    </row>
    <row r="425" ht="34.9" customHeight="1" s="99">
      <c r="A425" s="2" t="n">
        <v>75</v>
      </c>
      <c r="B425" s="3" t="inlineStr">
        <is>
          <t>HSK1</t>
        </is>
      </c>
      <c r="C425" s="4" t="inlineStr">
        <is>
          <t>第</t>
        </is>
      </c>
      <c r="D425" s="5" t="inlineStr">
        <is>
          <t>dì</t>
        </is>
      </c>
      <c r="E425" s="6" t="inlineStr">
        <is>
          <t>thứ … (số thứ tự)</t>
        </is>
      </c>
      <c r="F425" s="7" t="n"/>
      <c r="G425" s="7" t="n"/>
      <c r="H425" s="8">
        <f>IF(TRIM($G425)="","",IF(EXACT(TRIM($G425),TRIM($C425)),"✅ Đúng","❌ Sai"))</f>
        <v/>
      </c>
      <c r="I425" s="9">
        <f>HYPERLINK("https://translate.google.com/translate_tts?ie=UTF-8&amp;tl=zh-CN&amp;client=tw-ob&amp;q=第","▶")</f>
        <v/>
      </c>
      <c r="J425" s="9">
        <f>HYPERLINK("https://youglish.com/pronounce/第/chinese","🔍")</f>
        <v/>
      </c>
      <c r="K425" s="10" t="n"/>
      <c r="L425" s="11" t="n"/>
      <c r="M425" s="10" t="n"/>
      <c r="N425" s="11" t="n"/>
      <c r="O425" s="10" t="n"/>
      <c r="P425" s="11" t="n"/>
      <c r="Q425" s="10" t="n"/>
      <c r="R425" s="12" t="inlineStr">
        <is>
          <t>2026-06-17</t>
        </is>
      </c>
      <c r="S425" s="17" t="n"/>
      <c r="T425" s="21" t="inlineStr">
        <is>
          <t>第 [ĐỆ] · thứ (số thứ tự)
    ↳ Chiết tự: bộ 竹 (trúc – tre) + 弟 (đệ – âm đọc) — thẻ tre đánh số theo thứ tự</t>
        </is>
      </c>
      <c r="U425" s="22" t="inlineStr">
        <is>
          <t>🔢 Số đếm &amp; Lượng từ</t>
        </is>
      </c>
      <c r="V425" s="63" t="inlineStr">
        <is>
          <t>我是第一个到的。</t>
        </is>
      </c>
      <c r="W425" s="64" t="inlineStr">
        <is>
          <t>Wǒ shì dì-yī ge dào de.
Tôi là người đến đầu tiên.</t>
        </is>
      </c>
    </row>
    <row r="426" hidden="1" ht="34.9" customHeight="1" s="99">
      <c r="A426" s="2" t="n">
        <v>94</v>
      </c>
      <c r="B426" s="25" t="inlineStr">
        <is>
          <t>HSK1+2</t>
        </is>
      </c>
      <c r="C426" s="4" t="inlineStr">
        <is>
          <t>多</t>
        </is>
      </c>
      <c r="D426" s="5" t="inlineStr">
        <is>
          <t>duō</t>
        </is>
      </c>
      <c r="E426" s="6" t="inlineStr">
        <is>
          <t>nhiều; bao nhiêu</t>
        </is>
      </c>
      <c r="F426" s="7" t="inlineStr">
        <is>
          <t>多</t>
        </is>
      </c>
      <c r="G426" s="7" t="inlineStr">
        <is>
          <t>多</t>
        </is>
      </c>
      <c r="H426" s="8">
        <f>IF(TRIM($G426)="","",IF(EXACT(TRIM($G426),TRIM($C426)),"✅ Đúng","❌ Sai"))</f>
        <v/>
      </c>
      <c r="I426" s="9">
        <f>HYPERLINK("https://translate.google.com/translate_tts?ie=UTF-8&amp;tl=zh-CN&amp;client=tw-ob&amp;q=多","▶")</f>
        <v/>
      </c>
      <c r="J426" s="9">
        <f>HYPERLINK("https://youglish.com/pronounce/多/chinese","🔍")</f>
        <v/>
      </c>
      <c r="K426" s="10" t="n"/>
      <c r="L426" s="11" t="n"/>
      <c r="M426" s="10" t="n"/>
      <c r="N426" s="11" t="n"/>
      <c r="O426" s="10" t="n"/>
      <c r="P426" s="11" t="n"/>
      <c r="Q426" s="10" t="n"/>
      <c r="R426" s="12" t="inlineStr">
        <is>
          <t>2026-06-17</t>
        </is>
      </c>
      <c r="S426" s="18" t="n"/>
      <c r="T426" s="21" t="inlineStr">
        <is>
          <t>多 [ĐA] · nhiều
    ↳ Chiết tự: hai bộ 夕 (tịch – đêm) chồng nhau — hết đêm này qua đêm khác, tích lại thành nhiều</t>
        </is>
      </c>
      <c r="U426" s="22" t="inlineStr">
        <is>
          <t>🔢 Số đếm &amp; Lượng từ</t>
        </is>
      </c>
      <c r="V426" s="63" t="inlineStr">
        <is>
          <t>这里人很多。</t>
        </is>
      </c>
      <c r="W426" s="64" t="inlineStr">
        <is>
          <t>Zhèli rén hěn duō.
Ở đây rất nhiều người.</t>
        </is>
      </c>
    </row>
    <row r="427" hidden="1" ht="58.15" customHeight="1" s="99">
      <c r="A427" s="2" t="n">
        <v>95</v>
      </c>
      <c r="B427" s="25" t="inlineStr">
        <is>
          <t>HSK1+2</t>
        </is>
      </c>
      <c r="C427" s="4" t="inlineStr">
        <is>
          <t>多少</t>
        </is>
      </c>
      <c r="D427" s="5" t="inlineStr">
        <is>
          <t>duōshǎo</t>
        </is>
      </c>
      <c r="E427" s="6" t="inlineStr">
        <is>
          <t>bao nhiêu</t>
        </is>
      </c>
      <c r="F427" s="7" t="inlineStr">
        <is>
          <t>多少</t>
        </is>
      </c>
      <c r="G427" s="7" t="inlineStr">
        <is>
          <t>多少</t>
        </is>
      </c>
      <c r="H427" s="8">
        <f>IF(TRIM($G427)="","",IF(EXACT(TRIM($G427),TRIM($C427)),"✅ Đúng","❌ Sai"))</f>
        <v/>
      </c>
      <c r="I427" s="9">
        <f>HYPERLINK("https://translate.google.com/translate_tts?ie=UTF-8&amp;tl=zh-CN&amp;client=tw-ob&amp;q=多少","▶")</f>
        <v/>
      </c>
      <c r="J427" s="9">
        <f>HYPERLINK("https://youglish.com/pronounce/多少/chinese","🔍")</f>
        <v/>
      </c>
      <c r="K427" s="10" t="n"/>
      <c r="L427" s="11" t="n"/>
      <c r="M427" s="10" t="n"/>
      <c r="N427" s="11" t="n"/>
      <c r="O427" s="10" t="n"/>
      <c r="P427" s="11" t="n"/>
      <c r="Q427" s="10" t="n"/>
      <c r="R427" s="12" t="inlineStr">
        <is>
          <t>2026-06-17</t>
        </is>
      </c>
      <c r="S427" s="17" t="n"/>
      <c r="T427" s="21" t="inlineStr">
        <is>
          <t>多 [ĐA] · nhiều
    ↳ Chiết tự: hai bộ 夕 (tịch – đêm) chồng nhau — hết đêm này qua đêm khác, tích lại thành nhiều
少 [THIỂU / THIẾU] · ít; trẻ tuổi
    ↳ Chiết tự: bộ 小 (tiểu – nhỏ) + 丿 (phiệt) — nhỏ lại còn bớt đi nữa</t>
        </is>
      </c>
      <c r="U427" s="22" t="inlineStr">
        <is>
          <t>🔢 Số đếm &amp; Lượng từ</t>
        </is>
      </c>
      <c r="V427" s="63" t="inlineStr">
        <is>
          <t>这个多少钱？</t>
        </is>
      </c>
      <c r="W427" s="64" t="inlineStr">
        <is>
          <t>Zhège duōshao qián?
Cái này bao nhiêu tiền?</t>
        </is>
      </c>
    </row>
    <row r="428" hidden="1" ht="23.25" customHeight="1" s="99">
      <c r="A428" s="2" t="n">
        <v>98</v>
      </c>
      <c r="B428" s="25" t="inlineStr">
        <is>
          <t>HSK1+2</t>
        </is>
      </c>
      <c r="C428" s="4" t="inlineStr">
        <is>
          <t>二</t>
        </is>
      </c>
      <c r="D428" s="5" t="inlineStr">
        <is>
          <t>èr</t>
        </is>
      </c>
      <c r="E428" s="6" t="inlineStr">
        <is>
          <t>số 2</t>
        </is>
      </c>
      <c r="F428" s="7" t="inlineStr">
        <is>
          <t>二</t>
        </is>
      </c>
      <c r="G428" s="13" t="inlineStr">
        <is>
          <t>二</t>
        </is>
      </c>
      <c r="H428" s="8">
        <f>IF(TRIM($G428)="","",IF(EXACT(TRIM($G428),TRIM($C428)),"✅ Đúng","❌ Sai"))</f>
        <v/>
      </c>
      <c r="I428" s="9">
        <f>HYPERLINK("https://translate.google.com/translate_tts?ie=UTF-8&amp;tl=zh-CN&amp;client=tw-ob&amp;q=二","▶")</f>
        <v/>
      </c>
      <c r="J428" s="9">
        <f>HYPERLINK("https://youglish.com/pronounce/二/chinese","🔍")</f>
        <v/>
      </c>
      <c r="K428" s="10" t="n"/>
      <c r="L428" s="11" t="n"/>
      <c r="M428" s="10" t="n"/>
      <c r="N428" s="11" t="n"/>
      <c r="O428" s="10" t="n"/>
      <c r="P428" s="11" t="n"/>
      <c r="Q428" s="10" t="n"/>
      <c r="R428" s="12" t="inlineStr">
        <is>
          <t>2026-06-17</t>
        </is>
      </c>
      <c r="S428" s="18" t="n"/>
      <c r="T428" s="21" t="inlineStr">
        <is>
          <t>二 [NHỊ] · số hai
    ↳ Chiết tự: hai nét 一 (nhất) — chữ chỉ sự</t>
        </is>
      </c>
      <c r="U428" s="22" t="inlineStr">
        <is>
          <t>🔢 Số đếm &amp; Lượng từ</t>
        </is>
      </c>
      <c r="V428" s="63" t="inlineStr">
        <is>
          <t>我住在二楼。</t>
        </is>
      </c>
      <c r="W428" s="64" t="inlineStr">
        <is>
          <t>Wǒ zhù zài èr lóu.
Tôi ở tầng hai.</t>
        </is>
      </c>
    </row>
    <row r="429" hidden="1" ht="34.9" customHeight="1" s="99">
      <c r="A429" s="2" t="n">
        <v>109</v>
      </c>
      <c r="B429" s="60" t="inlineStr">
        <is>
          <t>HSK1+3</t>
        </is>
      </c>
      <c r="C429" s="4" t="inlineStr">
        <is>
          <t>分</t>
        </is>
      </c>
      <c r="D429" s="5" t="inlineStr">
        <is>
          <t>fēn</t>
        </is>
      </c>
      <c r="E429" s="6" t="inlineStr">
        <is>
          <t>phút</t>
        </is>
      </c>
      <c r="F429" s="13" t="inlineStr">
        <is>
          <t>分</t>
        </is>
      </c>
      <c r="G429" s="13" t="inlineStr">
        <is>
          <t>分</t>
        </is>
      </c>
      <c r="H429" s="8">
        <f>IF(TRIM($G429)="","",IF(EXACT(TRIM($G429),TRIM($C429)),"✅ Đúng","❌ Sai"))</f>
        <v/>
      </c>
      <c r="I429" s="9">
        <f>HYPERLINK("https://translate.google.com/translate_tts?ie=UTF-8&amp;tl=zh-CN&amp;client=tw-ob&amp;q=分","▶")</f>
        <v/>
      </c>
      <c r="J429" s="9">
        <f>HYPERLINK("https://youglish.com/pronounce/分/chinese","🔍")</f>
        <v/>
      </c>
      <c r="K429" s="10" t="n"/>
      <c r="L429" s="11" t="n"/>
      <c r="M429" s="10" t="n"/>
      <c r="N429" s="11" t="n"/>
      <c r="O429" s="10" t="n"/>
      <c r="P429" s="11" t="n"/>
      <c r="Q429" s="10" t="n"/>
      <c r="R429" s="12" t="inlineStr">
        <is>
          <t>2026-06-17</t>
        </is>
      </c>
      <c r="S429" s="17" t="n"/>
      <c r="T429" s="21" t="inlineStr">
        <is>
          <t>分 [PHÂN] · chia; phút; phần
    ↳ Chiết tự: bộ 八 (bát – chia) + 刀 (đao – con dao) — lấy dao cắt làm hai</t>
        </is>
      </c>
      <c r="U429" s="22" t="inlineStr">
        <is>
          <t>🔢 Số đếm &amp; Lượng từ</t>
        </is>
      </c>
      <c r="V429" s="63" t="inlineStr">
        <is>
          <t>现在八点十分。</t>
        </is>
      </c>
      <c r="W429" s="64" t="inlineStr">
        <is>
          <t>Xiànzài bā diǎn shí fēn.
Bây giờ tám giờ mười phút.</t>
        </is>
      </c>
    </row>
    <row r="430" hidden="1" ht="34.9" customHeight="1" s="99">
      <c r="A430" s="2" t="n">
        <v>120</v>
      </c>
      <c r="B430" s="25" t="inlineStr">
        <is>
          <t>HSK1+2</t>
        </is>
      </c>
      <c r="C430" s="4" t="inlineStr">
        <is>
          <t>个</t>
        </is>
      </c>
      <c r="D430" s="5" t="inlineStr">
        <is>
          <t>gè</t>
        </is>
      </c>
      <c r="E430" s="6" t="inlineStr">
        <is>
          <t>cái</t>
        </is>
      </c>
      <c r="F430" s="13" t="inlineStr">
        <is>
          <t>个</t>
        </is>
      </c>
      <c r="G430" s="13" t="inlineStr">
        <is>
          <t>个</t>
        </is>
      </c>
      <c r="H430" s="8">
        <f>IF(TRIM($G430)="","",IF(EXACT(TRIM($G430),TRIM($C430)),"✅ Đúng","❌ Sai"))</f>
        <v/>
      </c>
      <c r="I430" s="9">
        <f>HYPERLINK("https://translate.google.com/translate_tts?ie=UTF-8&amp;tl=zh-CN&amp;client=tw-ob&amp;q=个","▶")</f>
        <v/>
      </c>
      <c r="J430" s="9">
        <f>HYPERLINK("https://youglish.com/pronounce/个/chinese","🔍")</f>
        <v/>
      </c>
      <c r="K430" s="10" t="n"/>
      <c r="L430" s="11" t="n"/>
      <c r="M430" s="10" t="n"/>
      <c r="N430" s="11" t="n"/>
      <c r="O430" s="10" t="n"/>
      <c r="P430" s="11" t="n"/>
      <c r="Q430" s="10" t="n"/>
      <c r="R430" s="12" t="inlineStr">
        <is>
          <t>2026-06-17</t>
        </is>
      </c>
      <c r="S430" s="18" t="n"/>
      <c r="T430" s="21" t="inlineStr">
        <is>
          <t>个 [CÁ] · cái, chiếc (lượng từ chung)
    ↳ Chiết tự: bộ 人 (nhân – người) + 丨 (cổn – nét sổ) — một cá thể riêng lẻ</t>
        </is>
      </c>
      <c r="U430" s="22" t="inlineStr">
        <is>
          <t>🔢 Số đếm &amp; Lượng từ</t>
        </is>
      </c>
      <c r="V430" s="63" t="inlineStr">
        <is>
          <t>我有三个哥哥。</t>
        </is>
      </c>
      <c r="W430" s="64" t="inlineStr">
        <is>
          <t>Wǒ yǒu sān ge gēge.
Tôi có ba anh trai.</t>
        </is>
      </c>
    </row>
    <row r="431" hidden="1" ht="34.9" customHeight="1" s="99">
      <c r="A431" s="2" t="n">
        <v>143</v>
      </c>
      <c r="B431" s="25" t="inlineStr">
        <is>
          <t>HSK1+2</t>
        </is>
      </c>
      <c r="C431" s="4" t="inlineStr">
        <is>
          <t>号</t>
        </is>
      </c>
      <c r="D431" s="5" t="inlineStr">
        <is>
          <t>hào</t>
        </is>
      </c>
      <c r="E431" s="6" t="inlineStr">
        <is>
          <t>ngày</t>
        </is>
      </c>
      <c r="F431" s="7" t="inlineStr">
        <is>
          <t>号</t>
        </is>
      </c>
      <c r="G431" s="13" t="inlineStr">
        <is>
          <t>号</t>
        </is>
      </c>
      <c r="H431" s="8">
        <f>IF(TRIM($G431)="","",IF(EXACT(TRIM($G431),TRIM($C431)),"✅ Đúng","❌ Sai"))</f>
        <v/>
      </c>
      <c r="I431" s="9">
        <f>HYPERLINK("https://translate.google.com/translate_tts?ie=UTF-8&amp;tl=zh-CN&amp;client=tw-ob&amp;q=号","▶")</f>
        <v/>
      </c>
      <c r="J431" s="9">
        <f>HYPERLINK("https://youglish.com/pronounce/号/chinese","🔍")</f>
        <v/>
      </c>
      <c r="K431" s="10" t="n"/>
      <c r="L431" s="11" t="n"/>
      <c r="M431" s="10" t="n"/>
      <c r="N431" s="11" t="n"/>
      <c r="O431" s="10" t="n"/>
      <c r="P431" s="11" t="n"/>
      <c r="Q431" s="10" t="n"/>
      <c r="R431" s="12" t="inlineStr">
        <is>
          <t>2026-06-17</t>
        </is>
      </c>
      <c r="S431" s="17" t="n"/>
      <c r="T431" s="21" t="inlineStr">
        <is>
          <t>号 [HIỆU] · số hiệu, ngày (lịch); kêu to
    ↳ Chiết tự: giản thể của 號: bộ 口 (khẩu – miệng) + 丂 (khảo) — hô to số hiệu</t>
        </is>
      </c>
      <c r="U431" s="22" t="inlineStr">
        <is>
          <t>🔢 Số đếm &amp; Lượng từ</t>
        </is>
      </c>
      <c r="V431" s="63" t="inlineStr">
        <is>
          <t>今天是几号？</t>
        </is>
      </c>
      <c r="W431" s="64" t="inlineStr">
        <is>
          <t>Jīntiān shì jǐ hào?
Hôm nay ngày mấy?</t>
        </is>
      </c>
    </row>
    <row r="432" hidden="1" ht="34.9" customHeight="1" s="99">
      <c r="A432" s="2" t="n">
        <v>165</v>
      </c>
      <c r="B432" s="25" t="inlineStr">
        <is>
          <t>HSK1+2</t>
        </is>
      </c>
      <c r="C432" s="4" t="inlineStr">
        <is>
          <t>几</t>
        </is>
      </c>
      <c r="D432" s="5" t="inlineStr">
        <is>
          <t>jǐ</t>
        </is>
      </c>
      <c r="E432" s="6" t="inlineStr">
        <is>
          <t>mấy, vài</t>
        </is>
      </c>
      <c r="F432" s="7" t="n"/>
      <c r="G432" s="13" t="inlineStr">
        <is>
          <t>几</t>
        </is>
      </c>
      <c r="H432" s="8">
        <f>IF(TRIM($G432)="","",IF(EXACT(TRIM($G432),TRIM($C432)),"✅ Đúng","❌ Sai"))</f>
        <v/>
      </c>
      <c r="I432" s="9">
        <f>HYPERLINK("https://translate.google.com/translate_tts?ie=UTF-8&amp;tl=zh-CN&amp;client=tw-ob&amp;q=几","▶")</f>
        <v/>
      </c>
      <c r="J432" s="9">
        <f>HYPERLINK("https://youglish.com/pronounce/几/chinese","🔍")</f>
        <v/>
      </c>
      <c r="K432" s="10" t="n"/>
      <c r="L432" s="11" t="n"/>
      <c r="M432" s="10" t="n"/>
      <c r="N432" s="11" t="n"/>
      <c r="O432" s="10" t="n"/>
      <c r="P432" s="11" t="n"/>
      <c r="Q432" s="10" t="n"/>
      <c r="R432" s="12" t="inlineStr">
        <is>
          <t>2026-06-17</t>
        </is>
      </c>
      <c r="S432" s="17" t="n"/>
      <c r="T432" s="21" t="inlineStr">
        <is>
          <t>几 [KỶ / CƠ] · mấy, bao nhiêu; cái bàn nhỏ
    ↳ Chiết tự: bộ 几 (kỷ) — hình chiếc ghế đẩu, giản thể của 幾 mượn nghĩa hỏi số</t>
        </is>
      </c>
      <c r="U432" s="22" t="inlineStr">
        <is>
          <t>🔢 Số đếm &amp; Lượng từ</t>
        </is>
      </c>
      <c r="V432" s="63" t="inlineStr">
        <is>
          <t>你有几本书？</t>
        </is>
      </c>
      <c r="W432" s="64" t="inlineStr">
        <is>
          <t>Nǐ yǒu jǐ běn shū?
Bạn có mấy quyển sách?</t>
        </is>
      </c>
    </row>
    <row r="433" hidden="1" ht="34.9" customHeight="1" s="99">
      <c r="A433" s="2" t="n">
        <v>185</v>
      </c>
      <c r="B433" s="25" t="inlineStr">
        <is>
          <t>HSK1+2</t>
        </is>
      </c>
      <c r="C433" s="4" t="inlineStr">
        <is>
          <t>九</t>
        </is>
      </c>
      <c r="D433" s="5" t="inlineStr">
        <is>
          <t>jiǔ</t>
        </is>
      </c>
      <c r="E433" s="6" t="inlineStr">
        <is>
          <t>số 9</t>
        </is>
      </c>
      <c r="F433" s="13" t="inlineStr">
        <is>
          <t>九</t>
        </is>
      </c>
      <c r="G433" s="13" t="inlineStr">
        <is>
          <t>九</t>
        </is>
      </c>
      <c r="H433" s="8">
        <f>IF(TRIM($G433)="","",IF(EXACT(TRIM($G433),TRIM($C433)),"✅ Đúng","❌ Sai"))</f>
        <v/>
      </c>
      <c r="I433" s="9">
        <f>HYPERLINK("https://translate.google.com/translate_tts?ie=UTF-8&amp;tl=zh-CN&amp;client=tw-ob&amp;q=九","▶")</f>
        <v/>
      </c>
      <c r="J433" s="9">
        <f>HYPERLINK("https://youglish.com/pronounce/九/chinese","🔍")</f>
        <v/>
      </c>
      <c r="K433" s="10" t="n"/>
      <c r="L433" s="11" t="n"/>
      <c r="M433" s="10" t="n"/>
      <c r="N433" s="11" t="n"/>
      <c r="O433" s="10" t="n"/>
      <c r="P433" s="11" t="n"/>
      <c r="Q433" s="10" t="n"/>
      <c r="R433" s="12" t="inlineStr">
        <is>
          <t>2026-06-17</t>
        </is>
      </c>
      <c r="S433" s="17" t="n"/>
      <c r="T433" s="21" t="inlineStr">
        <is>
          <t>九 [CỬU] · số chín; nhiều
    ↳ Chiết tự: bộ 乙 (ất) + 丿 (phiệt) — hình khuỷu tay co lại, mượn ghi số 9</t>
        </is>
      </c>
      <c r="U433" s="22" t="inlineStr">
        <is>
          <t>🔢 Số đếm &amp; Lượng từ</t>
        </is>
      </c>
      <c r="V433" s="63" t="inlineStr">
        <is>
          <t>他九点上班。</t>
        </is>
      </c>
      <c r="W433" s="64" t="inlineStr">
        <is>
          <t>Tā jiǔ diǎn shàngbān.
Anh ấy đi làm lúc chín giờ.</t>
        </is>
      </c>
    </row>
    <row r="434" hidden="1" ht="34.9" customHeight="1" s="99">
      <c r="A434" s="2" t="n">
        <v>205</v>
      </c>
      <c r="B434" s="25" t="inlineStr">
        <is>
          <t>HSK1+2</t>
        </is>
      </c>
      <c r="C434" s="4" t="inlineStr">
        <is>
          <t>块</t>
        </is>
      </c>
      <c r="D434" s="5" t="inlineStr">
        <is>
          <t>kuài</t>
        </is>
      </c>
      <c r="E434" s="6" t="inlineStr">
        <is>
          <t>đồng (tiền); miếng</t>
        </is>
      </c>
      <c r="F434" s="13" t="inlineStr">
        <is>
          <t>快</t>
        </is>
      </c>
      <c r="G434" s="13" t="inlineStr">
        <is>
          <t>块</t>
        </is>
      </c>
      <c r="H434" s="8">
        <f>IF(TRIM($G434)="","",IF(EXACT(TRIM($G434),TRIM($C434)),"✅ Đúng","❌ Sai"))</f>
        <v/>
      </c>
      <c r="I434" s="9">
        <f>HYPERLINK("https://translate.google.com/translate_tts?ie=UTF-8&amp;tl=zh-CN&amp;client=tw-ob&amp;q=块","▶")</f>
        <v/>
      </c>
      <c r="J434" s="9">
        <f>HYPERLINK("https://youglish.com/pronounce/块/chinese","🔍")</f>
        <v/>
      </c>
      <c r="K434" s="10" t="n"/>
      <c r="L434" s="11" t="n"/>
      <c r="M434" s="10" t="n"/>
      <c r="N434" s="11" t="n"/>
      <c r="O434" s="10" t="n"/>
      <c r="P434" s="11" t="n"/>
      <c r="Q434" s="10" t="n"/>
      <c r="R434" s="12" t="inlineStr">
        <is>
          <t>2026-06-17</t>
        </is>
      </c>
      <c r="S434" s="17" t="n"/>
      <c r="T434" s="21" t="inlineStr">
        <is>
          <t>块 [KHỐI] · cục, khối; đồng (tiền)
    ↳ Chiết tự: giản thể của 塊: bộ 土 (thổ – đất) + 夬 (quái – âm đọc) — một cục đất</t>
        </is>
      </c>
      <c r="U434" s="22" t="inlineStr">
        <is>
          <t>🔢 Số đếm &amp; Lượng từ</t>
        </is>
      </c>
      <c r="V434" s="63" t="inlineStr">
        <is>
          <t>这个五块钱。</t>
        </is>
      </c>
      <c r="W434" s="64" t="inlineStr">
        <is>
          <t>Zhège wǔ kuài qián.
Cái này năm tệ.</t>
        </is>
      </c>
    </row>
    <row r="435" hidden="1" ht="23.25" customHeight="1" s="99">
      <c r="A435" s="2" t="n">
        <v>216</v>
      </c>
      <c r="B435" s="3" t="inlineStr">
        <is>
          <t>HSK1</t>
        </is>
      </c>
      <c r="C435" s="4" t="inlineStr">
        <is>
          <t>零</t>
        </is>
      </c>
      <c r="D435" s="5" t="inlineStr">
        <is>
          <t>líng</t>
        </is>
      </c>
      <c r="E435" s="6" t="inlineStr">
        <is>
          <t>số 0</t>
        </is>
      </c>
      <c r="F435" s="13" t="inlineStr">
        <is>
          <t>零</t>
        </is>
      </c>
      <c r="G435" s="7" t="inlineStr">
        <is>
          <t>【polp-【】</t>
        </is>
      </c>
      <c r="H435" s="8">
        <f>IF(TRIM($G435)="","",IF(EXACT(TRIM($G435),TRIM($C435)),"✅ Đúng","❌ Sai"))</f>
        <v/>
      </c>
      <c r="I435" s="9">
        <f>HYPERLINK("https://translate.google.com/translate_tts?ie=UTF-8&amp;tl=zh-CN&amp;client=tw-ob&amp;q=零","▶")</f>
        <v/>
      </c>
      <c r="J435" s="9">
        <f>HYPERLINK("https://youglish.com/pronounce/零/chinese","🔍")</f>
        <v/>
      </c>
      <c r="K435" s="10" t="n"/>
      <c r="L435" s="11" t="n"/>
      <c r="M435" s="10" t="n"/>
      <c r="N435" s="11" t="n"/>
      <c r="O435" s="10" t="n"/>
      <c r="P435" s="11" t="n"/>
      <c r="Q435" s="10" t="n"/>
      <c r="R435" s="12" t="inlineStr">
        <is>
          <t>2026-06-17</t>
        </is>
      </c>
      <c r="S435" s="18" t="n"/>
      <c r="T435" s="21" t="inlineStr">
        <is>
          <t>零 [LINH] · số không; lẻ, vụn
    ↳ Chiết tự: bộ 雨 (vũ – mưa) + 令 (lệnh – âm đọc) — giọt mưa lẻ tẻ</t>
        </is>
      </c>
      <c r="U435" s="22" t="inlineStr">
        <is>
          <t>🔢 Số đếm &amp; Lượng từ</t>
        </is>
      </c>
      <c r="V435" s="63" t="inlineStr">
        <is>
          <t>现在零度。</t>
        </is>
      </c>
      <c r="W435" s="64" t="inlineStr">
        <is>
          <t>Xiànzài líng dù.
Bây giờ không độ.</t>
        </is>
      </c>
    </row>
    <row r="436" hidden="1" ht="34.9" customHeight="1" s="99">
      <c r="A436" s="2" t="n">
        <v>217</v>
      </c>
      <c r="B436" s="25" t="inlineStr">
        <is>
          <t>HSK1+2</t>
        </is>
      </c>
      <c r="C436" s="4" t="inlineStr">
        <is>
          <t>六</t>
        </is>
      </c>
      <c r="D436" s="5" t="inlineStr">
        <is>
          <t>liù</t>
        </is>
      </c>
      <c r="E436" s="6" t="inlineStr">
        <is>
          <t>số 6</t>
        </is>
      </c>
      <c r="F436" s="13" t="inlineStr">
        <is>
          <t>六</t>
        </is>
      </c>
      <c r="G436" s="13" t="inlineStr">
        <is>
          <t>六</t>
        </is>
      </c>
      <c r="H436" s="8">
        <f>IF(TRIM($G436)="","",IF(EXACT(TRIM($G436),TRIM($C436)),"✅ Đúng","❌ Sai"))</f>
        <v/>
      </c>
      <c r="I436" s="9">
        <f>HYPERLINK("https://translate.google.com/translate_tts?ie=UTF-8&amp;tl=zh-CN&amp;client=tw-ob&amp;q=六","▶")</f>
        <v/>
      </c>
      <c r="J436" s="9">
        <f>HYPERLINK("https://youglish.com/pronounce/六/chinese","🔍")</f>
        <v/>
      </c>
      <c r="K436" s="10" t="n"/>
      <c r="L436" s="11" t="n"/>
      <c r="M436" s="10" t="n"/>
      <c r="N436" s="11" t="n"/>
      <c r="O436" s="10" t="n"/>
      <c r="P436" s="11" t="n"/>
      <c r="Q436" s="10" t="n"/>
      <c r="R436" s="12" t="inlineStr">
        <is>
          <t>2026-06-17</t>
        </is>
      </c>
      <c r="S436" s="17" t="n"/>
      <c r="T436" s="21" t="inlineStr">
        <is>
          <t>六 [LỤC] · số sáu
    ↳ Chiết tự: bộ 亠 (đầu) + 八 (bát) — hình mái lều bốn phía, mượn ghi số 6</t>
        </is>
      </c>
      <c r="U436" s="22" t="inlineStr">
        <is>
          <t>🔢 Số đếm &amp; Lượng từ</t>
        </is>
      </c>
      <c r="V436" s="63" t="inlineStr">
        <is>
          <t>我六点起床。</t>
        </is>
      </c>
      <c r="W436" s="64" t="inlineStr">
        <is>
          <t>Wǒ liù diǎn qǐchuáng.
Tôi thức dậy lúc sáu giờ.</t>
        </is>
      </c>
    </row>
    <row r="437" hidden="1" ht="23.25" customHeight="1" s="99">
      <c r="A437" s="2" t="n">
        <v>238</v>
      </c>
      <c r="B437" s="60" t="inlineStr">
        <is>
          <t>HSK1+3</t>
        </is>
      </c>
      <c r="C437" s="4" t="inlineStr">
        <is>
          <t>米</t>
        </is>
      </c>
      <c r="D437" s="5" t="inlineStr">
        <is>
          <t>mǐ</t>
        </is>
      </c>
      <c r="E437" s="6" t="inlineStr">
        <is>
          <t>mét; gạo</t>
        </is>
      </c>
      <c r="F437" s="7" t="n"/>
      <c r="G437" s="13" t="inlineStr">
        <is>
          <t>米</t>
        </is>
      </c>
      <c r="H437" s="8">
        <f>IF(TRIM($G437)="","",IF(EXACT(TRIM($G437),TRIM($C437)),"✅ Đúng","❌ Sai"))</f>
        <v/>
      </c>
      <c r="I437" s="9">
        <f>HYPERLINK("https://translate.google.com/translate_tts?ie=UTF-8&amp;tl=zh-CN&amp;client=tw-ob&amp;q=米","▶")</f>
        <v/>
      </c>
      <c r="J437" s="9">
        <f>HYPERLINK("https://youglish.com/pronounce/米/chinese","🔍")</f>
        <v/>
      </c>
      <c r="K437" s="10" t="n"/>
      <c r="L437" s="11" t="n"/>
      <c r="M437" s="10" t="n"/>
      <c r="N437" s="11" t="n"/>
      <c r="O437" s="10" t="n"/>
      <c r="P437" s="11" t="n"/>
      <c r="Q437" s="10" t="n"/>
      <c r="R437" s="12" t="inlineStr">
        <is>
          <t>2026-06-17</t>
        </is>
      </c>
      <c r="S437" s="18" t="n"/>
      <c r="T437" s="21" t="inlineStr">
        <is>
          <t>米 [MỄ] · gạo; mét
    ↳ Chiết tự: bộ 米 (mễ) — hình các hạt gạo rơi quanh</t>
        </is>
      </c>
      <c r="U437" s="22" t="inlineStr">
        <is>
          <t>🔢 Số đếm &amp; Lượng từ</t>
        </is>
      </c>
      <c r="V437" s="63" t="inlineStr">
        <is>
          <t>他有一米八高。</t>
        </is>
      </c>
      <c r="W437" s="64" t="inlineStr">
        <is>
          <t>Tā yǒu yì mǐ bā gāo.
Anh ấy cao một mét tám.</t>
        </is>
      </c>
    </row>
    <row r="438" hidden="1" ht="46.5" customHeight="1" s="99">
      <c r="A438" s="2" t="n">
        <v>253</v>
      </c>
      <c r="B438" s="3" t="inlineStr">
        <is>
          <t>HSK1</t>
        </is>
      </c>
      <c r="C438" s="4" t="inlineStr">
        <is>
          <t>那些</t>
        </is>
      </c>
      <c r="D438" s="5" t="inlineStr">
        <is>
          <t>nàxiē</t>
        </is>
      </c>
      <c r="E438" s="6" t="inlineStr">
        <is>
          <t>những cái đó</t>
        </is>
      </c>
      <c r="F438" s="7" t="n"/>
      <c r="G438" s="13" t="inlineStr">
        <is>
          <t>那些</t>
        </is>
      </c>
      <c r="H438" s="8">
        <f>IF(TRIM($G438)="","",IF(EXACT(TRIM($G438),TRIM($C438)),"✅ Đúng","❌ Sai"))</f>
        <v/>
      </c>
      <c r="I438" s="9">
        <f>HYPERLINK("https://translate.google.com/translate_tts?ie=UTF-8&amp;tl=zh-CN&amp;client=tw-ob&amp;q=那些","▶")</f>
        <v/>
      </c>
      <c r="J438" s="9">
        <f>HYPERLINK("https://youglish.com/pronounce/那些/chinese","🔍")</f>
        <v/>
      </c>
      <c r="K438" s="10" t="n"/>
      <c r="L438" s="11" t="n"/>
      <c r="M438" s="10" t="n"/>
      <c r="N438" s="11" t="n"/>
      <c r="O438" s="10" t="n"/>
      <c r="P438" s="11" t="n"/>
      <c r="Q438" s="10" t="n"/>
      <c r="R438" s="12" t="inlineStr">
        <is>
          <t>2026-06-17</t>
        </is>
      </c>
      <c r="S438" s="17" t="n"/>
      <c r="T438" s="21" t="inlineStr">
        <is>
          <t>那 [NA] · kia, đó
    ↳ Chiết tự: bộ 阝 (ấp – vùng đất) + 冄 — chỉ vùng đất xa kia
些 [TA] · một ít, vài
    ↳ Chiết tự: bộ 此 (thử – cái này) + 二 (nhị) — một vài cái này</t>
        </is>
      </c>
      <c r="U438" s="22" t="inlineStr">
        <is>
          <t>🔢 Số đếm &amp; Lượng từ</t>
        </is>
      </c>
      <c r="V438" s="63" t="inlineStr">
        <is>
          <t>那些书是我的。</t>
        </is>
      </c>
      <c r="W438" s="64" t="inlineStr">
        <is>
          <t>Nàxiē shū shì wǒ de.
Những quyển sách kia của tôi.</t>
        </is>
      </c>
    </row>
    <row r="439" hidden="1" ht="34.9" customHeight="1" s="99">
      <c r="A439" s="2" t="n">
        <v>276</v>
      </c>
      <c r="B439" s="25" t="inlineStr">
        <is>
          <t>HSK1+2</t>
        </is>
      </c>
      <c r="C439" s="4" t="inlineStr">
        <is>
          <t>七</t>
        </is>
      </c>
      <c r="D439" s="5" t="inlineStr">
        <is>
          <t>qī</t>
        </is>
      </c>
      <c r="E439" s="6" t="inlineStr">
        <is>
          <t>số 7</t>
        </is>
      </c>
      <c r="F439" s="13" t="inlineStr">
        <is>
          <t>七</t>
        </is>
      </c>
      <c r="G439" s="13" t="inlineStr">
        <is>
          <t>七</t>
        </is>
      </c>
      <c r="H439" s="8">
        <f>IF(TRIM($G439)="","",IF(EXACT(TRIM($G439),TRIM($C439)),"✅ Đúng","❌ Sai"))</f>
        <v/>
      </c>
      <c r="I439" s="9">
        <f>HYPERLINK("https://translate.google.com/translate_tts?ie=UTF-8&amp;tl=zh-CN&amp;client=tw-ob&amp;q=七","▶")</f>
        <v/>
      </c>
      <c r="J439" s="9">
        <f>HYPERLINK("https://youglish.com/pronounce/七/chinese","🔍")</f>
        <v/>
      </c>
      <c r="K439" s="10" t="n"/>
      <c r="L439" s="11" t="n"/>
      <c r="M439" s="10" t="n"/>
      <c r="N439" s="11" t="n"/>
      <c r="O439" s="10" t="n"/>
      <c r="P439" s="11" t="n"/>
      <c r="Q439" s="10" t="n"/>
      <c r="R439" s="12" t="inlineStr">
        <is>
          <t>2026-06-17</t>
        </is>
      </c>
      <c r="S439" s="17" t="n"/>
      <c r="T439" s="21" t="inlineStr">
        <is>
          <t>七 [THẤT] · số bảy
    ↳ Chiết tự: nét ngang 一 (nhất) xuyên nét móc 乚 — chữ chỉ sự, khắc vạch ghi số 7</t>
        </is>
      </c>
      <c r="U439" s="22" t="inlineStr">
        <is>
          <t>🔢 Số đếm &amp; Lượng từ</t>
        </is>
      </c>
      <c r="V439" s="63" t="inlineStr">
        <is>
          <t>一个星期有七天。</t>
        </is>
      </c>
      <c r="W439" s="64" t="inlineStr">
        <is>
          <t>Yí ge xīngqī yǒu qī tiān.
Một tuần có bảy ngày.</t>
        </is>
      </c>
    </row>
    <row r="440" hidden="1" ht="23.25" customHeight="1" s="99">
      <c r="A440" s="2" t="n">
        <v>301</v>
      </c>
      <c r="B440" s="25" t="inlineStr">
        <is>
          <t>HSK1+2</t>
        </is>
      </c>
      <c r="C440" s="4" t="inlineStr">
        <is>
          <t>三</t>
        </is>
      </c>
      <c r="D440" s="5" t="inlineStr">
        <is>
          <t>sān</t>
        </is>
      </c>
      <c r="E440" s="6" t="inlineStr">
        <is>
          <t>số 3</t>
        </is>
      </c>
      <c r="F440" s="13" t="inlineStr">
        <is>
          <t>三</t>
        </is>
      </c>
      <c r="G440" s="13" t="inlineStr">
        <is>
          <t>三</t>
        </is>
      </c>
      <c r="H440" s="8">
        <f>IF(TRIM($G440)="","",IF(EXACT(TRIM($G440),TRIM($C440)),"✅ Đúng","❌ Sai"))</f>
        <v/>
      </c>
      <c r="I440" s="9">
        <f>HYPERLINK("https://translate.google.com/translate_tts?ie=UTF-8&amp;tl=zh-CN&amp;client=tw-ob&amp;q=三","▶")</f>
        <v/>
      </c>
      <c r="J440" s="9">
        <f>HYPERLINK("https://youglish.com/pronounce/三/chinese","🔍")</f>
        <v/>
      </c>
      <c r="K440" s="10" t="n"/>
      <c r="L440" s="11" t="n"/>
      <c r="M440" s="10" t="n"/>
      <c r="N440" s="11" t="n"/>
      <c r="O440" s="10" t="n"/>
      <c r="P440" s="11" t="n"/>
      <c r="Q440" s="10" t="n"/>
      <c r="R440" s="12" t="inlineStr">
        <is>
          <t>2026-06-17</t>
        </is>
      </c>
      <c r="S440" s="18" t="n"/>
      <c r="T440" s="21" t="inlineStr">
        <is>
          <t>三 [TAM] · số ba, nhiều lần
    ↳ Chiết tự: ba nét 一 (nhất) xếp chồng — chữ chỉ sự</t>
        </is>
      </c>
      <c r="U440" s="22" t="inlineStr">
        <is>
          <t>🔢 Số đếm &amp; Lượng từ</t>
        </is>
      </c>
      <c r="V440" s="63" t="inlineStr">
        <is>
          <t>我有三个朋友。</t>
        </is>
      </c>
      <c r="W440" s="64" t="inlineStr">
        <is>
          <t>Wǒ yǒu sān ge péngyou.
Tôi có ba người bạn.</t>
        </is>
      </c>
    </row>
    <row r="441" hidden="1" ht="69.75" customHeight="1" s="99">
      <c r="A441" s="2" t="n">
        <v>309</v>
      </c>
      <c r="B441" s="3" t="inlineStr">
        <is>
          <t>HSK1</t>
        </is>
      </c>
      <c r="C441" s="4" t="inlineStr">
        <is>
          <t>上次</t>
        </is>
      </c>
      <c r="D441" s="5" t="inlineStr">
        <is>
          <t>shàngcì</t>
        </is>
      </c>
      <c r="E441" s="6" t="inlineStr">
        <is>
          <t>lần trước</t>
        </is>
      </c>
      <c r="F441" s="7" t="n"/>
      <c r="G441" s="13" t="inlineStr">
        <is>
          <t>上次</t>
        </is>
      </c>
      <c r="H441" s="8">
        <f>IF(TRIM($G441)="","",IF(EXACT(TRIM($G441),TRIM($C441)),"✅ Đúng","❌ Sai"))</f>
        <v/>
      </c>
      <c r="I441" s="9">
        <f>HYPERLINK("https://translate.google.com/translate_tts?ie=UTF-8&amp;tl=zh-CN&amp;client=tw-ob&amp;q=上次","▶")</f>
        <v/>
      </c>
      <c r="J441" s="9">
        <f>HYPERLINK("https://youglish.com/pronounce/上次/chinese","🔍")</f>
        <v/>
      </c>
      <c r="K441" s="10" t="n"/>
      <c r="L441" s="11" t="n"/>
      <c r="M441" s="10" t="n"/>
      <c r="N441" s="11" t="n"/>
      <c r="O441" s="10" t="n"/>
      <c r="P441" s="11" t="n"/>
      <c r="Q441" s="10" t="n"/>
      <c r="R441" s="12" t="inlineStr">
        <is>
          <t>2026-06-17</t>
        </is>
      </c>
      <c r="S441" s="18" t="n"/>
      <c r="T441" s="21" t="inlineStr">
        <is>
          <t>上 [THƯỢNG] · ở trên, lên, trước đó
    ↳ Chiết tự: bộ 一 (nhất – mặt đất) + vạch chỉ hướng lên — chữ chỉ sự
次 [THỨ] · lần, lượt; thứ hạng
    ↳ Chiết tự: bộ 冫 (băng) + 欠 (khiếm – há miệng) — xếp lần lượt kế tiếp</t>
        </is>
      </c>
      <c r="U441" s="22" t="inlineStr">
        <is>
          <t>🔢 Số đếm &amp; Lượng từ</t>
        </is>
      </c>
      <c r="V441" s="63" t="inlineStr">
        <is>
          <t>上次我们见过面。</t>
        </is>
      </c>
      <c r="W441" s="64" t="inlineStr">
        <is>
          <t>Shàng cì wǒmen jiàn guo miàn.
Lần trước chúng ta đã gặp nhau.</t>
        </is>
      </c>
    </row>
    <row r="442" ht="23.25" customHeight="1" s="99">
      <c r="A442" s="2" t="n">
        <v>314</v>
      </c>
      <c r="B442" s="25" t="inlineStr">
        <is>
          <t>HSK1+2</t>
        </is>
      </c>
      <c r="C442" s="4" t="inlineStr">
        <is>
          <t>少</t>
        </is>
      </c>
      <c r="D442" s="5" t="inlineStr">
        <is>
          <t>shǎo</t>
        </is>
      </c>
      <c r="E442" s="6" t="inlineStr">
        <is>
          <t>ít, thiếu</t>
        </is>
      </c>
      <c r="F442" s="7" t="n"/>
      <c r="G442" s="7" t="n"/>
      <c r="H442" s="8">
        <f>IF(TRIM($G442)="","",IF(EXACT(TRIM($G442),TRIM($C442)),"✅ Đúng","❌ Sai"))</f>
        <v/>
      </c>
      <c r="I442" s="9">
        <f>HYPERLINK("https://translate.google.com/translate_tts?ie=UTF-8&amp;tl=zh-CN&amp;client=tw-ob&amp;q=少","▶")</f>
        <v/>
      </c>
      <c r="J442" s="9">
        <f>HYPERLINK("https://youglish.com/pronounce/少/chinese","🔍")</f>
        <v/>
      </c>
      <c r="K442" s="10" t="n"/>
      <c r="L442" s="11" t="n"/>
      <c r="M442" s="10" t="n"/>
      <c r="N442" s="11" t="n"/>
      <c r="O442" s="10" t="n"/>
      <c r="P442" s="11" t="n"/>
      <c r="Q442" s="10" t="n"/>
      <c r="R442" s="12" t="inlineStr">
        <is>
          <t>2026-06-17</t>
        </is>
      </c>
      <c r="S442" s="17" t="n"/>
      <c r="T442" s="21" t="inlineStr">
        <is>
          <t>少 [THIỂU / THIẾU] · ít; trẻ tuổi
    ↳ Chiết tự: bộ 小 (tiểu – nhỏ) + 丿 (phiệt) — nhỏ lại còn bớt đi nữa</t>
        </is>
      </c>
      <c r="U442" s="22" t="inlineStr">
        <is>
          <t>🔢 Số đếm &amp; Lượng từ</t>
        </is>
      </c>
      <c r="V442" s="63" t="inlineStr">
        <is>
          <t>今天人很少。</t>
        </is>
      </c>
      <c r="W442" s="64" t="inlineStr">
        <is>
          <t>Jīntiān rén hěn shǎo.
Hôm nay rất ít người.</t>
        </is>
      </c>
    </row>
    <row r="443" hidden="1" ht="34.9" customHeight="1" s="99">
      <c r="A443" s="2" t="n">
        <v>322</v>
      </c>
      <c r="B443" s="25" t="inlineStr">
        <is>
          <t>HSK1+2</t>
        </is>
      </c>
      <c r="C443" s="4" t="inlineStr">
        <is>
          <t>十</t>
        </is>
      </c>
      <c r="D443" s="5" t="inlineStr">
        <is>
          <t>shí</t>
        </is>
      </c>
      <c r="E443" s="6" t="inlineStr">
        <is>
          <t>số 10</t>
        </is>
      </c>
      <c r="F443" s="13" t="inlineStr">
        <is>
          <t>十</t>
        </is>
      </c>
      <c r="G443" s="13" t="inlineStr">
        <is>
          <t>十</t>
        </is>
      </c>
      <c r="H443" s="8">
        <f>IF(TRIM($G443)="","",IF(EXACT(TRIM($G443),TRIM($C443)),"✅ Đúng","❌ Sai"))</f>
        <v/>
      </c>
      <c r="I443" s="9">
        <f>HYPERLINK("https://translate.google.com/translate_tts?ie=UTF-8&amp;tl=zh-CN&amp;client=tw-ob&amp;q=十","▶")</f>
        <v/>
      </c>
      <c r="J443" s="9">
        <f>HYPERLINK("https://youglish.com/pronounce/十/chinese","🔍")</f>
        <v/>
      </c>
      <c r="K443" s="10" t="n"/>
      <c r="L443" s="11" t="n"/>
      <c r="M443" s="10" t="n"/>
      <c r="N443" s="11" t="n"/>
      <c r="O443" s="10" t="n"/>
      <c r="P443" s="11" t="n"/>
      <c r="Q443" s="10" t="n"/>
      <c r="R443" s="12" t="inlineStr">
        <is>
          <t>2026-06-17</t>
        </is>
      </c>
      <c r="S443" s="17" t="n"/>
      <c r="T443" s="21" t="inlineStr">
        <is>
          <t>十 [THẬP] · số mười; đầy đủ
    ↳ Chiết tự: bộ 十 (thập) — một nét ngang giao một nét dọc, đủ bốn phương</t>
        </is>
      </c>
      <c r="U443" s="22" t="inlineStr">
        <is>
          <t>🔢 Số đếm &amp; Lượng từ</t>
        </is>
      </c>
      <c r="V443" s="63" t="inlineStr">
        <is>
          <t>我十点睡觉。</t>
        </is>
      </c>
      <c r="W443" s="64" t="inlineStr">
        <is>
          <t>Wǒ shí diǎn shuìjiào.
Tôi đi ngủ lúc mười giờ.</t>
        </is>
      </c>
    </row>
    <row r="444" hidden="1" ht="34.9" customHeight="1" s="99">
      <c r="A444" s="2" t="n">
        <v>341</v>
      </c>
      <c r="B444" s="25" t="inlineStr">
        <is>
          <t>HSK1+2</t>
        </is>
      </c>
      <c r="C444" s="4" t="inlineStr">
        <is>
          <t>四</t>
        </is>
      </c>
      <c r="D444" s="5" t="inlineStr">
        <is>
          <t>sì</t>
        </is>
      </c>
      <c r="E444" s="6" t="inlineStr">
        <is>
          <t>số 4</t>
        </is>
      </c>
      <c r="F444" s="13" t="inlineStr">
        <is>
          <t>四</t>
        </is>
      </c>
      <c r="G444" s="13" t="inlineStr">
        <is>
          <t>四</t>
        </is>
      </c>
      <c r="H444" s="8">
        <f>IF(TRIM($G444)="","",IF(EXACT(TRIM($G444),TRIM($C444)),"✅ Đúng","❌ Sai"))</f>
        <v/>
      </c>
      <c r="I444" s="9">
        <f>HYPERLINK("https://translate.google.com/translate_tts?ie=UTF-8&amp;tl=zh-CN&amp;client=tw-ob&amp;q=四","▶")</f>
        <v/>
      </c>
      <c r="J444" s="9">
        <f>HYPERLINK("https://youglish.com/pronounce/四/chinese","🔍")</f>
        <v/>
      </c>
      <c r="K444" s="10" t="n"/>
      <c r="L444" s="11" t="n"/>
      <c r="M444" s="10" t="n"/>
      <c r="N444" s="11" t="n"/>
      <c r="O444" s="10" t="n"/>
      <c r="P444" s="11" t="n"/>
      <c r="Q444" s="10" t="n"/>
      <c r="R444" s="12" t="inlineStr">
        <is>
          <t>2026-06-17</t>
        </is>
      </c>
      <c r="S444" s="18" t="n"/>
      <c r="T444" s="21" t="inlineStr">
        <is>
          <t>四 [TỨ] · số bốn
    ↳ Chiết tự: bộ 囗 (vi – vây quanh) + 八 (bát – chia) — trong khung chia làm bốn</t>
        </is>
      </c>
      <c r="U444" s="22" t="inlineStr">
        <is>
          <t>🔢 Số đếm &amp; Lượng từ</t>
        </is>
      </c>
      <c r="V444" s="63" t="inlineStr">
        <is>
          <t>我们有四节课。</t>
        </is>
      </c>
      <c r="W444" s="64" t="inlineStr">
        <is>
          <t>Wǒmen yǒu sì jié kè.
Chúng tôi có bốn tiết học.</t>
        </is>
      </c>
    </row>
    <row r="445" hidden="1" ht="34.9" customHeight="1" s="99">
      <c r="A445" s="2" t="n">
        <v>343</v>
      </c>
      <c r="B445" s="25" t="inlineStr">
        <is>
          <t>HSK1+2</t>
        </is>
      </c>
      <c r="C445" s="4" t="inlineStr">
        <is>
          <t>岁</t>
        </is>
      </c>
      <c r="D445" s="5" t="inlineStr">
        <is>
          <t>suì</t>
        </is>
      </c>
      <c r="E445" s="6" t="inlineStr">
        <is>
          <t>tuổi</t>
        </is>
      </c>
      <c r="F445" s="13" t="inlineStr">
        <is>
          <t>随</t>
        </is>
      </c>
      <c r="G445" s="13" t="inlineStr">
        <is>
          <t>岁</t>
        </is>
      </c>
      <c r="H445" s="8">
        <f>IF(TRIM($G445)="","",IF(EXACT(TRIM($G445),TRIM($C445)),"✅ Đúng","❌ Sai"))</f>
        <v/>
      </c>
      <c r="I445" s="9">
        <f>HYPERLINK("https://translate.google.com/translate_tts?ie=UTF-8&amp;tl=zh-CN&amp;client=tw-ob&amp;q=岁","▶")</f>
        <v/>
      </c>
      <c r="J445" s="9">
        <f>HYPERLINK("https://youglish.com/pronounce/岁/chinese","🔍")</f>
        <v/>
      </c>
      <c r="K445" s="10" t="n"/>
      <c r="L445" s="11" t="n"/>
      <c r="M445" s="10" t="n"/>
      <c r="N445" s="11" t="n"/>
      <c r="O445" s="10" t="n"/>
      <c r="P445" s="11" t="n"/>
      <c r="Q445" s="10" t="n"/>
      <c r="R445" s="12" t="inlineStr">
        <is>
          <t>2026-06-17</t>
        </is>
      </c>
      <c r="S445" s="18" t="n"/>
      <c r="T445" s="21" t="inlineStr">
        <is>
          <t>岁 [TUẾ] · tuổi, năm
    ↳ Chiết tự: giản thể của 歲: bộ 山 (sơn) + 夕 (tịch – đêm) — tháng năm chồng chất</t>
        </is>
      </c>
      <c r="U445" s="22" t="inlineStr">
        <is>
          <t>🔢 Số đếm &amp; Lượng từ</t>
        </is>
      </c>
      <c r="V445" s="63" t="inlineStr">
        <is>
          <t>我妹妹十岁。</t>
        </is>
      </c>
      <c r="W445" s="64" t="inlineStr">
        <is>
          <t>Wǒ mèimei shí suì.
Em gái tôi mười tuổi.</t>
        </is>
      </c>
    </row>
    <row r="446" hidden="1" ht="34.9" customHeight="1" s="99">
      <c r="A446" s="2" t="n">
        <v>372</v>
      </c>
      <c r="B446" s="25" t="inlineStr">
        <is>
          <t>HSK1+2</t>
        </is>
      </c>
      <c r="C446" s="4" t="inlineStr">
        <is>
          <t>五</t>
        </is>
      </c>
      <c r="D446" s="5" t="inlineStr">
        <is>
          <t>wǔ</t>
        </is>
      </c>
      <c r="E446" s="6" t="inlineStr">
        <is>
          <t>số 5</t>
        </is>
      </c>
      <c r="F446" s="13" t="inlineStr">
        <is>
          <t>五</t>
        </is>
      </c>
      <c r="G446" s="13" t="inlineStr">
        <is>
          <t>五</t>
        </is>
      </c>
      <c r="H446" s="8">
        <f>IF(TRIM($G446)="","",IF(EXACT(TRIM($G446),TRIM($C446)),"✅ Đúng","❌ Sai"))</f>
        <v/>
      </c>
      <c r="I446" s="9">
        <f>HYPERLINK("https://translate.google.com/translate_tts?ie=UTF-8&amp;tl=zh-CN&amp;client=tw-ob&amp;q=五","▶")</f>
        <v/>
      </c>
      <c r="J446" s="9">
        <f>HYPERLINK("https://youglish.com/pronounce/五/chinese","🔍")</f>
        <v/>
      </c>
      <c r="K446" s="10" t="n"/>
      <c r="L446" s="11" t="n"/>
      <c r="M446" s="10" t="n"/>
      <c r="N446" s="11" t="n"/>
      <c r="O446" s="10" t="n"/>
      <c r="P446" s="11" t="n"/>
      <c r="Q446" s="10" t="n"/>
      <c r="R446" s="12" t="inlineStr">
        <is>
          <t>2026-06-17</t>
        </is>
      </c>
      <c r="S446" s="17" t="n"/>
      <c r="T446" s="21" t="inlineStr">
        <is>
          <t>五 [NGŨ] · số năm
    ↳ Chiết tự: bộ 二 (nhị – trời và đất) + hai nét giao nhau ở giữa — ngũ hành giao hòa</t>
        </is>
      </c>
      <c r="U446" s="22" t="inlineStr">
        <is>
          <t>🔢 Số đếm &amp; Lượng từ</t>
        </is>
      </c>
      <c r="V446" s="63" t="inlineStr">
        <is>
          <t>我五点下班。</t>
        </is>
      </c>
      <c r="W446" s="64" t="inlineStr">
        <is>
          <t>Wǒ wǔ diǎn xiàbān.
Tôi tan làm lúc năm giờ.</t>
        </is>
      </c>
    </row>
    <row r="447" hidden="1" ht="69.75" customHeight="1" s="99">
      <c r="A447" s="2" t="n">
        <v>383</v>
      </c>
      <c r="B447" s="3" t="inlineStr">
        <is>
          <t>HSK1</t>
        </is>
      </c>
      <c r="C447" s="4" t="inlineStr">
        <is>
          <t>下次</t>
        </is>
      </c>
      <c r="D447" s="5" t="inlineStr">
        <is>
          <t>xiàcì</t>
        </is>
      </c>
      <c r="E447" s="6" t="inlineStr">
        <is>
          <t>lần sau</t>
        </is>
      </c>
      <c r="F447" s="7" t="n"/>
      <c r="G447" s="13" t="inlineStr">
        <is>
          <t>下次</t>
        </is>
      </c>
      <c r="H447" s="8">
        <f>IF(TRIM($G447)="","",IF(EXACT(TRIM($G447),TRIM($C447)),"✅ Đúng","❌ Sai"))</f>
        <v/>
      </c>
      <c r="I447" s="9">
        <f>HYPERLINK("https://translate.google.com/translate_tts?ie=UTF-8&amp;tl=zh-CN&amp;client=tw-ob&amp;q=下次","▶")</f>
        <v/>
      </c>
      <c r="J447" s="9">
        <f>HYPERLINK("https://youglish.com/pronounce/下次/chinese","🔍")</f>
        <v/>
      </c>
      <c r="K447" s="10" t="n"/>
      <c r="L447" s="11" t="n"/>
      <c r="M447" s="10" t="n"/>
      <c r="N447" s="11" t="n"/>
      <c r="O447" s="10" t="n"/>
      <c r="P447" s="11" t="n"/>
      <c r="Q447" s="10" t="n"/>
      <c r="R447" s="12" t="inlineStr">
        <is>
          <t>2026-06-17</t>
        </is>
      </c>
      <c r="S447" s="18" t="n"/>
      <c r="T447" s="21" t="inlineStr">
        <is>
          <t>下 [HẠ] · ở dưới, xuống, kém hơn
    ↳ Chiết tự: bộ 一 (nhất – mặt đất) + vạch chỉ hướng xuống — chữ chỉ sự
次 [THỨ] · lần, lượt; thứ hạng
    ↳ Chiết tự: bộ 冫 (băng) + 欠 (khiếm – há miệng) — xếp lần lượt kế tiếp</t>
        </is>
      </c>
      <c r="U447" s="22" t="inlineStr">
        <is>
          <t>🔢 Số đếm &amp; Lượng từ</t>
        </is>
      </c>
      <c r="V447" s="63" t="inlineStr">
        <is>
          <t>下次再来吧。</t>
        </is>
      </c>
      <c r="W447" s="64" t="inlineStr">
        <is>
          <t>Xià cì zài lái ba.
Lần sau lại đến nhé.</t>
        </is>
      </c>
    </row>
    <row r="448" ht="34.9" customHeight="1" s="99">
      <c r="A448" s="2" t="n">
        <v>416</v>
      </c>
      <c r="B448" s="3" t="inlineStr">
        <is>
          <t>HSK1</t>
        </is>
      </c>
      <c r="C448" s="4" t="inlineStr">
        <is>
          <t>页</t>
        </is>
      </c>
      <c r="D448" s="5" t="inlineStr">
        <is>
          <t>yè</t>
        </is>
      </c>
      <c r="E448" s="6" t="inlineStr">
        <is>
          <t>trang</t>
        </is>
      </c>
      <c r="F448" s="7" t="n"/>
      <c r="G448" s="7" t="n"/>
      <c r="H448" s="8">
        <f>IF(TRIM($G448)="","",IF(EXACT(TRIM($G448),TRIM($C448)),"✅ Đúng","❌ Sai"))</f>
        <v/>
      </c>
      <c r="I448" s="9">
        <f>HYPERLINK("https://translate.google.com/translate_tts?ie=UTF-8&amp;tl=zh-CN&amp;client=tw-ob&amp;q=页","▶")</f>
        <v/>
      </c>
      <c r="J448" s="9">
        <f>HYPERLINK("https://youglish.com/pronounce/页/chinese","🔍")</f>
        <v/>
      </c>
      <c r="K448" s="10" t="n"/>
      <c r="L448" s="11" t="n"/>
      <c r="M448" s="10" t="n"/>
      <c r="N448" s="11" t="n"/>
      <c r="O448" s="10" t="n"/>
      <c r="P448" s="11" t="n"/>
      <c r="Q448" s="10" t="n"/>
      <c r="R448" s="12" t="inlineStr">
        <is>
          <t>2026-06-17</t>
        </is>
      </c>
      <c r="S448" s="17" t="n"/>
      <c r="T448" s="21" t="inlineStr">
        <is>
          <t>页 [HIỆT] · trang giấy
    ↳ Chiết tự: giản thể của 頁: bộ 页 (hiệt) — hình cái đầu người, mượn chỉ tờ trang</t>
        </is>
      </c>
      <c r="U448" s="22" t="inlineStr">
        <is>
          <t>🔢 Số đếm &amp; Lượng từ</t>
        </is>
      </c>
      <c r="V448" s="63" t="inlineStr">
        <is>
          <t>请看第十页。</t>
        </is>
      </c>
      <c r="W448" s="64" t="inlineStr">
        <is>
          <t>Qǐng kàn dì-shí yè.
Xin xem trang mười.</t>
        </is>
      </c>
    </row>
    <row r="449" hidden="1" ht="34.9" customHeight="1" s="99">
      <c r="A449" s="2" t="n">
        <v>417</v>
      </c>
      <c r="B449" s="25" t="inlineStr">
        <is>
          <t>HSK1+2</t>
        </is>
      </c>
      <c r="C449" s="4" t="inlineStr">
        <is>
          <t>一</t>
        </is>
      </c>
      <c r="D449" s="5" t="inlineStr">
        <is>
          <t>yī</t>
        </is>
      </c>
      <c r="E449" s="6" t="inlineStr">
        <is>
          <t>số 1</t>
        </is>
      </c>
      <c r="F449" s="7" t="inlineStr">
        <is>
          <t>一</t>
        </is>
      </c>
      <c r="G449" s="13" t="inlineStr">
        <is>
          <t>一</t>
        </is>
      </c>
      <c r="H449" s="8">
        <f>IF(TRIM($G449)="","",IF(EXACT(TRIM($G449),TRIM($C449)),"✅ Đúng","❌ Sai"))</f>
        <v/>
      </c>
      <c r="I449" s="9">
        <f>HYPERLINK("https://translate.google.com/translate_tts?ie=UTF-8&amp;tl=zh-CN&amp;client=tw-ob&amp;q=一","▶")</f>
        <v/>
      </c>
      <c r="J449" s="9">
        <f>HYPERLINK("https://youglish.com/pronounce/一/chinese","🔍")</f>
        <v/>
      </c>
      <c r="K449" s="10" t="n"/>
      <c r="L449" s="11" t="n"/>
      <c r="M449" s="10" t="n"/>
      <c r="N449" s="11" t="n"/>
      <c r="O449" s="10" t="n"/>
      <c r="P449" s="11" t="n"/>
      <c r="Q449" s="10" t="n"/>
      <c r="R449" s="12" t="inlineStr">
        <is>
          <t>2026-06-17</t>
        </is>
      </c>
      <c r="S449" s="18" t="n"/>
      <c r="T449" s="21" t="inlineStr">
        <is>
          <t>一 [NHẤT] · số một, thứ nhất, toàn bộ
    ↳ Chiết tự: một nét ngang 一 (nhất) — chữ chỉ sự, vạch một gạch là số 1</t>
        </is>
      </c>
      <c r="U449" s="22" t="inlineStr">
        <is>
          <t>🔢 Số đếm &amp; Lượng từ</t>
        </is>
      </c>
      <c r="V449" s="63" t="inlineStr">
        <is>
          <t>我只有一个问题。</t>
        </is>
      </c>
      <c r="W449" s="64" t="inlineStr">
        <is>
          <t>Wǒ zhǐ yǒu yí ge wèntí.
Tôi chỉ có một câu hỏi.</t>
        </is>
      </c>
    </row>
    <row r="450" hidden="1" ht="69.75" customHeight="1" s="99">
      <c r="A450" s="2" t="n">
        <v>421</v>
      </c>
      <c r="B450" s="3" t="inlineStr">
        <is>
          <t>HSK1</t>
        </is>
      </c>
      <c r="C450" s="4" t="inlineStr">
        <is>
          <t>一半</t>
        </is>
      </c>
      <c r="D450" s="5" t="inlineStr">
        <is>
          <t>yíbàn</t>
        </is>
      </c>
      <c r="E450" s="6" t="inlineStr">
        <is>
          <t>một nửa</t>
        </is>
      </c>
      <c r="F450" s="7" t="n"/>
      <c r="G450" s="13" t="inlineStr">
        <is>
          <t>一半</t>
        </is>
      </c>
      <c r="H450" s="8">
        <f>IF(TRIM($G450)="","",IF(EXACT(TRIM($G450),TRIM($C450)),"✅ Đúng","❌ Sai"))</f>
        <v/>
      </c>
      <c r="I450" s="9">
        <f>HYPERLINK("https://translate.google.com/translate_tts?ie=UTF-8&amp;tl=zh-CN&amp;client=tw-ob&amp;q=一半","▶")</f>
        <v/>
      </c>
      <c r="J450" s="9">
        <f>HYPERLINK("https://youglish.com/pronounce/一半/chinese","🔍")</f>
        <v/>
      </c>
      <c r="K450" s="10" t="n"/>
      <c r="L450" s="11" t="n"/>
      <c r="M450" s="10" t="n"/>
      <c r="N450" s="11" t="n"/>
      <c r="O450" s="10" t="n"/>
      <c r="P450" s="11" t="n"/>
      <c r="Q450" s="10" t="n"/>
      <c r="R450" s="12" t="inlineStr">
        <is>
          <t>2026-06-17</t>
        </is>
      </c>
      <c r="S450" s="18" t="n"/>
      <c r="T450" s="21" t="inlineStr">
        <is>
          <t>一 [NHẤT] · số một, thứ nhất, toàn bộ
    ↳ Chiết tự: một nét ngang 一 (nhất) — chữ chỉ sự, vạch một gạch là số 1
半 [BÁN] · một nửa, phân nửa
    ↳ Chiết tự: bộ 八 (bát – chia) + 牛 (ngưu – con trâu) — xẻ đôi con trâu</t>
        </is>
      </c>
      <c r="U450" s="22" t="inlineStr">
        <is>
          <t>🔢 Số đếm &amp; Lượng từ</t>
        </is>
      </c>
      <c r="V450" s="63" t="inlineStr">
        <is>
          <t>这些钱一半是我的。</t>
        </is>
      </c>
      <c r="W450" s="64" t="inlineStr">
        <is>
          <t>Zhèxiē qián yíbàn shì wǒ de.
Số tiền này một nửa là của tôi.</t>
        </is>
      </c>
    </row>
    <row r="451" hidden="1" ht="104.65" customHeight="1" s="99">
      <c r="A451" s="2" t="n">
        <v>424</v>
      </c>
      <c r="B451" s="3" t="inlineStr">
        <is>
          <t>HSK1</t>
        </is>
      </c>
      <c r="C451" s="4" t="inlineStr">
        <is>
          <t>一下儿</t>
        </is>
      </c>
      <c r="D451" s="5" t="inlineStr">
        <is>
          <t>yíxiàr</t>
        </is>
      </c>
      <c r="E451" s="6" t="inlineStr">
        <is>
          <t>một lát</t>
        </is>
      </c>
      <c r="F451" s="7" t="n"/>
      <c r="G451" s="13" t="inlineStr">
        <is>
          <t>一下儿</t>
        </is>
      </c>
      <c r="H451" s="8">
        <f>IF(TRIM($G451)="","",IF(EXACT(TRIM($G451),TRIM($C451)),"✅ Đúng","❌ Sai"))</f>
        <v/>
      </c>
      <c r="I451" s="9">
        <f>HYPERLINK("https://translate.google.com/translate_tts?ie=UTF-8&amp;tl=zh-CN&amp;client=tw-ob&amp;q=一下儿","▶")</f>
        <v/>
      </c>
      <c r="J451" s="9">
        <f>HYPERLINK("https://youglish.com/pronounce/一下儿/chinese","🔍")</f>
        <v/>
      </c>
      <c r="K451" s="10" t="n"/>
      <c r="L451" s="11" t="n"/>
      <c r="M451" s="10" t="n"/>
      <c r="N451" s="11" t="n"/>
      <c r="O451" s="10" t="n"/>
      <c r="P451" s="11" t="n"/>
      <c r="Q451" s="10" t="n"/>
      <c r="R451" s="12" t="inlineStr">
        <is>
          <t>2026-06-17</t>
        </is>
      </c>
      <c r="S451" s="17" t="n"/>
      <c r="T451" s="21" t="inlineStr">
        <is>
          <t>一 [NHẤT] · số một, thứ nhất, toàn bộ
    ↳ Chiết tự: một nét ngang 一 (nhất) — chữ chỉ sự, vạch một gạch là số 1
下 [HẠ] · ở dưới, xuống, kém hơn
    ↳ Chiết tự: bộ 一 (nhất – mặt đất) + vạch chỉ hướng xuống — chữ chỉ sự
儿 [NHI] · trẻ con; hậu tố danh từ
    ↳ Chiết tự: giản thể của 兒: bộ 儿 (nhân đi – hai chân người) — hình trẻ thóp đầu chưa liền</t>
        </is>
      </c>
      <c r="U451" s="22" t="inlineStr">
        <is>
          <t>🔢 Số đếm &amp; Lượng từ</t>
        </is>
      </c>
      <c r="V451" s="63" t="inlineStr">
        <is>
          <t>请等一下儿。</t>
        </is>
      </c>
      <c r="W451" s="64" t="inlineStr">
        <is>
          <t>Qǐng děng yíxiàr.
Xin đợi một chút.</t>
        </is>
      </c>
    </row>
    <row r="452" hidden="1" ht="104.65" customHeight="1" s="99">
      <c r="A452" s="2" t="n">
        <v>427</v>
      </c>
      <c r="B452" s="25" t="inlineStr">
        <is>
          <t>HSK1+2</t>
        </is>
      </c>
      <c r="C452" s="4" t="inlineStr">
        <is>
          <t>一点儿</t>
        </is>
      </c>
      <c r="D452" s="5" t="inlineStr">
        <is>
          <t>yìdiǎnr</t>
        </is>
      </c>
      <c r="E452" s="6" t="inlineStr">
        <is>
          <t>một chút</t>
        </is>
      </c>
      <c r="F452" s="7" t="n"/>
      <c r="G452" s="13" t="inlineStr">
        <is>
          <t>一点儿</t>
        </is>
      </c>
      <c r="H452" s="8">
        <f>IF(TRIM($G452)="","",IF(EXACT(TRIM($G452),TRIM($C452)),"✅ Đúng","❌ Sai"))</f>
        <v/>
      </c>
      <c r="I452" s="9">
        <f>HYPERLINK("https://translate.google.com/translate_tts?ie=UTF-8&amp;tl=zh-CN&amp;client=tw-ob&amp;q=一点儿","▶")</f>
        <v/>
      </c>
      <c r="J452" s="9">
        <f>HYPERLINK("https://youglish.com/pronounce/一点儿/chinese","🔍")</f>
        <v/>
      </c>
      <c r="K452" s="10" t="n"/>
      <c r="L452" s="11" t="n"/>
      <c r="M452" s="10" t="n"/>
      <c r="N452" s="11" t="n"/>
      <c r="O452" s="10" t="n"/>
      <c r="P452" s="11" t="n"/>
      <c r="Q452" s="10" t="n"/>
      <c r="R452" s="12" t="inlineStr">
        <is>
          <t>2026-06-17</t>
        </is>
      </c>
      <c r="S452" s="18" t="n"/>
      <c r="T452" s="21" t="inlineStr">
        <is>
          <t>一 [NHẤT] · số một, thứ nhất, toàn bộ
    ↳ Chiết tự: một nét ngang 一 (nhất) — chữ chỉ sự, vạch một gạch là số 1
点 [ĐIỂM] · chấm, điểm; giờ; gọi món
    ↳ Chiết tự: giản thể của 點: bộ 灬 (hỏa – lửa) + 占 (chiếm – âm đọc) — chấm đen do lửa, đốm nhỏ
儿 [NHI] · trẻ con; hậu tố danh từ
    ↳ Chiết tự: giản thể của 兒: bộ 儿 (nhân đi – hai chân người) — hình trẻ thóp đầu chưa liền</t>
        </is>
      </c>
      <c r="U452" s="22" t="inlineStr">
        <is>
          <t>🔢 Số đếm &amp; Lượng từ</t>
        </is>
      </c>
      <c r="V452" s="63" t="inlineStr">
        <is>
          <t>我会说一点儿汉语。</t>
        </is>
      </c>
      <c r="W452" s="64" t="inlineStr">
        <is>
          <t>Wǒ huì shuō yìdiǎnr Hànyǔ.
Tôi biết nói một chút tiếng Hán.</t>
        </is>
      </c>
    </row>
    <row r="453" ht="58.15" customHeight="1" s="99">
      <c r="A453" s="2" t="n">
        <v>429</v>
      </c>
      <c r="B453" s="3" t="inlineStr">
        <is>
          <t>HSK1</t>
        </is>
      </c>
      <c r="C453" s="4" t="inlineStr">
        <is>
          <t>一些</t>
        </is>
      </c>
      <c r="D453" s="5" t="inlineStr">
        <is>
          <t>yìxiē</t>
        </is>
      </c>
      <c r="E453" s="6" t="inlineStr">
        <is>
          <t>một ít, một chút</t>
        </is>
      </c>
      <c r="F453" s="7" t="n"/>
      <c r="G453" s="7" t="n"/>
      <c r="H453" s="8">
        <f>IF(TRIM($G453)="","",IF(EXACT(TRIM($G453),TRIM($C453)),"✅ Đúng","❌ Sai"))</f>
        <v/>
      </c>
      <c r="I453" s="9">
        <f>HYPERLINK("https://translate.google.com/translate_tts?ie=UTF-8&amp;tl=zh-CN&amp;client=tw-ob&amp;q=一些","▶")</f>
        <v/>
      </c>
      <c r="J453" s="9">
        <f>HYPERLINK("https://youglish.com/pronounce/一些/chinese","🔍")</f>
        <v/>
      </c>
      <c r="K453" s="10" t="n"/>
      <c r="L453" s="11" t="n"/>
      <c r="M453" s="10" t="n"/>
      <c r="N453" s="11" t="n"/>
      <c r="O453" s="10" t="n"/>
      <c r="P453" s="11" t="n"/>
      <c r="Q453" s="10" t="n"/>
      <c r="R453" s="12" t="inlineStr">
        <is>
          <t>2026-06-17</t>
        </is>
      </c>
      <c r="S453" s="18" t="n"/>
      <c r="T453" s="21" t="inlineStr">
        <is>
          <t>一 [NHẤT] · số một, thứ nhất, toàn bộ
    ↳ Chiết tự: một nét ngang 一 (nhất) — chữ chỉ sự, vạch một gạch là số 1
些 [TA] · một ít, vài
    ↳ Chiết tự: bộ 此 (thử – cái này) + 二 (nhị) — một vài cái này</t>
        </is>
      </c>
      <c r="U453" s="22" t="inlineStr">
        <is>
          <t>🔢 Số đếm &amp; Lượng từ</t>
        </is>
      </c>
      <c r="V453" s="63" t="inlineStr">
        <is>
          <t>我买了一些水果。</t>
        </is>
      </c>
      <c r="W453" s="64" t="inlineStr">
        <is>
          <t>Wǒ mǎi le yìxiē shuǐguǒ.
Tôi mua một ít trái cây.</t>
        </is>
      </c>
    </row>
    <row r="454" hidden="1" ht="34.9" customHeight="1" s="99">
      <c r="A454" s="2" t="n">
        <v>440</v>
      </c>
      <c r="B454" s="60" t="inlineStr">
        <is>
          <t>HSK1+3</t>
        </is>
      </c>
      <c r="C454" s="4" t="inlineStr">
        <is>
          <t>元</t>
        </is>
      </c>
      <c r="D454" s="5" t="inlineStr">
        <is>
          <t>yuán</t>
        </is>
      </c>
      <c r="E454" s="6" t="inlineStr">
        <is>
          <t>đồng (tiền tệ)</t>
        </is>
      </c>
      <c r="F454" s="7" t="inlineStr">
        <is>
          <t>元</t>
        </is>
      </c>
      <c r="G454" s="13" t="inlineStr">
        <is>
          <t>元</t>
        </is>
      </c>
      <c r="H454" s="8">
        <f>IF(TRIM($G454)="","",IF(EXACT(TRIM($G454),TRIM($C454)),"✅ Đúng","❌ Sai"))</f>
        <v/>
      </c>
      <c r="I454" s="9">
        <f>HYPERLINK("https://translate.google.com/translate_tts?ie=UTF-8&amp;tl=zh-CN&amp;client=tw-ob&amp;q=元","▶")</f>
        <v/>
      </c>
      <c r="J454" s="9">
        <f>HYPERLINK("https://youglish.com/pronounce/元/chinese","🔍")</f>
        <v/>
      </c>
      <c r="K454" s="10" t="n"/>
      <c r="L454" s="11" t="n"/>
      <c r="M454" s="10" t="n"/>
      <c r="N454" s="11" t="n"/>
      <c r="O454" s="10" t="n"/>
      <c r="P454" s="11" t="n"/>
      <c r="Q454" s="10" t="n"/>
      <c r="R454" s="12" t="inlineStr">
        <is>
          <t>2026-06-17</t>
        </is>
      </c>
      <c r="S454" s="17" t="n"/>
      <c r="T454" s="21" t="inlineStr">
        <is>
          <t>元 [NGUYÊN] · đầu tiên, gốc; đồng (tiền)
    ↳ Chiết tự: bộ 二 (nhị) + 儿 (nhân đi – người) — cái đầu con người, nghĩa gốc là "khởi đầu"</t>
        </is>
      </c>
      <c r="U454" s="22" t="inlineStr">
        <is>
          <t>🔢 Số đếm &amp; Lượng từ</t>
        </is>
      </c>
      <c r="V454" s="63" t="inlineStr">
        <is>
          <t>这个二十元。</t>
        </is>
      </c>
      <c r="W454" s="64" t="inlineStr">
        <is>
          <t>Zhège èrshí yuán.
Cái này hai mươi đồng.</t>
        </is>
      </c>
    </row>
    <row r="455" ht="58.15" customHeight="1" s="99">
      <c r="A455" s="2" t="n">
        <v>458</v>
      </c>
      <c r="B455" s="3" t="inlineStr">
        <is>
          <t>HSK1</t>
        </is>
      </c>
      <c r="C455" s="4" t="inlineStr">
        <is>
          <t>这些</t>
        </is>
      </c>
      <c r="D455" s="5" t="inlineStr">
        <is>
          <t>zhèxiē</t>
        </is>
      </c>
      <c r="E455" s="6" t="inlineStr">
        <is>
          <t>những cái này</t>
        </is>
      </c>
      <c r="F455" s="7" t="n"/>
      <c r="G455" s="7" t="n"/>
      <c r="H455" s="8">
        <f>IF(TRIM($G455)="","",IF(EXACT(TRIM($G455),TRIM($C455)),"✅ Đúng","❌ Sai"))</f>
        <v/>
      </c>
      <c r="I455" s="9">
        <f>HYPERLINK("https://translate.google.com/translate_tts?ie=UTF-8&amp;tl=zh-CN&amp;client=tw-ob&amp;q=这些","▶")</f>
        <v/>
      </c>
      <c r="J455" s="9">
        <f>HYPERLINK("https://youglish.com/pronounce/这些/chinese","🔍")</f>
        <v/>
      </c>
      <c r="K455" s="10" t="n"/>
      <c r="L455" s="11" t="n"/>
      <c r="M455" s="10" t="n"/>
      <c r="N455" s="11" t="n"/>
      <c r="O455" s="10" t="n"/>
      <c r="P455" s="11" t="n"/>
      <c r="Q455" s="10" t="n"/>
      <c r="R455" s="12" t="inlineStr">
        <is>
          <t>2026-06-17</t>
        </is>
      </c>
      <c r="S455" s="17" t="n"/>
      <c r="T455" s="21" t="inlineStr">
        <is>
          <t>这 [GIÁ] · này, cái này
    ↳ Chiết tự: giản thể của 這: bộ 辶 (sước – bước đi) + 文 (văn) — chỉ vào cái ngay trước mặt
些 [TA] · một ít, vài
    ↳ Chiết tự: bộ 此 (thử – cái này) + 二 (nhị) — một vài cái này</t>
        </is>
      </c>
      <c r="U455" s="22" t="inlineStr">
        <is>
          <t>🔢 Số đếm &amp; Lượng từ</t>
        </is>
      </c>
      <c r="V455" s="63" t="inlineStr">
        <is>
          <t>这些人都是我的同事。</t>
        </is>
      </c>
      <c r="W455" s="64" t="inlineStr">
        <is>
          <t>Zhèxiē rén dōu shì wǒ de tóngshì.
Những người này đều là đồng nghiệp tôi.</t>
        </is>
      </c>
    </row>
    <row r="456" hidden="1" ht="34.9" customHeight="1" s="99">
      <c r="A456" s="2" t="n">
        <v>491</v>
      </c>
      <c r="B456" s="25" t="inlineStr">
        <is>
          <t>HSK1+2</t>
        </is>
      </c>
      <c r="C456" s="4" t="inlineStr">
        <is>
          <t>两</t>
        </is>
      </c>
      <c r="D456" s="5" t="inlineStr">
        <is>
          <t>liǎng</t>
        </is>
      </c>
      <c r="E456" s="6" t="inlineStr">
        <is>
          <t>hai (đếm)</t>
        </is>
      </c>
      <c r="F456" s="7" t="inlineStr">
        <is>
          <t>两</t>
        </is>
      </c>
      <c r="G456" s="13" t="inlineStr">
        <is>
          <t>两</t>
        </is>
      </c>
      <c r="H456" s="8">
        <f>IF(TRIM($G456)="","",IF(EXACT(TRIM($G456),TRIM($C456)),"✅ Đúng","❌ Sai"))</f>
        <v/>
      </c>
      <c r="I456" s="9">
        <f>HYPERLINK("https://translate.google.com/translate_tts?ie=UTF-8&amp;tl=zh-CN&amp;client=tw-ob&amp;q=两","▶")</f>
        <v/>
      </c>
      <c r="J456" s="9">
        <f>HYPERLINK("https://youglish.com/pronounce/两/chinese","🔍")</f>
        <v/>
      </c>
      <c r="K456" s="10" t="n"/>
      <c r="L456" s="11" t="n"/>
      <c r="M456" s="10" t="n"/>
      <c r="N456" s="11" t="n"/>
      <c r="O456" s="10" t="n"/>
      <c r="P456" s="11" t="n"/>
      <c r="Q456" s="10" t="n"/>
      <c r="R456" s="12" t="inlineStr">
        <is>
          <t>2026-06-17</t>
        </is>
      </c>
      <c r="S456" s="18" t="n"/>
      <c r="T456" s="21" t="inlineStr">
        <is>
          <t>两 [LƯỠNG] · hai, đôi, lượng "lạng"
    ↳ Chiết tự: bộ 一 (nhất) + 冂 (quynh – vùng bao) chứa hai chữ 入 (nhập) — hai phần cân nhau</t>
        </is>
      </c>
      <c r="U456" s="22" t="inlineStr">
        <is>
          <t>🔢 Số đếm &amp; Lượng từ</t>
        </is>
      </c>
      <c r="V456" s="63" t="inlineStr">
        <is>
          <t>我有两个孩子。</t>
        </is>
      </c>
      <c r="W456" s="64" t="inlineStr">
        <is>
          <t>Wǒ yǒu liǎng ge háizi.
Tôi có hai đứa con.</t>
        </is>
      </c>
    </row>
    <row r="457" ht="24" customHeight="1" s="99">
      <c r="A457" s="26" t="n">
        <v>509</v>
      </c>
      <c r="B457" s="79" t="inlineStr">
        <is>
          <t>HSK2</t>
        </is>
      </c>
      <c r="C457" s="80" t="inlineStr">
        <is>
          <t>些</t>
        </is>
      </c>
      <c r="D457" s="80" t="inlineStr">
        <is>
          <t>xiē</t>
        </is>
      </c>
      <c r="E457" s="80" t="inlineStr">
        <is>
          <t>một ít, vài</t>
        </is>
      </c>
      <c r="F457" s="26" t="n"/>
      <c r="G457" s="7" t="inlineStr">
        <is>
          <t>些</t>
        </is>
      </c>
      <c r="H457" s="8">
        <f>IF(TRIM($G457)="","",IF(EXACT(TRIM($G457),TRIM($C457)),"✅ Đúng","❌ Sai"))</f>
        <v/>
      </c>
      <c r="I457" s="52" t="inlineStr">
        <is>
          <t>▶</t>
        </is>
      </c>
      <c r="J457" s="52" t="inlineStr">
        <is>
          <t>🔍</t>
        </is>
      </c>
      <c r="K457" s="26" t="n"/>
      <c r="L457" s="26" t="n"/>
      <c r="M457" s="26" t="n"/>
      <c r="N457" s="26" t="n"/>
      <c r="O457" s="26" t="n"/>
      <c r="P457" s="26" t="n"/>
      <c r="Q457" s="26" t="n"/>
      <c r="R457" s="39" t="n">
        <v>46236</v>
      </c>
      <c r="S457" s="41" t="n"/>
      <c r="T457" s="47" t="inlineStr">
        <is>
          <t>些 [TA] · một ít, vài
    ↳ Chiết tự: bộ 此 (thử – cái này) + 二 (nhị) — một vài cái này</t>
        </is>
      </c>
      <c r="U457" s="44" t="inlineStr">
        <is>
          <t>🔢 Số đếm &amp; Lượng từ</t>
        </is>
      </c>
      <c r="V457" s="63" t="inlineStr">
        <is>
          <t>我想买些水果。</t>
        </is>
      </c>
      <c r="W457" s="64" t="inlineStr">
        <is>
          <t>Wǒ xiǎng mǎi xiē shuǐguǒ.
Tôi muốn mua ít trái cây.</t>
        </is>
      </c>
    </row>
    <row r="458" hidden="1" ht="70.5" customHeight="1" s="99">
      <c r="A458" s="26" t="n">
        <v>519</v>
      </c>
      <c r="B458" s="79" t="inlineStr">
        <is>
          <t>HSK2</t>
        </is>
      </c>
      <c r="C458" s="80" t="inlineStr">
        <is>
          <t>第一</t>
        </is>
      </c>
      <c r="D458" s="80" t="inlineStr">
        <is>
          <t>dì-yī</t>
        </is>
      </c>
      <c r="E458" s="80" t="inlineStr">
        <is>
          <t>thứ nhất</t>
        </is>
      </c>
      <c r="F458" s="26" t="n"/>
      <c r="G458" s="13" t="inlineStr">
        <is>
          <t>第一</t>
        </is>
      </c>
      <c r="H458" s="8">
        <f>IF(TRIM($G458)="","",IF(EXACT(TRIM($G458),TRIM($C458)),"✅ Đúng","❌ Sai"))</f>
        <v/>
      </c>
      <c r="I458" s="52" t="inlineStr">
        <is>
          <t>▶</t>
        </is>
      </c>
      <c r="J458" s="52" t="inlineStr">
        <is>
          <t>🔍</t>
        </is>
      </c>
      <c r="K458" s="26" t="n"/>
      <c r="L458" s="26" t="n"/>
      <c r="M458" s="26" t="n"/>
      <c r="N458" s="26" t="n"/>
      <c r="O458" s="26" t="n"/>
      <c r="P458" s="26" t="n"/>
      <c r="Q458" s="26" t="n"/>
      <c r="R458" s="39" t="n">
        <v>46236</v>
      </c>
      <c r="S458" s="41" t="n"/>
      <c r="T458" s="47" t="inlineStr">
        <is>
          <t>第 [ĐỆ] · thứ (số thứ tự)
    ↳ Chiết tự: bộ 竹 (trúc – tre) + 弟 (đệ – âm đọc) — thẻ tre đánh số theo thứ tự
一 [NHẤT] · số một, thứ nhất, toàn bộ
    ↳ Chiết tự: một nét ngang 一 (nhất) — chữ chỉ sự, vạch một gạch là số 1</t>
        </is>
      </c>
      <c r="U458" s="44" t="inlineStr">
        <is>
          <t>🔢 Số đếm &amp; Lượng từ</t>
        </is>
      </c>
      <c r="V458" s="63" t="inlineStr">
        <is>
          <t>他是第一名。</t>
        </is>
      </c>
      <c r="W458" s="64" t="inlineStr">
        <is>
          <t>Tā shì dì-yī míng.
Anh ấy là người đứng thứ nhất.</t>
        </is>
      </c>
    </row>
    <row r="459" ht="35.65" customHeight="1" s="99">
      <c r="A459" s="26" t="n">
        <v>527</v>
      </c>
      <c r="B459" s="79" t="inlineStr">
        <is>
          <t>HSK2</t>
        </is>
      </c>
      <c r="C459" s="80" t="inlineStr">
        <is>
          <t>件</t>
        </is>
      </c>
      <c r="D459" s="80" t="inlineStr">
        <is>
          <t>jiàn</t>
        </is>
      </c>
      <c r="E459" s="80" t="inlineStr">
        <is>
          <t>cái, chiếc (lượng từ)</t>
        </is>
      </c>
      <c r="F459" s="26" t="n"/>
      <c r="G459" s="7" t="n"/>
      <c r="H459" s="8">
        <f>IF(TRIM($G459)="","",IF(EXACT(TRIM($G459),TRIM($C459)),"✅ Đúng","❌ Sai"))</f>
        <v/>
      </c>
      <c r="I459" s="52" t="inlineStr">
        <is>
          <t>▶</t>
        </is>
      </c>
      <c r="J459" s="52" t="inlineStr">
        <is>
          <t>🔍</t>
        </is>
      </c>
      <c r="K459" s="26" t="n"/>
      <c r="L459" s="26" t="n"/>
      <c r="M459" s="26" t="n"/>
      <c r="N459" s="26" t="n"/>
      <c r="O459" s="26" t="n"/>
      <c r="P459" s="26" t="n"/>
      <c r="Q459" s="26" t="n"/>
      <c r="R459" s="39" t="n">
        <v>46236</v>
      </c>
      <c r="S459" s="41" t="n"/>
      <c r="T459" s="47" t="inlineStr">
        <is>
          <t>件 [KIỆN] · cái, chiếc (lượng từ vật/việc)
    ↳ Chiết tự: bộ 亻 (nhân đứng – người) + 牛 (ngưu – con trâu) — người xẻ trâu thành từng phần</t>
        </is>
      </c>
      <c r="U459" s="44" t="inlineStr">
        <is>
          <t>🔢 Số đếm &amp; Lượng từ</t>
        </is>
      </c>
      <c r="V459" s="63" t="inlineStr">
        <is>
          <t>我买了一件衣服。</t>
        </is>
      </c>
      <c r="W459" s="64" t="inlineStr">
        <is>
          <t>Wǒ mǎi le yí jiàn yīfu.
Tôi mua một bộ quần áo.</t>
        </is>
      </c>
    </row>
    <row r="460" ht="24" customHeight="1" s="99">
      <c r="A460" s="26" t="n">
        <v>539</v>
      </c>
      <c r="B460" s="79" t="inlineStr">
        <is>
          <t>HSK2</t>
        </is>
      </c>
      <c r="C460" s="80" t="inlineStr">
        <is>
          <t>千</t>
        </is>
      </c>
      <c r="D460" s="80" t="inlineStr">
        <is>
          <t>qiān</t>
        </is>
      </c>
      <c r="E460" s="80" t="inlineStr">
        <is>
          <t>nghìn</t>
        </is>
      </c>
      <c r="F460" s="26" t="n"/>
      <c r="G460" s="7" t="n"/>
      <c r="H460" s="8">
        <f>IF(TRIM($G460)="","",IF(EXACT(TRIM($G460),TRIM($C460)),"✅ Đúng","❌ Sai"))</f>
        <v/>
      </c>
      <c r="I460" s="52" t="inlineStr">
        <is>
          <t>▶</t>
        </is>
      </c>
      <c r="J460" s="52" t="inlineStr">
        <is>
          <t>🔍</t>
        </is>
      </c>
      <c r="K460" s="26" t="n"/>
      <c r="L460" s="26" t="n"/>
      <c r="M460" s="26" t="n"/>
      <c r="N460" s="26" t="n"/>
      <c r="O460" s="26" t="n"/>
      <c r="P460" s="26" t="n"/>
      <c r="Q460" s="26" t="n"/>
      <c r="R460" s="39" t="n">
        <v>46236</v>
      </c>
      <c r="S460" s="41" t="n"/>
      <c r="T460" s="47" t="inlineStr">
        <is>
          <t>千 [THIÊN] · một nghìn
    ↳ Chiết tự: bộ 十 (thập – mười) + 丿 (phiệt) — chữ chỉ số</t>
        </is>
      </c>
      <c r="U460" s="44" t="inlineStr">
        <is>
          <t>🔢 Số đếm &amp; Lượng từ</t>
        </is>
      </c>
      <c r="V460" s="63" t="inlineStr">
        <is>
          <t>这台电脑五千块。</t>
        </is>
      </c>
      <c r="W460" s="64" t="inlineStr">
        <is>
          <t>Zhè tái diànnǎo wǔ qiān kuài.
Cái máy tính này năm nghìn tệ.</t>
        </is>
      </c>
    </row>
    <row r="461" ht="70.5" customHeight="1" s="99">
      <c r="A461" s="26" t="n">
        <v>563</v>
      </c>
      <c r="B461" s="79" t="inlineStr">
        <is>
          <t>HSK2</t>
        </is>
      </c>
      <c r="C461" s="80" t="inlineStr">
        <is>
          <t>一下</t>
        </is>
      </c>
      <c r="D461" s="80" t="inlineStr">
        <is>
          <t>yíxià</t>
        </is>
      </c>
      <c r="E461" s="80" t="inlineStr">
        <is>
          <t>một chút, thử</t>
        </is>
      </c>
      <c r="F461" s="26" t="n"/>
      <c r="G461" s="7" t="n"/>
      <c r="H461" s="8">
        <f>IF(TRIM($G461)="","",IF(EXACT(TRIM($G461),TRIM($C461)),"✅ Đúng","❌ Sai"))</f>
        <v/>
      </c>
      <c r="I461" s="52" t="inlineStr">
        <is>
          <t>▶</t>
        </is>
      </c>
      <c r="J461" s="52" t="inlineStr">
        <is>
          <t>🔍</t>
        </is>
      </c>
      <c r="K461" s="26" t="n"/>
      <c r="L461" s="26" t="n"/>
      <c r="M461" s="26" t="n"/>
      <c r="N461" s="26" t="n"/>
      <c r="O461" s="26" t="n"/>
      <c r="P461" s="26" t="n"/>
      <c r="Q461" s="26" t="n"/>
      <c r="R461" s="39" t="n">
        <v>46236</v>
      </c>
      <c r="S461" s="41" t="n"/>
      <c r="T461" s="47" t="inlineStr">
        <is>
          <t>一 [NHẤT] · số một, thứ nhất, toàn bộ
    ↳ Chiết tự: một nét ngang 一 (nhất) — chữ chỉ sự, vạch một gạch là số 1
下 [HẠ] · ở dưới, xuống, kém hơn
    ↳ Chiết tự: bộ 一 (nhất – mặt đất) + vạch chỉ hướng xuống — chữ chỉ sự</t>
        </is>
      </c>
      <c r="U461" s="44" t="inlineStr">
        <is>
          <t>🔢 Số đếm &amp; Lượng từ</t>
        </is>
      </c>
      <c r="V461" s="63" t="inlineStr">
        <is>
          <t>请看一下这个。</t>
        </is>
      </c>
      <c r="W461" s="64" t="inlineStr">
        <is>
          <t>Qǐng kàn yíxià zhège.
Xin xem cái này một chút.</t>
        </is>
      </c>
    </row>
    <row r="462" ht="34.9" customHeight="1" s="99">
      <c r="A462" s="2" t="n">
        <v>247</v>
      </c>
      <c r="B462" s="25" t="inlineStr">
        <is>
          <t>HSK1+2</t>
        </is>
      </c>
      <c r="C462" s="4" t="inlineStr">
        <is>
          <t>哪</t>
        </is>
      </c>
      <c r="D462" s="5" t="inlineStr">
        <is>
          <t>nǎ</t>
        </is>
      </c>
      <c r="E462" s="6" t="inlineStr">
        <is>
          <t>nào</t>
        </is>
      </c>
      <c r="F462" s="7" t="n"/>
      <c r="G462" s="7" t="inlineStr">
        <is>
          <t>哪</t>
        </is>
      </c>
      <c r="H462" s="8">
        <f>IF(TRIM($G462)="","",IF(EXACT(TRIM($G462),TRIM($C462)),"✅ Đúng","❌ Sai"))</f>
        <v/>
      </c>
      <c r="I462" s="9">
        <f>HYPERLINK("https://translate.google.com/translate_tts?ie=UTF-8&amp;tl=zh-CN&amp;client=tw-ob&amp;q=哪","▶")</f>
        <v/>
      </c>
      <c r="J462" s="9">
        <f>HYPERLINK("https://youglish.com/pronounce/哪/chinese","🔍")</f>
        <v/>
      </c>
      <c r="K462" s="10" t="n"/>
      <c r="L462" s="11" t="n"/>
      <c r="M462" s="10" t="n"/>
      <c r="N462" s="11" t="n"/>
      <c r="O462" s="10" t="n"/>
      <c r="P462" s="11" t="n"/>
      <c r="Q462" s="10" t="n"/>
      <c r="R462" s="12" t="inlineStr">
        <is>
          <t>2026-06-17</t>
        </is>
      </c>
      <c r="S462" s="17" t="n"/>
      <c r="T462" s="21" t="inlineStr">
        <is>
          <t>哪 [NA] · nào, đâu (từ hỏi)
    ↳ Chiết tự: bộ 口 (khẩu – miệng) + 那 (na – kia) — miệng hỏi "cái nào"</t>
        </is>
      </c>
      <c r="U462" s="22" t="inlineStr">
        <is>
          <t>🗣️ Đại từ &amp; Nghi vấn</t>
        </is>
      </c>
      <c r="V462" s="63" t="inlineStr">
        <is>
          <t>你是哪国人？</t>
        </is>
      </c>
      <c r="W462" s="64" t="inlineStr">
        <is>
          <t>Nǐ shì nǎ guó rén?
Bạn là người nước nào?</t>
        </is>
      </c>
    </row>
    <row r="463" ht="69.75" customHeight="1" s="99">
      <c r="A463" s="2" t="n">
        <v>248</v>
      </c>
      <c r="B463" s="25" t="inlineStr">
        <is>
          <t>HSK1+2</t>
        </is>
      </c>
      <c r="C463" s="4" t="inlineStr">
        <is>
          <t>哪儿</t>
        </is>
      </c>
      <c r="D463" s="5" t="inlineStr">
        <is>
          <t>nǎr</t>
        </is>
      </c>
      <c r="E463" s="6" t="inlineStr">
        <is>
          <t>ở đâu</t>
        </is>
      </c>
      <c r="F463" s="7" t="n"/>
      <c r="G463" s="7" t="n"/>
      <c r="H463" s="8">
        <f>IF(TRIM($G463)="","",IF(EXACT(TRIM($G463),TRIM($C463)),"✅ Đúng","❌ Sai"))</f>
        <v/>
      </c>
      <c r="I463" s="9">
        <f>HYPERLINK("https://translate.google.com/translate_tts?ie=UTF-8&amp;tl=zh-CN&amp;client=tw-ob&amp;q=哪儿","▶")</f>
        <v/>
      </c>
      <c r="J463" s="9">
        <f>HYPERLINK("https://youglish.com/pronounce/哪儿/chinese","🔍")</f>
        <v/>
      </c>
      <c r="K463" s="10" t="n"/>
      <c r="L463" s="11" t="n"/>
      <c r="M463" s="10" t="n"/>
      <c r="N463" s="11" t="n"/>
      <c r="O463" s="10" t="n"/>
      <c r="P463" s="11" t="n"/>
      <c r="Q463" s="10" t="n"/>
      <c r="R463" s="12" t="inlineStr">
        <is>
          <t>2026-06-17</t>
        </is>
      </c>
      <c r="S463" s="18" t="n"/>
      <c r="T463" s="21" t="inlineStr">
        <is>
          <t>哪 [NA] · nào, đâu (từ hỏi)
    ↳ Chiết tự: bộ 口 (khẩu – miệng) + 那 (na – kia) — miệng hỏi "cái nào"
儿 [NHI] · trẻ con; hậu tố danh từ
    ↳ Chiết tự: giản thể của 兒: bộ 儿 (nhân đi – hai chân người) — hình trẻ thóp đầu chưa liền</t>
        </is>
      </c>
      <c r="U463" s="22" t="inlineStr">
        <is>
          <t>🗣️ Đại từ &amp; Nghi vấn</t>
        </is>
      </c>
      <c r="V463" s="63" t="inlineStr">
        <is>
          <t>你去哪儿？</t>
        </is>
      </c>
      <c r="W463" s="64" t="inlineStr">
        <is>
          <t>Nǐ qù nǎr?
Bạn đi đâu?</t>
        </is>
      </c>
    </row>
    <row r="464" ht="23.25" customHeight="1" s="99">
      <c r="A464" s="2" t="n">
        <v>249</v>
      </c>
      <c r="B464" s="25" t="inlineStr">
        <is>
          <t>HSK1+2</t>
        </is>
      </c>
      <c r="C464" s="4" t="inlineStr">
        <is>
          <t>那</t>
        </is>
      </c>
      <c r="D464" s="5" t="inlineStr">
        <is>
          <t>nà</t>
        </is>
      </c>
      <c r="E464" s="6" t="inlineStr">
        <is>
          <t>kia, đó</t>
        </is>
      </c>
      <c r="F464" s="7" t="n"/>
      <c r="G464" s="7" t="inlineStr">
        <is>
          <t>那</t>
        </is>
      </c>
      <c r="H464" s="8">
        <f>IF(TRIM($G464)="","",IF(EXACT(TRIM($G464),TRIM($C464)),"✅ Đúng","❌ Sai"))</f>
        <v/>
      </c>
      <c r="I464" s="9">
        <f>HYPERLINK("https://translate.google.com/translate_tts?ie=UTF-8&amp;tl=zh-CN&amp;client=tw-ob&amp;q=那","▶")</f>
        <v/>
      </c>
      <c r="J464" s="9">
        <f>HYPERLINK("https://youglish.com/pronounce/那/chinese","🔍")</f>
        <v/>
      </c>
      <c r="K464" s="10" t="n"/>
      <c r="L464" s="11" t="n"/>
      <c r="M464" s="10" t="n"/>
      <c r="N464" s="11" t="n"/>
      <c r="O464" s="10" t="n"/>
      <c r="P464" s="11" t="n"/>
      <c r="Q464" s="10" t="n"/>
      <c r="R464" s="12" t="inlineStr">
        <is>
          <t>2026-06-17</t>
        </is>
      </c>
      <c r="S464" s="17" t="n"/>
      <c r="T464" s="21" t="inlineStr">
        <is>
          <t>那 [NA] · kia, đó
    ↳ Chiết tự: bộ 阝 (ấp – vùng đất) + 冄 — chỉ vùng đất xa kia</t>
        </is>
      </c>
      <c r="U464" s="22" t="inlineStr">
        <is>
          <t>🗣️ Đại từ &amp; Nghi vấn</t>
        </is>
      </c>
      <c r="V464" s="63" t="inlineStr">
        <is>
          <t>那是我的书。</t>
        </is>
      </c>
      <c r="W464" s="64" t="inlineStr">
        <is>
          <t>Nà shì wǒ de shū.
Kia là sách của tôi.</t>
        </is>
      </c>
    </row>
    <row r="465" ht="58.15" customHeight="1" s="99">
      <c r="A465" s="2" t="n">
        <v>250</v>
      </c>
      <c r="B465" s="3" t="inlineStr">
        <is>
          <t>HSK1</t>
        </is>
      </c>
      <c r="C465" s="4" t="inlineStr">
        <is>
          <t>那边</t>
        </is>
      </c>
      <c r="D465" s="5" t="inlineStr">
        <is>
          <t>nàbiān</t>
        </is>
      </c>
      <c r="E465" s="6" t="inlineStr">
        <is>
          <t>bên kia</t>
        </is>
      </c>
      <c r="F465" s="13" t="inlineStr">
        <is>
          <t>那边</t>
        </is>
      </c>
      <c r="G465" s="7" t="inlineStr">
        <is>
          <t>那边</t>
        </is>
      </c>
      <c r="H465" s="8">
        <f>IF(TRIM($G465)="","",IF(EXACT(TRIM($G465),TRIM($C465)),"✅ Đúng","❌ Sai"))</f>
        <v/>
      </c>
      <c r="I465" s="9">
        <f>HYPERLINK("https://translate.google.com/translate_tts?ie=UTF-8&amp;tl=zh-CN&amp;client=tw-ob&amp;q=那边","▶")</f>
        <v/>
      </c>
      <c r="J465" s="9">
        <f>HYPERLINK("https://youglish.com/pronounce/那边/chinese","🔍")</f>
        <v/>
      </c>
      <c r="K465" s="10" t="n"/>
      <c r="L465" s="11" t="n"/>
      <c r="M465" s="10" t="n"/>
      <c r="N465" s="11" t="n"/>
      <c r="O465" s="10" t="n"/>
      <c r="P465" s="11" t="n"/>
      <c r="Q465" s="10" t="n"/>
      <c r="R465" s="12" t="inlineStr">
        <is>
          <t>2026-06-17</t>
        </is>
      </c>
      <c r="S465" s="18" t="n"/>
      <c r="T465" s="21" t="inlineStr">
        <is>
          <t>那 [NA] · kia, đó
    ↳ Chiết tự: bộ 阝 (ấp – vùng đất) + 冄 — chỉ vùng đất xa kia
边 [BIÊN] · bên cạnh, biên giới, rìa
    ↳ Chiết tự: giản thể của 邊: bộ 辶 (sước – bước đi) + 力 — phần rìa nơi bước chân dừng</t>
        </is>
      </c>
      <c r="U465" s="22" t="inlineStr">
        <is>
          <t>🗣️ Đại từ &amp; Nghi vấn</t>
        </is>
      </c>
      <c r="V465" s="63" t="inlineStr">
        <is>
          <t>他在那边等你。</t>
        </is>
      </c>
      <c r="W465" s="64" t="inlineStr">
        <is>
          <t>Tā zài nàbian děng nǐ.
Anh ấy đợi bạn ở bên kia.</t>
        </is>
      </c>
    </row>
    <row r="466" ht="58.15" customHeight="1" s="99">
      <c r="A466" s="2" t="n">
        <v>251</v>
      </c>
      <c r="B466" s="3" t="inlineStr">
        <is>
          <t>HSK1</t>
        </is>
      </c>
      <c r="C466" s="4" t="inlineStr">
        <is>
          <t>那儿</t>
        </is>
      </c>
      <c r="D466" s="5" t="inlineStr">
        <is>
          <t>nàr</t>
        </is>
      </c>
      <c r="E466" s="6" t="inlineStr">
        <is>
          <t>chỗ đó</t>
        </is>
      </c>
      <c r="F466" s="7" t="n"/>
      <c r="G466" s="7" t="n"/>
      <c r="H466" s="8">
        <f>IF(TRIM($G466)="","",IF(EXACT(TRIM($G466),TRIM($C466)),"✅ Đúng","❌ Sai"))</f>
        <v/>
      </c>
      <c r="I466" s="9">
        <f>HYPERLINK("https://translate.google.com/translate_tts?ie=UTF-8&amp;tl=zh-CN&amp;client=tw-ob&amp;q=那儿","▶")</f>
        <v/>
      </c>
      <c r="J466" s="9">
        <f>HYPERLINK("https://youglish.com/pronounce/那儿/chinese","🔍")</f>
        <v/>
      </c>
      <c r="K466" s="10" t="n"/>
      <c r="L466" s="11" t="n"/>
      <c r="M466" s="10" t="n"/>
      <c r="N466" s="11" t="n"/>
      <c r="O466" s="10" t="n"/>
      <c r="P466" s="11" t="n"/>
      <c r="Q466" s="10" t="n"/>
      <c r="R466" s="12" t="inlineStr">
        <is>
          <t>2026-06-17</t>
        </is>
      </c>
      <c r="S466" s="17" t="n"/>
      <c r="T466" s="21" t="inlineStr">
        <is>
          <t>那 [NA] · kia, đó
    ↳ Chiết tự: bộ 阝 (ấp – vùng đất) + 冄 — chỉ vùng đất xa kia
儿 [NHI] · trẻ con; hậu tố danh từ
    ↳ Chiết tự: giản thể của 兒: bộ 儿 (nhân đi – hai chân người) — hình trẻ thóp đầu chưa liền</t>
        </is>
      </c>
      <c r="U466" s="22" t="inlineStr">
        <is>
          <t>🗣️ Đại từ &amp; Nghi vấn</t>
        </is>
      </c>
      <c r="V466" s="63" t="inlineStr">
        <is>
          <t>我在那儿等你。</t>
        </is>
      </c>
      <c r="W466" s="64" t="inlineStr">
        <is>
          <t>Wǒ zài nàr děng nǐ.
Tôi đợi bạn ở đó.</t>
        </is>
      </c>
    </row>
    <row r="467" hidden="1" ht="58.15" customHeight="1" s="99">
      <c r="A467" s="2" t="n">
        <v>252</v>
      </c>
      <c r="B467" s="3" t="inlineStr">
        <is>
          <t>HSK1</t>
        </is>
      </c>
      <c r="C467" s="4" t="inlineStr">
        <is>
          <t>那里</t>
        </is>
      </c>
      <c r="D467" s="5" t="inlineStr">
        <is>
          <t>nàlǐ</t>
        </is>
      </c>
      <c r="E467" s="6" t="inlineStr">
        <is>
          <t>nơi đó</t>
        </is>
      </c>
      <c r="F467" s="7" t="n"/>
      <c r="G467" s="13" t="inlineStr">
        <is>
          <t>那里</t>
        </is>
      </c>
      <c r="H467" s="8">
        <f>IF(TRIM($G467)="","",IF(EXACT(TRIM($G467),TRIM($C467)),"✅ Đúng","❌ Sai"))</f>
        <v/>
      </c>
      <c r="I467" s="9">
        <f>HYPERLINK("https://translate.google.com/translate_tts?ie=UTF-8&amp;tl=zh-CN&amp;client=tw-ob&amp;q=那里","▶")</f>
        <v/>
      </c>
      <c r="J467" s="9">
        <f>HYPERLINK("https://youglish.com/pronounce/那里/chinese","🔍")</f>
        <v/>
      </c>
      <c r="K467" s="10" t="n"/>
      <c r="L467" s="11" t="n"/>
      <c r="M467" s="10" t="n"/>
      <c r="N467" s="11" t="n"/>
      <c r="O467" s="10" t="n"/>
      <c r="P467" s="11" t="n"/>
      <c r="Q467" s="10" t="n"/>
      <c r="R467" s="12" t="inlineStr">
        <is>
          <t>2026-06-17</t>
        </is>
      </c>
      <c r="S467" s="18" t="n"/>
      <c r="T467" s="21" t="inlineStr">
        <is>
          <t>那 [NA] · kia, đó
    ↳ Chiết tự: bộ 阝 (ấp – vùng đất) + 冄 — chỉ vùng đất xa kia
里 [LÝ] · bên trong; dặm; làng
    ↳ Chiết tự: bộ 田 (điền – ruộng) + 土 (thổ – đất) — bên trong khu ruộng đất của làng</t>
        </is>
      </c>
      <c r="U467" s="22" t="inlineStr">
        <is>
          <t>🗣️ Đại từ &amp; Nghi vấn</t>
        </is>
      </c>
      <c r="V467" s="63" t="inlineStr">
        <is>
          <t>那里有一家书店。</t>
        </is>
      </c>
      <c r="W467" s="64" t="inlineStr">
        <is>
          <t>Nàli yǒu yì jiā shūdiàn.
Ở đó có một hiệu sách.</t>
        </is>
      </c>
    </row>
    <row r="468" hidden="1" ht="34.9" customHeight="1" s="99">
      <c r="A468" s="2" t="n">
        <v>260</v>
      </c>
      <c r="B468" s="25" t="inlineStr">
        <is>
          <t>HSK1+2</t>
        </is>
      </c>
      <c r="C468" s="4" t="inlineStr">
        <is>
          <t>你</t>
        </is>
      </c>
      <c r="D468" s="5" t="inlineStr">
        <is>
          <t>nǐ</t>
        </is>
      </c>
      <c r="E468" s="6" t="inlineStr">
        <is>
          <t>bạn</t>
        </is>
      </c>
      <c r="F468" s="13" t="inlineStr">
        <is>
          <t>你</t>
        </is>
      </c>
      <c r="G468" s="13" t="inlineStr">
        <is>
          <t>你</t>
        </is>
      </c>
      <c r="H468" s="8">
        <f>IF(TRIM($G468)="","",IF(EXACT(TRIM($G468),TRIM($C468)),"✅ Đúng","❌ Sai"))</f>
        <v/>
      </c>
      <c r="I468" s="9">
        <f>HYPERLINK("https://translate.google.com/translate_tts?ie=UTF-8&amp;tl=zh-CN&amp;client=tw-ob&amp;q=你","▶")</f>
        <v/>
      </c>
      <c r="J468" s="9">
        <f>HYPERLINK("https://youglish.com/pronounce/你/chinese","🔍")</f>
        <v/>
      </c>
      <c r="K468" s="10" t="n"/>
      <c r="L468" s="11" t="n"/>
      <c r="M468" s="10" t="n"/>
      <c r="N468" s="11" t="n"/>
      <c r="O468" s="10" t="n"/>
      <c r="P468" s="11" t="n"/>
      <c r="Q468" s="10" t="n"/>
      <c r="R468" s="12" t="inlineStr">
        <is>
          <t>2026-06-17</t>
        </is>
      </c>
      <c r="S468" s="18" t="n"/>
      <c r="T468" s="21" t="inlineStr">
        <is>
          <t>你 [NHĨ] · bạn, anh, chị (ngôi thứ hai)
    ↳ Chiết tự: bộ 亻 (nhân đứng – người) + 尔 (nhĩ – âm đọc) — người đối diện</t>
        </is>
      </c>
      <c r="U468" s="22" t="inlineStr">
        <is>
          <t>🗣️ Đại từ &amp; Nghi vấn</t>
        </is>
      </c>
      <c r="V468" s="63" t="inlineStr">
        <is>
          <t>你是学生吗？</t>
        </is>
      </c>
      <c r="W468" s="64" t="inlineStr">
        <is>
          <t>Nǐ shì xuésheng ma?
Bạn là học sinh phải không?</t>
        </is>
      </c>
    </row>
    <row r="469" hidden="1" ht="69.75" customHeight="1" s="99">
      <c r="A469" s="2" t="n">
        <v>262</v>
      </c>
      <c r="B469" s="3" t="inlineStr">
        <is>
          <t>HSK1</t>
        </is>
      </c>
      <c r="C469" s="4" t="inlineStr">
        <is>
          <t>你们</t>
        </is>
      </c>
      <c r="D469" s="5" t="inlineStr">
        <is>
          <t>nǐmen</t>
        </is>
      </c>
      <c r="E469" s="6" t="inlineStr">
        <is>
          <t>các bạn</t>
        </is>
      </c>
      <c r="F469" s="13" t="inlineStr">
        <is>
          <t>你们</t>
        </is>
      </c>
      <c r="G469" s="13" t="inlineStr">
        <is>
          <t>你们</t>
        </is>
      </c>
      <c r="H469" s="8">
        <f>IF(TRIM($G469)="","",IF(EXACT(TRIM($G469),TRIM($C469)),"✅ Đúng","❌ Sai"))</f>
        <v/>
      </c>
      <c r="I469" s="9">
        <f>HYPERLINK("https://translate.google.com/translate_tts?ie=UTF-8&amp;tl=zh-CN&amp;client=tw-ob&amp;q=你们","▶")</f>
        <v/>
      </c>
      <c r="J469" s="9">
        <f>HYPERLINK("https://youglish.com/pronounce/你们/chinese","🔍")</f>
        <v/>
      </c>
      <c r="K469" s="10" t="n"/>
      <c r="L469" s="11" t="n"/>
      <c r="M469" s="10" t="n"/>
      <c r="N469" s="11" t="n"/>
      <c r="O469" s="10" t="n"/>
      <c r="P469" s="11" t="n"/>
      <c r="Q469" s="10" t="n"/>
      <c r="R469" s="12" t="inlineStr">
        <is>
          <t>2026-06-17</t>
        </is>
      </c>
      <c r="S469" s="18" t="n"/>
      <c r="T469" s="21" t="inlineStr">
        <is>
          <t>你 [NHĨ] · bạn, anh, chị (ngôi thứ hai)
    ↳ Chiết tự: bộ 亻 (nhân đứng – người) + 尔 (nhĩ – âm đọc) — người đối diện
们 [MÔN] · hậu tố số nhiều (chúng, các)
    ↳ Chiết tự: giản thể của 們: bộ 亻 (nhân đứng – người) + 门 (môn – âm đọc) — một nhóm người</t>
        </is>
      </c>
      <c r="U469" s="22" t="inlineStr">
        <is>
          <t>🗣️ Đại từ &amp; Nghi vấn</t>
        </is>
      </c>
      <c r="V469" s="63" t="inlineStr">
        <is>
          <t>你们都来了吗？</t>
        </is>
      </c>
      <c r="W469" s="64" t="inlineStr">
        <is>
          <t>Nǐmen dōu lái le ma?
Các bạn đều đến rồi chứ?</t>
        </is>
      </c>
    </row>
    <row r="470" hidden="1" ht="34.9" customHeight="1" s="99">
      <c r="A470" s="2" t="n">
        <v>264</v>
      </c>
      <c r="B470" s="25" t="inlineStr">
        <is>
          <t>HSK1+2</t>
        </is>
      </c>
      <c r="C470" s="4" t="inlineStr">
        <is>
          <t>您</t>
        </is>
      </c>
      <c r="D470" s="5" t="inlineStr">
        <is>
          <t>nín</t>
        </is>
      </c>
      <c r="E470" s="6" t="inlineStr">
        <is>
          <t>ngài (kính trọng)</t>
        </is>
      </c>
      <c r="F470" s="7" t="n"/>
      <c r="G470" s="13" t="inlineStr">
        <is>
          <t>您</t>
        </is>
      </c>
      <c r="H470" s="8">
        <f>IF(TRIM($G470)="","",IF(EXACT(TRIM($G470),TRIM($C470)),"✅ Đúng","❌ Sai"))</f>
        <v/>
      </c>
      <c r="I470" s="9">
        <f>HYPERLINK("https://translate.google.com/translate_tts?ie=UTF-8&amp;tl=zh-CN&amp;client=tw-ob&amp;q=您","▶")</f>
        <v/>
      </c>
      <c r="J470" s="9">
        <f>HYPERLINK("https://youglish.com/pronounce/您/chinese","🔍")</f>
        <v/>
      </c>
      <c r="K470" s="10" t="n"/>
      <c r="L470" s="11" t="n"/>
      <c r="M470" s="10" t="n"/>
      <c r="N470" s="11" t="n"/>
      <c r="O470" s="10" t="n"/>
      <c r="P470" s="11" t="n"/>
      <c r="Q470" s="10" t="n"/>
      <c r="R470" s="12" t="inlineStr">
        <is>
          <t>2026-06-17</t>
        </is>
      </c>
      <c r="S470" s="18" t="n"/>
      <c r="T470" s="21" t="inlineStr">
        <is>
          <t>您 [NÍNH] · ngài, ông/bà (kính ngữ)
    ↳ Chiết tự: bộ 你 (nhĩ – bạn) + 心 (tâm – trái tim) — gọi "bạn" bằng cả tấm lòng</t>
        </is>
      </c>
      <c r="U470" s="22" t="inlineStr">
        <is>
          <t>🗣️ Đại từ &amp; Nghi vấn</t>
        </is>
      </c>
      <c r="V470" s="63" t="inlineStr">
        <is>
          <t>您请坐。</t>
        </is>
      </c>
      <c r="W470" s="64" t="inlineStr">
        <is>
          <t>Nín qǐng zuò.
Xin ngài ngồi.</t>
        </is>
      </c>
    </row>
    <row r="471" hidden="1" ht="34.9" customHeight="1" s="99">
      <c r="A471" s="2" t="n">
        <v>315</v>
      </c>
      <c r="B471" s="25" t="inlineStr">
        <is>
          <t>HSK1+2</t>
        </is>
      </c>
      <c r="C471" s="4" t="inlineStr">
        <is>
          <t>谁</t>
        </is>
      </c>
      <c r="D471" s="5" t="inlineStr">
        <is>
          <t>shéi</t>
        </is>
      </c>
      <c r="E471" s="6" t="inlineStr">
        <is>
          <t>ai</t>
        </is>
      </c>
      <c r="F471" s="13" t="inlineStr">
        <is>
          <t>谁</t>
        </is>
      </c>
      <c r="G471" s="13" t="inlineStr">
        <is>
          <t>谁</t>
        </is>
      </c>
      <c r="H471" s="8">
        <f>IF(TRIM($G471)="","",IF(EXACT(TRIM($G471),TRIM($C471)),"✅ Đúng","❌ Sai"))</f>
        <v/>
      </c>
      <c r="I471" s="9">
        <f>HYPERLINK("https://translate.google.com/translate_tts?ie=UTF-8&amp;tl=zh-CN&amp;client=tw-ob&amp;q=谁","▶")</f>
        <v/>
      </c>
      <c r="J471" s="9">
        <f>HYPERLINK("https://youglish.com/pronounce/谁/chinese","🔍")</f>
        <v/>
      </c>
      <c r="K471" s="10" t="n"/>
      <c r="L471" s="11" t="n"/>
      <c r="M471" s="10" t="n"/>
      <c r="N471" s="11" t="n"/>
      <c r="O471" s="10" t="n"/>
      <c r="P471" s="11" t="n"/>
      <c r="Q471" s="10" t="n"/>
      <c r="R471" s="12" t="inlineStr">
        <is>
          <t>2026-06-17</t>
        </is>
      </c>
      <c r="S471" s="18" t="n"/>
      <c r="T471" s="21" t="inlineStr">
        <is>
          <t>谁 [THÙY] · ai
    ↳ Chiết tự: giản thể của 誰: bộ 讠 (ngôn – lời nói) + 隹 (chuy – con chim) — hỏi tiếng đó của ai</t>
        </is>
      </c>
      <c r="U471" s="22" t="inlineStr">
        <is>
          <t>🗣️ Đại từ &amp; Nghi vấn</t>
        </is>
      </c>
      <c r="V471" s="63" t="inlineStr">
        <is>
          <t>他是谁？</t>
        </is>
      </c>
      <c r="W471" s="64" t="inlineStr">
        <is>
          <t>Tā shì shéi?
Anh ấy là ai?</t>
        </is>
      </c>
    </row>
    <row r="472" hidden="1" ht="69.75" customHeight="1" s="99">
      <c r="A472" s="2" t="n">
        <v>318</v>
      </c>
      <c r="B472" s="25" t="inlineStr">
        <is>
          <t>HSK1+2</t>
        </is>
      </c>
      <c r="C472" s="4" t="inlineStr">
        <is>
          <t>什么</t>
        </is>
      </c>
      <c r="D472" s="5" t="inlineStr">
        <is>
          <t>shénme</t>
        </is>
      </c>
      <c r="E472" s="6" t="inlineStr">
        <is>
          <t>cái gì</t>
        </is>
      </c>
      <c r="F472" s="7" t="n"/>
      <c r="G472" s="13" t="inlineStr">
        <is>
          <t>什么</t>
        </is>
      </c>
      <c r="H472" s="8">
        <f>IF(TRIM($G472)="","",IF(EXACT(TRIM($G472),TRIM($C472)),"✅ Đúng","❌ Sai"))</f>
        <v/>
      </c>
      <c r="I472" s="9">
        <f>HYPERLINK("https://translate.google.com/translate_tts?ie=UTF-8&amp;tl=zh-CN&amp;client=tw-ob&amp;q=什么","▶")</f>
        <v/>
      </c>
      <c r="J472" s="9">
        <f>HYPERLINK("https://youglish.com/pronounce/什么/chinese","🔍")</f>
        <v/>
      </c>
      <c r="K472" s="10" t="n"/>
      <c r="L472" s="11" t="n"/>
      <c r="M472" s="10" t="n"/>
      <c r="N472" s="11" t="n"/>
      <c r="O472" s="10" t="n"/>
      <c r="P472" s="11" t="n"/>
      <c r="Q472" s="10" t="n"/>
      <c r="R472" s="12" t="inlineStr">
        <is>
          <t>2026-06-17</t>
        </is>
      </c>
      <c r="S472" s="17" t="n"/>
      <c r="T472" s="21" t="inlineStr">
        <is>
          <t>什 [THẬP / THẬM] · cái gì (ghép 什么)
    ↳ Chiết tự: bộ 亻 (nhân đứng – người) + 十 (thập – mười) — vốn nghĩa "mười nhà", mượn làm từ hỏi
么 [MA] · gì, nào (trợ từ nghi vấn)
    ↳ Chiết tự: bộ 丿 (phiệt) + 厶 (tư – riêng tư) — chữ mượn âm, ghép 什么 / 怎么</t>
        </is>
      </c>
      <c r="U472" s="22" t="inlineStr">
        <is>
          <t>🗣️ Đại từ &amp; Nghi vấn</t>
        </is>
      </c>
      <c r="V472" s="63" t="inlineStr">
        <is>
          <t>你在做什么？</t>
        </is>
      </c>
      <c r="W472" s="64" t="inlineStr">
        <is>
          <t>Nǐ zài zuò shénme?
Bạn đang làm gì?</t>
        </is>
      </c>
    </row>
    <row r="473" hidden="1" ht="104.65" customHeight="1" s="99">
      <c r="A473" s="2" t="n">
        <v>328</v>
      </c>
      <c r="B473" s="3" t="inlineStr">
        <is>
          <t>HSK1</t>
        </is>
      </c>
      <c r="C473" s="4" t="inlineStr">
        <is>
          <t>是不是</t>
        </is>
      </c>
      <c r="D473" s="5" t="inlineStr">
        <is>
          <t>shìbùshì</t>
        </is>
      </c>
      <c r="E473" s="6" t="inlineStr">
        <is>
          <t>có phải hay không</t>
        </is>
      </c>
      <c r="F473" s="7" t="n"/>
      <c r="G473" s="13" t="inlineStr">
        <is>
          <t>是不是</t>
        </is>
      </c>
      <c r="H473" s="8">
        <f>IF(TRIM($G473)="","",IF(EXACT(TRIM($G473),TRIM($C473)),"✅ Đúng","❌ Sai"))</f>
        <v/>
      </c>
      <c r="I473" s="9">
        <f>HYPERLINK("https://translate.google.com/translate_tts?ie=UTF-8&amp;tl=zh-CN&amp;client=tw-ob&amp;q=是不是","▶")</f>
        <v/>
      </c>
      <c r="J473" s="9">
        <f>HYPERLINK("https://youglish.com/pronounce/是不是/chinese","🔍")</f>
        <v/>
      </c>
      <c r="K473" s="10" t="n"/>
      <c r="L473" s="11" t="n"/>
      <c r="M473" s="10" t="n"/>
      <c r="N473" s="11" t="n"/>
      <c r="O473" s="10" t="n"/>
      <c r="P473" s="11" t="n"/>
      <c r="Q473" s="10" t="n"/>
      <c r="R473" s="12" t="inlineStr">
        <is>
          <t>2026-06-17</t>
        </is>
      </c>
      <c r="S473" s="17" t="n"/>
      <c r="T473" s="21" t="inlineStr">
        <is>
          <t>是 [THỊ] · là, đúng, phải
    ↳ Chiết tự: bộ 日 (nhật – mặt trời) + 正 (chính – ngay thẳng) — mặt trời đi đúng đường, không sai
不 [BẤT] · không, chẳng (phủ định)
    ↳ Chiết tự: bộ 一 (nhất – vòm trời) + 丿 (phiệt) — chim bay lên đụng trời, không qua được
是 [THỊ] · là, đúng, phải
    ↳ Chiết tự: bộ 日 (nhật – mặt trời) + 正 (chính – ngay thẳng) — mặt trời đi đúng đường, không sai</t>
        </is>
      </c>
      <c r="U473" s="22" t="inlineStr">
        <is>
          <t>🗣️ Đại từ &amp; Nghi vấn</t>
        </is>
      </c>
      <c r="V473" s="63" t="inlineStr">
        <is>
          <t>你是不是老师？</t>
        </is>
      </c>
      <c r="W473" s="64" t="inlineStr">
        <is>
          <t>Nǐ shì bu shì lǎoshī?
Bạn có phải giáo viên không?</t>
        </is>
      </c>
    </row>
    <row r="474" hidden="1" ht="34.9" customHeight="1" s="99">
      <c r="A474" s="2" t="n">
        <v>344</v>
      </c>
      <c r="B474" s="25" t="inlineStr">
        <is>
          <t>HSK1+2</t>
        </is>
      </c>
      <c r="C474" s="4" t="inlineStr">
        <is>
          <t>他</t>
        </is>
      </c>
      <c r="D474" s="5" t="inlineStr">
        <is>
          <t>tā</t>
        </is>
      </c>
      <c r="E474" s="6" t="inlineStr">
        <is>
          <t>anh ấy (nam)</t>
        </is>
      </c>
      <c r="F474" s="13" t="inlineStr">
        <is>
          <t>他</t>
        </is>
      </c>
      <c r="G474" s="13" t="inlineStr">
        <is>
          <t>他</t>
        </is>
      </c>
      <c r="H474" s="8">
        <f>IF(TRIM($G474)="","",IF(EXACT(TRIM($G474),TRIM($C474)),"✅ Đúng","❌ Sai"))</f>
        <v/>
      </c>
      <c r="I474" s="9">
        <f>HYPERLINK("https://translate.google.com/translate_tts?ie=UTF-8&amp;tl=zh-CN&amp;client=tw-ob&amp;q=他","▶")</f>
        <v/>
      </c>
      <c r="J474" s="9">
        <f>HYPERLINK("https://youglish.com/pronounce/他/chinese","🔍")</f>
        <v/>
      </c>
      <c r="K474" s="10" t="n"/>
      <c r="L474" s="11" t="n"/>
      <c r="M474" s="10" t="n"/>
      <c r="N474" s="11" t="n"/>
      <c r="O474" s="10" t="n"/>
      <c r="P474" s="11" t="n"/>
      <c r="Q474" s="10" t="n"/>
      <c r="R474" s="12" t="inlineStr">
        <is>
          <t>2026-06-17</t>
        </is>
      </c>
      <c r="S474" s="17" t="n"/>
      <c r="T474" s="21" t="inlineStr">
        <is>
          <t>他 [THA] · anh ấy, người khác
    ↳ Chiết tự: bộ 亻 (nhân đứng – người) + 也 (dã – âm đọc) — chỉ người thứ ba nam</t>
        </is>
      </c>
      <c r="U474" s="22" t="inlineStr">
        <is>
          <t>🗣️ Đại từ &amp; Nghi vấn</t>
        </is>
      </c>
      <c r="V474" s="63" t="inlineStr">
        <is>
          <t>他是我哥哥。</t>
        </is>
      </c>
      <c r="W474" s="64" t="inlineStr">
        <is>
          <t>Tā shì wǒ gēge.
Anh ấy là anh trai tôi.</t>
        </is>
      </c>
    </row>
    <row r="475" hidden="1" ht="69.75" customHeight="1" s="99">
      <c r="A475" s="2" t="n">
        <v>345</v>
      </c>
      <c r="B475" s="3" t="inlineStr">
        <is>
          <t>HSK1</t>
        </is>
      </c>
      <c r="C475" s="4" t="inlineStr">
        <is>
          <t>他们</t>
        </is>
      </c>
      <c r="D475" s="5" t="inlineStr">
        <is>
          <t>tāmen</t>
        </is>
      </c>
      <c r="E475" s="6" t="inlineStr">
        <is>
          <t>bọn họ (nam)</t>
        </is>
      </c>
      <c r="F475" s="13" t="inlineStr">
        <is>
          <t>他们</t>
        </is>
      </c>
      <c r="G475" s="13" t="inlineStr">
        <is>
          <t>他们</t>
        </is>
      </c>
      <c r="H475" s="8">
        <f>IF(TRIM($G475)="","",IF(EXACT(TRIM($G475),TRIM($C475)),"✅ Đúng","❌ Sai"))</f>
        <v/>
      </c>
      <c r="I475" s="9">
        <f>HYPERLINK("https://translate.google.com/translate_tts?ie=UTF-8&amp;tl=zh-CN&amp;client=tw-ob&amp;q=他们","▶")</f>
        <v/>
      </c>
      <c r="J475" s="9">
        <f>HYPERLINK("https://youglish.com/pronounce/他们/chinese","🔍")</f>
        <v/>
      </c>
      <c r="K475" s="10" t="n"/>
      <c r="L475" s="11" t="n"/>
      <c r="M475" s="10" t="n"/>
      <c r="N475" s="11" t="n"/>
      <c r="O475" s="10" t="n"/>
      <c r="P475" s="11" t="n"/>
      <c r="Q475" s="10" t="n"/>
      <c r="R475" s="12" t="inlineStr">
        <is>
          <t>2026-06-17</t>
        </is>
      </c>
      <c r="S475" s="18" t="n"/>
      <c r="T475" s="21" t="inlineStr">
        <is>
          <t>他 [THA] · anh ấy, người khác
    ↳ Chiết tự: bộ 亻 (nhân đứng – người) + 也 (dã – âm đọc) — chỉ người thứ ba nam
们 [MÔN] · hậu tố số nhiều (chúng, các)
    ↳ Chiết tự: giản thể của 們: bộ 亻 (nhân đứng – người) + 门 (môn – âm đọc) — một nhóm người</t>
        </is>
      </c>
      <c r="U475" s="22" t="inlineStr">
        <is>
          <t>🗣️ Đại từ &amp; Nghi vấn</t>
        </is>
      </c>
      <c r="V475" s="63" t="inlineStr">
        <is>
          <t>他们都是中国人。</t>
        </is>
      </c>
      <c r="W475" s="64" t="inlineStr">
        <is>
          <t>Tāmen dōu shì Zhōngguórén.
Họ đều là người Trung Quốc.</t>
        </is>
      </c>
    </row>
    <row r="476" hidden="1" ht="34.9" customHeight="1" s="99">
      <c r="A476" s="2" t="n">
        <v>346</v>
      </c>
      <c r="B476" s="25" t="inlineStr">
        <is>
          <t>HSK1+2</t>
        </is>
      </c>
      <c r="C476" s="4" t="inlineStr">
        <is>
          <t>她</t>
        </is>
      </c>
      <c r="D476" s="5" t="inlineStr">
        <is>
          <t>tā</t>
        </is>
      </c>
      <c r="E476" s="6" t="inlineStr">
        <is>
          <t>cô ấy (nữ)</t>
        </is>
      </c>
      <c r="F476" s="13" t="inlineStr">
        <is>
          <t>她</t>
        </is>
      </c>
      <c r="G476" s="13" t="inlineStr">
        <is>
          <t>她</t>
        </is>
      </c>
      <c r="H476" s="8">
        <f>IF(TRIM($G476)="","",IF(EXACT(TRIM($G476),TRIM($C476)),"✅ Đúng","❌ Sai"))</f>
        <v/>
      </c>
      <c r="I476" s="9">
        <f>HYPERLINK("https://translate.google.com/translate_tts?ie=UTF-8&amp;tl=zh-CN&amp;client=tw-ob&amp;q=她","▶")</f>
        <v/>
      </c>
      <c r="J476" s="9">
        <f>HYPERLINK("https://youglish.com/pronounce/她/chinese","🔍")</f>
        <v/>
      </c>
      <c r="K476" s="10" t="n"/>
      <c r="L476" s="11" t="n"/>
      <c r="M476" s="10" t="n"/>
      <c r="N476" s="11" t="n"/>
      <c r="O476" s="10" t="n"/>
      <c r="P476" s="11" t="n"/>
      <c r="Q476" s="10" t="n"/>
      <c r="R476" s="12" t="inlineStr">
        <is>
          <t>2026-06-17</t>
        </is>
      </c>
      <c r="S476" s="17" t="n"/>
      <c r="T476" s="21" t="inlineStr">
        <is>
          <t>她 [THA] · cô ấy, chị ấy
    ↳ Chiết tự: bộ 女 (nữ – phụ nữ) + 也 (dã – âm đọc) — ngôi thứ ba giống cái</t>
        </is>
      </c>
      <c r="U476" s="22" t="inlineStr">
        <is>
          <t>🗣️ Đại từ &amp; Nghi vấn</t>
        </is>
      </c>
      <c r="V476" s="63" t="inlineStr">
        <is>
          <t>她是我妹妹。</t>
        </is>
      </c>
      <c r="W476" s="64" t="inlineStr">
        <is>
          <t>Tā shì wǒ mèimei.
Cô ấy là em gái tôi.</t>
        </is>
      </c>
    </row>
    <row r="477" hidden="1" ht="69.75" customHeight="1" s="99">
      <c r="A477" s="2" t="n">
        <v>347</v>
      </c>
      <c r="B477" s="3" t="inlineStr">
        <is>
          <t>HSK1</t>
        </is>
      </c>
      <c r="C477" s="4" t="inlineStr">
        <is>
          <t>她们</t>
        </is>
      </c>
      <c r="D477" s="5" t="inlineStr">
        <is>
          <t>tāmen</t>
        </is>
      </c>
      <c r="E477" s="6" t="inlineStr">
        <is>
          <t>các cô ấy</t>
        </is>
      </c>
      <c r="F477" s="13" t="inlineStr">
        <is>
          <t>她们</t>
        </is>
      </c>
      <c r="G477" s="13" t="inlineStr">
        <is>
          <t>她们</t>
        </is>
      </c>
      <c r="H477" s="8">
        <f>IF(TRIM($G477)="","",IF(EXACT(TRIM($G477),TRIM($C477)),"✅ Đúng","❌ Sai"))</f>
        <v/>
      </c>
      <c r="I477" s="9">
        <f>HYPERLINK("https://translate.google.com/translate_tts?ie=UTF-8&amp;tl=zh-CN&amp;client=tw-ob&amp;q=她们","▶")</f>
        <v/>
      </c>
      <c r="J477" s="9">
        <f>HYPERLINK("https://youglish.com/pronounce/她们/chinese","🔍")</f>
        <v/>
      </c>
      <c r="K477" s="10" t="n"/>
      <c r="L477" s="11" t="n"/>
      <c r="M477" s="10" t="n"/>
      <c r="N477" s="11" t="n"/>
      <c r="O477" s="10" t="n"/>
      <c r="P477" s="11" t="n"/>
      <c r="Q477" s="10" t="n"/>
      <c r="R477" s="12" t="inlineStr">
        <is>
          <t>2026-06-17</t>
        </is>
      </c>
      <c r="S477" s="18" t="n"/>
      <c r="T477" s="21" t="inlineStr">
        <is>
          <t>她 [THA] · cô ấy, chị ấy
    ↳ Chiết tự: bộ 女 (nữ – phụ nữ) + 也 (dã – âm đọc) — ngôi thứ ba giống cái
们 [MÔN] · hậu tố số nhiều (chúng, các)
    ↳ Chiết tự: giản thể của 們: bộ 亻 (nhân đứng – người) + 门 (môn – âm đọc) — một nhóm người</t>
        </is>
      </c>
      <c r="U477" s="22" t="inlineStr">
        <is>
          <t>🗣️ Đại từ &amp; Nghi vấn</t>
        </is>
      </c>
      <c r="V477" s="63" t="inlineStr">
        <is>
          <t>她们在唱歌。</t>
        </is>
      </c>
      <c r="W477" s="64" t="inlineStr">
        <is>
          <t>Tāmen zài chànggē.
Các cô ấy đang hát.</t>
        </is>
      </c>
    </row>
    <row r="478" hidden="1" ht="34.9" customHeight="1" s="99">
      <c r="A478" s="2" t="n">
        <v>370</v>
      </c>
      <c r="B478" s="25" t="inlineStr">
        <is>
          <t>HSK1+2</t>
        </is>
      </c>
      <c r="C478" s="4" t="inlineStr">
        <is>
          <t>我</t>
        </is>
      </c>
      <c r="D478" s="5" t="inlineStr">
        <is>
          <t>wǒ</t>
        </is>
      </c>
      <c r="E478" s="6" t="inlineStr">
        <is>
          <t>tôi, tớ</t>
        </is>
      </c>
      <c r="F478" s="13" t="inlineStr">
        <is>
          <t>我</t>
        </is>
      </c>
      <c r="G478" s="13" t="inlineStr">
        <is>
          <t>我</t>
        </is>
      </c>
      <c r="H478" s="8">
        <f>IF(TRIM($G478)="","",IF(EXACT(TRIM($G478),TRIM($C478)),"✅ Đúng","❌ Sai"))</f>
        <v/>
      </c>
      <c r="I478" s="9">
        <f>HYPERLINK("https://translate.google.com/translate_tts?ie=UTF-8&amp;tl=zh-CN&amp;client=tw-ob&amp;q=我","▶")</f>
        <v/>
      </c>
      <c r="J478" s="9">
        <f>HYPERLINK("https://youglish.com/pronounce/我/chinese","🔍")</f>
        <v/>
      </c>
      <c r="K478" s="10" t="n"/>
      <c r="L478" s="11" t="n"/>
      <c r="M478" s="10" t="n"/>
      <c r="N478" s="11" t="n"/>
      <c r="O478" s="10" t="n"/>
      <c r="P478" s="11" t="n"/>
      <c r="Q478" s="10" t="n"/>
      <c r="R478" s="12" t="inlineStr">
        <is>
          <t>2026-06-17</t>
        </is>
      </c>
      <c r="S478" s="17" t="n"/>
      <c r="T478" s="21" t="inlineStr">
        <is>
          <t>我 [NGÃ] · tôi, ta
    ↳ Chiết tự: bộ 戈 (qua – ngọn giáo) + 手 — tay cầm binh khí giữ lấy mình</t>
        </is>
      </c>
      <c r="U478" s="22" t="inlineStr">
        <is>
          <t>🗣️ Đại từ &amp; Nghi vấn</t>
        </is>
      </c>
      <c r="V478" s="63" t="inlineStr">
        <is>
          <t>我是越南人。</t>
        </is>
      </c>
      <c r="W478" s="64" t="inlineStr">
        <is>
          <t>Wǒ shì Yuènánrén.
Tôi là người Việt Nam.</t>
        </is>
      </c>
    </row>
    <row r="479" hidden="1" ht="69.75" customHeight="1" s="99">
      <c r="A479" s="2" t="n">
        <v>371</v>
      </c>
      <c r="B479" s="25" t="inlineStr">
        <is>
          <t>HSK1+2</t>
        </is>
      </c>
      <c r="C479" s="4" t="inlineStr">
        <is>
          <t>我们</t>
        </is>
      </c>
      <c r="D479" s="5" t="inlineStr">
        <is>
          <t>wǒmen</t>
        </is>
      </c>
      <c r="E479" s="6" t="inlineStr">
        <is>
          <t>chúng ta</t>
        </is>
      </c>
      <c r="F479" s="13" t="inlineStr">
        <is>
          <t>我们</t>
        </is>
      </c>
      <c r="G479" s="13" t="inlineStr">
        <is>
          <t>我们</t>
        </is>
      </c>
      <c r="H479" s="8">
        <f>IF(TRIM($G479)="","",IF(EXACT(TRIM($G479),TRIM($C479)),"✅ Đúng","❌ Sai"))</f>
        <v/>
      </c>
      <c r="I479" s="9">
        <f>HYPERLINK("https://translate.google.com/translate_tts?ie=UTF-8&amp;tl=zh-CN&amp;client=tw-ob&amp;q=我们","▶")</f>
        <v/>
      </c>
      <c r="J479" s="9">
        <f>HYPERLINK("https://youglish.com/pronounce/我们/chinese","🔍")</f>
        <v/>
      </c>
      <c r="K479" s="10" t="n"/>
      <c r="L479" s="11" t="n"/>
      <c r="M479" s="10" t="n"/>
      <c r="N479" s="11" t="n"/>
      <c r="O479" s="10" t="n"/>
      <c r="P479" s="11" t="n"/>
      <c r="Q479" s="10" t="n"/>
      <c r="R479" s="12" t="inlineStr">
        <is>
          <t>2026-06-17</t>
        </is>
      </c>
      <c r="S479" s="18" t="n"/>
      <c r="T479" s="21" t="inlineStr">
        <is>
          <t>我 [NGÃ] · tôi, ta
    ↳ Chiết tự: bộ 戈 (qua – ngọn giáo) + 手 — tay cầm binh khí giữ lấy mình
们 [MÔN] · hậu tố số nhiều (chúng, các)
    ↳ Chiết tự: giản thể của 們: bộ 亻 (nhân đứng – người) + 门 (môn – âm đọc) — một nhóm người</t>
        </is>
      </c>
      <c r="U479" s="22" t="inlineStr">
        <is>
          <t>🗣️ Đại từ &amp; Nghi vấn</t>
        </is>
      </c>
      <c r="V479" s="63" t="inlineStr">
        <is>
          <t>我们是同学。</t>
        </is>
      </c>
      <c r="W479" s="64" t="inlineStr">
        <is>
          <t>Wǒmen shì tóngxué.
Chúng tôi là bạn học.</t>
        </is>
      </c>
    </row>
    <row r="480" hidden="1" ht="69.75" customHeight="1" s="99">
      <c r="A480" s="2" t="n">
        <v>450</v>
      </c>
      <c r="B480" s="25" t="inlineStr">
        <is>
          <t>HSK1+2</t>
        </is>
      </c>
      <c r="C480" s="4" t="inlineStr">
        <is>
          <t>怎么</t>
        </is>
      </c>
      <c r="D480" s="5" t="inlineStr">
        <is>
          <t>zěnme</t>
        </is>
      </c>
      <c r="E480" s="6" t="inlineStr">
        <is>
          <t>thế nào</t>
        </is>
      </c>
      <c r="F480" s="7" t="n"/>
      <c r="G480" s="13" t="inlineStr">
        <is>
          <t>怎么</t>
        </is>
      </c>
      <c r="H480" s="8">
        <f>IF(TRIM($G480)="","",IF(EXACT(TRIM($G480),TRIM($C480)),"✅ Đúng","❌ Sai"))</f>
        <v/>
      </c>
      <c r="I480" s="9">
        <f>HYPERLINK("https://translate.google.com/translate_tts?ie=UTF-8&amp;tl=zh-CN&amp;client=tw-ob&amp;q=怎么","▶")</f>
        <v/>
      </c>
      <c r="J480" s="9">
        <f>HYPERLINK("https://youglish.com/pronounce/怎么/chinese","🔍")</f>
        <v/>
      </c>
      <c r="K480" s="10" t="n"/>
      <c r="L480" s="11" t="n"/>
      <c r="M480" s="10" t="n"/>
      <c r="N480" s="11" t="n"/>
      <c r="O480" s="10" t="n"/>
      <c r="P480" s="11" t="n"/>
      <c r="Q480" s="10" t="n"/>
      <c r="R480" s="12" t="inlineStr">
        <is>
          <t>2026-06-17</t>
        </is>
      </c>
      <c r="S480" s="17" t="n"/>
      <c r="T480" s="21" t="inlineStr">
        <is>
          <t>怎 [TÁC] · làm sao, thế nào
    ↳ Chiết tự: bộ 乍 (sạ – âm đọc) + 心 (tâm – trái tim) — trong lòng thắc mắc
么 [MA] · gì, nào (trợ từ nghi vấn)
    ↳ Chiết tự: bộ 丿 (phiệt) + 厶 (tư – riêng tư) — chữ mượn âm, ghép 什么 / 怎么</t>
        </is>
      </c>
      <c r="U480" s="22" t="inlineStr">
        <is>
          <t>🗣️ Đại từ &amp; Nghi vấn</t>
        </is>
      </c>
      <c r="V480" s="63" t="inlineStr">
        <is>
          <t>这个字怎么写？</t>
        </is>
      </c>
      <c r="W480" s="64" t="inlineStr">
        <is>
          <t>Zhège zì zěnme xiě?
Chữ này viết thế nào?</t>
        </is>
      </c>
    </row>
    <row r="481" hidden="1" ht="34.9" customHeight="1" s="99">
      <c r="A481" s="2" t="n">
        <v>454</v>
      </c>
      <c r="B481" s="25" t="inlineStr">
        <is>
          <t>HSK1+2</t>
        </is>
      </c>
      <c r="C481" s="4" t="inlineStr">
        <is>
          <t>这</t>
        </is>
      </c>
      <c r="D481" s="5" t="inlineStr">
        <is>
          <t>zhè</t>
        </is>
      </c>
      <c r="E481" s="6" t="inlineStr">
        <is>
          <t>này, đây</t>
        </is>
      </c>
      <c r="F481" s="7" t="n"/>
      <c r="G481" s="13" t="inlineStr">
        <is>
          <t>这</t>
        </is>
      </c>
      <c r="H481" s="8">
        <f>IF(TRIM($G481)="","",IF(EXACT(TRIM($G481),TRIM($C481)),"✅ Đúng","❌ Sai"))</f>
        <v/>
      </c>
      <c r="I481" s="9">
        <f>HYPERLINK("https://translate.google.com/translate_tts?ie=UTF-8&amp;tl=zh-CN&amp;client=tw-ob&amp;q=这","▶")</f>
        <v/>
      </c>
      <c r="J481" s="9">
        <f>HYPERLINK("https://youglish.com/pronounce/这/chinese","🔍")</f>
        <v/>
      </c>
      <c r="K481" s="10" t="n"/>
      <c r="L481" s="11" t="n"/>
      <c r="M481" s="10" t="n"/>
      <c r="N481" s="11" t="n"/>
      <c r="O481" s="10" t="n"/>
      <c r="P481" s="11" t="n"/>
      <c r="Q481" s="10" t="n"/>
      <c r="R481" s="12" t="inlineStr">
        <is>
          <t>2026-06-17</t>
        </is>
      </c>
      <c r="S481" s="17" t="n"/>
      <c r="T481" s="21" t="inlineStr">
        <is>
          <t>这 [GIÁ] · này, cái này
    ↳ Chiết tự: giản thể của 這: bộ 辶 (sước – bước đi) + 文 (văn) — chỉ vào cái ngay trước mặt</t>
        </is>
      </c>
      <c r="U481" s="22" t="inlineStr">
        <is>
          <t>🗣️ Đại từ &amp; Nghi vấn</t>
        </is>
      </c>
      <c r="V481" s="63" t="inlineStr">
        <is>
          <t>这是我的电脑。</t>
        </is>
      </c>
      <c r="W481" s="64" t="inlineStr">
        <is>
          <t>Zhè shì wǒ de diànnǎo.
Đây là máy tính của tôi.</t>
        </is>
      </c>
    </row>
    <row r="482" hidden="1" ht="69.75" customHeight="1" s="99">
      <c r="A482" s="2" t="n">
        <v>455</v>
      </c>
      <c r="B482" s="3" t="inlineStr">
        <is>
          <t>HSK1</t>
        </is>
      </c>
      <c r="C482" s="4" t="inlineStr">
        <is>
          <t>这边</t>
        </is>
      </c>
      <c r="D482" s="5" t="inlineStr">
        <is>
          <t>zhèbiān</t>
        </is>
      </c>
      <c r="E482" s="6" t="inlineStr">
        <is>
          <t>bên này</t>
        </is>
      </c>
      <c r="F482" s="7" t="n"/>
      <c r="G482" s="13" t="inlineStr">
        <is>
          <t>这边</t>
        </is>
      </c>
      <c r="H482" s="8">
        <f>IF(TRIM($G482)="","",IF(EXACT(TRIM($G482),TRIM($C482)),"✅ Đúng","❌ Sai"))</f>
        <v/>
      </c>
      <c r="I482" s="9">
        <f>HYPERLINK("https://translate.google.com/translate_tts?ie=UTF-8&amp;tl=zh-CN&amp;client=tw-ob&amp;q=这边","▶")</f>
        <v/>
      </c>
      <c r="J482" s="9">
        <f>HYPERLINK("https://youglish.com/pronounce/这边/chinese","🔍")</f>
        <v/>
      </c>
      <c r="K482" s="10" t="n"/>
      <c r="L482" s="11" t="n"/>
      <c r="M482" s="10" t="n"/>
      <c r="N482" s="11" t="n"/>
      <c r="O482" s="10" t="n"/>
      <c r="P482" s="11" t="n"/>
      <c r="Q482" s="10" t="n"/>
      <c r="R482" s="12" t="inlineStr">
        <is>
          <t>2026-06-17</t>
        </is>
      </c>
      <c r="S482" s="18" t="n"/>
      <c r="T482" s="21" t="inlineStr">
        <is>
          <t>这 [GIÁ] · này, cái này
    ↳ Chiết tự: giản thể của 這: bộ 辶 (sước – bước đi) + 文 (văn) — chỉ vào cái ngay trước mặt
边 [BIÊN] · bên cạnh, biên giới, rìa
    ↳ Chiết tự: giản thể của 邊: bộ 辶 (sước – bước đi) + 力 — phần rìa nơi bước chân dừng</t>
        </is>
      </c>
      <c r="U482" s="22" t="inlineStr">
        <is>
          <t>🗣️ Đại từ &amp; Nghi vấn</t>
        </is>
      </c>
      <c r="V482" s="63" t="inlineStr">
        <is>
          <t>请到这边来。</t>
        </is>
      </c>
      <c r="W482" s="64" t="inlineStr">
        <is>
          <t>Qǐng dào zhèbian lái.
Xin lại đây.</t>
        </is>
      </c>
    </row>
    <row r="483" hidden="1" ht="69.75" customHeight="1" s="99">
      <c r="A483" s="2" t="n">
        <v>456</v>
      </c>
      <c r="B483" s="3" t="inlineStr">
        <is>
          <t>HSK1</t>
        </is>
      </c>
      <c r="C483" s="4" t="inlineStr">
        <is>
          <t>这里</t>
        </is>
      </c>
      <c r="D483" s="5" t="inlineStr">
        <is>
          <t>zhèlǐ</t>
        </is>
      </c>
      <c r="E483" s="6" t="inlineStr">
        <is>
          <t>nơi đây</t>
        </is>
      </c>
      <c r="F483" s="7" t="n"/>
      <c r="G483" s="13" t="inlineStr">
        <is>
          <t>这里</t>
        </is>
      </c>
      <c r="H483" s="8">
        <f>IF(TRIM($G483)="","",IF(EXACT(TRIM($G483),TRIM($C483)),"✅ Đúng","❌ Sai"))</f>
        <v/>
      </c>
      <c r="I483" s="9">
        <f>HYPERLINK("https://translate.google.com/translate_tts?ie=UTF-8&amp;tl=zh-CN&amp;client=tw-ob&amp;q=这里","▶")</f>
        <v/>
      </c>
      <c r="J483" s="9">
        <f>HYPERLINK("https://youglish.com/pronounce/这里/chinese","🔍")</f>
        <v/>
      </c>
      <c r="K483" s="10" t="n"/>
      <c r="L483" s="11" t="n"/>
      <c r="M483" s="10" t="n"/>
      <c r="N483" s="11" t="n"/>
      <c r="O483" s="10" t="n"/>
      <c r="P483" s="11" t="n"/>
      <c r="Q483" s="10" t="n"/>
      <c r="R483" s="12" t="inlineStr">
        <is>
          <t>2026-06-17</t>
        </is>
      </c>
      <c r="S483" s="17" t="n"/>
      <c r="T483" s="21" t="inlineStr">
        <is>
          <t>这 [GIÁ] · này, cái này
    ↳ Chiết tự: giản thể của 這: bộ 辶 (sước – bước đi) + 文 (văn) — chỉ vào cái ngay trước mặt
里 [LÝ] · bên trong; dặm; làng
    ↳ Chiết tự: bộ 田 (điền – ruộng) + 土 (thổ – đất) — bên trong khu ruộng đất của làng</t>
        </is>
      </c>
      <c r="U483" s="22" t="inlineStr">
        <is>
          <t>🗣️ Đại từ &amp; Nghi vấn</t>
        </is>
      </c>
      <c r="V483" s="63" t="inlineStr">
        <is>
          <t>这里很安静。</t>
        </is>
      </c>
      <c r="W483" s="64" t="inlineStr">
        <is>
          <t>Zhèli hěn ānjìng.
Ở đây rất yên tĩnh.</t>
        </is>
      </c>
    </row>
    <row r="484" hidden="1" ht="69.75" customHeight="1" s="99">
      <c r="A484" s="2" t="n">
        <v>457</v>
      </c>
      <c r="B484" s="3" t="inlineStr">
        <is>
          <t>HSK1</t>
        </is>
      </c>
      <c r="C484" s="4" t="inlineStr">
        <is>
          <t>这儿</t>
        </is>
      </c>
      <c r="D484" s="5" t="inlineStr">
        <is>
          <t>zhèr</t>
        </is>
      </c>
      <c r="E484" s="6" t="inlineStr">
        <is>
          <t>đây</t>
        </is>
      </c>
      <c r="F484" s="7" t="n"/>
      <c r="G484" s="13" t="inlineStr">
        <is>
          <t>这儿</t>
        </is>
      </c>
      <c r="H484" s="8">
        <f>IF(TRIM($G484)="","",IF(EXACT(TRIM($G484),TRIM($C484)),"✅ Đúng","❌ Sai"))</f>
        <v/>
      </c>
      <c r="I484" s="9">
        <f>HYPERLINK("https://translate.google.com/translate_tts?ie=UTF-8&amp;tl=zh-CN&amp;client=tw-ob&amp;q=这儿","▶")</f>
        <v/>
      </c>
      <c r="J484" s="9">
        <f>HYPERLINK("https://youglish.com/pronounce/这儿/chinese","🔍")</f>
        <v/>
      </c>
      <c r="K484" s="10" t="n"/>
      <c r="L484" s="11" t="n"/>
      <c r="M484" s="10" t="n"/>
      <c r="N484" s="11" t="n"/>
      <c r="O484" s="10" t="n"/>
      <c r="P484" s="11" t="n"/>
      <c r="Q484" s="10" t="n"/>
      <c r="R484" s="12" t="inlineStr">
        <is>
          <t>2026-06-17</t>
        </is>
      </c>
      <c r="S484" s="18" t="n"/>
      <c r="T484" s="21" t="inlineStr">
        <is>
          <t>这 [GIÁ] · này, cái này
    ↳ Chiết tự: giản thể của 這: bộ 辶 (sước – bước đi) + 文 (văn) — chỉ vào cái ngay trước mặt
儿 [NHI] · trẻ con; hậu tố danh từ
    ↳ Chiết tự: giản thể của 兒: bộ 儿 (nhân đi – hai chân người) — hình trẻ thóp đầu chưa liền</t>
        </is>
      </c>
      <c r="U484" s="22" t="inlineStr">
        <is>
          <t>🗣️ Đại từ &amp; Nghi vấn</t>
        </is>
      </c>
      <c r="V484" s="63" t="inlineStr">
        <is>
          <t>我住在这儿。</t>
        </is>
      </c>
      <c r="W484" s="64" t="inlineStr">
        <is>
          <t>Wǒ zhù zài zhèr.
Tôi sống ở đây.</t>
        </is>
      </c>
    </row>
    <row r="485" ht="105.4" customHeight="1" s="99">
      <c r="A485" s="26" t="n">
        <v>511</v>
      </c>
      <c r="B485" s="79" t="inlineStr">
        <is>
          <t>HSK2</t>
        </is>
      </c>
      <c r="C485" s="80" t="inlineStr">
        <is>
          <t>怎么样</t>
        </is>
      </c>
      <c r="D485" s="80" t="inlineStr">
        <is>
          <t>zěnmeyàng</t>
        </is>
      </c>
      <c r="E485" s="80" t="inlineStr">
        <is>
          <t>thế nào, ra sao</t>
        </is>
      </c>
      <c r="F485" s="26" t="n"/>
      <c r="G485" s="7" t="n"/>
      <c r="H485" s="8">
        <f>IF(TRIM($G485)="","",IF(EXACT(TRIM($G485),TRIM($C485)),"✅ Đúng","❌ Sai"))</f>
        <v/>
      </c>
      <c r="I485" s="52" t="inlineStr">
        <is>
          <t>▶</t>
        </is>
      </c>
      <c r="J485" s="52" t="inlineStr">
        <is>
          <t>🔍</t>
        </is>
      </c>
      <c r="K485" s="26" t="n"/>
      <c r="L485" s="26" t="n"/>
      <c r="M485" s="26" t="n"/>
      <c r="N485" s="26" t="n"/>
      <c r="O485" s="26" t="n"/>
      <c r="P485" s="26" t="n"/>
      <c r="Q485" s="26" t="n"/>
      <c r="R485" s="39" t="n">
        <v>46236</v>
      </c>
      <c r="S485" s="41" t="n"/>
      <c r="T485" s="47" t="inlineStr">
        <is>
          <t>怎 [TÁC] · làm sao, thế nào
    ↳ Chiết tự: bộ 乍 (sạ – âm đọc) + 心 (tâm – trái tim) — trong lòng thắc mắc
么 [MA] · gì, nào (trợ từ nghi vấn)
    ↳ Chiết tự: bộ 丿 (phiệt) + 厶 (tư – riêng tư) — chữ mượn âm, ghép 什么 / 怎么
样 [DẠNG] · kiểu dáng, mẫu mực
    ↳ Chiết tự: giản thể của 樣: bộ 木 (mộc – gỗ) + 羊 (dương – âm đọc) — khuôn mẫu bằng gỗ</t>
        </is>
      </c>
      <c r="U485" s="44" t="inlineStr">
        <is>
          <t>🗣️ Đại từ &amp; Nghi vấn</t>
        </is>
      </c>
      <c r="V485" s="63" t="inlineStr">
        <is>
          <t>这件衣服怎么样？</t>
        </is>
      </c>
      <c r="W485" s="64" t="inlineStr">
        <is>
          <t>Zhè jiàn yīfu zěnmeyàng?
Bộ quần áo này thế nào?</t>
        </is>
      </c>
    </row>
    <row r="486" ht="35.65" customHeight="1" s="99">
      <c r="A486" s="26" t="n">
        <v>546</v>
      </c>
      <c r="B486" s="79" t="inlineStr">
        <is>
          <t>HSK2</t>
        </is>
      </c>
      <c r="C486" s="80" t="inlineStr">
        <is>
          <t>它</t>
        </is>
      </c>
      <c r="D486" s="80" t="inlineStr">
        <is>
          <t>tā</t>
        </is>
      </c>
      <c r="E486" s="80" t="inlineStr">
        <is>
          <t>nó (đồ vật, con vật)</t>
        </is>
      </c>
      <c r="F486" s="26" t="n"/>
      <c r="G486" s="7" t="n"/>
      <c r="H486" s="8">
        <f>IF(TRIM($G486)="","",IF(EXACT(TRIM($G486),TRIM($C486)),"✅ Đúng","❌ Sai"))</f>
        <v/>
      </c>
      <c r="I486" s="52" t="inlineStr">
        <is>
          <t>▶</t>
        </is>
      </c>
      <c r="J486" s="52" t="inlineStr">
        <is>
          <t>🔍</t>
        </is>
      </c>
      <c r="K486" s="26" t="n"/>
      <c r="L486" s="26" t="n"/>
      <c r="M486" s="26" t="n"/>
      <c r="N486" s="26" t="n"/>
      <c r="O486" s="26" t="n"/>
      <c r="P486" s="26" t="n"/>
      <c r="Q486" s="26" t="n"/>
      <c r="R486" s="39" t="n">
        <v>46236</v>
      </c>
      <c r="S486" s="41" t="n"/>
      <c r="T486" s="47" t="inlineStr">
        <is>
          <t>它 [THA] · nó (đồ vật, con vật)
    ↳ Chiết tự: bộ 宀 (miên – mái nhà) + 匕 (chủy) — hình con rắn, mượn làm đại từ</t>
        </is>
      </c>
      <c r="U486" s="44" t="inlineStr">
        <is>
          <t>🗣️ Đại từ &amp; Nghi vấn</t>
        </is>
      </c>
      <c r="V486" s="63" t="inlineStr">
        <is>
          <t>它是我的猫。</t>
        </is>
      </c>
      <c r="W486" s="64" t="inlineStr">
        <is>
          <t>Tā shì wǒ de māo.
Nó là con mèo của tôi.</t>
        </is>
      </c>
    </row>
    <row r="487" hidden="1" ht="105.4" customHeight="1" s="99">
      <c r="A487" s="26" t="n">
        <v>553</v>
      </c>
      <c r="B487" s="79" t="inlineStr">
        <is>
          <t>HSK2</t>
        </is>
      </c>
      <c r="C487" s="80" t="inlineStr">
        <is>
          <t>为什么</t>
        </is>
      </c>
      <c r="D487" s="80" t="inlineStr">
        <is>
          <t>wèi shénme</t>
        </is>
      </c>
      <c r="E487" s="80" t="inlineStr">
        <is>
          <t>tại sao</t>
        </is>
      </c>
      <c r="F487" s="26" t="n"/>
      <c r="G487" s="13" t="inlineStr">
        <is>
          <t>为什么</t>
        </is>
      </c>
      <c r="H487" s="8">
        <f>IF(TRIM($G487)="","",IF(EXACT(TRIM($G487),TRIM($C487)),"✅ Đúng","❌ Sai"))</f>
        <v/>
      </c>
      <c r="I487" s="52" t="inlineStr">
        <is>
          <t>▶</t>
        </is>
      </c>
      <c r="J487" s="52" t="inlineStr">
        <is>
          <t>🔍</t>
        </is>
      </c>
      <c r="K487" s="26" t="n"/>
      <c r="L487" s="26" t="n"/>
      <c r="M487" s="26" t="n"/>
      <c r="N487" s="26" t="n"/>
      <c r="O487" s="26" t="n"/>
      <c r="P487" s="26" t="n"/>
      <c r="Q487" s="26" t="n"/>
      <c r="R487" s="39" t="n">
        <v>46236</v>
      </c>
      <c r="S487" s="41" t="n"/>
      <c r="T487" s="47" t="inlineStr">
        <is>
          <t>为 [VI / VỊ] · làm, là; vì, cho
    ↳ Chiết tự: giản thể của 為: bộ 丶 (chủ) + 力 — hình bàn tay dắt voi làm việc
什 [THẬP / THẬM] · cái gì (ghép 什么)
    ↳ Chiết tự: bộ 亻 (nhân đứng – người) + 十 (thập – mười) — vốn nghĩa "mười nhà", mượn làm từ hỏi
么 [MA] · gì, nào (trợ từ nghi vấn)
    ↳ Chiết tự: bộ 丿 (phiệt) + 厶 (tư – riêng tư) — chữ mượn âm, ghép 什么 / 怎么</t>
        </is>
      </c>
      <c r="U487" s="44" t="inlineStr">
        <is>
          <t>🗣️ Đại từ &amp; Nghi vấn</t>
        </is>
      </c>
      <c r="V487" s="63" t="inlineStr">
        <is>
          <t>你为什么不来？</t>
        </is>
      </c>
      <c r="W487" s="64" t="inlineStr">
        <is>
          <t>Nǐ wèishénme bù lái?
Sao bạn không đến?</t>
        </is>
      </c>
    </row>
    <row r="488" hidden="1" ht="69.75" customHeight="1" s="99">
      <c r="A488" s="2" t="n">
        <v>21</v>
      </c>
      <c r="B488" s="25" t="inlineStr">
        <is>
          <t>HSK1+2</t>
        </is>
      </c>
      <c r="C488" s="4" t="inlineStr">
        <is>
          <t>北京</t>
        </is>
      </c>
      <c r="D488" s="5" t="inlineStr">
        <is>
          <t>Běijīng</t>
        </is>
      </c>
      <c r="E488" s="6" t="inlineStr">
        <is>
          <t>Bắc Kinh</t>
        </is>
      </c>
      <c r="F488" s="13" t="inlineStr">
        <is>
          <t>北京</t>
        </is>
      </c>
      <c r="G488" s="7" t="inlineStr">
        <is>
          <t>北京</t>
        </is>
      </c>
      <c r="H488" s="8">
        <f>IF(TRIM($G488)="","",IF(EXACT(TRIM($G488),TRIM($C488)),"✅ Đúng","❌ Sai"))</f>
        <v/>
      </c>
      <c r="I488" s="9">
        <f>HYPERLINK("https://translate.google.com/translate_tts?ie=UTF-8&amp;tl=zh-CN&amp;client=tw-ob&amp;q=北京","▶")</f>
        <v/>
      </c>
      <c r="J488" s="9">
        <f>HYPERLINK("https://youglish.com/pronounce/北京/chinese","🔍")</f>
        <v/>
      </c>
      <c r="K488" s="10" t="n"/>
      <c r="L488" s="11" t="n"/>
      <c r="M488" s="10" t="n"/>
      <c r="N488" s="11" t="n"/>
      <c r="O488" s="10" t="n"/>
      <c r="P488" s="11" t="n"/>
      <c r="Q488" s="10" t="n"/>
      <c r="R488" s="12" t="inlineStr">
        <is>
          <t>2026-06-17</t>
        </is>
      </c>
      <c r="S488" s="17" t="n"/>
      <c r="T488" s="21" t="inlineStr">
        <is>
          <t>北 [BẮC] · hướng bắc; thua trận
    ↳ Chiết tự: bộ 匕 (chủy) đôi — hai người quay lưng vào nhau, lưng hướng bắc
京 [KINH] · kinh đô, thủ đô
    ↳ Chiết tự: bộ 亠 (đầu) + 口 (khẩu) + 小 (tiểu) — hình tòa lầu cao dựng trên gò</t>
        </is>
      </c>
      <c r="U488" s="22" t="inlineStr">
        <is>
          <t>🚗 Giao thông &amp; Địa điểm</t>
        </is>
      </c>
      <c r="V488" s="63" t="inlineStr">
        <is>
          <t>北京是中国的首都。</t>
        </is>
      </c>
      <c r="W488" s="64" t="inlineStr">
        <is>
          <t>Běijīng shì Zhōngguó de shǒudū.
Bắc Kinh là thủ đô Trung Quốc.</t>
        </is>
      </c>
    </row>
    <row r="489" hidden="1" ht="34.9" customHeight="1" s="99">
      <c r="A489" s="2" t="n">
        <v>42</v>
      </c>
      <c r="B489" s="3" t="inlineStr">
        <is>
          <t>HSK1</t>
        </is>
      </c>
      <c r="C489" s="4" t="inlineStr">
        <is>
          <t>车</t>
        </is>
      </c>
      <c r="D489" s="5" t="inlineStr">
        <is>
          <t>chē</t>
        </is>
      </c>
      <c r="E489" s="6" t="inlineStr">
        <is>
          <t>xe</t>
        </is>
      </c>
      <c r="F489" s="7" t="inlineStr">
        <is>
          <t>车</t>
        </is>
      </c>
      <c r="G489" s="7" t="inlineStr">
        <is>
          <t>车</t>
        </is>
      </c>
      <c r="H489" s="8">
        <f>IF(TRIM($G489)="","",IF(EXACT(TRIM($G489),TRIM($C489)),"✅ Đúng","❌ Sai"))</f>
        <v/>
      </c>
      <c r="I489" s="9">
        <f>HYPERLINK("https://translate.google.com/translate_tts?ie=UTF-8&amp;tl=zh-CN&amp;client=tw-ob&amp;q=车","▶")</f>
        <v/>
      </c>
      <c r="J489" s="9">
        <f>HYPERLINK("https://youglish.com/pronounce/车/chinese","🔍")</f>
        <v/>
      </c>
      <c r="K489" s="10" t="n"/>
      <c r="L489" s="11" t="n"/>
      <c r="M489" s="10" t="n"/>
      <c r="N489" s="11" t="n"/>
      <c r="O489" s="10" t="n"/>
      <c r="P489" s="11" t="n"/>
      <c r="Q489" s="10" t="n"/>
      <c r="R489" s="12" t="inlineStr">
        <is>
          <t>2026-06-17</t>
        </is>
      </c>
      <c r="S489" s="18" t="n"/>
      <c r="T489" s="21" t="inlineStr">
        <is>
          <t>车 [XA / XE] · xe cộ
    ↳ Chiết tự: giản thể của 車: bộ 车 (xa) — hình chiếc xe nhìn từ trên, có trục và bánh</t>
        </is>
      </c>
      <c r="U489" s="22" t="inlineStr">
        <is>
          <t>🚗 Giao thông &amp; Địa điểm</t>
        </is>
      </c>
      <c r="V489" s="63" t="inlineStr">
        <is>
          <t>我的车坏了。</t>
        </is>
      </c>
      <c r="W489" s="64" t="inlineStr">
        <is>
          <t>Wǒ de chē huài le.
Xe của tôi bị hỏng.</t>
        </is>
      </c>
    </row>
    <row r="490" ht="69.75" customHeight="1" s="99">
      <c r="A490" s="2" t="n">
        <v>45</v>
      </c>
      <c r="B490" s="3" t="inlineStr">
        <is>
          <t>HSK1</t>
        </is>
      </c>
      <c r="C490" s="4" t="inlineStr">
        <is>
          <t>车站</t>
        </is>
      </c>
      <c r="D490" s="5" t="inlineStr">
        <is>
          <t>chēzhàn</t>
        </is>
      </c>
      <c r="E490" s="6" t="inlineStr">
        <is>
          <t>bến xe</t>
        </is>
      </c>
      <c r="F490" s="7" t="n"/>
      <c r="G490" s="7" t="n"/>
      <c r="H490" s="8">
        <f>IF(TRIM($G490)="","",IF(EXACT(TRIM($G490),TRIM($C490)),"✅ Đúng","❌ Sai"))</f>
        <v/>
      </c>
      <c r="I490" s="9">
        <f>HYPERLINK("https://translate.google.com/translate_tts?ie=UTF-8&amp;tl=zh-CN&amp;client=tw-ob&amp;q=车站","▶")</f>
        <v/>
      </c>
      <c r="J490" s="9">
        <f>HYPERLINK("https://youglish.com/pronounce/车站/chinese","🔍")</f>
        <v/>
      </c>
      <c r="K490" s="10" t="n"/>
      <c r="L490" s="11" t="n"/>
      <c r="M490" s="10" t="n"/>
      <c r="N490" s="11" t="n"/>
      <c r="O490" s="10" t="n"/>
      <c r="P490" s="11" t="n"/>
      <c r="Q490" s="10" t="n"/>
      <c r="R490" s="12" t="inlineStr">
        <is>
          <t>2026-06-17</t>
        </is>
      </c>
      <c r="S490" s="17" t="n"/>
      <c r="T490" s="21" t="inlineStr">
        <is>
          <t>车 [XA / XE] · xe cộ
    ↳ Chiết tự: giản thể của 車: bộ 车 (xa) — hình chiếc xe nhìn từ trên, có trục và bánh
站 [TRẠM] · đứng; nhà ga, trạm
    ↳ Chiết tự: bộ 立 (lập – đứng) + 占 (chiếm – âm đọc) — chỗ đứng chờ</t>
        </is>
      </c>
      <c r="U490" s="22" t="inlineStr">
        <is>
          <t>🚗 Giao thông &amp; Địa điểm</t>
        </is>
      </c>
      <c r="V490" s="63" t="inlineStr">
        <is>
          <t>车站在前边。</t>
        </is>
      </c>
      <c r="W490" s="64" t="inlineStr">
        <is>
          <t>Chēzhàn zài qiánbian.
Bến xe ở phía trước.</t>
        </is>
      </c>
    </row>
    <row r="491" hidden="1" ht="34.9" customHeight="1" s="99">
      <c r="A491" s="2" t="n">
        <v>48</v>
      </c>
      <c r="B491" s="25" t="inlineStr">
        <is>
          <t>HSK1+2</t>
        </is>
      </c>
      <c r="C491" s="4" t="inlineStr">
        <is>
          <t>出</t>
        </is>
      </c>
      <c r="D491" s="5" t="inlineStr">
        <is>
          <t>chū</t>
        </is>
      </c>
      <c r="E491" s="6" t="inlineStr">
        <is>
          <t>ra, xuất</t>
        </is>
      </c>
      <c r="F491" s="7" t="n"/>
      <c r="G491" s="7" t="inlineStr">
        <is>
          <t>出</t>
        </is>
      </c>
      <c r="H491" s="8">
        <f>IF(TRIM($G491)="","",IF(EXACT(TRIM($G491),TRIM($C491)),"✅ Đúng","❌ Sai"))</f>
        <v/>
      </c>
      <c r="I491" s="9">
        <f>HYPERLINK("https://translate.google.com/translate_tts?ie=UTF-8&amp;tl=zh-CN&amp;client=tw-ob&amp;q=出","▶")</f>
        <v/>
      </c>
      <c r="J491" s="9">
        <f>HYPERLINK("https://youglish.com/pronounce/出/chinese","🔍")</f>
        <v/>
      </c>
      <c r="K491" s="10" t="n"/>
      <c r="L491" s="11" t="n"/>
      <c r="M491" s="10" t="n"/>
      <c r="N491" s="11" t="n"/>
      <c r="O491" s="10" t="n"/>
      <c r="P491" s="11" t="n"/>
      <c r="Q491" s="10" t="n"/>
      <c r="R491" s="12" t="inlineStr">
        <is>
          <t>2026-06-17</t>
        </is>
      </c>
      <c r="S491" s="18" t="n"/>
      <c r="T491" s="21" t="inlineStr">
        <is>
          <t>出 [XUẤT] · ra, đi ra, xuất phát
    ↳ Chiết tự: bộ 凵 (khảm – cái hố) + 屮 (triệt – mầm) — bàn chân bước ra khỏi hang</t>
        </is>
      </c>
      <c r="U491" s="22" t="inlineStr">
        <is>
          <t>🚗 Giao thông &amp; Địa điểm</t>
        </is>
      </c>
      <c r="V491" s="63" t="inlineStr">
        <is>
          <t>他出去了。</t>
        </is>
      </c>
      <c r="W491" s="64" t="inlineStr">
        <is>
          <t>Tā chūqù le.
Anh ấy ra ngoài rồi.</t>
        </is>
      </c>
    </row>
    <row r="492" ht="69.75" customHeight="1" s="99">
      <c r="A492" s="2" t="n">
        <v>49</v>
      </c>
      <c r="B492" s="3" t="inlineStr">
        <is>
          <t>HSK1</t>
        </is>
      </c>
      <c r="C492" s="4" t="inlineStr">
        <is>
          <t>出来</t>
        </is>
      </c>
      <c r="D492" s="5" t="inlineStr">
        <is>
          <t>chūlái</t>
        </is>
      </c>
      <c r="E492" s="6" t="inlineStr">
        <is>
          <t>xuất hiện, đi ra</t>
        </is>
      </c>
      <c r="F492" s="7" t="n"/>
      <c r="G492" s="7" t="n"/>
      <c r="H492" s="8">
        <f>IF(TRIM($G492)="","",IF(EXACT(TRIM($G492),TRIM($C492)),"✅ Đúng","❌ Sai"))</f>
        <v/>
      </c>
      <c r="I492" s="9">
        <f>HYPERLINK("https://translate.google.com/translate_tts?ie=UTF-8&amp;tl=zh-CN&amp;client=tw-ob&amp;q=出来","▶")</f>
        <v/>
      </c>
      <c r="J492" s="9">
        <f>HYPERLINK("https://youglish.com/pronounce/出来/chinese","🔍")</f>
        <v/>
      </c>
      <c r="K492" s="10" t="n"/>
      <c r="L492" s="11" t="n"/>
      <c r="M492" s="10" t="n"/>
      <c r="N492" s="11" t="n"/>
      <c r="O492" s="10" t="n"/>
      <c r="P492" s="11" t="n"/>
      <c r="Q492" s="10" t="n"/>
      <c r="R492" s="12" t="inlineStr">
        <is>
          <t>2026-06-17</t>
        </is>
      </c>
      <c r="S492" s="17" t="n"/>
      <c r="T492" s="21" t="inlineStr">
        <is>
          <t>出 [XUẤT] · ra, đi ra, xuất phát
    ↳ Chiết tự: bộ 凵 (khảm – cái hố) + 屮 (triệt – mầm) — bàn chân bước ra khỏi hang
来 [LAI] · đến, tới, sắp tới
    ↳ Chiết tự: giản thể của 來: bộ 木 (mộc) — hình bông lúa mạch, mượn âm làm "đến"</t>
        </is>
      </c>
      <c r="U492" s="22" t="inlineStr">
        <is>
          <t>🚗 Giao thông &amp; Địa điểm</t>
        </is>
      </c>
      <c r="V492" s="63" t="inlineStr">
        <is>
          <t>请你出来一下。</t>
        </is>
      </c>
      <c r="W492" s="64" t="inlineStr">
        <is>
          <t>Qǐng nǐ chūlai yíxià.
Xin bạn ra đây một chút.</t>
        </is>
      </c>
    </row>
    <row r="493" ht="69.75" customHeight="1" s="99">
      <c r="A493" s="2" t="n">
        <v>50</v>
      </c>
      <c r="B493" s="3" t="inlineStr">
        <is>
          <t>HSK1</t>
        </is>
      </c>
      <c r="C493" s="4" t="inlineStr">
        <is>
          <t>出去</t>
        </is>
      </c>
      <c r="D493" s="5" t="inlineStr">
        <is>
          <t>chūqù</t>
        </is>
      </c>
      <c r="E493" s="6" t="inlineStr">
        <is>
          <t>ra ngoài</t>
        </is>
      </c>
      <c r="F493" s="7" t="n"/>
      <c r="G493" s="7" t="n"/>
      <c r="H493" s="8">
        <f>IF(TRIM($G493)="","",IF(EXACT(TRIM($G493),TRIM($C493)),"✅ Đúng","❌ Sai"))</f>
        <v/>
      </c>
      <c r="I493" s="9">
        <f>HYPERLINK("https://translate.google.com/translate_tts?ie=UTF-8&amp;tl=zh-CN&amp;client=tw-ob&amp;q=出去","▶")</f>
        <v/>
      </c>
      <c r="J493" s="9">
        <f>HYPERLINK("https://youglish.com/pronounce/出去/chinese","🔍")</f>
        <v/>
      </c>
      <c r="K493" s="10" t="n"/>
      <c r="L493" s="11" t="n"/>
      <c r="M493" s="10" t="n"/>
      <c r="N493" s="11" t="n"/>
      <c r="O493" s="10" t="n"/>
      <c r="P493" s="11" t="n"/>
      <c r="Q493" s="10" t="n"/>
      <c r="R493" s="12" t="inlineStr">
        <is>
          <t>2026-06-17</t>
        </is>
      </c>
      <c r="S493" s="18" t="n"/>
      <c r="T493" s="21" t="inlineStr">
        <is>
          <t>出 [XUẤT] · ra, đi ra, xuất phát
    ↳ Chiết tự: bộ 凵 (khảm – cái hố) + 屮 (triệt – mầm) — bàn chân bước ra khỏi hang
去 [KHỨ] · đi, rời khỏi; đã qua
    ↳ Chiết tự: bộ 土 (thổ – đất) + 厶 (tư) — người rời khỏi chỗ đất mà đi</t>
        </is>
      </c>
      <c r="U493" s="22" t="inlineStr">
        <is>
          <t>🚗 Giao thông &amp; Địa điểm</t>
        </is>
      </c>
      <c r="V493" s="63" t="inlineStr">
        <is>
          <t>我们出去走走。</t>
        </is>
      </c>
      <c r="W493" s="64" t="inlineStr">
        <is>
          <t>Wǒmen chūqù zǒuzou.
Chúng ta ra ngoài đi bộ.</t>
        </is>
      </c>
    </row>
    <row r="494" ht="69.75" customHeight="1" s="99">
      <c r="A494" s="2" t="n">
        <v>57</v>
      </c>
      <c r="B494" s="3" t="inlineStr">
        <is>
          <t>HSK1</t>
        </is>
      </c>
      <c r="C494" s="4" t="inlineStr">
        <is>
          <t>打车</t>
        </is>
      </c>
      <c r="D494" s="5" t="inlineStr">
        <is>
          <t>dǎchē</t>
        </is>
      </c>
      <c r="E494" s="6" t="inlineStr">
        <is>
          <t>bắt xe</t>
        </is>
      </c>
      <c r="F494" s="7" t="n"/>
      <c r="G494" s="7" t="n"/>
      <c r="H494" s="8">
        <f>IF(TRIM($G494)="","",IF(EXACT(TRIM($G494),TRIM($C494)),"✅ Đúng","❌ Sai"))</f>
        <v/>
      </c>
      <c r="I494" s="9">
        <f>HYPERLINK("https://translate.google.com/translate_tts?ie=UTF-8&amp;tl=zh-CN&amp;client=tw-ob&amp;q=打车","▶")</f>
        <v/>
      </c>
      <c r="J494" s="9">
        <f>HYPERLINK("https://youglish.com/pronounce/打车/chinese","🔍")</f>
        <v/>
      </c>
      <c r="K494" s="10" t="n"/>
      <c r="L494" s="11" t="n"/>
      <c r="M494" s="10" t="n"/>
      <c r="N494" s="11" t="n"/>
      <c r="O494" s="10" t="n"/>
      <c r="P494" s="11" t="n"/>
      <c r="Q494" s="10" t="n"/>
      <c r="R494" s="12" t="inlineStr">
        <is>
          <t>2026-06-17</t>
        </is>
      </c>
      <c r="S494" s="17" t="n"/>
      <c r="T494" s="21" t="inlineStr">
        <is>
          <t>打 [ĐẢ] · đánh; làm, gọi (động từ vạn năng)
    ↳ Chiết tự: bộ 扌 (thủ đứng – bàn tay) + 丁 (đinh – cái đinh) — tay đóng đinh
车 [XA / XE] · xe cộ
    ↳ Chiết tự: giản thể của 車: bộ 车 (xa) — hình chiếc xe nhìn từ trên, có trục và bánh</t>
        </is>
      </c>
      <c r="U494" s="22" t="inlineStr">
        <is>
          <t>🚗 Giao thông &amp; Địa điểm</t>
        </is>
      </c>
      <c r="V494" s="63" t="inlineStr">
        <is>
          <t>我们打车去吧。</t>
        </is>
      </c>
      <c r="W494" s="64" t="inlineStr">
        <is>
          <t>Wǒmen dǎchē qù ba.
Chúng ta đi taxi nhé.</t>
        </is>
      </c>
    </row>
    <row r="495" hidden="1" ht="34.9" customHeight="1" s="99">
      <c r="A495" s="2" t="n">
        <v>64</v>
      </c>
      <c r="B495" s="25" t="inlineStr">
        <is>
          <t>HSK1+2</t>
        </is>
      </c>
      <c r="C495" s="4" t="inlineStr">
        <is>
          <t>到</t>
        </is>
      </c>
      <c r="D495" s="5" t="inlineStr">
        <is>
          <t>dào</t>
        </is>
      </c>
      <c r="E495" s="6" t="inlineStr">
        <is>
          <t>đến, tới</t>
        </is>
      </c>
      <c r="F495" s="7" t="n"/>
      <c r="G495" s="7" t="inlineStr">
        <is>
          <t>到</t>
        </is>
      </c>
      <c r="H495" s="8">
        <f>IF(TRIM($G495)="","",IF(EXACT(TRIM($G495),TRIM($C495)),"✅ Đúng","❌ Sai"))</f>
        <v/>
      </c>
      <c r="I495" s="9">
        <f>HYPERLINK("https://translate.google.com/translate_tts?ie=UTF-8&amp;tl=zh-CN&amp;client=tw-ob&amp;q=到","▶")</f>
        <v/>
      </c>
      <c r="J495" s="9">
        <f>HYPERLINK("https://youglish.com/pronounce/到/chinese","🔍")</f>
        <v/>
      </c>
      <c r="K495" s="10" t="n"/>
      <c r="L495" s="11" t="n"/>
      <c r="M495" s="10" t="n"/>
      <c r="N495" s="11" t="n"/>
      <c r="O495" s="10" t="n"/>
      <c r="P495" s="11" t="n"/>
      <c r="Q495" s="10" t="n"/>
      <c r="R495" s="12" t="inlineStr">
        <is>
          <t>2026-06-17</t>
        </is>
      </c>
      <c r="S495" s="18" t="n"/>
      <c r="T495" s="21" t="inlineStr">
        <is>
          <t>到 [ĐÁO] · đến, tới, chu đáo
    ↳ Chiết tự: bộ 至 (chí – tới nơi) + 刂 (đao đứng – âm đọc) — mũi tên cắm tới đích</t>
        </is>
      </c>
      <c r="U495" s="22" t="inlineStr">
        <is>
          <t>🚗 Giao thông &amp; Địa điểm</t>
        </is>
      </c>
      <c r="V495" s="63" t="inlineStr">
        <is>
          <t>我八点到公司。</t>
        </is>
      </c>
      <c r="W495" s="64" t="inlineStr">
        <is>
          <t>Wǒ bā diǎn dào gōngsī.
Tôi đến công ty lúc tám giờ.</t>
        </is>
      </c>
    </row>
    <row r="496" ht="58.15" customHeight="1" s="99">
      <c r="A496" s="2" t="n">
        <v>70</v>
      </c>
      <c r="B496" s="3" t="inlineStr">
        <is>
          <t>HSK1</t>
        </is>
      </c>
      <c r="C496" s="4" t="inlineStr">
        <is>
          <t>地点</t>
        </is>
      </c>
      <c r="D496" s="5" t="inlineStr">
        <is>
          <t>dìdiǎn</t>
        </is>
      </c>
      <c r="E496" s="6" t="inlineStr">
        <is>
          <t>địa điểm</t>
        </is>
      </c>
      <c r="F496" s="7" t="n"/>
      <c r="G496" s="7" t="n"/>
      <c r="H496" s="8">
        <f>IF(TRIM($G496)="","",IF(EXACT(TRIM($G496),TRIM($C496)),"✅ Đúng","❌ Sai"))</f>
        <v/>
      </c>
      <c r="I496" s="9">
        <f>HYPERLINK("https://translate.google.com/translate_tts?ie=UTF-8&amp;tl=zh-CN&amp;client=tw-ob&amp;q=地点","▶")</f>
        <v/>
      </c>
      <c r="J496" s="9">
        <f>HYPERLINK("https://youglish.com/pronounce/地点/chinese","🔍")</f>
        <v/>
      </c>
      <c r="K496" s="10" t="n"/>
      <c r="L496" s="11" t="n"/>
      <c r="M496" s="10" t="n"/>
      <c r="N496" s="11" t="n"/>
      <c r="O496" s="10" t="n"/>
      <c r="P496" s="11" t="n"/>
      <c r="Q496" s="10" t="n"/>
      <c r="R496" s="12" t="inlineStr">
        <is>
          <t>2026-06-17</t>
        </is>
      </c>
      <c r="S496" s="18" t="n"/>
      <c r="T496" s="21" t="inlineStr">
        <is>
          <t>地 [ĐỊA] · đất đai, nơi chốn
    ↳ Chiết tự: bộ 土 (thổ – đất) + 也 (dã – âm đọc) — mặt đất
点 [ĐIỂM] · chấm, điểm; giờ; gọi món
    ↳ Chiết tự: giản thể của 點: bộ 灬 (hỏa – lửa) + 占 (chiếm – âm đọc) — chấm đen do lửa, đốm nhỏ</t>
        </is>
      </c>
      <c r="U496" s="22" t="inlineStr">
        <is>
          <t>🚗 Giao thông &amp; Địa điểm</t>
        </is>
      </c>
      <c r="V496" s="63" t="inlineStr">
        <is>
          <t>开会的地点在哪儿？</t>
        </is>
      </c>
      <c r="W496" s="64" t="inlineStr">
        <is>
          <t>Kāihuì de dìdiǎn zài nǎr?
Địa điểm họp ở đâu?</t>
        </is>
      </c>
    </row>
    <row r="497" ht="46.5" customHeight="1" s="99">
      <c r="A497" s="2" t="n">
        <v>71</v>
      </c>
      <c r="B497" s="60" t="inlineStr">
        <is>
          <t>HSK1+3</t>
        </is>
      </c>
      <c r="C497" s="4" t="inlineStr">
        <is>
          <t>地方</t>
        </is>
      </c>
      <c r="D497" s="5" t="inlineStr">
        <is>
          <t>dìfang</t>
        </is>
      </c>
      <c r="E497" s="6" t="inlineStr">
        <is>
          <t>nơi, địa phương</t>
        </is>
      </c>
      <c r="F497" s="7" t="n"/>
      <c r="G497" s="7" t="n"/>
      <c r="H497" s="8">
        <f>IF(TRIM($G497)="","",IF(EXACT(TRIM($G497),TRIM($C497)),"✅ Đúng","❌ Sai"))</f>
        <v/>
      </c>
      <c r="I497" s="9">
        <f>HYPERLINK("https://translate.google.com/translate_tts?ie=UTF-8&amp;tl=zh-CN&amp;client=tw-ob&amp;q=地方","▶")</f>
        <v/>
      </c>
      <c r="J497" s="9">
        <f>HYPERLINK("https://youglish.com/pronounce/地方/chinese","🔍")</f>
        <v/>
      </c>
      <c r="K497" s="10" t="n"/>
      <c r="L497" s="11" t="n"/>
      <c r="M497" s="10" t="n"/>
      <c r="N497" s="11" t="n"/>
      <c r="O497" s="10" t="n"/>
      <c r="P497" s="11" t="n"/>
      <c r="Q497" s="10" t="n"/>
      <c r="R497" s="12" t="inlineStr">
        <is>
          <t>2026-06-17</t>
        </is>
      </c>
      <c r="S497" s="17" t="n"/>
      <c r="T497" s="21" t="inlineStr">
        <is>
          <t>地 [ĐỊA] · đất đai, nơi chốn
    ↳ Chiết tự: bộ 土 (thổ – đất) + 也 (dã – âm đọc) — mặt đất
方 [PHƯƠNG] · phương hướng; vuông; cách thức
    ↳ Chiết tự: bộ 方 (phương) — hình lưỡi cày rẽ hai bên</t>
        </is>
      </c>
      <c r="U497" s="22" t="inlineStr">
        <is>
          <t>🚗 Giao thông &amp; Địa điểm</t>
        </is>
      </c>
      <c r="V497" s="63" t="inlineStr">
        <is>
          <t>这个地方很漂亮。</t>
        </is>
      </c>
      <c r="W497" s="64" t="inlineStr">
        <is>
          <t>Zhège dìfang hěn piàoliang.
Nơi này rất đẹp.</t>
        </is>
      </c>
    </row>
    <row r="498" ht="58.15" customHeight="1" s="99">
      <c r="A498" s="2" t="n">
        <v>72</v>
      </c>
      <c r="B498" s="3" t="inlineStr">
        <is>
          <t>HSK1</t>
        </is>
      </c>
      <c r="C498" s="4" t="inlineStr">
        <is>
          <t>地上</t>
        </is>
      </c>
      <c r="D498" s="5" t="inlineStr">
        <is>
          <t>dìshang</t>
        </is>
      </c>
      <c r="E498" s="6" t="inlineStr">
        <is>
          <t>trên mặt đất</t>
        </is>
      </c>
      <c r="F498" s="7" t="n"/>
      <c r="G498" s="7" t="n"/>
      <c r="H498" s="8">
        <f>IF(TRIM($G498)="","",IF(EXACT(TRIM($G498),TRIM($C498)),"✅ Đúng","❌ Sai"))</f>
        <v/>
      </c>
      <c r="I498" s="9">
        <f>HYPERLINK("https://translate.google.com/translate_tts?ie=UTF-8&amp;tl=zh-CN&amp;client=tw-ob&amp;q=地上","▶")</f>
        <v/>
      </c>
      <c r="J498" s="9">
        <f>HYPERLINK("https://youglish.com/pronounce/地上/chinese","🔍")</f>
        <v/>
      </c>
      <c r="K498" s="10" t="n"/>
      <c r="L498" s="11" t="n"/>
      <c r="M498" s="10" t="n"/>
      <c r="N498" s="11" t="n"/>
      <c r="O498" s="10" t="n"/>
      <c r="P498" s="11" t="n"/>
      <c r="Q498" s="10" t="n"/>
      <c r="R498" s="12" t="inlineStr">
        <is>
          <t>2026-06-17</t>
        </is>
      </c>
      <c r="S498" s="18" t="n"/>
      <c r="T498" s="21" t="inlineStr">
        <is>
          <t>地 [ĐỊA] · đất đai, nơi chốn
    ↳ Chiết tự: bộ 土 (thổ – đất) + 也 (dã – âm đọc) — mặt đất
上 [THƯỢNG] · ở trên, lên, trước đó
    ↳ Chiết tự: bộ 一 (nhất – mặt đất) + vạch chỉ hướng lên — chữ chỉ sự</t>
        </is>
      </c>
      <c r="U498" s="22" t="inlineStr">
        <is>
          <t>🚗 Giao thông &amp; Địa điểm</t>
        </is>
      </c>
      <c r="V498" s="63" t="inlineStr">
        <is>
          <t>地上很干净。</t>
        </is>
      </c>
      <c r="W498" s="64" t="inlineStr">
        <is>
          <t>Dì shang hěn gānjìng.
Trên mặt đất rất sạch.</t>
        </is>
      </c>
    </row>
    <row r="499" ht="58.15" customHeight="1" s="99">
      <c r="A499" s="2" t="n">
        <v>73</v>
      </c>
      <c r="B499" s="60" t="inlineStr">
        <is>
          <t>HSK1+3</t>
        </is>
      </c>
      <c r="C499" s="4" t="inlineStr">
        <is>
          <t>地图</t>
        </is>
      </c>
      <c r="D499" s="5" t="inlineStr">
        <is>
          <t>dìtú</t>
        </is>
      </c>
      <c r="E499" s="6" t="inlineStr">
        <is>
          <t>bản đồ</t>
        </is>
      </c>
      <c r="F499" s="7" t="n"/>
      <c r="G499" s="7" t="n"/>
      <c r="H499" s="8">
        <f>IF(TRIM($G499)="","",IF(EXACT(TRIM($G499),TRIM($C499)),"✅ Đúng","❌ Sai"))</f>
        <v/>
      </c>
      <c r="I499" s="9">
        <f>HYPERLINK("https://translate.google.com/translate_tts?ie=UTF-8&amp;tl=zh-CN&amp;client=tw-ob&amp;q=地图","▶")</f>
        <v/>
      </c>
      <c r="J499" s="9">
        <f>HYPERLINK("https://youglish.com/pronounce/地图/chinese","🔍")</f>
        <v/>
      </c>
      <c r="K499" s="10" t="n"/>
      <c r="L499" s="11" t="n"/>
      <c r="M499" s="10" t="n"/>
      <c r="N499" s="11" t="n"/>
      <c r="O499" s="10" t="n"/>
      <c r="P499" s="11" t="n"/>
      <c r="Q499" s="10" t="n"/>
      <c r="R499" s="12" t="inlineStr">
        <is>
          <t>2026-06-17</t>
        </is>
      </c>
      <c r="S499" s="17" t="n"/>
      <c r="T499" s="21" t="inlineStr">
        <is>
          <t>地 [ĐỊA] · đất đai, nơi chốn
    ↳ Chiết tự: bộ 土 (thổ – đất) + 也 (dã – âm đọc) — mặt đất
图 [ĐỒ] · bản đồ, tranh vẽ; mưu tính
    ↳ Chiết tự: giản thể của 圖: bộ 囗 (vi – khung) + 冬 (đông) — bản vẽ đóng khung</t>
        </is>
      </c>
      <c r="U499" s="22" t="inlineStr">
        <is>
          <t>🚗 Giao thông &amp; Địa điểm</t>
        </is>
      </c>
      <c r="V499" s="63" t="inlineStr">
        <is>
          <t>请给我一张地图。</t>
        </is>
      </c>
      <c r="W499" s="64" t="inlineStr">
        <is>
          <t>Qǐng gěi wǒ yì zhāng dìtú.
Cho tôi một tấm bản đồ.</t>
        </is>
      </c>
    </row>
    <row r="500" ht="104.65" customHeight="1" s="99">
      <c r="A500" s="2" t="n">
        <v>83</v>
      </c>
      <c r="B500" s="3" t="inlineStr">
        <is>
          <t>HSK1</t>
        </is>
      </c>
      <c r="C500" s="4" t="inlineStr">
        <is>
          <t>电影院</t>
        </is>
      </c>
      <c r="D500" s="5" t="inlineStr">
        <is>
          <t>diànyǐngyuàn</t>
        </is>
      </c>
      <c r="E500" s="6" t="inlineStr">
        <is>
          <t>rạp chiếu phim</t>
        </is>
      </c>
      <c r="F500" s="7" t="n"/>
      <c r="G500" s="7" t="n"/>
      <c r="H500" s="8">
        <f>IF(TRIM($G500)="","",IF(EXACT(TRIM($G500),TRIM($C500)),"✅ Đúng","❌ Sai"))</f>
        <v/>
      </c>
      <c r="I500" s="9">
        <f>HYPERLINK("https://translate.google.com/translate_tts?ie=UTF-8&amp;tl=zh-CN&amp;client=tw-ob&amp;q=电影院","▶")</f>
        <v/>
      </c>
      <c r="J500" s="9">
        <f>HYPERLINK("https://youglish.com/pronounce/电影院/chinese","🔍")</f>
        <v/>
      </c>
      <c r="K500" s="10" t="n"/>
      <c r="L500" s="11" t="n"/>
      <c r="M500" s="10" t="n"/>
      <c r="N500" s="11" t="n"/>
      <c r="O500" s="10" t="n"/>
      <c r="P500" s="11" t="n"/>
      <c r="Q500" s="10" t="n"/>
      <c r="R500" s="12" t="inlineStr">
        <is>
          <t>2026-06-17</t>
        </is>
      </c>
      <c r="S500" s="17" t="n"/>
      <c r="T500" s="21" t="inlineStr">
        <is>
          <t>电 [ĐIỆN] · điện, tia chớp
    ↳ Chiết tự: giản thể của 電: bộ 雨 lược bỏ + 申 (thân) — tia chớp xẹt ra từ mây mưa
影 [ẢNH] · bóng, hình ảnh, phim
    ↳ Chiết tự: bộ 景 (cảnh – ánh sáng) + 彡 (sam – tia sáng) — vệt sáng hắt thành bóng
院 [VIỆN] · sân, viện, cơ quan
    ↳ Chiết tự: bộ 阝 (phụ – gò đất) + 完 (hoàn – âm đọc) — khu có tường bao trọn</t>
        </is>
      </c>
      <c r="U500" s="22" t="inlineStr">
        <is>
          <t>🚗 Giao thông &amp; Địa điểm</t>
        </is>
      </c>
      <c r="V500" s="63" t="inlineStr">
        <is>
          <t>电影院在商场里。</t>
        </is>
      </c>
      <c r="W500" s="64" t="inlineStr">
        <is>
          <t>Diànyǐngyuàn zài shāngchǎng li.
Rạp phim ở trong trung tâm thương mại.</t>
        </is>
      </c>
    </row>
    <row r="501" ht="23.25" customHeight="1" s="99">
      <c r="A501" s="2" t="n">
        <v>106</v>
      </c>
      <c r="B501" s="3" t="inlineStr">
        <is>
          <t>HSK1</t>
        </is>
      </c>
      <c r="C501" s="4" t="inlineStr">
        <is>
          <t>飞</t>
        </is>
      </c>
      <c r="D501" s="5" t="inlineStr">
        <is>
          <t>fēi</t>
        </is>
      </c>
      <c r="E501" s="6" t="inlineStr">
        <is>
          <t>bay</t>
        </is>
      </c>
      <c r="F501" s="7" t="n"/>
      <c r="G501" s="7" t="n"/>
      <c r="H501" s="8">
        <f>IF(TRIM($G501)="","",IF(EXACT(TRIM($G501),TRIM($C501)),"✅ Đúng","❌ Sai"))</f>
        <v/>
      </c>
      <c r="I501" s="9">
        <f>HYPERLINK("https://translate.google.com/translate_tts?ie=UTF-8&amp;tl=zh-CN&amp;client=tw-ob&amp;q=飞","▶")</f>
        <v/>
      </c>
      <c r="J501" s="9">
        <f>HYPERLINK("https://youglish.com/pronounce/飞/chinese","🔍")</f>
        <v/>
      </c>
      <c r="K501" s="10" t="n"/>
      <c r="L501" s="11" t="n"/>
      <c r="M501" s="10" t="n"/>
      <c r="N501" s="11" t="n"/>
      <c r="O501" s="10" t="n"/>
      <c r="P501" s="11" t="n"/>
      <c r="Q501" s="10" t="n"/>
      <c r="R501" s="12" t="inlineStr">
        <is>
          <t>2026-06-17</t>
        </is>
      </c>
      <c r="S501" s="18" t="n"/>
      <c r="T501" s="21" t="inlineStr">
        <is>
          <t>飞 [PHI] · bay
    ↳ Chiết tự: giản thể của 飛: bộ 飞 (phi) — hình đôi cánh chim vỗ lên</t>
        </is>
      </c>
      <c r="U501" s="22" t="inlineStr">
        <is>
          <t>🚗 Giao thông &amp; Địa điểm</t>
        </is>
      </c>
      <c r="V501" s="63" t="inlineStr">
        <is>
          <t>鸟飞得很高。</t>
        </is>
      </c>
      <c r="W501" s="64" t="inlineStr">
        <is>
          <t>Niǎo fēi de hěn gāo.
Con chim bay rất cao.</t>
        </is>
      </c>
    </row>
    <row r="502" ht="58.15" customHeight="1" s="99">
      <c r="A502" s="27" t="n">
        <v>107</v>
      </c>
      <c r="B502" s="30" t="inlineStr">
        <is>
          <t>HSK1+2</t>
        </is>
      </c>
      <c r="C502" s="31" t="inlineStr">
        <is>
          <t>飞机</t>
        </is>
      </c>
      <c r="D502" s="32" t="inlineStr">
        <is>
          <t>fēijī</t>
        </is>
      </c>
      <c r="E502" s="33" t="inlineStr">
        <is>
          <t>máy bay</t>
        </is>
      </c>
      <c r="F502" s="34" t="n"/>
      <c r="G502" s="7" t="n"/>
      <c r="H502" s="8">
        <f>IF(TRIM($G502)="","",IF(EXACT(TRIM($G502),TRIM($C502)),"✅ Đúng","❌ Sai"))</f>
        <v/>
      </c>
      <c r="I502" s="36">
        <f>HYPERLINK("https://translate.google.com/translate_tts?ie=UTF-8&amp;tl=zh-CN&amp;client=tw-ob&amp;q=飞机","▶")</f>
        <v/>
      </c>
      <c r="J502" s="36">
        <f>HYPERLINK("https://youglish.com/pronounce/飞机/chinese","🔍")</f>
        <v/>
      </c>
      <c r="K502" s="37" t="n"/>
      <c r="L502" s="38" t="n"/>
      <c r="M502" s="37" t="n"/>
      <c r="N502" s="38" t="n"/>
      <c r="O502" s="37" t="n"/>
      <c r="P502" s="38" t="n"/>
      <c r="Q502" s="37" t="n"/>
      <c r="R502" s="40" t="inlineStr">
        <is>
          <t>2026-06-17</t>
        </is>
      </c>
      <c r="S502" s="42" t="n"/>
      <c r="T502" s="14" t="inlineStr">
        <is>
          <t>飞 [PHI] · bay
    ↳ Chiết tự: giản thể của 飛: bộ 飞 (phi) — hình đôi cánh chim vỗ lên
机 [CƠ] · máy móc; cơ hội
    ↳ Chiết tự: giản thể của 機: bộ 木 (mộc – gỗ) + 几 (kỷ – âm đọc) — khung cửi bằng gỗ</t>
        </is>
      </c>
      <c r="U502" s="15" t="inlineStr">
        <is>
          <t>🚗 Giao thông &amp; Địa điểm</t>
        </is>
      </c>
      <c r="V502" s="63" t="inlineStr">
        <is>
          <t>飞机三点起飞。</t>
        </is>
      </c>
      <c r="W502" s="64" t="inlineStr">
        <is>
          <t>Fēijī sān diǎn qǐfēi.
Máy bay cất cánh lúc ba giờ.</t>
        </is>
      </c>
    </row>
    <row r="503" ht="34.9" customHeight="1" s="99">
      <c r="A503" s="27" t="n">
        <v>128</v>
      </c>
      <c r="B503" s="29" t="inlineStr">
        <is>
          <t>HSK1</t>
        </is>
      </c>
      <c r="C503" s="31" t="inlineStr">
        <is>
          <t>国</t>
        </is>
      </c>
      <c r="D503" s="32" t="inlineStr">
        <is>
          <t>guó</t>
        </is>
      </c>
      <c r="E503" s="33" t="inlineStr">
        <is>
          <t>đất nước, Tổ quốc</t>
        </is>
      </c>
      <c r="F503" s="34" t="inlineStr">
        <is>
          <t>国</t>
        </is>
      </c>
      <c r="G503" s="7" t="inlineStr">
        <is>
          <t>国</t>
        </is>
      </c>
      <c r="H503" s="8">
        <f>IF(TRIM($G503)="","",IF(EXACT(TRIM($G503),TRIM($C503)),"✅ Đúng","❌ Sai"))</f>
        <v/>
      </c>
      <c r="I503" s="36">
        <f>HYPERLINK("https://translate.google.com/translate_tts?ie=UTF-8&amp;tl=zh-CN&amp;client=tw-ob&amp;q=国","▶")</f>
        <v/>
      </c>
      <c r="J503" s="36">
        <f>HYPERLINK("https://youglish.com/pronounce/国/chinese","🔍")</f>
        <v/>
      </c>
      <c r="K503" s="37" t="n"/>
      <c r="L503" s="38" t="n"/>
      <c r="M503" s="37" t="n"/>
      <c r="N503" s="38" t="n"/>
      <c r="O503" s="37" t="n"/>
      <c r="P503" s="38" t="n"/>
      <c r="Q503" s="37" t="n"/>
      <c r="R503" s="40" t="inlineStr">
        <is>
          <t>2026-06-17</t>
        </is>
      </c>
      <c r="S503" s="43" t="n"/>
      <c r="T503" s="14" t="inlineStr">
        <is>
          <t>国 [QUỐC] · nước, quốc gia
    ↳ Chiết tự: giản thể của 國: bộ 囗 (vi – biên giới) bao lấy 玉 (ngọc) — lãnh thổ chứa của quý</t>
        </is>
      </c>
      <c r="U503" s="15" t="inlineStr">
        <is>
          <t>🚗 Giao thông &amp; Địa điểm</t>
        </is>
      </c>
      <c r="V503" s="63" t="inlineStr">
        <is>
          <t>你是哪个国的人？</t>
        </is>
      </c>
      <c r="W503" s="64" t="inlineStr">
        <is>
          <t>Nǐ shì nǎge guó de rén?
Bạn là người nước nào?</t>
        </is>
      </c>
    </row>
    <row r="504" ht="69.75" customHeight="1" s="99">
      <c r="A504" s="27" t="n">
        <v>129</v>
      </c>
      <c r="B504" s="61" t="inlineStr">
        <is>
          <t>HSK1+3</t>
        </is>
      </c>
      <c r="C504" s="31" t="inlineStr">
        <is>
          <t>国家</t>
        </is>
      </c>
      <c r="D504" s="32" t="inlineStr">
        <is>
          <t>guójiā</t>
        </is>
      </c>
      <c r="E504" s="33" t="inlineStr">
        <is>
          <t>đất nước, Quốc gia</t>
        </is>
      </c>
      <c r="F504" s="34" t="inlineStr">
        <is>
          <t>国家</t>
        </is>
      </c>
      <c r="G504" s="7" t="inlineStr">
        <is>
          <t>国家</t>
        </is>
      </c>
      <c r="H504" s="8">
        <f>IF(TRIM($G504)="","",IF(EXACT(TRIM($G504),TRIM($C504)),"✅ Đúng","❌ Sai"))</f>
        <v/>
      </c>
      <c r="I504" s="36">
        <f>HYPERLINK("https://translate.google.com/translate_tts?ie=UTF-8&amp;tl=zh-CN&amp;client=tw-ob&amp;q=国家","▶")</f>
        <v/>
      </c>
      <c r="J504" s="36">
        <f>HYPERLINK("https://youglish.com/pronounce/国家/chinese","🔍")</f>
        <v/>
      </c>
      <c r="K504" s="37" t="n"/>
      <c r="L504" s="38" t="n"/>
      <c r="M504" s="37" t="n"/>
      <c r="N504" s="38" t="n"/>
      <c r="O504" s="37" t="n"/>
      <c r="P504" s="38" t="n"/>
      <c r="Q504" s="37" t="n"/>
      <c r="R504" s="40" t="inlineStr">
        <is>
          <t>2026-06-17</t>
        </is>
      </c>
      <c r="S504" s="42" t="n"/>
      <c r="T504" s="14" t="inlineStr">
        <is>
          <t>国 [QUỐC] · nước, quốc gia
    ↳ Chiết tự: giản thể của 國: bộ 囗 (vi – biên giới) bao lấy 玉 (ngọc) — lãnh thổ chứa của quý
家 [GIA] · nhà, gia đình; nhà chuyên môn
    ↳ Chiết tự: bộ 宀 (miên – mái nhà) + 豕 (thỉ – con lợn) — dưới mái có nuôi lợn mới là một gia đình</t>
        </is>
      </c>
      <c r="U504" s="15" t="inlineStr">
        <is>
          <t>🚗 Giao thông &amp; Địa điểm</t>
        </is>
      </c>
      <c r="V504" s="63" t="inlineStr">
        <is>
          <t>中国是一个大国家。</t>
        </is>
      </c>
      <c r="W504" s="64" t="inlineStr">
        <is>
          <t>Zhōngguó shì yí ge dà guójiā.
Trung Quốc là một nước lớn.</t>
        </is>
      </c>
    </row>
    <row r="505" ht="69.75" customHeight="1" s="99">
      <c r="A505" s="27" t="n">
        <v>130</v>
      </c>
      <c r="B505" s="29" t="inlineStr">
        <is>
          <t>HSK1</t>
        </is>
      </c>
      <c r="C505" s="31" t="inlineStr">
        <is>
          <t>国外</t>
        </is>
      </c>
      <c r="D505" s="32" t="inlineStr">
        <is>
          <t>guówài</t>
        </is>
      </c>
      <c r="E505" s="33" t="inlineStr">
        <is>
          <t>nước ngoài</t>
        </is>
      </c>
      <c r="F505" s="34" t="inlineStr">
        <is>
          <t>国外</t>
        </is>
      </c>
      <c r="G505" s="7" t="inlineStr">
        <is>
          <t>国外</t>
        </is>
      </c>
      <c r="H505" s="8">
        <f>IF(TRIM($G505)="","",IF(EXACT(TRIM($G505),TRIM($C505)),"✅ Đúng","❌ Sai"))</f>
        <v/>
      </c>
      <c r="I505" s="36">
        <f>HYPERLINK("https://translate.google.com/translate_tts?ie=UTF-8&amp;tl=zh-CN&amp;client=tw-ob&amp;q=国外","▶")</f>
        <v/>
      </c>
      <c r="J505" s="36">
        <f>HYPERLINK("https://youglish.com/pronounce/国外/chinese","🔍")</f>
        <v/>
      </c>
      <c r="K505" s="37" t="n"/>
      <c r="L505" s="38" t="n"/>
      <c r="M505" s="37" t="n"/>
      <c r="N505" s="38" t="n"/>
      <c r="O505" s="37" t="n"/>
      <c r="P505" s="38" t="n"/>
      <c r="Q505" s="37" t="n"/>
      <c r="R505" s="40" t="inlineStr">
        <is>
          <t>2026-06-17</t>
        </is>
      </c>
      <c r="S505" s="43" t="n"/>
      <c r="T505" s="14" t="inlineStr">
        <is>
          <t>国 [QUỐC] · nước, quốc gia
    ↳ Chiết tự: giản thể của 國: bộ 囗 (vi – biên giới) bao lấy 玉 (ngọc) — lãnh thổ chứa của quý
外 [NGOẠI] · bên ngoài, nước ngoài
    ↳ Chiết tự: bộ 夕 (tịch – đêm) + 卜 (bốc – bói) — bói vào ban đêm là trái lệ, ở ngoài lệ thường</t>
        </is>
      </c>
      <c r="U505" s="15" t="inlineStr">
        <is>
          <t>🚗 Giao thông &amp; Địa điểm</t>
        </is>
      </c>
      <c r="V505" s="63" t="inlineStr">
        <is>
          <t>他在国外工作。</t>
        </is>
      </c>
      <c r="W505" s="64" t="inlineStr">
        <is>
          <t>Tā zài guówài gōngzuò.
Anh ấy làm việc ở nước ngoài.</t>
        </is>
      </c>
    </row>
    <row r="506" ht="34.9" customHeight="1" s="99">
      <c r="A506" s="27" t="n">
        <v>154</v>
      </c>
      <c r="B506" s="30" t="inlineStr">
        <is>
          <t>HSK1+2</t>
        </is>
      </c>
      <c r="C506" s="31" t="inlineStr">
        <is>
          <t>回</t>
        </is>
      </c>
      <c r="D506" s="32" t="inlineStr">
        <is>
          <t>huí</t>
        </is>
      </c>
      <c r="E506" s="33" t="inlineStr">
        <is>
          <t>quay lại, về</t>
        </is>
      </c>
      <c r="F506" s="34" t="inlineStr">
        <is>
          <t>回</t>
        </is>
      </c>
      <c r="G506" s="7" t="inlineStr">
        <is>
          <t>回</t>
        </is>
      </c>
      <c r="H506" s="8">
        <f>IF(TRIM($G506)="","",IF(EXACT(TRIM($G506),TRIM($C506)),"✅ Đúng","❌ Sai"))</f>
        <v/>
      </c>
      <c r="I506" s="36">
        <f>HYPERLINK("https://translate.google.com/translate_tts?ie=UTF-8&amp;tl=zh-CN&amp;client=tw-ob&amp;q=回","▶")</f>
        <v/>
      </c>
      <c r="J506" s="36">
        <f>HYPERLINK("https://youglish.com/pronounce/回/chinese","🔍")</f>
        <v/>
      </c>
      <c r="K506" s="37" t="n"/>
      <c r="L506" s="38" t="n"/>
      <c r="M506" s="37" t="n"/>
      <c r="N506" s="38" t="n"/>
      <c r="O506" s="37" t="n"/>
      <c r="P506" s="38" t="n"/>
      <c r="Q506" s="37" t="n"/>
      <c r="R506" s="40" t="inlineStr">
        <is>
          <t>2026-06-17</t>
        </is>
      </c>
      <c r="S506" s="43" t="n"/>
      <c r="T506" s="14" t="inlineStr">
        <is>
          <t>回 [HỒI] · quay về, trở lại; lượt
    ↳ Chiết tự: bộ 囗 (vi – vây quanh) lồng nhau — hình nước xoáy cuộn trở lại</t>
        </is>
      </c>
      <c r="U506" s="15" t="inlineStr">
        <is>
          <t>🚗 Giao thông &amp; Địa điểm</t>
        </is>
      </c>
      <c r="V506" s="63" t="inlineStr">
        <is>
          <t>我五点回家。</t>
        </is>
      </c>
      <c r="W506" s="64" t="inlineStr">
        <is>
          <t>Wǒ wǔ diǎn huí jiā.
Tôi về nhà lúc năm giờ.</t>
        </is>
      </c>
    </row>
    <row r="507" ht="69.75" customHeight="1" s="99">
      <c r="A507" s="27" t="n">
        <v>156</v>
      </c>
      <c r="B507" s="29" t="inlineStr">
        <is>
          <t>HSK1</t>
        </is>
      </c>
      <c r="C507" s="31" t="inlineStr">
        <is>
          <t>回到</t>
        </is>
      </c>
      <c r="D507" s="32" t="inlineStr">
        <is>
          <t>huídào</t>
        </is>
      </c>
      <c r="E507" s="33" t="inlineStr">
        <is>
          <t>quay về</t>
        </is>
      </c>
      <c r="F507" s="34" t="n"/>
      <c r="G507" s="7" t="inlineStr">
        <is>
          <t>回到</t>
        </is>
      </c>
      <c r="H507" s="8">
        <f>IF(TRIM($G507)="","",IF(EXACT(TRIM($G507),TRIM($C507)),"✅ Đúng","❌ Sai"))</f>
        <v/>
      </c>
      <c r="I507" s="36">
        <f>HYPERLINK("https://translate.google.com/translate_tts?ie=UTF-8&amp;tl=zh-CN&amp;client=tw-ob&amp;q=回到","▶")</f>
        <v/>
      </c>
      <c r="J507" s="36">
        <f>HYPERLINK("https://youglish.com/pronounce/回到/chinese","🔍")</f>
        <v/>
      </c>
      <c r="K507" s="37" t="n"/>
      <c r="L507" s="38" t="n"/>
      <c r="M507" s="37" t="n"/>
      <c r="N507" s="38" t="n"/>
      <c r="O507" s="37" t="n"/>
      <c r="P507" s="38" t="n"/>
      <c r="Q507" s="37" t="n"/>
      <c r="R507" s="40" t="inlineStr">
        <is>
          <t>2026-06-17</t>
        </is>
      </c>
      <c r="S507" s="43" t="n"/>
      <c r="T507" s="14" t="inlineStr">
        <is>
          <t>回 [HỒI] · quay về, trở lại; lượt
    ↳ Chiết tự: bộ 囗 (vi – vây quanh) lồng nhau — hình nước xoáy cuộn trở lại
到 [ĐÁO] · đến, tới, chu đáo
    ↳ Chiết tự: bộ 至 (chí – tới nơi) + 刂 (đao đứng – âm đọc) — mũi tên cắm tới đích</t>
        </is>
      </c>
      <c r="U507" s="15" t="inlineStr">
        <is>
          <t>🚗 Giao thông &amp; Địa điểm</t>
        </is>
      </c>
      <c r="V507" s="63" t="inlineStr">
        <is>
          <t>我回到家很累。</t>
        </is>
      </c>
      <c r="W507" s="64" t="inlineStr">
        <is>
          <t>Wǒ huídào jiā hěn lèi.
Tôi về đến nhà thì rất mệt.</t>
        </is>
      </c>
    </row>
    <row r="508" ht="69.75" customHeight="1" s="99">
      <c r="A508" s="27" t="n">
        <v>157</v>
      </c>
      <c r="B508" s="29" t="inlineStr">
        <is>
          <t>HSK1</t>
        </is>
      </c>
      <c r="C508" s="31" t="inlineStr">
        <is>
          <t>回家</t>
        </is>
      </c>
      <c r="D508" s="32" t="inlineStr">
        <is>
          <t>huíjiā</t>
        </is>
      </c>
      <c r="E508" s="33" t="inlineStr">
        <is>
          <t>về nhà</t>
        </is>
      </c>
      <c r="F508" s="35" t="inlineStr">
        <is>
          <t>回家</t>
        </is>
      </c>
      <c r="G508" s="7" t="inlineStr">
        <is>
          <t>回家</t>
        </is>
      </c>
      <c r="H508" s="8">
        <f>IF(TRIM($G508)="","",IF(EXACT(TRIM($G508),TRIM($C508)),"✅ Đúng","❌ Sai"))</f>
        <v/>
      </c>
      <c r="I508" s="36">
        <f>HYPERLINK("https://translate.google.com/translate_tts?ie=UTF-8&amp;tl=zh-CN&amp;client=tw-ob&amp;q=回家","▶")</f>
        <v/>
      </c>
      <c r="J508" s="36">
        <f>HYPERLINK("https://youglish.com/pronounce/回家/chinese","🔍")</f>
        <v/>
      </c>
      <c r="K508" s="37" t="n"/>
      <c r="L508" s="38" t="n"/>
      <c r="M508" s="37" t="n"/>
      <c r="N508" s="38" t="n"/>
      <c r="O508" s="37" t="n"/>
      <c r="P508" s="38" t="n"/>
      <c r="Q508" s="37" t="n"/>
      <c r="R508" s="40" t="inlineStr">
        <is>
          <t>2026-06-17</t>
        </is>
      </c>
      <c r="S508" s="42" t="n"/>
      <c r="T508" s="14" t="inlineStr">
        <is>
          <t>回 [HỒI] · quay về, trở lại; lượt
    ↳ Chiết tự: bộ 囗 (vi – vây quanh) lồng nhau — hình nước xoáy cuộn trở lại
家 [GIA] · nhà, gia đình; nhà chuyên môn
    ↳ Chiết tự: bộ 宀 (miên – mái nhà) + 豕 (thỉ – con lợn) — dưới mái có nuôi lợn mới là một gia đình</t>
        </is>
      </c>
      <c r="U508" s="15" t="inlineStr">
        <is>
          <t>🚗 Giao thông &amp; Địa điểm</t>
        </is>
      </c>
      <c r="V508" s="63" t="inlineStr">
        <is>
          <t>我要回家了。</t>
        </is>
      </c>
      <c r="W508" s="64" t="inlineStr">
        <is>
          <t>Wǒ yào huí jiā le.
Tôi phải về nhà rồi.</t>
        </is>
      </c>
    </row>
    <row r="509" ht="69.75" customHeight="1" s="99">
      <c r="A509" s="27" t="n">
        <v>158</v>
      </c>
      <c r="B509" s="29" t="inlineStr">
        <is>
          <t>HSK1</t>
        </is>
      </c>
      <c r="C509" s="31" t="inlineStr">
        <is>
          <t>回来</t>
        </is>
      </c>
      <c r="D509" s="32" t="inlineStr">
        <is>
          <t>huílái</t>
        </is>
      </c>
      <c r="E509" s="33" t="inlineStr">
        <is>
          <t>về (gần)</t>
        </is>
      </c>
      <c r="F509" s="35" t="inlineStr">
        <is>
          <t>回来</t>
        </is>
      </c>
      <c r="G509" s="7" t="inlineStr">
        <is>
          <t>回来</t>
        </is>
      </c>
      <c r="H509" s="8">
        <f>IF(TRIM($G509)="","",IF(EXACT(TRIM($G509),TRIM($C509)),"✅ Đúng","❌ Sai"))</f>
        <v/>
      </c>
      <c r="I509" s="36">
        <f>HYPERLINK("https://translate.google.com/translate_tts?ie=UTF-8&amp;tl=zh-CN&amp;client=tw-ob&amp;q=回来","▶")</f>
        <v/>
      </c>
      <c r="J509" s="36">
        <f>HYPERLINK("https://youglish.com/pronounce/回来/chinese","🔍")</f>
        <v/>
      </c>
      <c r="K509" s="37" t="n"/>
      <c r="L509" s="38" t="n"/>
      <c r="M509" s="37" t="n"/>
      <c r="N509" s="38" t="n"/>
      <c r="O509" s="37" t="n"/>
      <c r="P509" s="38" t="n"/>
      <c r="Q509" s="37" t="n"/>
      <c r="R509" s="40" t="inlineStr">
        <is>
          <t>2026-06-17</t>
        </is>
      </c>
      <c r="S509" s="43" t="n"/>
      <c r="T509" s="14" t="inlineStr">
        <is>
          <t>回 [HỒI] · quay về, trở lại; lượt
    ↳ Chiết tự: bộ 囗 (vi – vây quanh) lồng nhau — hình nước xoáy cuộn trở lại
来 [LAI] · đến, tới, sắp tới
    ↳ Chiết tự: giản thể của 來: bộ 木 (mộc) — hình bông lúa mạch, mượn âm làm "đến"</t>
        </is>
      </c>
      <c r="U509" s="15" t="inlineStr">
        <is>
          <t>🚗 Giao thông &amp; Địa điểm</t>
        </is>
      </c>
      <c r="V509" s="63" t="inlineStr">
        <is>
          <t>他昨天回来了。</t>
        </is>
      </c>
      <c r="W509" s="64" t="inlineStr">
        <is>
          <t>Tā zuótiān huílai le.
Anh ấy về hôm qua rồi.</t>
        </is>
      </c>
    </row>
    <row r="510" ht="69.75" customHeight="1" s="99">
      <c r="A510" s="27" t="n">
        <v>159</v>
      </c>
      <c r="B510" s="29" t="inlineStr">
        <is>
          <t>HSK1</t>
        </is>
      </c>
      <c r="C510" s="31" t="inlineStr">
        <is>
          <t>回去</t>
        </is>
      </c>
      <c r="D510" s="32" t="inlineStr">
        <is>
          <t>huíqù</t>
        </is>
      </c>
      <c r="E510" s="33" t="inlineStr">
        <is>
          <t>về (xa)</t>
        </is>
      </c>
      <c r="F510" s="34" t="n"/>
      <c r="G510" s="7" t="inlineStr">
        <is>
          <t>回去</t>
        </is>
      </c>
      <c r="H510" s="8">
        <f>IF(TRIM($G510)="","",IF(EXACT(TRIM($G510),TRIM($C510)),"✅ Đúng","❌ Sai"))</f>
        <v/>
      </c>
      <c r="I510" s="36">
        <f>HYPERLINK("https://translate.google.com/translate_tts?ie=UTF-8&amp;tl=zh-CN&amp;client=tw-ob&amp;q=回去","▶")</f>
        <v/>
      </c>
      <c r="J510" s="36">
        <f>HYPERLINK("https://youglish.com/pronounce/回去/chinese","🔍")</f>
        <v/>
      </c>
      <c r="K510" s="37" t="n"/>
      <c r="L510" s="38" t="n"/>
      <c r="M510" s="37" t="n"/>
      <c r="N510" s="38" t="n"/>
      <c r="O510" s="37" t="n"/>
      <c r="P510" s="38" t="n"/>
      <c r="Q510" s="37" t="n"/>
      <c r="R510" s="40" t="inlineStr">
        <is>
          <t>2026-06-17</t>
        </is>
      </c>
      <c r="S510" s="42" t="n"/>
      <c r="T510" s="14" t="inlineStr">
        <is>
          <t>回 [HỒI] · quay về, trở lại; lượt
    ↳ Chiết tự: bộ 囗 (vi – vây quanh) lồng nhau — hình nước xoáy cuộn trở lại
去 [KHỨ] · đi, rời khỏi; đã qua
    ↳ Chiết tự: bộ 土 (thổ – đất) + 厶 (tư) — người rời khỏi chỗ đất mà đi</t>
        </is>
      </c>
      <c r="U510" s="15" t="inlineStr">
        <is>
          <t>🚗 Giao thông &amp; Địa điểm</t>
        </is>
      </c>
      <c r="V510" s="63" t="inlineStr">
        <is>
          <t>我想回去休息。</t>
        </is>
      </c>
      <c r="W510" s="64" t="inlineStr">
        <is>
          <t>Wǒ xiǎng huíqù xiūxi.
Tôi muốn về nghỉ.</t>
        </is>
      </c>
    </row>
    <row r="511" ht="58.15" customHeight="1" s="99">
      <c r="A511" s="27" t="n">
        <v>161</v>
      </c>
      <c r="B511" s="29" t="inlineStr">
        <is>
          <t>HSK1</t>
        </is>
      </c>
      <c r="C511" s="31" t="inlineStr">
        <is>
          <t>火车</t>
        </is>
      </c>
      <c r="D511" s="32" t="inlineStr">
        <is>
          <t>huǒchē</t>
        </is>
      </c>
      <c r="E511" s="33" t="inlineStr">
        <is>
          <t>xe lửa</t>
        </is>
      </c>
      <c r="F511" s="34" t="n"/>
      <c r="G511" s="7" t="inlineStr">
        <is>
          <t>火车</t>
        </is>
      </c>
      <c r="H511" s="8">
        <f>IF(TRIM($G511)="","",IF(EXACT(TRIM($G511),TRIM($C511)),"✅ Đúng","❌ Sai"))</f>
        <v/>
      </c>
      <c r="I511" s="36">
        <f>HYPERLINK("https://translate.google.com/translate_tts?ie=UTF-8&amp;tl=zh-CN&amp;client=tw-ob&amp;q=火车","▶")</f>
        <v/>
      </c>
      <c r="J511" s="36">
        <f>HYPERLINK("https://youglish.com/pronounce/火车/chinese","🔍")</f>
        <v/>
      </c>
      <c r="K511" s="37" t="n"/>
      <c r="L511" s="38" t="n"/>
      <c r="M511" s="37" t="n"/>
      <c r="N511" s="38" t="n"/>
      <c r="O511" s="37" t="n"/>
      <c r="P511" s="38" t="n"/>
      <c r="Q511" s="37" t="n"/>
      <c r="R511" s="40" t="inlineStr">
        <is>
          <t>2026-06-17</t>
        </is>
      </c>
      <c r="S511" s="42" t="n"/>
      <c r="T511" s="14" t="inlineStr">
        <is>
          <t>火 [HỎA] · lửa
    ↳ Chiết tự: bộ 火 (hỏa) — hình ngọn lửa bốc cháy
车 [XA / XE] · xe cộ
    ↳ Chiết tự: giản thể của 車: bộ 车 (xa) — hình chiếc xe nhìn từ trên, có trục và bánh</t>
        </is>
      </c>
      <c r="U511" s="15" t="inlineStr">
        <is>
          <t>🚗 Giao thông &amp; Địa điểm</t>
        </is>
      </c>
      <c r="V511" s="63" t="inlineStr">
        <is>
          <t>我坐火车去上海。</t>
        </is>
      </c>
      <c r="W511" s="64" t="inlineStr">
        <is>
          <t>Wǒ zuò huǒchē qù Shànghǎi.
Tôi đi tàu hỏa tới Thượng Hải.</t>
        </is>
      </c>
    </row>
    <row r="512" ht="69.75" customHeight="1" s="99">
      <c r="A512" s="27" t="n">
        <v>162</v>
      </c>
      <c r="B512" s="30" t="inlineStr">
        <is>
          <t>HSK1+2</t>
        </is>
      </c>
      <c r="C512" s="31" t="inlineStr">
        <is>
          <t>机场</t>
        </is>
      </c>
      <c r="D512" s="32" t="inlineStr">
        <is>
          <t>jīchǎng</t>
        </is>
      </c>
      <c r="E512" s="33" t="inlineStr">
        <is>
          <t>sân bay</t>
        </is>
      </c>
      <c r="F512" s="34" t="n"/>
      <c r="G512" s="7" t="inlineStr">
        <is>
          <t>机场</t>
        </is>
      </c>
      <c r="H512" s="8">
        <f>IF(TRIM($G512)="","",IF(EXACT(TRIM($G512),TRIM($C512)),"✅ Đúng","❌ Sai"))</f>
        <v/>
      </c>
      <c r="I512" s="36">
        <f>HYPERLINK("https://translate.google.com/translate_tts?ie=UTF-8&amp;tl=zh-CN&amp;client=tw-ob&amp;q=机场","▶")</f>
        <v/>
      </c>
      <c r="J512" s="36">
        <f>HYPERLINK("https://youglish.com/pronounce/机场/chinese","🔍")</f>
        <v/>
      </c>
      <c r="K512" s="37" t="n"/>
      <c r="L512" s="38" t="n"/>
      <c r="M512" s="37" t="n"/>
      <c r="N512" s="38" t="n"/>
      <c r="O512" s="37" t="n"/>
      <c r="P512" s="38" t="n"/>
      <c r="Q512" s="37" t="n"/>
      <c r="R512" s="40" t="inlineStr">
        <is>
          <t>2026-06-17</t>
        </is>
      </c>
      <c r="S512" s="43" t="n"/>
      <c r="T512" s="14" t="inlineStr">
        <is>
          <t>机 [CƠ] · máy móc; cơ hội
    ↳ Chiết tự: giản thể của 機: bộ 木 (mộc – gỗ) + 几 (kỷ – âm đọc) — khung cửi bằng gỗ
场 [TRƯỜNG] · sân bãi, nơi rộng
    ↳ Chiết tự: giản thể của 場: bộ 土 (thổ – đất) + 昜 (dương – nắng) — khoảng đất trống phơi nắng</t>
        </is>
      </c>
      <c r="U512" s="15" t="inlineStr">
        <is>
          <t>🚗 Giao thông &amp; Địa điểm</t>
        </is>
      </c>
      <c r="V512" s="63" t="inlineStr">
        <is>
          <t>我去机场接他。</t>
        </is>
      </c>
      <c r="W512" s="64" t="inlineStr">
        <is>
          <t>Wǒ qù jīchǎng jiē tā.
Tôi ra sân bay đón anh ấy.</t>
        </is>
      </c>
    </row>
    <row r="513" ht="34.9" customHeight="1" s="99">
      <c r="A513" s="27" t="n">
        <v>182</v>
      </c>
      <c r="B513" s="61" t="inlineStr">
        <is>
          <t>HSK1+2+3</t>
        </is>
      </c>
      <c r="C513" s="31" t="inlineStr">
        <is>
          <t>进</t>
        </is>
      </c>
      <c r="D513" s="32" t="inlineStr">
        <is>
          <t>jìn</t>
        </is>
      </c>
      <c r="E513" s="33" t="inlineStr">
        <is>
          <t>vào</t>
        </is>
      </c>
      <c r="F513" s="34" t="n"/>
      <c r="G513" s="7" t="n"/>
      <c r="H513" s="8">
        <f>IF(TRIM($G513)="","",IF(EXACT(TRIM($G513),TRIM($C513)),"✅ Đúng","❌ Sai"))</f>
        <v/>
      </c>
      <c r="I513" s="36">
        <f>HYPERLINK("https://translate.google.com/translate_tts?ie=UTF-8&amp;tl=zh-CN&amp;client=tw-ob&amp;q=进","▶")</f>
        <v/>
      </c>
      <c r="J513" s="36">
        <f>HYPERLINK("https://youglish.com/pronounce/进/chinese","🔍")</f>
        <v/>
      </c>
      <c r="K513" s="37" t="n"/>
      <c r="L513" s="38" t="n"/>
      <c r="M513" s="37" t="n"/>
      <c r="N513" s="38" t="n"/>
      <c r="O513" s="37" t="n"/>
      <c r="P513" s="38" t="n"/>
      <c r="Q513" s="37" t="n"/>
      <c r="R513" s="40" t="inlineStr">
        <is>
          <t>2026-06-17</t>
        </is>
      </c>
      <c r="S513" s="43" t="n"/>
      <c r="T513" s="14" t="inlineStr">
        <is>
          <t>进 [TIẾN] · đi vào, tiến lên
    ↳ Chiết tự: giản thể của 進: bộ 辶 (sước – bước đi) + 井 (tỉnh – âm đọc) — bước vào bên trong</t>
        </is>
      </c>
      <c r="U513" s="15" t="inlineStr">
        <is>
          <t>🚗 Giao thông &amp; Địa điểm</t>
        </is>
      </c>
      <c r="V513" s="63" t="inlineStr">
        <is>
          <t>请进！</t>
        </is>
      </c>
      <c r="W513" s="64" t="inlineStr">
        <is>
          <t>Qǐng jìn!
Xin vào!</t>
        </is>
      </c>
    </row>
    <row r="514" ht="69.75" customHeight="1" s="99">
      <c r="A514" s="27" t="n">
        <v>183</v>
      </c>
      <c r="B514" s="29" t="inlineStr">
        <is>
          <t>HSK1</t>
        </is>
      </c>
      <c r="C514" s="31" t="inlineStr">
        <is>
          <t>进来</t>
        </is>
      </c>
      <c r="D514" s="32" t="inlineStr">
        <is>
          <t>jìnlái</t>
        </is>
      </c>
      <c r="E514" s="33" t="inlineStr">
        <is>
          <t>bước vào (lại gần)</t>
        </is>
      </c>
      <c r="F514" s="35" t="inlineStr">
        <is>
          <t>进来</t>
        </is>
      </c>
      <c r="G514" s="7" t="n"/>
      <c r="H514" s="8">
        <f>IF(TRIM($G514)="","",IF(EXACT(TRIM($G514),TRIM($C514)),"✅ Đúng","❌ Sai"))</f>
        <v/>
      </c>
      <c r="I514" s="36">
        <f>HYPERLINK("https://translate.google.com/translate_tts?ie=UTF-8&amp;tl=zh-CN&amp;client=tw-ob&amp;q=进来","▶")</f>
        <v/>
      </c>
      <c r="J514" s="36">
        <f>HYPERLINK("https://youglish.com/pronounce/进来/chinese","🔍")</f>
        <v/>
      </c>
      <c r="K514" s="37" t="n"/>
      <c r="L514" s="38" t="n"/>
      <c r="M514" s="37" t="n"/>
      <c r="N514" s="38" t="n"/>
      <c r="O514" s="37" t="n"/>
      <c r="P514" s="38" t="n"/>
      <c r="Q514" s="37" t="n"/>
      <c r="R514" s="40" t="inlineStr">
        <is>
          <t>2026-06-17</t>
        </is>
      </c>
      <c r="S514" s="42" t="n"/>
      <c r="T514" s="14" t="inlineStr">
        <is>
          <t>进 [TIẾN] · đi vào, tiến lên
    ↳ Chiết tự: giản thể của 進: bộ 辶 (sước – bước đi) + 井 (tỉnh – âm đọc) — bước vào bên trong
来 [LAI] · đến, tới, sắp tới
    ↳ Chiết tự: giản thể của 來: bộ 木 (mộc) — hình bông lúa mạch, mượn âm làm "đến"</t>
        </is>
      </c>
      <c r="U514" s="15" t="inlineStr">
        <is>
          <t>🚗 Giao thông &amp; Địa điểm</t>
        </is>
      </c>
      <c r="V514" s="63" t="inlineStr">
        <is>
          <t>你进来吧。</t>
        </is>
      </c>
      <c r="W514" s="64" t="inlineStr">
        <is>
          <t>Nǐ jìnlai ba.
Bạn vào đi.</t>
        </is>
      </c>
    </row>
    <row r="515" ht="69.75" customHeight="1" s="99">
      <c r="A515" s="27" t="n">
        <v>184</v>
      </c>
      <c r="B515" s="29" t="inlineStr">
        <is>
          <t>HSK1</t>
        </is>
      </c>
      <c r="C515" s="31" t="inlineStr">
        <is>
          <t>进去</t>
        </is>
      </c>
      <c r="D515" s="32" t="inlineStr">
        <is>
          <t>jìnqù</t>
        </is>
      </c>
      <c r="E515" s="33" t="inlineStr">
        <is>
          <t>bước vào (xa)</t>
        </is>
      </c>
      <c r="F515" s="35" t="inlineStr">
        <is>
          <t>进去</t>
        </is>
      </c>
      <c r="G515" s="7" t="n"/>
      <c r="H515" s="8">
        <f>IF(TRIM($G515)="","",IF(EXACT(TRIM($G515),TRIM($C515)),"✅ Đúng","❌ Sai"))</f>
        <v/>
      </c>
      <c r="I515" s="36">
        <f>HYPERLINK("https://translate.google.com/translate_tts?ie=UTF-8&amp;tl=zh-CN&amp;client=tw-ob&amp;q=进去","▶")</f>
        <v/>
      </c>
      <c r="J515" s="36">
        <f>HYPERLINK("https://youglish.com/pronounce/进去/chinese","🔍")</f>
        <v/>
      </c>
      <c r="K515" s="37" t="n"/>
      <c r="L515" s="38" t="n"/>
      <c r="M515" s="37" t="n"/>
      <c r="N515" s="38" t="n"/>
      <c r="O515" s="37" t="n"/>
      <c r="P515" s="38" t="n"/>
      <c r="Q515" s="37" t="n"/>
      <c r="R515" s="40" t="inlineStr">
        <is>
          <t>2026-06-17</t>
        </is>
      </c>
      <c r="S515" s="43" t="n"/>
      <c r="T515" s="14" t="inlineStr">
        <is>
          <t>进 [TIẾN] · đi vào, tiến lên
    ↳ Chiết tự: giản thể của 進: bộ 辶 (sước – bước đi) + 井 (tỉnh – âm đọc) — bước vào bên trong
去 [KHỨ] · đi, rời khỏi; đã qua
    ↳ Chiết tự: bộ 土 (thổ – đất) + 厶 (tư) — người rời khỏi chỗ đất mà đi</t>
        </is>
      </c>
      <c r="U515" s="15" t="inlineStr">
        <is>
          <t>🚗 Giao thông &amp; Địa điểm</t>
        </is>
      </c>
      <c r="V515" s="63" t="inlineStr">
        <is>
          <t>我们进去看看。</t>
        </is>
      </c>
      <c r="W515" s="64" t="inlineStr">
        <is>
          <t>Wǒmen jìnqù kànkan.
Chúng ta vào xem thử.</t>
        </is>
      </c>
    </row>
    <row r="516" ht="34.9" customHeight="1" s="99">
      <c r="A516" s="27" t="n">
        <v>208</v>
      </c>
      <c r="B516" s="30" t="inlineStr">
        <is>
          <t>HSK1+2</t>
        </is>
      </c>
      <c r="C516" s="31" t="inlineStr">
        <is>
          <t>来</t>
        </is>
      </c>
      <c r="D516" s="32" t="inlineStr">
        <is>
          <t>lái</t>
        </is>
      </c>
      <c r="E516" s="33" t="inlineStr">
        <is>
          <t>đến, lại</t>
        </is>
      </c>
      <c r="F516" s="34" t="inlineStr">
        <is>
          <t>来</t>
        </is>
      </c>
      <c r="G516" s="7" t="inlineStr">
        <is>
          <t>来</t>
        </is>
      </c>
      <c r="H516" s="8">
        <f>IF(TRIM($G516)="","",IF(EXACT(TRIM($G516),TRIM($C516)),"✅ Đúng","❌ Sai"))</f>
        <v/>
      </c>
      <c r="I516" s="36">
        <f>HYPERLINK("https://translate.google.com/translate_tts?ie=UTF-8&amp;tl=zh-CN&amp;client=tw-ob&amp;q=来","▶")</f>
        <v/>
      </c>
      <c r="J516" s="36">
        <f>HYPERLINK("https://youglish.com/pronounce/来/chinese","🔍")</f>
        <v/>
      </c>
      <c r="K516" s="37" t="n"/>
      <c r="L516" s="38" t="n"/>
      <c r="M516" s="37" t="n"/>
      <c r="N516" s="38" t="n"/>
      <c r="O516" s="37" t="n"/>
      <c r="P516" s="38" t="n"/>
      <c r="Q516" s="37" t="n"/>
      <c r="R516" s="40" t="inlineStr">
        <is>
          <t>2026-06-17</t>
        </is>
      </c>
      <c r="S516" s="43" t="n"/>
      <c r="T516" s="14" t="inlineStr">
        <is>
          <t>来 [LAI] · đến, tới, sắp tới
    ↳ Chiết tự: giản thể của 來: bộ 木 (mộc) — hình bông lúa mạch, mượn âm làm "đến"</t>
        </is>
      </c>
      <c r="U516" s="15" t="inlineStr">
        <is>
          <t>🚗 Giao thông &amp; Địa điểm</t>
        </is>
      </c>
      <c r="V516" s="63" t="inlineStr">
        <is>
          <t>他明天来。</t>
        </is>
      </c>
      <c r="W516" s="64" t="inlineStr">
        <is>
          <t>Tā míngtiān lái.
Mai anh ấy đến.</t>
        </is>
      </c>
    </row>
    <row r="517" ht="34.9" customHeight="1" s="99">
      <c r="A517" s="27" t="n">
        <v>218</v>
      </c>
      <c r="B517" s="61" t="inlineStr">
        <is>
          <t>HSK1+3</t>
        </is>
      </c>
      <c r="C517" s="31" t="inlineStr">
        <is>
          <t>楼</t>
        </is>
      </c>
      <c r="D517" s="32" t="inlineStr">
        <is>
          <t>lóu</t>
        </is>
      </c>
      <c r="E517" s="33" t="inlineStr">
        <is>
          <t>tầng, lầu</t>
        </is>
      </c>
      <c r="F517" s="35" t="inlineStr">
        <is>
          <t>楼</t>
        </is>
      </c>
      <c r="G517" s="7" t="n"/>
      <c r="H517" s="8">
        <f>IF(TRIM($G517)="","",IF(EXACT(TRIM($G517),TRIM($C517)),"✅ Đúng","❌ Sai"))</f>
        <v/>
      </c>
      <c r="I517" s="36">
        <f>HYPERLINK("https://translate.google.com/translate_tts?ie=UTF-8&amp;tl=zh-CN&amp;client=tw-ob&amp;q=楼","▶")</f>
        <v/>
      </c>
      <c r="J517" s="36">
        <f>HYPERLINK("https://youglish.com/pronounce/楼/chinese","🔍")</f>
        <v/>
      </c>
      <c r="K517" s="37" t="n"/>
      <c r="L517" s="38" t="n"/>
      <c r="M517" s="37" t="n"/>
      <c r="N517" s="38" t="n"/>
      <c r="O517" s="37" t="n"/>
      <c r="P517" s="38" t="n"/>
      <c r="Q517" s="37" t="n"/>
      <c r="R517" s="40" t="inlineStr">
        <is>
          <t>2026-06-17</t>
        </is>
      </c>
      <c r="S517" s="43" t="n"/>
      <c r="T517" s="14" t="inlineStr">
        <is>
          <t>楼 [LÂU] · lầu, tòa nhà nhiều tầng
    ↳ Chiết tự: giản thể của 樓: bộ 木 (mộc – gỗ) + 娄 (lâu – âm đọc) — nhà gỗ chồng tầng</t>
        </is>
      </c>
      <c r="U517" s="15" t="inlineStr">
        <is>
          <t>🚗 Giao thông &amp; Địa điểm</t>
        </is>
      </c>
      <c r="V517" s="63" t="inlineStr">
        <is>
          <t>我住在五楼。</t>
        </is>
      </c>
      <c r="W517" s="64" t="inlineStr">
        <is>
          <t>Wǒ zhù zài wǔ lóu.
Tôi ở tầng năm.</t>
        </is>
      </c>
    </row>
    <row r="518" ht="34.9" customHeight="1" s="99">
      <c r="A518" s="27" t="n">
        <v>219</v>
      </c>
      <c r="B518" s="30" t="inlineStr">
        <is>
          <t>HSK1+2</t>
        </is>
      </c>
      <c r="C518" s="31" t="inlineStr">
        <is>
          <t>路</t>
        </is>
      </c>
      <c r="D518" s="32" t="inlineStr">
        <is>
          <t>lù</t>
        </is>
      </c>
      <c r="E518" s="33" t="inlineStr">
        <is>
          <t>đường</t>
        </is>
      </c>
      <c r="F518" s="34" t="n"/>
      <c r="G518" s="7" t="n"/>
      <c r="H518" s="8">
        <f>IF(TRIM($G518)="","",IF(EXACT(TRIM($G518),TRIM($C518)),"✅ Đúng","❌ Sai"))</f>
        <v/>
      </c>
      <c r="I518" s="36">
        <f>HYPERLINK("https://translate.google.com/translate_tts?ie=UTF-8&amp;tl=zh-CN&amp;client=tw-ob&amp;q=路","▶")</f>
        <v/>
      </c>
      <c r="J518" s="36">
        <f>HYPERLINK("https://youglish.com/pronounce/路/chinese","🔍")</f>
        <v/>
      </c>
      <c r="K518" s="37" t="n"/>
      <c r="L518" s="38" t="n"/>
      <c r="M518" s="37" t="n"/>
      <c r="N518" s="38" t="n"/>
      <c r="O518" s="37" t="n"/>
      <c r="P518" s="38" t="n"/>
      <c r="Q518" s="37" t="n"/>
      <c r="R518" s="40" t="inlineStr">
        <is>
          <t>2026-06-17</t>
        </is>
      </c>
      <c r="S518" s="42" t="n"/>
      <c r="T518" s="14" t="inlineStr">
        <is>
          <t>路 [LỘ] · con đường, lộ trình
    ↳ Chiết tự: bộ 足 (túc – bàn chân) + 各 (các – mỗi) — lối mà mỗi người đi</t>
        </is>
      </c>
      <c r="U518" s="15" t="inlineStr">
        <is>
          <t>🚗 Giao thông &amp; Địa điểm</t>
        </is>
      </c>
      <c r="V518" s="63" t="inlineStr">
        <is>
          <t>这条路很长。</t>
        </is>
      </c>
      <c r="W518" s="64" t="inlineStr">
        <is>
          <t>Zhè tiáo lù hěn cháng.
Con đường này rất dài.</t>
        </is>
      </c>
    </row>
    <row r="519" ht="69.75" customHeight="1" s="99">
      <c r="A519" s="27" t="n">
        <v>280</v>
      </c>
      <c r="B519" s="29" t="inlineStr">
        <is>
          <t>HSK1</t>
        </is>
      </c>
      <c r="C519" s="31" t="inlineStr">
        <is>
          <t>汽车</t>
        </is>
      </c>
      <c r="D519" s="32" t="inlineStr">
        <is>
          <t>qìchē</t>
        </is>
      </c>
      <c r="E519" s="33" t="inlineStr">
        <is>
          <t>ôtô, xe hơi</t>
        </is>
      </c>
      <c r="F519" s="35" t="inlineStr">
        <is>
          <t>汽车</t>
        </is>
      </c>
      <c r="G519" s="7" t="inlineStr">
        <is>
          <t>汽车</t>
        </is>
      </c>
      <c r="H519" s="8">
        <f>IF(TRIM($G519)="","",IF(EXACT(TRIM($G519),TRIM($C519)),"✅ Đúng","❌ Sai"))</f>
        <v/>
      </c>
      <c r="I519" s="36">
        <f>HYPERLINK("https://translate.google.com/translate_tts?ie=UTF-8&amp;tl=zh-CN&amp;client=tw-ob&amp;q=汽车","▶")</f>
        <v/>
      </c>
      <c r="J519" s="36">
        <f>HYPERLINK("https://youglish.com/pronounce/汽车/chinese","🔍")</f>
        <v/>
      </c>
      <c r="K519" s="37" t="n"/>
      <c r="L519" s="38" t="n"/>
      <c r="M519" s="37" t="n"/>
      <c r="N519" s="38" t="n"/>
      <c r="O519" s="37" t="n"/>
      <c r="P519" s="38" t="n"/>
      <c r="Q519" s="37" t="n"/>
      <c r="R519" s="40" t="inlineStr">
        <is>
          <t>2026-06-17</t>
        </is>
      </c>
      <c r="S519" s="42" t="n"/>
      <c r="T519" s="14" t="inlineStr">
        <is>
          <t>汽 [KHÍ] · hơi nước; xe hơi
    ↳ Chiết tự: bộ 氵 (thủy – nước) + 气 (khí – hơi) — hơi bốc lên từ nước
车 [XA / XE] · xe cộ
    ↳ Chiết tự: giản thể của 車: bộ 车 (xa) — hình chiếc xe nhìn từ trên, có trục và bánh</t>
        </is>
      </c>
      <c r="U519" s="15" t="inlineStr">
        <is>
          <t>🚗 Giao thông &amp; Địa điểm</t>
        </is>
      </c>
      <c r="V519" s="63" t="inlineStr">
        <is>
          <t>门口有一辆汽车。</t>
        </is>
      </c>
      <c r="W519" s="64" t="inlineStr">
        <is>
          <t>Ménkǒu yǒu yí liàng qìchē.
Trước cửa có một chiếc ô tô.</t>
        </is>
      </c>
    </row>
    <row r="520" ht="34.9" customHeight="1" s="99">
      <c r="A520" s="27" t="n">
        <v>292</v>
      </c>
      <c r="B520" s="30" t="inlineStr">
        <is>
          <t>HSK1+2</t>
        </is>
      </c>
      <c r="C520" s="31" t="inlineStr">
        <is>
          <t>去</t>
        </is>
      </c>
      <c r="D520" s="32" t="inlineStr">
        <is>
          <t>qù</t>
        </is>
      </c>
      <c r="E520" s="33" t="inlineStr">
        <is>
          <t>đi</t>
        </is>
      </c>
      <c r="F520" s="34" t="n"/>
      <c r="G520" s="7" t="inlineStr">
        <is>
          <t>去</t>
        </is>
      </c>
      <c r="H520" s="8">
        <f>IF(TRIM($G520)="","",IF(EXACT(TRIM($G520),TRIM($C520)),"✅ Đúng","❌ Sai"))</f>
        <v/>
      </c>
      <c r="I520" s="36">
        <f>HYPERLINK("https://translate.google.com/translate_tts?ie=UTF-8&amp;tl=zh-CN&amp;client=tw-ob&amp;q=去","▶")</f>
        <v/>
      </c>
      <c r="J520" s="36">
        <f>HYPERLINK("https://youglish.com/pronounce/去/chinese","🔍")</f>
        <v/>
      </c>
      <c r="K520" s="37" t="n"/>
      <c r="L520" s="38" t="n"/>
      <c r="M520" s="37" t="n"/>
      <c r="N520" s="38" t="n"/>
      <c r="O520" s="37" t="n"/>
      <c r="P520" s="38" t="n"/>
      <c r="Q520" s="37" t="n"/>
      <c r="R520" s="40" t="inlineStr">
        <is>
          <t>2026-06-17</t>
        </is>
      </c>
      <c r="S520" s="42" t="n"/>
      <c r="T520" s="14" t="inlineStr">
        <is>
          <t>去 [KHỨ] · đi, rời khỏi; đã qua
    ↳ Chiết tự: bộ 土 (thổ – đất) + 厶 (tư) — người rời khỏi chỗ đất mà đi</t>
        </is>
      </c>
      <c r="U520" s="15" t="inlineStr">
        <is>
          <t>🚗 Giao thông &amp; Địa điểm</t>
        </is>
      </c>
      <c r="V520" s="63" t="inlineStr">
        <is>
          <t>我要去学校。</t>
        </is>
      </c>
      <c r="W520" s="64" t="inlineStr">
        <is>
          <t>Wǒ yào qù xuéxiào.
Tôi phải đến trường.</t>
        </is>
      </c>
    </row>
    <row r="521" ht="69.75" customHeight="1" s="99">
      <c r="A521" s="27" t="n">
        <v>308</v>
      </c>
      <c r="B521" s="29" t="inlineStr">
        <is>
          <t>HSK1</t>
        </is>
      </c>
      <c r="C521" s="31" t="inlineStr">
        <is>
          <t>上车</t>
        </is>
      </c>
      <c r="D521" s="32" t="inlineStr">
        <is>
          <t>shàngchē</t>
        </is>
      </c>
      <c r="E521" s="33" t="inlineStr">
        <is>
          <t>lên xe</t>
        </is>
      </c>
      <c r="F521" s="34" t="n"/>
      <c r="G521" s="7" t="inlineStr">
        <is>
          <t>上车</t>
        </is>
      </c>
      <c r="H521" s="8">
        <f>IF(TRIM($G521)="","",IF(EXACT(TRIM($G521),TRIM($C521)),"✅ Đúng","❌ Sai"))</f>
        <v/>
      </c>
      <c r="I521" s="36">
        <f>HYPERLINK("https://translate.google.com/translate_tts?ie=UTF-8&amp;tl=zh-CN&amp;client=tw-ob&amp;q=上车","▶")</f>
        <v/>
      </c>
      <c r="J521" s="36">
        <f>HYPERLINK("https://youglish.com/pronounce/上车/chinese","🔍")</f>
        <v/>
      </c>
      <c r="K521" s="37" t="n"/>
      <c r="L521" s="38" t="n"/>
      <c r="M521" s="37" t="n"/>
      <c r="N521" s="38" t="n"/>
      <c r="O521" s="37" t="n"/>
      <c r="P521" s="38" t="n"/>
      <c r="Q521" s="37" t="n"/>
      <c r="R521" s="40" t="inlineStr">
        <is>
          <t>2026-06-17</t>
        </is>
      </c>
      <c r="S521" s="42" t="n"/>
      <c r="T521" s="14" t="inlineStr">
        <is>
          <t>上 [THƯỢNG] · ở trên, lên, trước đó
    ↳ Chiết tự: bộ 一 (nhất – mặt đất) + vạch chỉ hướng lên — chữ chỉ sự
车 [XA / XE] · xe cộ
    ↳ Chiết tự: giản thể của 車: bộ 车 (xa) — hình chiếc xe nhìn từ trên, có trục và bánh</t>
        </is>
      </c>
      <c r="U521" s="15" t="inlineStr">
        <is>
          <t>🚗 Giao thông &amp; Địa điểm</t>
        </is>
      </c>
      <c r="V521" s="63" t="inlineStr">
        <is>
          <t>快上车吧。</t>
        </is>
      </c>
      <c r="W521" s="64" t="inlineStr">
        <is>
          <t>Kuài shàng chē ba.
Lên xe nhanh đi.</t>
        </is>
      </c>
    </row>
    <row r="522" ht="23.25" customHeight="1" s="99">
      <c r="A522" s="27" t="n">
        <v>342</v>
      </c>
      <c r="B522" s="30" t="inlineStr">
        <is>
          <t>HSK1+2</t>
        </is>
      </c>
      <c r="C522" s="31" t="inlineStr">
        <is>
          <t>送</t>
        </is>
      </c>
      <c r="D522" s="32" t="inlineStr">
        <is>
          <t>sòng</t>
        </is>
      </c>
      <c r="E522" s="33" t="inlineStr">
        <is>
          <t>tặng, đưa cho</t>
        </is>
      </c>
      <c r="F522" s="34" t="n"/>
      <c r="G522" s="7" t="n"/>
      <c r="H522" s="8">
        <f>IF(TRIM($G522)="","",IF(EXACT(TRIM($G522),TRIM($C522)),"✅ Đúng","❌ Sai"))</f>
        <v/>
      </c>
      <c r="I522" s="36">
        <f>HYPERLINK("https://translate.google.com/translate_tts?ie=UTF-8&amp;tl=zh-CN&amp;client=tw-ob&amp;q=送","▶")</f>
        <v/>
      </c>
      <c r="J522" s="36">
        <f>HYPERLINK("https://youglish.com/pronounce/送/chinese","🔍")</f>
        <v/>
      </c>
      <c r="K522" s="37" t="n"/>
      <c r="L522" s="38" t="n"/>
      <c r="M522" s="37" t="n"/>
      <c r="N522" s="38" t="n"/>
      <c r="O522" s="37" t="n"/>
      <c r="P522" s="38" t="n"/>
      <c r="Q522" s="37" t="n"/>
      <c r="R522" s="40" t="inlineStr">
        <is>
          <t>2026-06-17</t>
        </is>
      </c>
      <c r="S522" s="42" t="n"/>
      <c r="T522" s="14" t="inlineStr">
        <is>
          <t>送 [TỐNG] · tặng, đưa tiễn, giao hàng
    ↳ Chiết tự: bộ 辶 (sước – bước đi) + 关 — đi theo mà đưa tiễn</t>
        </is>
      </c>
      <c r="U522" s="15" t="inlineStr">
        <is>
          <t>🚗 Giao thông &amp; Địa điểm</t>
        </is>
      </c>
      <c r="V522" s="63" t="inlineStr">
        <is>
          <t>我送你回家。</t>
        </is>
      </c>
      <c r="W522" s="64" t="inlineStr">
        <is>
          <t>Wǒ sòng nǐ huí jiā.
Tôi đưa bạn về nhà.</t>
        </is>
      </c>
    </row>
    <row r="523" ht="69.75" customHeight="1" s="99">
      <c r="A523" s="27" t="n">
        <v>359</v>
      </c>
      <c r="B523" s="29" t="inlineStr">
        <is>
          <t>HSK1</t>
        </is>
      </c>
      <c r="C523" s="31" t="inlineStr">
        <is>
          <t>外国</t>
        </is>
      </c>
      <c r="D523" s="32" t="inlineStr">
        <is>
          <t>wàiguó</t>
        </is>
      </c>
      <c r="E523" s="33" t="inlineStr">
        <is>
          <t>nước ngoài</t>
        </is>
      </c>
      <c r="F523" s="35" t="inlineStr">
        <is>
          <t>外国</t>
        </is>
      </c>
      <c r="G523" s="7" t="inlineStr">
        <is>
          <t>外国</t>
        </is>
      </c>
      <c r="H523" s="8">
        <f>IF(TRIM($G523)="","",IF(EXACT(TRIM($G523),TRIM($C523)),"✅ Đúng","❌ Sai"))</f>
        <v/>
      </c>
      <c r="I523" s="36">
        <f>HYPERLINK("https://translate.google.com/translate_tts?ie=UTF-8&amp;tl=zh-CN&amp;client=tw-ob&amp;q=外国","▶")</f>
        <v/>
      </c>
      <c r="J523" s="36">
        <f>HYPERLINK("https://youglish.com/pronounce/外国/chinese","🔍")</f>
        <v/>
      </c>
      <c r="K523" s="37" t="n"/>
      <c r="L523" s="38" t="n"/>
      <c r="M523" s="37" t="n"/>
      <c r="N523" s="38" t="n"/>
      <c r="O523" s="37" t="n"/>
      <c r="P523" s="38" t="n"/>
      <c r="Q523" s="37" t="n"/>
      <c r="R523" s="40" t="inlineStr">
        <is>
          <t>2026-06-17</t>
        </is>
      </c>
      <c r="S523" s="43" t="n"/>
      <c r="T523" s="14" t="inlineStr">
        <is>
          <t>外 [NGOẠI] · bên ngoài, nước ngoài
    ↳ Chiết tự: bộ 夕 (tịch – đêm) + 卜 (bốc – bói) — bói vào ban đêm là trái lệ, ở ngoài lệ thường
国 [QUỐC] · nước, quốc gia
    ↳ Chiết tự: giản thể của 國: bộ 囗 (vi – biên giới) bao lấy 玉 (ngọc) — lãnh thổ chứa của quý</t>
        </is>
      </c>
      <c r="U523" s="15" t="inlineStr">
        <is>
          <t>🚗 Giao thông &amp; Địa điểm</t>
        </is>
      </c>
      <c r="V523" s="63" t="inlineStr">
        <is>
          <t>他是外国人。</t>
        </is>
      </c>
      <c r="W523" s="64" t="inlineStr">
        <is>
          <t>Tā shì wàiguórén.
Anh ấy là người nước ngoài.</t>
        </is>
      </c>
    </row>
    <row r="524" ht="69.75" customHeight="1" s="99">
      <c r="A524" s="27" t="n">
        <v>382</v>
      </c>
      <c r="B524" s="29" t="inlineStr">
        <is>
          <t>HSK1</t>
        </is>
      </c>
      <c r="C524" s="31" t="inlineStr">
        <is>
          <t>下车</t>
        </is>
      </c>
      <c r="D524" s="32" t="inlineStr">
        <is>
          <t>xiàchē</t>
        </is>
      </c>
      <c r="E524" s="33" t="inlineStr">
        <is>
          <t>xuống xe</t>
        </is>
      </c>
      <c r="F524" s="34" t="n"/>
      <c r="G524" s="7" t="inlineStr">
        <is>
          <t>下车</t>
        </is>
      </c>
      <c r="H524" s="8">
        <f>IF(TRIM($G524)="","",IF(EXACT(TRIM($G524),TRIM($C524)),"✅ Đúng","❌ Sai"))</f>
        <v/>
      </c>
      <c r="I524" s="36">
        <f>HYPERLINK("https://translate.google.com/translate_tts?ie=UTF-8&amp;tl=zh-CN&amp;client=tw-ob&amp;q=下车","▶")</f>
        <v/>
      </c>
      <c r="J524" s="36">
        <f>HYPERLINK("https://youglish.com/pronounce/下车/chinese","🔍")</f>
        <v/>
      </c>
      <c r="K524" s="37" t="n"/>
      <c r="L524" s="38" t="n"/>
      <c r="M524" s="37" t="n"/>
      <c r="N524" s="38" t="n"/>
      <c r="O524" s="37" t="n"/>
      <c r="P524" s="38" t="n"/>
      <c r="Q524" s="37" t="n"/>
      <c r="R524" s="40" t="inlineStr">
        <is>
          <t>2026-06-17</t>
        </is>
      </c>
      <c r="S524" s="42" t="n"/>
      <c r="T524" s="14" t="inlineStr">
        <is>
          <t>下 [HẠ] · ở dưới, xuống, kém hơn
    ↳ Chiết tự: bộ 一 (nhất – mặt đất) + vạch chỉ hướng xuống — chữ chỉ sự
车 [XA / XE] · xe cộ
    ↳ Chiết tự: giản thể của 車: bộ 车 (xa) — hình chiếc xe nhìn từ trên, có trục và bánh</t>
        </is>
      </c>
      <c r="U524" s="15" t="inlineStr">
        <is>
          <t>🚗 Giao thông &amp; Địa điểm</t>
        </is>
      </c>
      <c r="V524" s="63" t="inlineStr">
        <is>
          <t>我在这儿下车。</t>
        </is>
      </c>
      <c r="W524" s="64" t="inlineStr">
        <is>
          <t>Wǒ zài zhèr xià chē.
Tôi xuống xe ở đây.</t>
        </is>
      </c>
    </row>
    <row r="525" ht="69.75" customHeight="1" s="99">
      <c r="A525" s="27" t="n">
        <v>420</v>
      </c>
      <c r="B525" s="30" t="inlineStr">
        <is>
          <t>HSK1+2</t>
        </is>
      </c>
      <c r="C525" s="31" t="inlineStr">
        <is>
          <t>医院</t>
        </is>
      </c>
      <c r="D525" s="32" t="inlineStr">
        <is>
          <t>yīyuàn</t>
        </is>
      </c>
      <c r="E525" s="33" t="inlineStr">
        <is>
          <t>bệnh viện</t>
        </is>
      </c>
      <c r="F525" s="34" t="inlineStr">
        <is>
          <t>医院</t>
        </is>
      </c>
      <c r="G525" s="7" t="inlineStr">
        <is>
          <t>医院</t>
        </is>
      </c>
      <c r="H525" s="8">
        <f>IF(TRIM($G525)="","",IF(EXACT(TRIM($G525),TRIM($C525)),"✅ Đúng","❌ Sai"))</f>
        <v/>
      </c>
      <c r="I525" s="36">
        <f>HYPERLINK("https://translate.google.com/translate_tts?ie=UTF-8&amp;tl=zh-CN&amp;client=tw-ob&amp;q=医院","▶")</f>
        <v/>
      </c>
      <c r="J525" s="36">
        <f>HYPERLINK("https://youglish.com/pronounce/医院/chinese","🔍")</f>
        <v/>
      </c>
      <c r="K525" s="37" t="n"/>
      <c r="L525" s="38" t="n"/>
      <c r="M525" s="37" t="n"/>
      <c r="N525" s="38" t="n"/>
      <c r="O525" s="37" t="n"/>
      <c r="P525" s="38" t="n"/>
      <c r="Q525" s="37" t="n"/>
      <c r="R525" s="40" t="inlineStr">
        <is>
          <t>2026-06-17</t>
        </is>
      </c>
      <c r="S525" s="42" t="n"/>
      <c r="T525" s="14" t="inlineStr">
        <is>
          <t>医 [Y] · chữa bệnh, thầy thuốc
    ↳ Chiết tự: giản thể của 醫: bộ 匚 (phương – hộp) chứa 矢 (thỉ – mũi tên) — hộp đựng dụng cụ rút tên chữa thương
院 [VIỆN] · sân, viện, cơ quan
    ↳ Chiết tự: bộ 阝 (phụ – gò đất) + 完 (hoàn – âm đọc) — khu có tường bao trọn</t>
        </is>
      </c>
      <c r="U525" s="15" t="inlineStr">
        <is>
          <t>🚗 Giao thông &amp; Địa điểm</t>
        </is>
      </c>
      <c r="V525" s="63" t="inlineStr">
        <is>
          <t>医院在学校对面。</t>
        </is>
      </c>
      <c r="W525" s="64" t="inlineStr">
        <is>
          <t>Yīyuàn zài xuéxiào duìmiàn.
Bệnh viện ở đối diện trường.</t>
        </is>
      </c>
    </row>
    <row r="526" ht="34.9" customHeight="1" s="99">
      <c r="A526" s="27" t="n">
        <v>451</v>
      </c>
      <c r="B526" s="29" t="inlineStr">
        <is>
          <t>HSK1</t>
        </is>
      </c>
      <c r="C526" s="31" t="inlineStr">
        <is>
          <t>站</t>
        </is>
      </c>
      <c r="D526" s="32" t="inlineStr">
        <is>
          <t>zhàn</t>
        </is>
      </c>
      <c r="E526" s="33" t="inlineStr">
        <is>
          <t>bến, trạm</t>
        </is>
      </c>
      <c r="F526" s="34" t="n"/>
      <c r="G526" s="7" t="inlineStr">
        <is>
          <t>站</t>
        </is>
      </c>
      <c r="H526" s="8">
        <f>IF(TRIM($G526)="","",IF(EXACT(TRIM($G526),TRIM($C526)),"✅ Đúng","❌ Sai"))</f>
        <v/>
      </c>
      <c r="I526" s="36">
        <f>HYPERLINK("https://translate.google.com/translate_tts?ie=UTF-8&amp;tl=zh-CN&amp;client=tw-ob&amp;q=站","▶")</f>
        <v/>
      </c>
      <c r="J526" s="36">
        <f>HYPERLINK("https://youglish.com/pronounce/站/chinese","🔍")</f>
        <v/>
      </c>
      <c r="K526" s="37" t="n"/>
      <c r="L526" s="38" t="n"/>
      <c r="M526" s="37" t="n"/>
      <c r="N526" s="38" t="n"/>
      <c r="O526" s="37" t="n"/>
      <c r="P526" s="38" t="n"/>
      <c r="Q526" s="37" t="n"/>
      <c r="R526" s="40" t="inlineStr">
        <is>
          <t>2026-06-17</t>
        </is>
      </c>
      <c r="S526" s="43" t="n"/>
      <c r="T526" s="14" t="inlineStr">
        <is>
          <t>站 [TRẠM] · đứng; nhà ga, trạm
    ↳ Chiết tự: bộ 立 (lập – đứng) + 占 (chiếm – âm đọc) — chỗ đứng chờ</t>
        </is>
      </c>
      <c r="U526" s="15" t="inlineStr">
        <is>
          <t>🚗 Giao thông &amp; Địa điểm</t>
        </is>
      </c>
      <c r="V526" s="63" t="inlineStr">
        <is>
          <t>我在车站等你。</t>
        </is>
      </c>
      <c r="W526" s="64" t="inlineStr">
        <is>
          <t>Wǒ zài chēzhàn děng nǐ.
Tôi đợi bạn ở bến xe.</t>
        </is>
      </c>
    </row>
    <row r="527" ht="69.75" customHeight="1" s="99">
      <c r="A527" s="27" t="n">
        <v>467</v>
      </c>
      <c r="B527" s="30" t="inlineStr">
        <is>
          <t>HSK1+2</t>
        </is>
      </c>
      <c r="C527" s="31" t="inlineStr">
        <is>
          <t>中国</t>
        </is>
      </c>
      <c r="D527" s="32" t="inlineStr">
        <is>
          <t>Zhōngguó</t>
        </is>
      </c>
      <c r="E527" s="33" t="inlineStr">
        <is>
          <t>nước Trung Quốc</t>
        </is>
      </c>
      <c r="F527" s="34" t="inlineStr">
        <is>
          <t>中国</t>
        </is>
      </c>
      <c r="G527" s="7" t="inlineStr">
        <is>
          <t>中国</t>
        </is>
      </c>
      <c r="H527" s="8">
        <f>IF(TRIM($G527)="","",IF(EXACT(TRIM($G527),TRIM($C527)),"✅ Đúng","❌ Sai"))</f>
        <v/>
      </c>
      <c r="I527" s="36">
        <f>HYPERLINK("https://translate.google.com/translate_tts?ie=UTF-8&amp;tl=zh-CN&amp;client=tw-ob&amp;q=中国","▶")</f>
        <v/>
      </c>
      <c r="J527" s="36">
        <f>HYPERLINK("https://youglish.com/pronounce/中国/chinese","🔍")</f>
        <v/>
      </c>
      <c r="K527" s="37" t="n"/>
      <c r="L527" s="38" t="n"/>
      <c r="M527" s="37" t="n"/>
      <c r="N527" s="38" t="n"/>
      <c r="O527" s="37" t="n"/>
      <c r="P527" s="38" t="n"/>
      <c r="Q527" s="37" t="n"/>
      <c r="R527" s="40" t="inlineStr">
        <is>
          <t>2026-06-17</t>
        </is>
      </c>
      <c r="S527" s="43" t="n"/>
      <c r="T527" s="14" t="inlineStr">
        <is>
          <t>中 [TRUNG] · ở giữa; Trung Quốc
    ↳ Chiết tự: bộ 丨 (cổn – nét sổ) xuyên chính giữa 口 (khẩu – khung vuông) — chữ chỉ sự
国 [QUỐC] · nước, quốc gia
    ↳ Chiết tự: giản thể của 國: bộ 囗 (vi – biên giới) bao lấy 玉 (ngọc) — lãnh thổ chứa của quý</t>
        </is>
      </c>
      <c r="U527" s="15" t="inlineStr">
        <is>
          <t>🚗 Giao thông &amp; Địa điểm</t>
        </is>
      </c>
      <c r="V527" s="63" t="inlineStr">
        <is>
          <t>我想去中国。</t>
        </is>
      </c>
      <c r="W527" s="64" t="inlineStr">
        <is>
          <t>Wǒ xiǎng qù Zhōngguó.
Tôi muốn đi Trung Quốc.</t>
        </is>
      </c>
    </row>
    <row r="528" ht="34.9" customHeight="1" s="99">
      <c r="A528" s="27" t="n">
        <v>480</v>
      </c>
      <c r="B528" s="30" t="inlineStr">
        <is>
          <t>HSK1+2</t>
        </is>
      </c>
      <c r="C528" s="31" t="inlineStr">
        <is>
          <t>走</t>
        </is>
      </c>
      <c r="D528" s="32" t="inlineStr">
        <is>
          <t>zǒu</t>
        </is>
      </c>
      <c r="E528" s="33" t="inlineStr">
        <is>
          <t>đi</t>
        </is>
      </c>
      <c r="F528" s="34" t="n"/>
      <c r="G528" s="7" t="inlineStr">
        <is>
          <t>走</t>
        </is>
      </c>
      <c r="H528" s="8">
        <f>IF(TRIM($G528)="","",IF(EXACT(TRIM($G528),TRIM($C528)),"✅ Đúng","❌ Sai"))</f>
        <v/>
      </c>
      <c r="I528" s="36">
        <f>HYPERLINK("https://translate.google.com/translate_tts?ie=UTF-8&amp;tl=zh-CN&amp;client=tw-ob&amp;q=走","▶")</f>
        <v/>
      </c>
      <c r="J528" s="36">
        <f>HYPERLINK("https://youglish.com/pronounce/走/chinese","🔍")</f>
        <v/>
      </c>
      <c r="K528" s="37" t="n"/>
      <c r="L528" s="38" t="n"/>
      <c r="M528" s="37" t="n"/>
      <c r="N528" s="38" t="n"/>
      <c r="O528" s="37" t="n"/>
      <c r="P528" s="38" t="n"/>
      <c r="Q528" s="37" t="n"/>
      <c r="R528" s="40" t="inlineStr">
        <is>
          <t>2026-06-17</t>
        </is>
      </c>
      <c r="S528" s="42" t="n"/>
      <c r="T528" s="14" t="inlineStr">
        <is>
          <t>走 [TẨU] · đi, bước đi; rời đi
    ↳ Chiết tự: bộ 走 (tẩu) — hình người vung tay và bàn chân 止 (chỉ) bước đi</t>
        </is>
      </c>
      <c r="U528" s="15" t="inlineStr">
        <is>
          <t>🚗 Giao thông &amp; Địa điểm</t>
        </is>
      </c>
      <c r="V528" s="63" t="inlineStr">
        <is>
          <t>我们走路去吧。</t>
        </is>
      </c>
      <c r="W528" s="64" t="inlineStr">
        <is>
          <t>Wǒmen zǒulù qù ba.
Chúng ta đi bộ đi.</t>
        </is>
      </c>
    </row>
    <row r="529" ht="69.75" customHeight="1" s="99">
      <c r="A529" s="27" t="n">
        <v>481</v>
      </c>
      <c r="B529" s="29" t="inlineStr">
        <is>
          <t>HSK1</t>
        </is>
      </c>
      <c r="C529" s="31" t="inlineStr">
        <is>
          <t>走路</t>
        </is>
      </c>
      <c r="D529" s="32" t="inlineStr">
        <is>
          <t>zǒulù</t>
        </is>
      </c>
      <c r="E529" s="33" t="inlineStr">
        <is>
          <t>đi bộ</t>
        </is>
      </c>
      <c r="F529" s="34" t="n"/>
      <c r="G529" s="7" t="n"/>
      <c r="H529" s="8">
        <f>IF(TRIM($G529)="","",IF(EXACT(TRIM($G529),TRIM($C529)),"✅ Đúng","❌ Sai"))</f>
        <v/>
      </c>
      <c r="I529" s="36">
        <f>HYPERLINK("https://translate.google.com/translate_tts?ie=UTF-8&amp;tl=zh-CN&amp;client=tw-ob&amp;q=走路","▶")</f>
        <v/>
      </c>
      <c r="J529" s="36">
        <f>HYPERLINK("https://youglish.com/pronounce/走路/chinese","🔍")</f>
        <v/>
      </c>
      <c r="K529" s="37" t="n"/>
      <c r="L529" s="38" t="n"/>
      <c r="M529" s="37" t="n"/>
      <c r="N529" s="38" t="n"/>
      <c r="O529" s="37" t="n"/>
      <c r="P529" s="38" t="n"/>
      <c r="Q529" s="37" t="n"/>
      <c r="R529" s="40" t="inlineStr">
        <is>
          <t>2026-06-17</t>
        </is>
      </c>
      <c r="S529" s="43" t="n"/>
      <c r="T529" s="14" t="inlineStr">
        <is>
          <t>走 [TẨU] · đi, bước đi; rời đi
    ↳ Chiết tự: bộ 走 (tẩu) — hình người vung tay và bàn chân 止 (chỉ) bước đi
路 [LỘ] · con đường, lộ trình
    ↳ Chiết tự: bộ 足 (túc – bàn chân) + 各 (các – mỗi) — lối mà mỗi người đi</t>
        </is>
      </c>
      <c r="U529" s="15" t="inlineStr">
        <is>
          <t>🚗 Giao thông &amp; Địa điểm</t>
        </is>
      </c>
      <c r="V529" s="63" t="inlineStr">
        <is>
          <t>走路对身体好。</t>
        </is>
      </c>
      <c r="W529" s="64" t="inlineStr">
        <is>
          <t>Zǒulù duì shēntǐ hǎo.
Đi bộ tốt cho sức khỏe.</t>
        </is>
      </c>
    </row>
    <row r="530" ht="34.9" customHeight="1" s="99">
      <c r="A530" s="27" t="n">
        <v>488</v>
      </c>
      <c r="B530" s="61" t="inlineStr">
        <is>
          <t>HSK1+2+3</t>
        </is>
      </c>
      <c r="C530" s="31" t="inlineStr">
        <is>
          <t>坐</t>
        </is>
      </c>
      <c r="D530" s="32" t="inlineStr">
        <is>
          <t>zuò</t>
        </is>
      </c>
      <c r="E530" s="33" t="inlineStr">
        <is>
          <t>ngồi</t>
        </is>
      </c>
      <c r="F530" s="34" t="inlineStr">
        <is>
          <t>做</t>
        </is>
      </c>
      <c r="G530" s="7" t="inlineStr">
        <is>
          <t xml:space="preserve"> 坐</t>
        </is>
      </c>
      <c r="H530" s="8">
        <f>IF(TRIM($G530)="","",IF(EXACT(TRIM($G530),TRIM($C530)),"✅ Đúng","❌ Sai"))</f>
        <v/>
      </c>
      <c r="I530" s="36">
        <f>HYPERLINK("https://translate.google.com/translate_tts?ie=UTF-8&amp;tl=zh-CN&amp;client=tw-ob&amp;q=坐","▶")</f>
        <v/>
      </c>
      <c r="J530" s="36">
        <f>HYPERLINK("https://youglish.com/pronounce/坐/chinese","🔍")</f>
        <v/>
      </c>
      <c r="K530" s="37" t="n"/>
      <c r="L530" s="38" t="n"/>
      <c r="M530" s="37" t="n"/>
      <c r="N530" s="38" t="n"/>
      <c r="O530" s="37" t="n"/>
      <c r="P530" s="38" t="n"/>
      <c r="Q530" s="37" t="n"/>
      <c r="R530" s="40" t="inlineStr">
        <is>
          <t>2026-06-17</t>
        </is>
      </c>
      <c r="S530" s="42" t="n"/>
      <c r="T530" s="14" t="inlineStr">
        <is>
          <t>坐 [TỌA] · ngồi
    ↳ Chiết tự: hai bộ 人 (nhân – người) trên 土 (thổ – đất) — hai người ngồi đối nhau trên đất</t>
        </is>
      </c>
      <c r="U530" s="15" t="inlineStr">
        <is>
          <t>🚗 Giao thông &amp; Địa điểm</t>
        </is>
      </c>
      <c r="V530" s="63" t="inlineStr">
        <is>
          <t>请坐这儿。</t>
        </is>
      </c>
      <c r="W530" s="64" t="inlineStr">
        <is>
          <t>Qǐng zuò zhèr.
Xin ngồi đây.</t>
        </is>
      </c>
    </row>
    <row r="531" ht="105.4" customHeight="1" s="99">
      <c r="A531" t="n">
        <v>500</v>
      </c>
      <c r="B531" s="82" t="inlineStr">
        <is>
          <t>HSK2</t>
        </is>
      </c>
      <c r="C531" s="78" t="inlineStr">
        <is>
          <t>出租车</t>
        </is>
      </c>
      <c r="D531" s="78" t="inlineStr">
        <is>
          <t>chūzūchē</t>
        </is>
      </c>
      <c r="E531" s="78" t="inlineStr">
        <is>
          <t>xe taxi</t>
        </is>
      </c>
      <c r="G531" s="7" t="n"/>
      <c r="H531" s="8">
        <f>IF(TRIM($G531)="","",IF(EXACT(TRIM($G531),TRIM($C531)),"✅ Đúng","❌ Sai"))</f>
        <v/>
      </c>
      <c r="I531" s="54" t="inlineStr">
        <is>
          <t>▶</t>
        </is>
      </c>
      <c r="J531" s="54" t="inlineStr">
        <is>
          <t>🔍</t>
        </is>
      </c>
      <c r="R531" s="23" t="n">
        <v>46236</v>
      </c>
      <c r="T531" s="48" t="inlineStr">
        <is>
          <t>出 [XUẤT] · ra, đi ra, xuất phát
    ↳ Chiết tự: bộ 凵 (khảm – cái hố) + 屮 (triệt – mầm) — bàn chân bước ra khỏi hang
租 [TÔ] · thuê, cho thuê, tiền thuê
    ↳ Chiết tự: bộ 禾 (hòa – cây lúa) + 且 (thả – âm đọc) — nộp lúa để thuê ruộng
车 [XA / XE] · xe cộ
    ↳ Chiết tự: giản thể của 車: bộ 车 (xa) — hình chiếc xe nhìn từ trên, có trục và bánh</t>
        </is>
      </c>
      <c r="U531" s="24" t="inlineStr">
        <is>
          <t>🚗 Giao thông &amp; Địa điểm</t>
        </is>
      </c>
      <c r="V531" s="63" t="inlineStr">
        <is>
          <t>我们坐出租车去。</t>
        </is>
      </c>
      <c r="W531" s="64" t="inlineStr">
        <is>
          <t>Wǒmen zuò chūzūchē qù.
Chúng ta đi taxi.</t>
        </is>
      </c>
    </row>
    <row r="532" ht="70.5" customHeight="1" s="99">
      <c r="A532" t="n">
        <v>514</v>
      </c>
      <c r="B532" s="82" t="inlineStr">
        <is>
          <t>HSK2</t>
        </is>
      </c>
      <c r="C532" s="78" t="inlineStr">
        <is>
          <t>宾馆</t>
        </is>
      </c>
      <c r="D532" s="78" t="inlineStr">
        <is>
          <t>bīnguǎn</t>
        </is>
      </c>
      <c r="E532" s="78" t="inlineStr">
        <is>
          <t>khách sạn</t>
        </is>
      </c>
      <c r="G532" s="7" t="inlineStr">
        <is>
          <t>宾馆</t>
        </is>
      </c>
      <c r="H532" s="8">
        <f>IF(TRIM($G532)="","",IF(EXACT(TRIM($G532),TRIM($C532)),"✅ Đúng","❌ Sai"))</f>
        <v/>
      </c>
      <c r="I532" s="54" t="inlineStr">
        <is>
          <t>▶</t>
        </is>
      </c>
      <c r="J532" s="54" t="inlineStr">
        <is>
          <t>🔍</t>
        </is>
      </c>
      <c r="R532" s="23" t="n">
        <v>46236</v>
      </c>
      <c r="T532" s="48" t="inlineStr">
        <is>
          <t>宾 [TÂN] · khách quý (宾馆 = khách sạn)
    ↳ Chiết tự: giản thể của 賓: bộ 宀 (miên – mái nhà) + 贝 (bối – tiền) — khách mang lễ vật vào nhà
馆 [QUÁN] · quán, nhà công cộng (khách sạn, thư viện)
    ↳ Chiết tự: giản thể của 館: bộ 饣 (thực – ăn) + 官 (quan – âm đọc) — nhà công phục vụ ăn ở</t>
        </is>
      </c>
      <c r="U532" s="24" t="inlineStr">
        <is>
          <t>🚗 Giao thông &amp; Địa điểm</t>
        </is>
      </c>
      <c r="V532" s="63" t="inlineStr">
        <is>
          <t>我住在这家宾馆。</t>
        </is>
      </c>
      <c r="W532" s="64" t="inlineStr">
        <is>
          <t>Wǒ zhù zài zhè jiā bīnguǎn.
Tôi ở khách sạn này.</t>
        </is>
      </c>
    </row>
    <row r="533" ht="128.65" customHeight="1" s="99">
      <c r="A533" t="n">
        <v>522</v>
      </c>
      <c r="B533" s="82" t="inlineStr">
        <is>
          <t>HSK2</t>
        </is>
      </c>
      <c r="C533" s="78" t="inlineStr">
        <is>
          <t>公共汽车</t>
        </is>
      </c>
      <c r="D533" s="78" t="inlineStr">
        <is>
          <t>gōnggòng qìchē</t>
        </is>
      </c>
      <c r="E533" s="78" t="inlineStr">
        <is>
          <t>xe buýt</t>
        </is>
      </c>
      <c r="G533" s="7" t="n"/>
      <c r="H533" s="8">
        <f>IF(TRIM($G533)="","",IF(EXACT(TRIM($G533),TRIM($C533)),"✅ Đúng","❌ Sai"))</f>
        <v/>
      </c>
      <c r="I533" s="54" t="inlineStr">
        <is>
          <t>▶</t>
        </is>
      </c>
      <c r="J533" s="54" t="inlineStr">
        <is>
          <t>🔍</t>
        </is>
      </c>
      <c r="R533" s="23" t="n">
        <v>46236</v>
      </c>
      <c r="T533" s="48" t="inlineStr">
        <is>
          <t>公 [CÔNG] · chung, công cộng; ông
    ↳ Chiết tự: bộ 八 (bát – chia) + 厶 (tư – riêng tư) — chia bỏ cái riêng thì thành cái chung
共 [CỘNG] · cùng, chung, tổng cộng
    ↳ Chiết tự: bộ 廾 (củng – hai tay) + 一 — hai tay cùng nâng một vật
汽 [KHÍ] · hơi nước; xe hơi
    ↳ Chiết tự: bộ 氵 (thủy – nước) + 气 (khí – hơi) — hơi bốc lên từ nước
车 [XA / XE] · xe cộ
    ↳ Chiết tự: giản thể của 車: bộ 车 (xa) — hình chiếc xe nhìn từ trên, có trục và bánh</t>
        </is>
      </c>
      <c r="U533" s="24" t="inlineStr">
        <is>
          <t>🚗 Giao thông &amp; Địa điểm</t>
        </is>
      </c>
      <c r="V533" s="63" t="inlineStr">
        <is>
          <t>我坐公共汽车上班。</t>
        </is>
      </c>
      <c r="W533" s="64" t="inlineStr">
        <is>
          <t>Wǒ zuò gōnggòng qìchē shàngbān.
Tôi đi xe buýt đi làm.</t>
        </is>
      </c>
    </row>
    <row r="534" ht="93.75" customHeight="1" s="99">
      <c r="A534" t="n">
        <v>526</v>
      </c>
      <c r="B534" s="82" t="inlineStr">
        <is>
          <t>HSK2</t>
        </is>
      </c>
      <c r="C534" s="78" t="inlineStr">
        <is>
          <t>火车站</t>
        </is>
      </c>
      <c r="D534" s="78" t="inlineStr">
        <is>
          <t>huǒchēzhàn</t>
        </is>
      </c>
      <c r="E534" s="78" t="inlineStr">
        <is>
          <t>ga tàu hỏa</t>
        </is>
      </c>
      <c r="G534" s="7" t="inlineStr">
        <is>
          <t>火车站</t>
        </is>
      </c>
      <c r="H534" s="8">
        <f>IF(TRIM($G534)="","",IF(EXACT(TRIM($G534),TRIM($C534)),"✅ Đúng","❌ Sai"))</f>
        <v/>
      </c>
      <c r="I534" s="54" t="inlineStr">
        <is>
          <t>▶</t>
        </is>
      </c>
      <c r="J534" s="54" t="inlineStr">
        <is>
          <t>🔍</t>
        </is>
      </c>
      <c r="R534" s="23" t="n">
        <v>46236</v>
      </c>
      <c r="T534" s="48" t="inlineStr">
        <is>
          <t>火 [HỎA] · lửa
    ↳ Chiết tự: bộ 火 (hỏa) — hình ngọn lửa bốc cháy
车 [XA / XE] · xe cộ
    ↳ Chiết tự: giản thể của 車: bộ 车 (xa) — hình chiếc xe nhìn từ trên, có trục và bánh
站 [TRẠM] · đứng; nhà ga, trạm
    ↳ Chiết tự: bộ 立 (lập – đứng) + 占 (chiếm – âm đọc) — chỗ đứng chờ</t>
        </is>
      </c>
      <c r="U534" s="24" t="inlineStr">
        <is>
          <t>🚗 Giao thông &amp; Địa điểm</t>
        </is>
      </c>
      <c r="V534" s="63" t="inlineStr">
        <is>
          <t>火车站离这儿很近。</t>
        </is>
      </c>
      <c r="W534" s="64" t="inlineStr">
        <is>
          <t>Huǒchēzhàn lí zhèr hěn jìn.
Ga tàu cách đây rất gần.</t>
        </is>
      </c>
    </row>
    <row r="535" ht="70.5" customHeight="1" s="99">
      <c r="A535" t="n">
        <v>535</v>
      </c>
      <c r="B535" s="82" t="inlineStr">
        <is>
          <t>HSK2</t>
        </is>
      </c>
      <c r="C535" s="78" t="inlineStr">
        <is>
          <t>旅游</t>
        </is>
      </c>
      <c r="D535" s="78" t="inlineStr">
        <is>
          <t>lǚyóu</t>
        </is>
      </c>
      <c r="E535" s="78" t="inlineStr">
        <is>
          <t>du lịch</t>
        </is>
      </c>
      <c r="G535" s="7" t="n"/>
      <c r="H535" s="8">
        <f>IF(TRIM($G535)="","",IF(EXACT(TRIM($G535),TRIM($C535)),"✅ Đúng","❌ Sai"))</f>
        <v/>
      </c>
      <c r="I535" s="54" t="inlineStr">
        <is>
          <t>▶</t>
        </is>
      </c>
      <c r="J535" s="54" t="inlineStr">
        <is>
          <t>🔍</t>
        </is>
      </c>
      <c r="R535" s="23" t="n">
        <v>46236</v>
      </c>
      <c r="T535" s="48" t="inlineStr">
        <is>
          <t>旅 [LỮ] · đi xa, du lịch, lữ đoàn
    ↳ Chiết tự: bộ 方 (phương – cờ hiệu) + 从 — đoàn người đi dưới lá cờ
游 [DU] · bơi lội; du ngoạn
    ↳ Chiết tự: bộ 氵 (thủy – nước) + 斿 (du – âm đọc) — đi lại trên nước</t>
        </is>
      </c>
      <c r="U535" s="24" t="inlineStr">
        <is>
          <t>🚗 Giao thông &amp; Địa điểm</t>
        </is>
      </c>
      <c r="V535" s="63" t="inlineStr">
        <is>
          <t>我喜欢去中国旅游。</t>
        </is>
      </c>
      <c r="W535" s="64" t="inlineStr">
        <is>
          <t>Wǒ xǐhuan qù Zhōngguó lǚyóu.
Tôi thích đi du lịch Trung Quốc.</t>
        </is>
      </c>
    </row>
    <row r="536" ht="93.75" customHeight="1" s="99">
      <c r="A536" t="n">
        <v>573</v>
      </c>
      <c r="B536" s="83" t="inlineStr">
        <is>
          <t>HSK2+3</t>
        </is>
      </c>
      <c r="C536" s="78" t="inlineStr">
        <is>
          <t>自行车</t>
        </is>
      </c>
      <c r="D536" s="78" t="inlineStr">
        <is>
          <t>zìxíngchē</t>
        </is>
      </c>
      <c r="E536" s="78" t="inlineStr">
        <is>
          <t>xe đạp</t>
        </is>
      </c>
      <c r="G536" s="7" t="n"/>
      <c r="H536" s="8">
        <f>IF(TRIM($G536)="","",IF(EXACT(TRIM($G536),TRIM($C536)),"✅ Đúng","❌ Sai"))</f>
        <v/>
      </c>
      <c r="I536" s="54" t="inlineStr">
        <is>
          <t>▶</t>
        </is>
      </c>
      <c r="J536" s="54" t="inlineStr">
        <is>
          <t>🔍</t>
        </is>
      </c>
      <c r="R536" s="23" t="n">
        <v>46236</v>
      </c>
      <c r="T536" s="48" t="inlineStr">
        <is>
          <t>自 [TỰ] · tự mình; từ
    ↳ Chiết tự: bộ 自 (tự) — hình cái mũi, người Hoa chỉ vào mũi để nói "tôi"
行 [HÀNH / HÀNG] · đi, làm; được; hàng lối; ngân hàng
    ↳ Chiết tự: bộ 行 (hành) — hình ngã tư đường, nơi người qua lại
车 [XA / XE] · xe cộ
    ↳ Chiết tự: giản thể của 車: bộ 车 (xa) — hình chiếc xe nhìn từ trên, có trục và bánh</t>
        </is>
      </c>
      <c r="U536" s="24" t="inlineStr">
        <is>
          <t>🚗 Giao thông &amp; Địa điểm</t>
        </is>
      </c>
      <c r="V536" s="63" t="inlineStr">
        <is>
          <t>我骑自行车上学。</t>
        </is>
      </c>
      <c r="W536" s="64" t="inlineStr">
        <is>
          <t>Wǒ qí zìxíngchē shàngxué.
Tôi đạp xe đi học.</t>
        </is>
      </c>
    </row>
    <row r="537" hidden="1" ht="34.9" customHeight="1" s="99">
      <c r="A537" s="27" t="n">
        <v>19</v>
      </c>
      <c r="B537" s="29" t="inlineStr">
        <is>
          <t>HSK1</t>
        </is>
      </c>
      <c r="C537" s="31" t="inlineStr">
        <is>
          <t>北</t>
        </is>
      </c>
      <c r="D537" s="32" t="inlineStr">
        <is>
          <t>běi</t>
        </is>
      </c>
      <c r="E537" s="33" t="inlineStr">
        <is>
          <t>bắc</t>
        </is>
      </c>
      <c r="F537" s="35" t="inlineStr">
        <is>
          <t>北</t>
        </is>
      </c>
      <c r="G537" s="7" t="inlineStr">
        <is>
          <t>北</t>
        </is>
      </c>
      <c r="H537" s="8">
        <f>IF(TRIM($G537)="","",IF(EXACT(TRIM($G537),TRIM($C537)),"✅ Đúng","❌ Sai"))</f>
        <v/>
      </c>
      <c r="I537" s="36">
        <f>HYPERLINK("https://translate.google.com/translate_tts?ie=UTF-8&amp;tl=zh-CN&amp;client=tw-ob&amp;q=北","▶")</f>
        <v/>
      </c>
      <c r="J537" s="36">
        <f>HYPERLINK("https://youglish.com/pronounce/北/chinese","🔍")</f>
        <v/>
      </c>
      <c r="K537" s="37" t="n"/>
      <c r="L537" s="38" t="n"/>
      <c r="M537" s="37" t="n"/>
      <c r="N537" s="38" t="n"/>
      <c r="O537" s="37" t="n"/>
      <c r="P537" s="38" t="n"/>
      <c r="Q537" s="37" t="n"/>
      <c r="R537" s="40" t="inlineStr">
        <is>
          <t>2026-06-17</t>
        </is>
      </c>
      <c r="S537" s="42" t="n"/>
      <c r="T537" s="14" t="inlineStr">
        <is>
          <t>北 [BẮC] · hướng bắc; thua trận
    ↳ Chiết tự: bộ 匕 (chủy) đôi — hai người quay lưng vào nhau, lưng hướng bắc</t>
        </is>
      </c>
      <c r="U537" s="15" t="inlineStr">
        <is>
          <t>🧭 Phương hướng &amp; Vị trí</t>
        </is>
      </c>
      <c r="V537" s="63" t="inlineStr">
        <is>
          <t>我家在城市的北面。</t>
        </is>
      </c>
      <c r="W537" s="64" t="inlineStr">
        <is>
          <t>Wǒ jiā zài chéngshì de běimiàn.
Nhà tôi ở phía bắc thành phố.</t>
        </is>
      </c>
    </row>
    <row r="538" hidden="1" ht="69.75" customHeight="1" s="99">
      <c r="A538" s="27" t="n">
        <v>20</v>
      </c>
      <c r="B538" s="29" t="inlineStr">
        <is>
          <t>HSK1</t>
        </is>
      </c>
      <c r="C538" s="31" t="inlineStr">
        <is>
          <t>北边</t>
        </is>
      </c>
      <c r="D538" s="32" t="inlineStr">
        <is>
          <t>běibiān</t>
        </is>
      </c>
      <c r="E538" s="33" t="inlineStr">
        <is>
          <t>phía Bắc</t>
        </is>
      </c>
      <c r="F538" s="35" t="inlineStr">
        <is>
          <t>北边</t>
        </is>
      </c>
      <c r="G538" s="7" t="inlineStr">
        <is>
          <t>北边</t>
        </is>
      </c>
      <c r="H538" s="8">
        <f>IF(TRIM($G538)="","",IF(EXACT(TRIM($G538),TRIM($C538)),"✅ Đúng","❌ Sai"))</f>
        <v/>
      </c>
      <c r="I538" s="36">
        <f>HYPERLINK("https://translate.google.com/translate_tts?ie=UTF-8&amp;tl=zh-CN&amp;client=tw-ob&amp;q=北边","▶")</f>
        <v/>
      </c>
      <c r="J538" s="36">
        <f>HYPERLINK("https://youglish.com/pronounce/北边/chinese","🔍")</f>
        <v/>
      </c>
      <c r="K538" s="37" t="n"/>
      <c r="L538" s="38" t="n"/>
      <c r="M538" s="37" t="n"/>
      <c r="N538" s="38" t="n"/>
      <c r="O538" s="37" t="n"/>
      <c r="P538" s="38" t="n"/>
      <c r="Q538" s="37" t="n"/>
      <c r="R538" s="40" t="inlineStr">
        <is>
          <t>2026-06-17</t>
        </is>
      </c>
      <c r="S538" s="43" t="n"/>
      <c r="T538" s="14" t="inlineStr">
        <is>
          <t>北 [BẮC] · hướng bắc; thua trận
    ↳ Chiết tự: bộ 匕 (chủy) đôi — hai người quay lưng vào nhau, lưng hướng bắc
边 [BIÊN] · bên cạnh, biên giới, rìa
    ↳ Chiết tự: giản thể của 邊: bộ 辶 (sước – bước đi) + 力 — phần rìa nơi bước chân dừng</t>
        </is>
      </c>
      <c r="U538" s="15" t="inlineStr">
        <is>
          <t>🧭 Phương hướng &amp; Vị trí</t>
        </is>
      </c>
      <c r="V538" s="63" t="inlineStr">
        <is>
          <t>学校在北边。</t>
        </is>
      </c>
      <c r="W538" s="64" t="inlineStr">
        <is>
          <t>Xuéxiào zài běibian.
Trường học ở phía bắc.</t>
        </is>
      </c>
    </row>
    <row r="539" ht="69.75" customHeight="1" s="99">
      <c r="A539" s="27" t="n">
        <v>44</v>
      </c>
      <c r="B539" s="29" t="inlineStr">
        <is>
          <t>HSK1</t>
        </is>
      </c>
      <c r="C539" s="31" t="inlineStr">
        <is>
          <t>车上</t>
        </is>
      </c>
      <c r="D539" s="32" t="inlineStr">
        <is>
          <t>chēshang</t>
        </is>
      </c>
      <c r="E539" s="33" t="inlineStr">
        <is>
          <t>trên xe</t>
        </is>
      </c>
      <c r="F539" s="34" t="n"/>
      <c r="G539" s="7" t="n"/>
      <c r="H539" s="8">
        <f>IF(TRIM($G539)="","",IF(EXACT(TRIM($G539),TRIM($C539)),"✅ Đúng","❌ Sai"))</f>
        <v/>
      </c>
      <c r="I539" s="36">
        <f>HYPERLINK("https://translate.google.com/translate_tts?ie=UTF-8&amp;tl=zh-CN&amp;client=tw-ob&amp;q=车上","▶")</f>
        <v/>
      </c>
      <c r="J539" s="36">
        <f>HYPERLINK("https://youglish.com/pronounce/车上/chinese","🔍")</f>
        <v/>
      </c>
      <c r="K539" s="37" t="n"/>
      <c r="L539" s="38" t="n"/>
      <c r="M539" s="37" t="n"/>
      <c r="N539" s="38" t="n"/>
      <c r="O539" s="37" t="n"/>
      <c r="P539" s="38" t="n"/>
      <c r="Q539" s="37" t="n"/>
      <c r="R539" s="40" t="inlineStr">
        <is>
          <t>2026-06-17</t>
        </is>
      </c>
      <c r="S539" s="43" t="n"/>
      <c r="T539" s="14" t="inlineStr">
        <is>
          <t>车 [XA / XE] · xe cộ
    ↳ Chiết tự: giản thể của 車: bộ 车 (xa) — hình chiếc xe nhìn từ trên, có trục và bánh
上 [THƯỢNG] · ở trên, lên, trước đó
    ↳ Chiết tự: bộ 一 (nhất – mặt đất) + vạch chỉ hướng lên — chữ chỉ sự</t>
        </is>
      </c>
      <c r="U539" s="15" t="inlineStr">
        <is>
          <t>🧭 Phương hướng &amp; Vị trí</t>
        </is>
      </c>
      <c r="V539" s="63" t="inlineStr">
        <is>
          <t>车上人很多。</t>
        </is>
      </c>
      <c r="W539" s="64" t="inlineStr">
        <is>
          <t>Chē shang rén hěn duō.
Trên xe rất nhiều người.</t>
        </is>
      </c>
    </row>
    <row r="540" hidden="1" ht="23.25" customHeight="1" s="99">
      <c r="A540" s="27" t="n">
        <v>66</v>
      </c>
      <c r="B540" s="29" t="inlineStr">
        <is>
          <t>HSK1</t>
        </is>
      </c>
      <c r="C540" s="31" t="inlineStr">
        <is>
          <t>地</t>
        </is>
      </c>
      <c r="D540" s="32" t="inlineStr">
        <is>
          <t>de</t>
        </is>
      </c>
      <c r="E540" s="33" t="inlineStr">
        <is>
          <t>biểu thị trạng ngữ</t>
        </is>
      </c>
      <c r="F540" s="34" t="n"/>
      <c r="G540" s="7" t="inlineStr">
        <is>
          <t>地</t>
        </is>
      </c>
      <c r="H540" s="8">
        <f>IF(TRIM($G540)="","",IF(EXACT(TRIM($G540),TRIM($C540)),"✅ Đúng","❌ Sai"))</f>
        <v/>
      </c>
      <c r="I540" s="36">
        <f>HYPERLINK("https://translate.google.com/translate_tts?ie=UTF-8&amp;tl=zh-CN&amp;client=tw-ob&amp;q=地","▶")</f>
        <v/>
      </c>
      <c r="J540" s="36">
        <f>HYPERLINK("https://youglish.com/pronounce/地/chinese","🔍")</f>
        <v/>
      </c>
      <c r="K540" s="37" t="n"/>
      <c r="L540" s="38" t="n"/>
      <c r="M540" s="37" t="n"/>
      <c r="N540" s="38" t="n"/>
      <c r="O540" s="37" t="n"/>
      <c r="P540" s="38" t="n"/>
      <c r="Q540" s="37" t="n"/>
      <c r="R540" s="40" t="inlineStr">
        <is>
          <t>2026-06-17</t>
        </is>
      </c>
      <c r="S540" s="43" t="n"/>
      <c r="T540" s="14" t="inlineStr">
        <is>
          <t>地 [ĐỊA] · đất đai, nơi chốn
    ↳ Chiết tự: bộ 土 (thổ – đất) + 也 (dã – âm đọc) — mặt đất</t>
        </is>
      </c>
      <c r="U540" s="15" t="inlineStr">
        <is>
          <t>🧭 Phương hướng &amp; Vị trí</t>
        </is>
      </c>
      <c r="V540" s="63" t="inlineStr">
        <is>
          <t>书放在地上。</t>
        </is>
      </c>
      <c r="W540" s="64" t="inlineStr">
        <is>
          <t>Shū fàng zài dì shang.
Sách đặt ở dưới đất.</t>
        </is>
      </c>
    </row>
    <row r="541" ht="23.25" customHeight="1" s="99">
      <c r="A541" s="27" t="n">
        <v>69</v>
      </c>
      <c r="B541" s="29" t="inlineStr">
        <is>
          <t>HSK1</t>
        </is>
      </c>
      <c r="C541" s="31" t="inlineStr">
        <is>
          <t>地</t>
        </is>
      </c>
      <c r="D541" s="32" t="inlineStr">
        <is>
          <t>dì</t>
        </is>
      </c>
      <c r="E541" s="33" t="inlineStr">
        <is>
          <t>đất, lục địa</t>
        </is>
      </c>
      <c r="F541" s="34" t="n"/>
      <c r="G541" s="7" t="n"/>
      <c r="H541" s="8">
        <f>IF(TRIM($G541)="","",IF(EXACT(TRIM($G541),TRIM($C541)),"✅ Đúng","❌ Sai"))</f>
        <v/>
      </c>
      <c r="I541" s="36">
        <f>HYPERLINK("https://translate.google.com/translate_tts?ie=UTF-8&amp;tl=zh-CN&amp;client=tw-ob&amp;q=地","▶")</f>
        <v/>
      </c>
      <c r="J541" s="36">
        <f>HYPERLINK("https://youglish.com/pronounce/地/chinese","🔍")</f>
        <v/>
      </c>
      <c r="K541" s="37" t="n"/>
      <c r="L541" s="38" t="n"/>
      <c r="M541" s="37" t="n"/>
      <c r="N541" s="38" t="n"/>
      <c r="O541" s="37" t="n"/>
      <c r="P541" s="38" t="n"/>
      <c r="Q541" s="37" t="n"/>
      <c r="R541" s="40" t="inlineStr">
        <is>
          <t>2026-06-17</t>
        </is>
      </c>
      <c r="S541" s="42" t="n"/>
      <c r="T541" s="14" t="inlineStr">
        <is>
          <t>地 [ĐỊA] · đất đai, nơi chốn
    ↳ Chiết tự: bộ 土 (thổ – đất) + 也 (dã – âm đọc) — mặt đất</t>
        </is>
      </c>
      <c r="U541" s="15" t="inlineStr">
        <is>
          <t>🧭 Phương hướng &amp; Vị trí</t>
        </is>
      </c>
      <c r="V541" s="63" t="inlineStr">
        <is>
          <t>书放在地上。</t>
        </is>
      </c>
      <c r="W541" s="64" t="inlineStr">
        <is>
          <t>Shū fàng zài dì shang.
Sách đặt ở dưới đất.</t>
        </is>
      </c>
    </row>
    <row r="542" hidden="1" ht="34.9" customHeight="1" s="99">
      <c r="A542" s="27" t="n">
        <v>84</v>
      </c>
      <c r="B542" s="61" t="inlineStr">
        <is>
          <t>HSK1+3</t>
        </is>
      </c>
      <c r="C542" s="31" t="inlineStr">
        <is>
          <t>东</t>
        </is>
      </c>
      <c r="D542" s="32" t="inlineStr">
        <is>
          <t>dōng</t>
        </is>
      </c>
      <c r="E542" s="33" t="inlineStr">
        <is>
          <t>đông</t>
        </is>
      </c>
      <c r="F542" s="35" t="inlineStr">
        <is>
          <t>东</t>
        </is>
      </c>
      <c r="G542" s="7" t="inlineStr">
        <is>
          <t>东</t>
        </is>
      </c>
      <c r="H542" s="8">
        <f>IF(TRIM($G542)="","",IF(EXACT(TRIM($G542),TRIM($C542)),"✅ Đúng","❌ Sai"))</f>
        <v/>
      </c>
      <c r="I542" s="36">
        <f>HYPERLINK("https://translate.google.com/translate_tts?ie=UTF-8&amp;tl=zh-CN&amp;client=tw-ob&amp;q=东","▶")</f>
        <v/>
      </c>
      <c r="J542" s="36">
        <f>HYPERLINK("https://youglish.com/pronounce/东/chinese","🔍")</f>
        <v/>
      </c>
      <c r="K542" s="37" t="n"/>
      <c r="L542" s="38" t="n"/>
      <c r="M542" s="37" t="n"/>
      <c r="N542" s="38" t="n"/>
      <c r="O542" s="37" t="n"/>
      <c r="P542" s="38" t="n"/>
      <c r="Q542" s="37" t="n"/>
      <c r="R542" s="40" t="inlineStr">
        <is>
          <t>2026-06-17</t>
        </is>
      </c>
      <c r="S542" s="43" t="n"/>
      <c r="T542" s="14" t="inlineStr">
        <is>
          <t>东 [ĐÔNG] · hướng đông
    ↳ Chiết tự: giản thể của 東: 日 (nhật – mặt trời) lồng trong 木 (mộc – cây) — mặt trời mắc trên ngọn cây lúc mọc</t>
        </is>
      </c>
      <c r="U542" s="15" t="inlineStr">
        <is>
          <t>🧭 Phương hướng &amp; Vị trí</t>
        </is>
      </c>
      <c r="V542" s="63" t="inlineStr">
        <is>
          <t>太阳从东边出来。</t>
        </is>
      </c>
      <c r="W542" s="64" t="inlineStr">
        <is>
          <t>Tàiyáng cóng dōngbian chūlai.
Mặt trời mọc từ phía đông.</t>
        </is>
      </c>
    </row>
    <row r="543" hidden="1" ht="69.75" customHeight="1" s="99">
      <c r="A543" s="27" t="n">
        <v>85</v>
      </c>
      <c r="B543" s="29" t="inlineStr">
        <is>
          <t>HSK1</t>
        </is>
      </c>
      <c r="C543" s="31" t="inlineStr">
        <is>
          <t>东边</t>
        </is>
      </c>
      <c r="D543" s="32" t="inlineStr">
        <is>
          <t>dōngbian</t>
        </is>
      </c>
      <c r="E543" s="33" t="inlineStr">
        <is>
          <t>phía đông</t>
        </is>
      </c>
      <c r="F543" s="34" t="inlineStr">
        <is>
          <t>东边</t>
        </is>
      </c>
      <c r="G543" s="7" t="inlineStr">
        <is>
          <t>东边</t>
        </is>
      </c>
      <c r="H543" s="8">
        <f>IF(TRIM($G543)="","",IF(EXACT(TRIM($G543),TRIM($C543)),"✅ Đúng","❌ Sai"))</f>
        <v/>
      </c>
      <c r="I543" s="36">
        <f>HYPERLINK("https://translate.google.com/translate_tts?ie=UTF-8&amp;tl=zh-CN&amp;client=tw-ob&amp;q=东边","▶")</f>
        <v/>
      </c>
      <c r="J543" s="36">
        <f>HYPERLINK("https://youglish.com/pronounce/东边/chinese","🔍")</f>
        <v/>
      </c>
      <c r="K543" s="37" t="n"/>
      <c r="L543" s="38" t="n"/>
      <c r="M543" s="37" t="n"/>
      <c r="N543" s="38" t="n"/>
      <c r="O543" s="37" t="n"/>
      <c r="P543" s="38" t="n"/>
      <c r="Q543" s="37" t="n"/>
      <c r="R543" s="40" t="inlineStr">
        <is>
          <t>2026-06-17</t>
        </is>
      </c>
      <c r="S543" s="42" t="n"/>
      <c r="T543" s="14" t="inlineStr">
        <is>
          <t>东 [ĐÔNG] · hướng đông
    ↳ Chiết tự: giản thể của 東: 日 (nhật – mặt trời) lồng trong 木 (mộc – cây) — mặt trời mắc trên ngọn cây lúc mọc
边 [BIÊN] · bên cạnh, biên giới, rìa
    ↳ Chiết tự: giản thể của 邊: bộ 辶 (sước – bước đi) + 力 — phần rìa nơi bước chân dừng</t>
        </is>
      </c>
      <c r="U543" s="15" t="inlineStr">
        <is>
          <t>🧭 Phương hướng &amp; Vị trí</t>
        </is>
      </c>
      <c r="V543" s="63" t="inlineStr">
        <is>
          <t>商店在东边。</t>
        </is>
      </c>
      <c r="W543" s="64" t="inlineStr">
        <is>
          <t>Shāngdiàn zài dōngbian.
Cửa hàng ở phía đông.</t>
        </is>
      </c>
    </row>
    <row r="544" ht="23.25" customHeight="1" s="99">
      <c r="A544" s="27" t="n">
        <v>115</v>
      </c>
      <c r="B544" s="61" t="inlineStr">
        <is>
          <t>HSK1+2+3</t>
        </is>
      </c>
      <c r="C544" s="31" t="inlineStr">
        <is>
          <t>高</t>
        </is>
      </c>
      <c r="D544" s="32" t="inlineStr">
        <is>
          <t>gāo</t>
        </is>
      </c>
      <c r="E544" s="33" t="inlineStr">
        <is>
          <t>cao</t>
        </is>
      </c>
      <c r="F544" s="34" t="n"/>
      <c r="G544" s="7" t="n"/>
      <c r="H544" s="8">
        <f>IF(TRIM($G544)="","",IF(EXACT(TRIM($G544),TRIM($C544)),"✅ Đúng","❌ Sai"))</f>
        <v/>
      </c>
      <c r="I544" s="36">
        <f>HYPERLINK("https://translate.google.com/translate_tts?ie=UTF-8&amp;tl=zh-CN&amp;client=tw-ob&amp;q=高","▶")</f>
        <v/>
      </c>
      <c r="J544" s="36">
        <f>HYPERLINK("https://youglish.com/pronounce/高/chinese","🔍")</f>
        <v/>
      </c>
      <c r="K544" s="37" t="n"/>
      <c r="L544" s="38" t="n"/>
      <c r="M544" s="37" t="n"/>
      <c r="N544" s="38" t="n"/>
      <c r="O544" s="37" t="n"/>
      <c r="P544" s="38" t="n"/>
      <c r="Q544" s="37" t="n"/>
      <c r="R544" s="40" t="inlineStr">
        <is>
          <t>2026-06-17</t>
        </is>
      </c>
      <c r="S544" s="42" t="n"/>
      <c r="T544" s="14" t="inlineStr">
        <is>
          <t>高 [CAO] · cao, cao lớn
    ↳ Chiết tự: bộ 高 (cao) — hình tòa lầu nhiều tầng</t>
        </is>
      </c>
      <c r="U544" s="15" t="inlineStr">
        <is>
          <t>🧭 Phương hướng &amp; Vị trí</t>
        </is>
      </c>
      <c r="V544" s="63" t="inlineStr">
        <is>
          <t>他比我高。</t>
        </is>
      </c>
      <c r="W544" s="64" t="inlineStr">
        <is>
          <t>Tā bǐ wǒ gāo.
Anh ấy cao hơn tôi.</t>
        </is>
      </c>
    </row>
    <row r="545" ht="69.75" customHeight="1" s="99">
      <c r="A545" s="27" t="n">
        <v>148</v>
      </c>
      <c r="B545" s="29" t="inlineStr">
        <is>
          <t>HSK1</t>
        </is>
      </c>
      <c r="C545" s="31" t="inlineStr">
        <is>
          <t>后边</t>
        </is>
      </c>
      <c r="D545" s="32" t="inlineStr">
        <is>
          <t>hòubian</t>
        </is>
      </c>
      <c r="E545" s="33" t="inlineStr">
        <is>
          <t>phía sau</t>
        </is>
      </c>
      <c r="F545" s="34" t="inlineStr">
        <is>
          <t>后边</t>
        </is>
      </c>
      <c r="G545" s="7" t="inlineStr">
        <is>
          <t>后边</t>
        </is>
      </c>
      <c r="H545" s="8">
        <f>IF(TRIM($G545)="","",IF(EXACT(TRIM($G545),TRIM($C545)),"✅ Đúng","❌ Sai"))</f>
        <v/>
      </c>
      <c r="I545" s="36">
        <f>HYPERLINK("https://translate.google.com/translate_tts?ie=UTF-8&amp;tl=zh-CN&amp;client=tw-ob&amp;q=后边","▶")</f>
        <v/>
      </c>
      <c r="J545" s="36">
        <f>HYPERLINK("https://youglish.com/pronounce/后边/chinese","🔍")</f>
        <v/>
      </c>
      <c r="K545" s="37" t="n"/>
      <c r="L545" s="38" t="n"/>
      <c r="M545" s="37" t="n"/>
      <c r="N545" s="38" t="n"/>
      <c r="O545" s="37" t="n"/>
      <c r="P545" s="38" t="n"/>
      <c r="Q545" s="37" t="n"/>
      <c r="R545" s="40" t="inlineStr">
        <is>
          <t>2026-06-17</t>
        </is>
      </c>
      <c r="S545" s="43" t="n"/>
      <c r="T545" s="14" t="inlineStr">
        <is>
          <t>后 [HẬU] · phía sau, sau này; hoàng hậu
    ↳ Chiết tự: bộ 厂 (hán) + 一 + 口 (khẩu) — người quay ngoái lại phía sau
边 [BIÊN] · bên cạnh, biên giới, rìa
    ↳ Chiết tự: giản thể của 邊: bộ 辶 (sước – bước đi) + 力 — phần rìa nơi bước chân dừng</t>
        </is>
      </c>
      <c r="U545" s="15" t="inlineStr">
        <is>
          <t>🧭 Phương hướng &amp; Vị trí</t>
        </is>
      </c>
      <c r="V545" s="63" t="inlineStr">
        <is>
          <t>他站在我后边。</t>
        </is>
      </c>
      <c r="W545" s="64" t="inlineStr">
        <is>
          <t>Tā zhàn zài wǒ hòubian.
Anh ấy đứng phía sau tôi.</t>
        </is>
      </c>
    </row>
    <row r="546" ht="34.9" customHeight="1" s="99">
      <c r="A546" s="27" t="n">
        <v>214</v>
      </c>
      <c r="B546" s="30" t="inlineStr">
        <is>
          <t>HSK1+2</t>
        </is>
      </c>
      <c r="C546" s="31" t="inlineStr">
        <is>
          <t>里</t>
        </is>
      </c>
      <c r="D546" s="32" t="inlineStr">
        <is>
          <t>lǐ</t>
        </is>
      </c>
      <c r="E546" s="33" t="inlineStr">
        <is>
          <t>trong</t>
        </is>
      </c>
      <c r="F546" s="35" t="inlineStr">
        <is>
          <t>里</t>
        </is>
      </c>
      <c r="G546" s="7" t="inlineStr">
        <is>
          <t>里</t>
        </is>
      </c>
      <c r="H546" s="8">
        <f>IF(TRIM($G546)="","",IF(EXACT(TRIM($G546),TRIM($C546)),"✅ Đúng","❌ Sai"))</f>
        <v/>
      </c>
      <c r="I546" s="36">
        <f>HYPERLINK("https://translate.google.com/translate_tts?ie=UTF-8&amp;tl=zh-CN&amp;client=tw-ob&amp;q=里","▶")</f>
        <v/>
      </c>
      <c r="J546" s="36">
        <f>HYPERLINK("https://youglish.com/pronounce/里/chinese","🔍")</f>
        <v/>
      </c>
      <c r="K546" s="37" t="n"/>
      <c r="L546" s="38" t="n"/>
      <c r="M546" s="37" t="n"/>
      <c r="N546" s="38" t="n"/>
      <c r="O546" s="37" t="n"/>
      <c r="P546" s="38" t="n"/>
      <c r="Q546" s="37" t="n"/>
      <c r="R546" s="40" t="inlineStr">
        <is>
          <t>2026-06-17</t>
        </is>
      </c>
      <c r="S546" s="43" t="n"/>
      <c r="T546" s="14" t="inlineStr">
        <is>
          <t>里 [LÝ] · bên trong; dặm; làng
    ↳ Chiết tự: bộ 田 (điền – ruộng) + 土 (thổ – đất) — bên trong khu ruộng đất của làng</t>
        </is>
      </c>
      <c r="U546" s="15" t="inlineStr">
        <is>
          <t>🧭 Phương hướng &amp; Vị trí</t>
        </is>
      </c>
      <c r="V546" s="63" t="inlineStr">
        <is>
          <t>书在包里。</t>
        </is>
      </c>
      <c r="W546" s="64" t="inlineStr">
        <is>
          <t>Shū zài bāo li.
Sách ở trong túi.</t>
        </is>
      </c>
    </row>
    <row r="547" ht="69.75" customHeight="1" s="99">
      <c r="A547" s="27" t="n">
        <v>215</v>
      </c>
      <c r="B547" s="29" t="inlineStr">
        <is>
          <t>HSK1</t>
        </is>
      </c>
      <c r="C547" s="31" t="inlineStr">
        <is>
          <t>里边</t>
        </is>
      </c>
      <c r="D547" s="32" t="inlineStr">
        <is>
          <t>lǐbian</t>
        </is>
      </c>
      <c r="E547" s="33" t="inlineStr">
        <is>
          <t>bên trong</t>
        </is>
      </c>
      <c r="F547" s="35" t="inlineStr">
        <is>
          <t xml:space="preserve">              </t>
        </is>
      </c>
      <c r="G547" s="7" t="inlineStr">
        <is>
          <t>里边</t>
        </is>
      </c>
      <c r="H547" s="8">
        <f>IF(TRIM($G547)="","",IF(EXACT(TRIM($G547),TRIM($C547)),"✅ Đúng","❌ Sai"))</f>
        <v/>
      </c>
      <c r="I547" s="36">
        <f>HYPERLINK("https://translate.google.com/translate_tts?ie=UTF-8&amp;tl=zh-CN&amp;client=tw-ob&amp;q=里边","▶")</f>
        <v/>
      </c>
      <c r="J547" s="36">
        <f>HYPERLINK("https://youglish.com/pronounce/里边/chinese","🔍")</f>
        <v/>
      </c>
      <c r="K547" s="37" t="n"/>
      <c r="L547" s="38" t="n"/>
      <c r="M547" s="37" t="n"/>
      <c r="N547" s="38" t="n"/>
      <c r="O547" s="37" t="n"/>
      <c r="P547" s="38" t="n"/>
      <c r="Q547" s="37" t="n"/>
      <c r="R547" s="40" t="inlineStr">
        <is>
          <t>2026-06-17</t>
        </is>
      </c>
      <c r="S547" s="42" t="n"/>
      <c r="T547" s="14" t="inlineStr">
        <is>
          <t>里 [LÝ] · bên trong; dặm; làng
    ↳ Chiết tự: bộ 田 (điền – ruộng) + 土 (thổ – đất) — bên trong khu ruộng đất của làng
边 [BIÊN] · bên cạnh, biên giới, rìa
    ↳ Chiết tự: giản thể của 邊: bộ 辶 (sước – bước đi) + 力 — phần rìa nơi bước chân dừng</t>
        </is>
      </c>
      <c r="U547" s="15" t="inlineStr">
        <is>
          <t>🧭 Phương hướng &amp; Vị trí</t>
        </is>
      </c>
      <c r="V547" s="63" t="inlineStr">
        <is>
          <t>房间里边很暖和。</t>
        </is>
      </c>
      <c r="W547" s="64" t="inlineStr">
        <is>
          <t>Fángjiān lǐbian hěn nuǎnhuo.
Bên trong phòng rất ấm.</t>
        </is>
      </c>
    </row>
    <row r="548" ht="34.9" customHeight="1" s="99">
      <c r="A548" s="27" t="n">
        <v>255</v>
      </c>
      <c r="B548" s="61" t="inlineStr">
        <is>
          <t>HSK1+3</t>
        </is>
      </c>
      <c r="C548" s="31" t="inlineStr">
        <is>
          <t>南</t>
        </is>
      </c>
      <c r="D548" s="32" t="inlineStr">
        <is>
          <t>nán</t>
        </is>
      </c>
      <c r="E548" s="33" t="inlineStr">
        <is>
          <t>nam</t>
        </is>
      </c>
      <c r="F548" s="35" t="inlineStr">
        <is>
          <t>男</t>
        </is>
      </c>
      <c r="G548" s="7" t="inlineStr">
        <is>
          <t>南</t>
        </is>
      </c>
      <c r="H548" s="8">
        <f>IF(TRIM($G548)="","",IF(EXACT(TRIM($G548),TRIM($C548)),"✅ Đúng","❌ Sai"))</f>
        <v/>
      </c>
      <c r="I548" s="36">
        <f>HYPERLINK("https://translate.google.com/translate_tts?ie=UTF-8&amp;tl=zh-CN&amp;client=tw-ob&amp;q=南","▶")</f>
        <v/>
      </c>
      <c r="J548" s="36">
        <f>HYPERLINK("https://youglish.com/pronounce/南/chinese","🔍")</f>
        <v/>
      </c>
      <c r="K548" s="37" t="n"/>
      <c r="L548" s="38" t="n"/>
      <c r="M548" s="37" t="n"/>
      <c r="N548" s="38" t="n"/>
      <c r="O548" s="37" t="n"/>
      <c r="P548" s="38" t="n"/>
      <c r="Q548" s="37" t="n"/>
      <c r="R548" s="40" t="inlineStr">
        <is>
          <t>2026-06-17</t>
        </is>
      </c>
      <c r="S548" s="42" t="n"/>
      <c r="T548" s="14" t="inlineStr">
        <is>
          <t>南 [NAM] · hướng nam
    ↳ Chiết tự: bộ 十 (thập) + 冂 (quynh) + 干 — hình nhạc khí treo quay mặt về nam</t>
        </is>
      </c>
      <c r="U548" s="15" t="inlineStr">
        <is>
          <t>🧭 Phương hướng &amp; Vị trí</t>
        </is>
      </c>
      <c r="V548" s="63" t="inlineStr">
        <is>
          <t>我住在城南。</t>
        </is>
      </c>
      <c r="W548" s="64" t="inlineStr">
        <is>
          <t>Wǒ zhù zài chéng nán.
Tôi ở phía nam thành phố.</t>
        </is>
      </c>
    </row>
    <row r="549" ht="69.75" customHeight="1" s="99">
      <c r="A549" s="27" t="n">
        <v>256</v>
      </c>
      <c r="B549" s="29" t="inlineStr">
        <is>
          <t>HSK1</t>
        </is>
      </c>
      <c r="C549" s="31" t="inlineStr">
        <is>
          <t>南边</t>
        </is>
      </c>
      <c r="D549" s="32" t="inlineStr">
        <is>
          <t>nánbiān</t>
        </is>
      </c>
      <c r="E549" s="33" t="inlineStr">
        <is>
          <t>phía nam</t>
        </is>
      </c>
      <c r="F549" s="35" t="inlineStr">
        <is>
          <t>南边</t>
        </is>
      </c>
      <c r="G549" s="7" t="inlineStr">
        <is>
          <t>南边</t>
        </is>
      </c>
      <c r="H549" s="8">
        <f>IF(TRIM($G549)="","",IF(EXACT(TRIM($G549),TRIM($C549)),"✅ Đúng","❌ Sai"))</f>
        <v/>
      </c>
      <c r="I549" s="36">
        <f>HYPERLINK("https://translate.google.com/translate_tts?ie=UTF-8&amp;tl=zh-CN&amp;client=tw-ob&amp;q=南边","▶")</f>
        <v/>
      </c>
      <c r="J549" s="36">
        <f>HYPERLINK("https://youglish.com/pronounce/南边/chinese","🔍")</f>
        <v/>
      </c>
      <c r="K549" s="37" t="n"/>
      <c r="L549" s="38" t="n"/>
      <c r="M549" s="37" t="n"/>
      <c r="N549" s="38" t="n"/>
      <c r="O549" s="37" t="n"/>
      <c r="P549" s="38" t="n"/>
      <c r="Q549" s="37" t="n"/>
      <c r="R549" s="40" t="inlineStr">
        <is>
          <t>2026-06-17</t>
        </is>
      </c>
      <c r="S549" s="43" t="n"/>
      <c r="T549" s="14" t="inlineStr">
        <is>
          <t>南 [NAM] · hướng nam
    ↳ Chiết tự: bộ 十 (thập) + 冂 (quynh) + 干 — hình nhạc khí treo quay mặt về nam
边 [BIÊN] · bên cạnh, biên giới, rìa
    ↳ Chiết tự: giản thể của 邊: bộ 辶 (sước – bước đi) + 力 — phần rìa nơi bước chân dừng</t>
        </is>
      </c>
      <c r="U549" s="15" t="inlineStr">
        <is>
          <t>🧭 Phương hướng &amp; Vị trí</t>
        </is>
      </c>
      <c r="V549" s="63" t="inlineStr">
        <is>
          <t>公园在南边。</t>
        </is>
      </c>
      <c r="W549" s="64" t="inlineStr">
        <is>
          <t>Gōngyuán zài nánbian.
Công viên ở phía nam.</t>
        </is>
      </c>
    </row>
    <row r="550" ht="69.75" customHeight="1" s="99">
      <c r="A550" s="27" t="n">
        <v>272</v>
      </c>
      <c r="B550" s="30" t="inlineStr">
        <is>
          <t>HSK1+2</t>
        </is>
      </c>
      <c r="C550" s="31" t="inlineStr">
        <is>
          <t>旁边</t>
        </is>
      </c>
      <c r="D550" s="32" t="inlineStr">
        <is>
          <t>pángbiān</t>
        </is>
      </c>
      <c r="E550" s="33" t="inlineStr">
        <is>
          <t>bên cạnh</t>
        </is>
      </c>
      <c r="F550" s="34" t="n"/>
      <c r="G550" s="7" t="inlineStr">
        <is>
          <t>旁边</t>
        </is>
      </c>
      <c r="H550" s="8">
        <f>IF(TRIM($G550)="","",IF(EXACT(TRIM($G550),TRIM($C550)),"✅ Đúng","❌ Sai"))</f>
        <v/>
      </c>
      <c r="I550" s="36">
        <f>HYPERLINK("https://translate.google.com/translate_tts?ie=UTF-8&amp;tl=zh-CN&amp;client=tw-ob&amp;q=旁边","▶")</f>
        <v/>
      </c>
      <c r="J550" s="36">
        <f>HYPERLINK("https://youglish.com/pronounce/旁边/chinese","🔍")</f>
        <v/>
      </c>
      <c r="K550" s="37" t="n"/>
      <c r="L550" s="38" t="n"/>
      <c r="M550" s="37" t="n"/>
      <c r="N550" s="38" t="n"/>
      <c r="O550" s="37" t="n"/>
      <c r="P550" s="38" t="n"/>
      <c r="Q550" s="37" t="n"/>
      <c r="R550" s="40" t="inlineStr">
        <is>
          <t>2026-06-17</t>
        </is>
      </c>
      <c r="S550" s="42" t="n"/>
      <c r="T550" s="14" t="inlineStr">
        <is>
          <t>旁 [BÀNG] · bên cạnh
    ↳ Chiết tự: bộ 立 (lập – đứng) + 方 (phương – hướng) — đứng lệch sang một phía
边 [BIÊN] · bên cạnh, biên giới, rìa
    ↳ Chiết tự: giản thể của 邊: bộ 辶 (sước – bước đi) + 力 — phần rìa nơi bước chân dừng</t>
        </is>
      </c>
      <c r="U550" s="15" t="inlineStr">
        <is>
          <t>🧭 Phương hướng &amp; Vị trí</t>
        </is>
      </c>
      <c r="V550" s="63" t="inlineStr">
        <is>
          <t>银行在学校旁边。</t>
        </is>
      </c>
      <c r="W550" s="64" t="inlineStr">
        <is>
          <t>Yínháng zài xuéxiào pángbiān.
Ngân hàng ở cạnh trường.</t>
        </is>
      </c>
    </row>
    <row r="551" ht="34.9" customHeight="1" s="99">
      <c r="A551" s="27" t="n">
        <v>281</v>
      </c>
      <c r="B551" s="29" t="inlineStr">
        <is>
          <t>HSK1</t>
        </is>
      </c>
      <c r="C551" s="31" t="inlineStr">
        <is>
          <t>前</t>
        </is>
      </c>
      <c r="D551" s="32" t="inlineStr">
        <is>
          <t>qián</t>
        </is>
      </c>
      <c r="E551" s="33" t="inlineStr">
        <is>
          <t>trước</t>
        </is>
      </c>
      <c r="F551" s="35" t="inlineStr">
        <is>
          <t>前</t>
        </is>
      </c>
      <c r="G551" s="7" t="inlineStr">
        <is>
          <t>前</t>
        </is>
      </c>
      <c r="H551" s="8">
        <f>IF(TRIM($G551)="","",IF(EXACT(TRIM($G551),TRIM($C551)),"✅ Đúng","❌ Sai"))</f>
        <v/>
      </c>
      <c r="I551" s="36">
        <f>HYPERLINK("https://translate.google.com/translate_tts?ie=UTF-8&amp;tl=zh-CN&amp;client=tw-ob&amp;q=前","▶")</f>
        <v/>
      </c>
      <c r="J551" s="36">
        <f>HYPERLINK("https://youglish.com/pronounce/前/chinese","🔍")</f>
        <v/>
      </c>
      <c r="K551" s="37" t="n"/>
      <c r="L551" s="38" t="n"/>
      <c r="M551" s="37" t="n"/>
      <c r="N551" s="38" t="n"/>
      <c r="O551" s="37" t="n"/>
      <c r="P551" s="38" t="n"/>
      <c r="Q551" s="37" t="n"/>
      <c r="R551" s="40" t="inlineStr">
        <is>
          <t>2026-06-17</t>
        </is>
      </c>
      <c r="S551" s="43" t="n"/>
      <c r="T551" s="14" t="inlineStr">
        <is>
          <t>前 [TIỀN] · phía trước, trước đây
    ↳ Chiết tự: bộ 丷 (bát) + 月 (nguyệt/nhục) + 刂 (đao đứng) — thuyền và bàn chân tiến lên phía trước</t>
        </is>
      </c>
      <c r="U551" s="15" t="inlineStr">
        <is>
          <t>🧭 Phương hướng &amp; Vị trí</t>
        </is>
      </c>
      <c r="V551" s="63" t="inlineStr">
        <is>
          <t>前边有一家饭店。</t>
        </is>
      </c>
      <c r="W551" s="64" t="inlineStr">
        <is>
          <t>Qiánbian yǒu yì jiā fàndiàn.
Phía trước có một nhà hàng.</t>
        </is>
      </c>
    </row>
    <row r="552" ht="69.75" customHeight="1" s="99">
      <c r="A552" s="27" t="n">
        <v>282</v>
      </c>
      <c r="B552" s="29" t="inlineStr">
        <is>
          <t>HSK1</t>
        </is>
      </c>
      <c r="C552" s="31" t="inlineStr">
        <is>
          <t>前边</t>
        </is>
      </c>
      <c r="D552" s="32" t="inlineStr">
        <is>
          <t>qiánbian</t>
        </is>
      </c>
      <c r="E552" s="33" t="inlineStr">
        <is>
          <t>phía trước</t>
        </is>
      </c>
      <c r="F552" s="35" t="inlineStr">
        <is>
          <t>前边</t>
        </is>
      </c>
      <c r="G552" s="7" t="inlineStr">
        <is>
          <t>前边</t>
        </is>
      </c>
      <c r="H552" s="8">
        <f>IF(TRIM($G552)="","",IF(EXACT(TRIM($G552),TRIM($C552)),"✅ Đúng","❌ Sai"))</f>
        <v/>
      </c>
      <c r="I552" s="36">
        <f>HYPERLINK("https://translate.google.com/translate_tts?ie=UTF-8&amp;tl=zh-CN&amp;client=tw-ob&amp;q=前边","▶")</f>
        <v/>
      </c>
      <c r="J552" s="36">
        <f>HYPERLINK("https://youglish.com/pronounce/前边/chinese","🔍")</f>
        <v/>
      </c>
      <c r="K552" s="37" t="n"/>
      <c r="L552" s="38" t="n"/>
      <c r="M552" s="37" t="n"/>
      <c r="N552" s="38" t="n"/>
      <c r="O552" s="37" t="n"/>
      <c r="P552" s="38" t="n"/>
      <c r="Q552" s="37" t="n"/>
      <c r="R552" s="40" t="inlineStr">
        <is>
          <t>2026-06-17</t>
        </is>
      </c>
      <c r="S552" s="42" t="n"/>
      <c r="T552" s="14" t="inlineStr">
        <is>
          <t>前 [TIỀN] · phía trước, trước đây
    ↳ Chiết tự: bộ 丷 (bát) + 月 (nguyệt/nhục) + 刂 (đao đứng) — thuyền và bàn chân tiến lên phía trước
边 [BIÊN] · bên cạnh, biên giới, rìa
    ↳ Chiết tự: giản thể của 邊: bộ 辶 (sước – bước đi) + 力 — phần rìa nơi bước chân dừng</t>
        </is>
      </c>
      <c r="U552" s="15" t="inlineStr">
        <is>
          <t>🧭 Phương hướng &amp; Vị trí</t>
        </is>
      </c>
      <c r="V552" s="63" t="inlineStr">
        <is>
          <t>车站在前边。</t>
        </is>
      </c>
      <c r="W552" s="64" t="inlineStr">
        <is>
          <t>Chēzhàn zài qiánbian.
Bến xe ở phía trước.</t>
        </is>
      </c>
    </row>
    <row r="553" ht="34.9" customHeight="1" s="99">
      <c r="A553" s="27" t="n">
        <v>305</v>
      </c>
      <c r="B553" s="30" t="inlineStr">
        <is>
          <t>HSK1+2</t>
        </is>
      </c>
      <c r="C553" s="31" t="inlineStr">
        <is>
          <t>上</t>
        </is>
      </c>
      <c r="D553" s="32" t="inlineStr">
        <is>
          <t>shàng</t>
        </is>
      </c>
      <c r="E553" s="33" t="inlineStr">
        <is>
          <t>trên</t>
        </is>
      </c>
      <c r="F553" s="34" t="n"/>
      <c r="G553" s="7" t="inlineStr">
        <is>
          <t>上</t>
        </is>
      </c>
      <c r="H553" s="8">
        <f>IF(TRIM($G553)="","",IF(EXACT(TRIM($G553),TRIM($C553)),"✅ Đúng","❌ Sai"))</f>
        <v/>
      </c>
      <c r="I553" s="36">
        <f>HYPERLINK("https://translate.google.com/translate_tts?ie=UTF-8&amp;tl=zh-CN&amp;client=tw-ob&amp;q=上","▶")</f>
        <v/>
      </c>
      <c r="J553" s="36">
        <f>HYPERLINK("https://youglish.com/pronounce/上/chinese","🔍")</f>
        <v/>
      </c>
      <c r="K553" s="37" t="n"/>
      <c r="L553" s="38" t="n"/>
      <c r="M553" s="37" t="n"/>
      <c r="N553" s="38" t="n"/>
      <c r="O553" s="37" t="n"/>
      <c r="P553" s="38" t="n"/>
      <c r="Q553" s="37" t="n"/>
      <c r="R553" s="40" t="inlineStr">
        <is>
          <t>2026-06-17</t>
        </is>
      </c>
      <c r="S553" s="43" t="n"/>
      <c r="T553" s="14" t="inlineStr">
        <is>
          <t>上 [THƯỢNG] · ở trên, lên, trước đó
    ↳ Chiết tự: bộ 一 (nhất – mặt đất) + vạch chỉ hướng lên — chữ chỉ sự</t>
        </is>
      </c>
      <c r="U553" s="15" t="inlineStr">
        <is>
          <t>🧭 Phương hướng &amp; Vị trí</t>
        </is>
      </c>
      <c r="V553" s="63" t="inlineStr">
        <is>
          <t>书在桌子上。</t>
        </is>
      </c>
      <c r="W553" s="64" t="inlineStr">
        <is>
          <t>Shū zài zhuōzi shang.
Sách ở trên bàn.</t>
        </is>
      </c>
    </row>
    <row r="554" ht="69.75" customHeight="1" s="99">
      <c r="A554" s="27" t="n">
        <v>307</v>
      </c>
      <c r="B554" s="29" t="inlineStr">
        <is>
          <t>HSK1</t>
        </is>
      </c>
      <c r="C554" s="31" t="inlineStr">
        <is>
          <t>上边</t>
        </is>
      </c>
      <c r="D554" s="32" t="inlineStr">
        <is>
          <t>shàngbiān</t>
        </is>
      </c>
      <c r="E554" s="33" t="inlineStr">
        <is>
          <t>bên trên</t>
        </is>
      </c>
      <c r="F554" s="34" t="n"/>
      <c r="G554" s="7" t="inlineStr">
        <is>
          <t>上边</t>
        </is>
      </c>
      <c r="H554" s="8">
        <f>IF(TRIM($G554)="","",IF(EXACT(TRIM($G554),TRIM($C554)),"✅ Đúng","❌ Sai"))</f>
        <v/>
      </c>
      <c r="I554" s="36">
        <f>HYPERLINK("https://translate.google.com/translate_tts?ie=UTF-8&amp;tl=zh-CN&amp;client=tw-ob&amp;q=上边","▶")</f>
        <v/>
      </c>
      <c r="J554" s="36">
        <f>HYPERLINK("https://youglish.com/pronounce/上边/chinese","🔍")</f>
        <v/>
      </c>
      <c r="K554" s="37" t="n"/>
      <c r="L554" s="38" t="n"/>
      <c r="M554" s="37" t="n"/>
      <c r="N554" s="38" t="n"/>
      <c r="O554" s="37" t="n"/>
      <c r="P554" s="38" t="n"/>
      <c r="Q554" s="37" t="n"/>
      <c r="R554" s="40" t="inlineStr">
        <is>
          <t>2026-06-17</t>
        </is>
      </c>
      <c r="S554" s="43" t="n"/>
      <c r="T554" s="14" t="inlineStr">
        <is>
          <t>上 [THƯỢNG] · ở trên, lên, trước đó
    ↳ Chiết tự: bộ 一 (nhất – mặt đất) + vạch chỉ hướng lên — chữ chỉ sự
边 [BIÊN] · bên cạnh, biên giới, rìa
    ↳ Chiết tự: giản thể của 邊: bộ 辶 (sước – bước đi) + 力 — phần rìa nơi bước chân dừng</t>
        </is>
      </c>
      <c r="U554" s="15" t="inlineStr">
        <is>
          <t>🧭 Phương hướng &amp; Vị trí</t>
        </is>
      </c>
      <c r="V554" s="63" t="inlineStr">
        <is>
          <t>上边写着他的名字。</t>
        </is>
      </c>
      <c r="W554" s="64" t="inlineStr">
        <is>
          <t>Shàngbian xiě zhe tā de míngzi.
Bên trên có viết tên anh ấy.</t>
        </is>
      </c>
    </row>
    <row r="555" ht="69.75" customHeight="1" s="99">
      <c r="A555" s="27" t="n">
        <v>311</v>
      </c>
      <c r="B555" s="61" t="inlineStr">
        <is>
          <t>HSK1+3</t>
        </is>
      </c>
      <c r="C555" s="31" t="inlineStr">
        <is>
          <t>上网</t>
        </is>
      </c>
      <c r="D555" s="32" t="inlineStr">
        <is>
          <t>shàngwǎng</t>
        </is>
      </c>
      <c r="E555" s="33" t="inlineStr">
        <is>
          <t>lên mạng</t>
        </is>
      </c>
      <c r="F555" s="34" t="n"/>
      <c r="G555" s="7" t="inlineStr">
        <is>
          <t>上网</t>
        </is>
      </c>
      <c r="H555" s="8">
        <f>IF(TRIM($G555)="","",IF(EXACT(TRIM($G555),TRIM($C555)),"✅ Đúng","❌ Sai"))</f>
        <v/>
      </c>
      <c r="I555" s="36">
        <f>HYPERLINK("https://translate.google.com/translate_tts?ie=UTF-8&amp;tl=zh-CN&amp;client=tw-ob&amp;q=上网","▶")</f>
        <v/>
      </c>
      <c r="J555" s="36">
        <f>HYPERLINK("https://youglish.com/pronounce/上网/chinese","🔍")</f>
        <v/>
      </c>
      <c r="K555" s="37" t="n"/>
      <c r="L555" s="38" t="n"/>
      <c r="M555" s="37" t="n"/>
      <c r="N555" s="38" t="n"/>
      <c r="O555" s="37" t="n"/>
      <c r="P555" s="38" t="n"/>
      <c r="Q555" s="37" t="n"/>
      <c r="R555" s="40" t="inlineStr">
        <is>
          <t>2026-06-17</t>
        </is>
      </c>
      <c r="S555" s="43" t="n"/>
      <c r="T555" s="14" t="inlineStr">
        <is>
          <t>上 [THƯỢNG] · ở trên, lên, trước đó
    ↳ Chiết tự: bộ 一 (nhất – mặt đất) + vạch chỉ hướng lên — chữ chỉ sự
网 [VÕNG] · lưới; mạng Internet
    ↳ Chiết tự: giản thể của 網: bộ 网 (võng) — hình tấm lưới đan mắt cáo</t>
        </is>
      </c>
      <c r="U555" s="15" t="inlineStr">
        <is>
          <t>🧭 Phương hướng &amp; Vị trí</t>
        </is>
      </c>
      <c r="V555" s="63" t="inlineStr">
        <is>
          <t>我每天上网看新闻。</t>
        </is>
      </c>
      <c r="W555" s="64" t="inlineStr">
        <is>
          <t>Wǒ měitiān shàngwǎng kàn xīnwén.
Ngày nào tôi cũng lên mạng đọc tin.</t>
        </is>
      </c>
    </row>
    <row r="556" ht="58.15" customHeight="1" s="99">
      <c r="A556" s="27" t="n">
        <v>316</v>
      </c>
      <c r="B556" s="29" t="inlineStr">
        <is>
          <t>HSK1</t>
        </is>
      </c>
      <c r="C556" s="31" t="inlineStr">
        <is>
          <t>身上</t>
        </is>
      </c>
      <c r="D556" s="32" t="inlineStr">
        <is>
          <t>shēnshang</t>
        </is>
      </c>
      <c r="E556" s="33" t="inlineStr">
        <is>
          <t>trên người</t>
        </is>
      </c>
      <c r="F556" s="34" t="n"/>
      <c r="G556" s="7" t="n"/>
      <c r="H556" s="8">
        <f>IF(TRIM($G556)="","",IF(EXACT(TRIM($G556),TRIM($C556)),"✅ Đúng","❌ Sai"))</f>
        <v/>
      </c>
      <c r="I556" s="36">
        <f>HYPERLINK("https://translate.google.com/translate_tts?ie=UTF-8&amp;tl=zh-CN&amp;client=tw-ob&amp;q=身上","▶")</f>
        <v/>
      </c>
      <c r="J556" s="36">
        <f>HYPERLINK("https://youglish.com/pronounce/身上/chinese","🔍")</f>
        <v/>
      </c>
      <c r="K556" s="37" t="n"/>
      <c r="L556" s="38" t="n"/>
      <c r="M556" s="37" t="n"/>
      <c r="N556" s="38" t="n"/>
      <c r="O556" s="37" t="n"/>
      <c r="P556" s="38" t="n"/>
      <c r="Q556" s="37" t="n"/>
      <c r="R556" s="40" t="inlineStr">
        <is>
          <t>2026-06-17</t>
        </is>
      </c>
      <c r="S556" s="42" t="n"/>
      <c r="T556" s="14" t="inlineStr">
        <is>
          <t>身 [THÂN] · thân thể, bản thân
    ↳ Chiết tự: bộ 身 (thân) — hình người có bụng lớn, chỉ cơ thể
上 [THƯỢNG] · ở trên, lên, trước đó
    ↳ Chiết tự: bộ 一 (nhất – mặt đất) + vạch chỉ hướng lên — chữ chỉ sự</t>
        </is>
      </c>
      <c r="U556" s="15" t="inlineStr">
        <is>
          <t>🧭 Phương hướng &amp; Vị trí</t>
        </is>
      </c>
      <c r="V556" s="63" t="inlineStr">
        <is>
          <t>我身上没有钱。</t>
        </is>
      </c>
      <c r="W556" s="64" t="inlineStr">
        <is>
          <t>Wǒ shēnshang méiyǒu qián.
Trên người tôi không có tiền.</t>
        </is>
      </c>
    </row>
    <row r="557" ht="34.9" customHeight="1" s="99">
      <c r="A557" s="27" t="n">
        <v>357</v>
      </c>
      <c r="B557" s="30" t="inlineStr">
        <is>
          <t>HSK1+2</t>
        </is>
      </c>
      <c r="C557" s="31" t="inlineStr">
        <is>
          <t>外</t>
        </is>
      </c>
      <c r="D557" s="32" t="inlineStr">
        <is>
          <t>wài</t>
        </is>
      </c>
      <c r="E557" s="33" t="inlineStr">
        <is>
          <t>ngoài</t>
        </is>
      </c>
      <c r="F557" s="35" t="inlineStr">
        <is>
          <t>外</t>
        </is>
      </c>
      <c r="G557" s="7" t="inlineStr">
        <is>
          <t>外</t>
        </is>
      </c>
      <c r="H557" s="8">
        <f>IF(TRIM($G557)="","",IF(EXACT(TRIM($G557),TRIM($C557)),"✅ Đúng","❌ Sai"))</f>
        <v/>
      </c>
      <c r="I557" s="36">
        <f>HYPERLINK("https://translate.google.com/translate_tts?ie=UTF-8&amp;tl=zh-CN&amp;client=tw-ob&amp;q=外","▶")</f>
        <v/>
      </c>
      <c r="J557" s="36">
        <f>HYPERLINK("https://youglish.com/pronounce/外/chinese","🔍")</f>
        <v/>
      </c>
      <c r="K557" s="37" t="n"/>
      <c r="L557" s="38" t="n"/>
      <c r="M557" s="37" t="n"/>
      <c r="N557" s="38" t="n"/>
      <c r="O557" s="37" t="n"/>
      <c r="P557" s="38" t="n"/>
      <c r="Q557" s="37" t="n"/>
      <c r="R557" s="40" t="inlineStr">
        <is>
          <t>2026-06-17</t>
        </is>
      </c>
      <c r="S557" s="43" t="n"/>
      <c r="T557" s="14" t="inlineStr">
        <is>
          <t>外 [NGOẠI] · bên ngoài, nước ngoài
    ↳ Chiết tự: bộ 夕 (tịch – đêm) + 卜 (bốc – bói) — bói vào ban đêm là trái lệ, ở ngoài lệ thường</t>
        </is>
      </c>
      <c r="U557" s="15" t="inlineStr">
        <is>
          <t>🧭 Phương hướng &amp; Vị trí</t>
        </is>
      </c>
      <c r="V557" s="63" t="inlineStr">
        <is>
          <t>他在外边等我。</t>
        </is>
      </c>
      <c r="W557" s="64" t="inlineStr">
        <is>
          <t>Tā zài wàibian děng wǒ.
Anh ấy đợi tôi ở bên ngoài.</t>
        </is>
      </c>
    </row>
    <row r="558" ht="69.75" customHeight="1" s="99">
      <c r="A558" s="27" t="n">
        <v>358</v>
      </c>
      <c r="B558" s="29" t="inlineStr">
        <is>
          <t>HSK1</t>
        </is>
      </c>
      <c r="C558" s="31" t="inlineStr">
        <is>
          <t>外边</t>
        </is>
      </c>
      <c r="D558" s="32" t="inlineStr">
        <is>
          <t>wàibiān</t>
        </is>
      </c>
      <c r="E558" s="33" t="inlineStr">
        <is>
          <t>bên ngoài</t>
        </is>
      </c>
      <c r="F558" s="35" t="inlineStr">
        <is>
          <t>外边</t>
        </is>
      </c>
      <c r="G558" s="7" t="inlineStr">
        <is>
          <t>外边</t>
        </is>
      </c>
      <c r="H558" s="8">
        <f>IF(TRIM($G558)="","",IF(EXACT(TRIM($G558),TRIM($C558)),"✅ Đúng","❌ Sai"))</f>
        <v/>
      </c>
      <c r="I558" s="36">
        <f>HYPERLINK("https://translate.google.com/translate_tts?ie=UTF-8&amp;tl=zh-CN&amp;client=tw-ob&amp;q=外边","▶")</f>
        <v/>
      </c>
      <c r="J558" s="36">
        <f>HYPERLINK("https://youglish.com/pronounce/外边/chinese","🔍")</f>
        <v/>
      </c>
      <c r="K558" s="37" t="n"/>
      <c r="L558" s="38" t="n"/>
      <c r="M558" s="37" t="n"/>
      <c r="N558" s="38" t="n"/>
      <c r="O558" s="37" t="n"/>
      <c r="P558" s="38" t="n"/>
      <c r="Q558" s="37" t="n"/>
      <c r="R558" s="40" t="inlineStr">
        <is>
          <t>2026-06-17</t>
        </is>
      </c>
      <c r="S558" s="42" t="n"/>
      <c r="T558" s="14" t="inlineStr">
        <is>
          <t>外 [NGOẠI] · bên ngoài, nước ngoài
    ↳ Chiết tự: bộ 夕 (tịch – đêm) + 卜 (bốc – bói) — bói vào ban đêm là trái lệ, ở ngoài lệ thường
边 [BIÊN] · bên cạnh, biên giới, rìa
    ↳ Chiết tự: giản thể của 邊: bộ 辶 (sước – bước đi) + 力 — phần rìa nơi bước chân dừng</t>
        </is>
      </c>
      <c r="U558" s="15" t="inlineStr">
        <is>
          <t>🧭 Phương hướng &amp; Vị trí</t>
        </is>
      </c>
      <c r="V558" s="63" t="inlineStr">
        <is>
          <t>外边下雨了。</t>
        </is>
      </c>
      <c r="W558" s="64" t="inlineStr">
        <is>
          <t>Wàibian xià yǔ le.
Bên ngoài trời mưa rồi.</t>
        </is>
      </c>
    </row>
    <row r="559" ht="69.75" customHeight="1" s="99">
      <c r="A559" s="27" t="n">
        <v>365</v>
      </c>
      <c r="B559" s="29" t="inlineStr">
        <is>
          <t>HSK1</t>
        </is>
      </c>
      <c r="C559" s="31" t="inlineStr">
        <is>
          <t>网上</t>
        </is>
      </c>
      <c r="D559" s="32" t="inlineStr">
        <is>
          <t>wǎngshang</t>
        </is>
      </c>
      <c r="E559" s="33" t="inlineStr">
        <is>
          <t>trên mạng</t>
        </is>
      </c>
      <c r="F559" s="34" t="n"/>
      <c r="G559" s="7" t="inlineStr">
        <is>
          <t>网上</t>
        </is>
      </c>
      <c r="H559" s="8">
        <f>IF(TRIM($G559)="","",IF(EXACT(TRIM($G559),TRIM($C559)),"✅ Đúng","❌ Sai"))</f>
        <v/>
      </c>
      <c r="I559" s="36">
        <f>HYPERLINK("https://translate.google.com/translate_tts?ie=UTF-8&amp;tl=zh-CN&amp;client=tw-ob&amp;q=网上","▶")</f>
        <v/>
      </c>
      <c r="J559" s="36">
        <f>HYPERLINK("https://youglish.com/pronounce/网上/chinese","🔍")</f>
        <v/>
      </c>
      <c r="K559" s="37" t="n"/>
      <c r="L559" s="38" t="n"/>
      <c r="M559" s="37" t="n"/>
      <c r="N559" s="38" t="n"/>
      <c r="O559" s="37" t="n"/>
      <c r="P559" s="38" t="n"/>
      <c r="Q559" s="37" t="n"/>
      <c r="R559" s="40" t="inlineStr">
        <is>
          <t>2026-06-17</t>
        </is>
      </c>
      <c r="S559" s="43" t="n"/>
      <c r="T559" s="14" t="inlineStr">
        <is>
          <t>网 [VÕNG] · lưới; mạng Internet
    ↳ Chiết tự: giản thể của 網: bộ 网 (võng) — hình tấm lưới đan mắt cáo
上 [THƯỢNG] · ở trên, lên, trước đó
    ↳ Chiết tự: bộ 一 (nhất – mặt đất) + vạch chỉ hướng lên — chữ chỉ sự</t>
        </is>
      </c>
      <c r="U559" s="15" t="inlineStr">
        <is>
          <t>🧭 Phương hướng &amp; Vị trí</t>
        </is>
      </c>
      <c r="V559" s="63" t="inlineStr">
        <is>
          <t>我在网上买东西。</t>
        </is>
      </c>
      <c r="W559" s="64" t="inlineStr">
        <is>
          <t>Wǒ zài wǎngshàng mǎi dōngxi.
Tôi mua đồ trên mạng.</t>
        </is>
      </c>
    </row>
    <row r="560" ht="34.9" customHeight="1" s="99">
      <c r="A560" s="27" t="n">
        <v>374</v>
      </c>
      <c r="B560" s="61" t="inlineStr">
        <is>
          <t>HSK1+3</t>
        </is>
      </c>
      <c r="C560" s="31" t="inlineStr">
        <is>
          <t>西</t>
        </is>
      </c>
      <c r="D560" s="32" t="inlineStr">
        <is>
          <t>xī</t>
        </is>
      </c>
      <c r="E560" s="33" t="inlineStr">
        <is>
          <t>tây</t>
        </is>
      </c>
      <c r="F560" s="34" t="n"/>
      <c r="G560" s="7" t="inlineStr">
        <is>
          <t>西</t>
        </is>
      </c>
      <c r="H560" s="8">
        <f>IF(TRIM($G560)="","",IF(EXACT(TRIM($G560),TRIM($C560)),"✅ Đúng","❌ Sai"))</f>
        <v/>
      </c>
      <c r="I560" s="36">
        <f>HYPERLINK("https://translate.google.com/translate_tts?ie=UTF-8&amp;tl=zh-CN&amp;client=tw-ob&amp;q=西","▶")</f>
        <v/>
      </c>
      <c r="J560" s="36">
        <f>HYPERLINK("https://youglish.com/pronounce/西/chinese","🔍")</f>
        <v/>
      </c>
      <c r="K560" s="37" t="n"/>
      <c r="L560" s="38" t="n"/>
      <c r="M560" s="37" t="n"/>
      <c r="N560" s="38" t="n"/>
      <c r="O560" s="37" t="n"/>
      <c r="P560" s="38" t="n"/>
      <c r="Q560" s="37" t="n"/>
      <c r="R560" s="40" t="inlineStr">
        <is>
          <t>2026-06-17</t>
        </is>
      </c>
      <c r="S560" s="42" t="n"/>
      <c r="T560" s="14" t="inlineStr">
        <is>
          <t>西 [TÂY] · hướng tây; phương Tây
    ↳ Chiết tự: bộ 覀/西 (tây) — hình tổ chim, chim về tổ khi mặt trời lặn ở phía tây</t>
        </is>
      </c>
      <c r="U560" s="15" t="inlineStr">
        <is>
          <t>🧭 Phương hướng &amp; Vị trí</t>
        </is>
      </c>
      <c r="V560" s="63" t="inlineStr">
        <is>
          <t>太阳从西边下去。</t>
        </is>
      </c>
      <c r="W560" s="64" t="inlineStr">
        <is>
          <t>Tàiyáng cóng xībian xiàqù.
Mặt trời lặn ở phía tây.</t>
        </is>
      </c>
    </row>
    <row r="561" ht="69.75" customHeight="1" s="99">
      <c r="A561" s="27" t="n">
        <v>375</v>
      </c>
      <c r="B561" s="29" t="inlineStr">
        <is>
          <t>HSK1</t>
        </is>
      </c>
      <c r="C561" s="31" t="inlineStr">
        <is>
          <t>西边</t>
        </is>
      </c>
      <c r="D561" s="32" t="inlineStr">
        <is>
          <t>xībian</t>
        </is>
      </c>
      <c r="E561" s="33" t="inlineStr">
        <is>
          <t>phía tây</t>
        </is>
      </c>
      <c r="F561" s="34" t="n"/>
      <c r="G561" s="7" t="inlineStr">
        <is>
          <t>西边</t>
        </is>
      </c>
      <c r="H561" s="8">
        <f>IF(TRIM($G561)="","",IF(EXACT(TRIM($G561),TRIM($C561)),"✅ Đúng","❌ Sai"))</f>
        <v/>
      </c>
      <c r="I561" s="36">
        <f>HYPERLINK("https://translate.google.com/translate_tts?ie=UTF-8&amp;tl=zh-CN&amp;client=tw-ob&amp;q=西边","▶")</f>
        <v/>
      </c>
      <c r="J561" s="36">
        <f>HYPERLINK("https://youglish.com/pronounce/西边/chinese","🔍")</f>
        <v/>
      </c>
      <c r="K561" s="37" t="n"/>
      <c r="L561" s="38" t="n"/>
      <c r="M561" s="37" t="n"/>
      <c r="N561" s="38" t="n"/>
      <c r="O561" s="37" t="n"/>
      <c r="P561" s="38" t="n"/>
      <c r="Q561" s="37" t="n"/>
      <c r="R561" s="40" t="inlineStr">
        <is>
          <t>2026-06-17</t>
        </is>
      </c>
      <c r="S561" s="43" t="n"/>
      <c r="T561" s="14" t="inlineStr">
        <is>
          <t>西 [TÂY] · hướng tây; phương Tây
    ↳ Chiết tự: bộ 覀/西 (tây) — hình tổ chim, chim về tổ khi mặt trời lặn ở phía tây
边 [BIÊN] · bên cạnh, biên giới, rìa
    ↳ Chiết tự: giản thể của 邊: bộ 辶 (sước – bước đi) + 力 — phần rìa nơi bước chân dừng</t>
        </is>
      </c>
      <c r="U561" s="15" t="inlineStr">
        <is>
          <t>🧭 Phương hướng &amp; Vị trí</t>
        </is>
      </c>
      <c r="V561" s="63" t="inlineStr">
        <is>
          <t>超市在西边。</t>
        </is>
      </c>
      <c r="W561" s="64" t="inlineStr">
        <is>
          <t>Chāoshì zài xībian.
Siêu thị ở phía tây.</t>
        </is>
      </c>
    </row>
    <row r="562" ht="34.9" customHeight="1" s="99">
      <c r="A562" s="27" t="n">
        <v>379</v>
      </c>
      <c r="B562" s="30" t="inlineStr">
        <is>
          <t>HSK1+2</t>
        </is>
      </c>
      <c r="C562" s="31" t="inlineStr">
        <is>
          <t>下</t>
        </is>
      </c>
      <c r="D562" s="32" t="inlineStr">
        <is>
          <t>xià</t>
        </is>
      </c>
      <c r="E562" s="33" t="inlineStr">
        <is>
          <t>xuống, dưới</t>
        </is>
      </c>
      <c r="F562" s="35" t="inlineStr">
        <is>
          <t>下</t>
        </is>
      </c>
      <c r="G562" s="7" t="inlineStr">
        <is>
          <t>下</t>
        </is>
      </c>
      <c r="H562" s="8">
        <f>IF(TRIM($G562)="","",IF(EXACT(TRIM($G562),TRIM($C562)),"✅ Đúng","❌ Sai"))</f>
        <v/>
      </c>
      <c r="I562" s="36">
        <f>HYPERLINK("https://translate.google.com/translate_tts?ie=UTF-8&amp;tl=zh-CN&amp;client=tw-ob&amp;q=下","▶")</f>
        <v/>
      </c>
      <c r="J562" s="36">
        <f>HYPERLINK("https://youglish.com/pronounce/下/chinese","🔍")</f>
        <v/>
      </c>
      <c r="K562" s="37" t="n"/>
      <c r="L562" s="38" t="n"/>
      <c r="M562" s="37" t="n"/>
      <c r="N562" s="38" t="n"/>
      <c r="O562" s="37" t="n"/>
      <c r="P562" s="38" t="n"/>
      <c r="Q562" s="37" t="n"/>
      <c r="R562" s="40" t="inlineStr">
        <is>
          <t>2026-06-17</t>
        </is>
      </c>
      <c r="S562" s="43" t="n"/>
      <c r="T562" s="14" t="inlineStr">
        <is>
          <t>下 [HẠ] · ở dưới, xuống, kém hơn
    ↳ Chiết tự: bộ 一 (nhất – mặt đất) + vạch chỉ hướng xuống — chữ chỉ sự</t>
        </is>
      </c>
      <c r="U562" s="15" t="inlineStr">
        <is>
          <t>🧭 Phương hướng &amp; Vị trí</t>
        </is>
      </c>
      <c r="V562" s="63" t="inlineStr">
        <is>
          <t>猫在桌子下。</t>
        </is>
      </c>
      <c r="W562" s="64" t="inlineStr">
        <is>
          <t>Māo zài zhuōzi xià.
Con mèo ở dưới bàn.</t>
        </is>
      </c>
    </row>
    <row r="563" ht="69.75" customHeight="1" s="99">
      <c r="A563" s="27" t="n">
        <v>381</v>
      </c>
      <c r="B563" s="29" t="inlineStr">
        <is>
          <t>HSK1</t>
        </is>
      </c>
      <c r="C563" s="31" t="inlineStr">
        <is>
          <t>下边</t>
        </is>
      </c>
      <c r="D563" s="32" t="inlineStr">
        <is>
          <t>xiàbian</t>
        </is>
      </c>
      <c r="E563" s="33" t="inlineStr">
        <is>
          <t>bên dưới</t>
        </is>
      </c>
      <c r="F563" s="35" t="inlineStr">
        <is>
          <t>下边</t>
        </is>
      </c>
      <c r="G563" s="7" t="inlineStr">
        <is>
          <t>下边</t>
        </is>
      </c>
      <c r="H563" s="8">
        <f>IF(TRIM($G563)="","",IF(EXACT(TRIM($G563),TRIM($C563)),"✅ Đúng","❌ Sai"))</f>
        <v/>
      </c>
      <c r="I563" s="36">
        <f>HYPERLINK("https://translate.google.com/translate_tts?ie=UTF-8&amp;tl=zh-CN&amp;client=tw-ob&amp;q=下边","▶")</f>
        <v/>
      </c>
      <c r="J563" s="36">
        <f>HYPERLINK("https://youglish.com/pronounce/下边/chinese","🔍")</f>
        <v/>
      </c>
      <c r="K563" s="37" t="n"/>
      <c r="L563" s="38" t="n"/>
      <c r="M563" s="37" t="n"/>
      <c r="N563" s="38" t="n"/>
      <c r="O563" s="37" t="n"/>
      <c r="P563" s="38" t="n"/>
      <c r="Q563" s="37" t="n"/>
      <c r="R563" s="40" t="inlineStr">
        <is>
          <t>2026-06-17</t>
        </is>
      </c>
      <c r="S563" s="43" t="n"/>
      <c r="T563" s="14" t="inlineStr">
        <is>
          <t>下 [HẠ] · ở dưới, xuống, kém hơn
    ↳ Chiết tự: bộ 一 (nhất – mặt đất) + vạch chỉ hướng xuống — chữ chỉ sự
边 [BIÊN] · bên cạnh, biên giới, rìa
    ↳ Chiết tự: giản thể của 邊: bộ 辶 (sước – bước đi) + 力 — phần rìa nơi bước chân dừng</t>
        </is>
      </c>
      <c r="U563" s="15" t="inlineStr">
        <is>
          <t>🧭 Phương hướng &amp; Vị trí</t>
        </is>
      </c>
      <c r="V563" s="63" t="inlineStr">
        <is>
          <t>下边写着日期。</t>
        </is>
      </c>
      <c r="W563" s="64" t="inlineStr">
        <is>
          <t>Xiàbian xiě zhe rìqī.
Bên dưới có ghi ngày tháng.</t>
        </is>
      </c>
    </row>
    <row r="564" ht="69.75" customHeight="1" s="99">
      <c r="A564" s="27" t="n">
        <v>426</v>
      </c>
      <c r="B564" s="29" t="inlineStr">
        <is>
          <t>HSK1</t>
        </is>
      </c>
      <c r="C564" s="31" t="inlineStr">
        <is>
          <t>一边</t>
        </is>
      </c>
      <c r="D564" s="32" t="inlineStr">
        <is>
          <t>yìbiān</t>
        </is>
      </c>
      <c r="E564" s="33" t="inlineStr">
        <is>
          <t>một bên</t>
        </is>
      </c>
      <c r="F564" s="34" t="inlineStr">
        <is>
          <t>一边</t>
        </is>
      </c>
      <c r="G564" s="7" t="inlineStr">
        <is>
          <t>一边</t>
        </is>
      </c>
      <c r="H564" s="8">
        <f>IF(TRIM($G564)="","",IF(EXACT(TRIM($G564),TRIM($C564)),"✅ Đúng","❌ Sai"))</f>
        <v/>
      </c>
      <c r="I564" s="36">
        <f>HYPERLINK("https://translate.google.com/translate_tts?ie=UTF-8&amp;tl=zh-CN&amp;client=tw-ob&amp;q=一边","▶")</f>
        <v/>
      </c>
      <c r="J564" s="36">
        <f>HYPERLINK("https://youglish.com/pronounce/一边/chinese","🔍")</f>
        <v/>
      </c>
      <c r="K564" s="37" t="n"/>
      <c r="L564" s="38" t="n"/>
      <c r="M564" s="37" t="n"/>
      <c r="N564" s="38" t="n"/>
      <c r="O564" s="37" t="n"/>
      <c r="P564" s="38" t="n"/>
      <c r="Q564" s="37" t="n"/>
      <c r="R564" s="40" t="inlineStr">
        <is>
          <t>2026-06-17</t>
        </is>
      </c>
      <c r="S564" s="42" t="n"/>
      <c r="T564" s="14" t="inlineStr">
        <is>
          <t>一 [NHẤT] · số một, thứ nhất, toàn bộ
    ↳ Chiết tự: một nét ngang 一 (nhất) — chữ chỉ sự, vạch một gạch là số 1
边 [BIÊN] · bên cạnh, biên giới, rìa
    ↳ Chiết tự: giản thể của 邊: bộ 辶 (sước – bước đi) + 力 — phần rìa nơi bước chân dừng</t>
        </is>
      </c>
      <c r="U564" s="15" t="inlineStr">
        <is>
          <t>🧭 Phương hướng &amp; Vị trí</t>
        </is>
      </c>
      <c r="V564" s="63" t="inlineStr">
        <is>
          <t>他一边走一边听音乐。</t>
        </is>
      </c>
      <c r="W564" s="64" t="inlineStr">
        <is>
          <t>Tā yìbiān zǒu yìbiān tīng yīnyuè.
Anh ấy vừa đi vừa nghe nhạc.</t>
        </is>
      </c>
    </row>
    <row r="565" ht="34.9" customHeight="1" s="99">
      <c r="A565" s="27" t="n">
        <v>437</v>
      </c>
      <c r="B565" s="29" t="inlineStr">
        <is>
          <t>HSK1</t>
        </is>
      </c>
      <c r="C565" s="31" t="inlineStr">
        <is>
          <t>右</t>
        </is>
      </c>
      <c r="D565" s="32" t="inlineStr">
        <is>
          <t>yòu</t>
        </is>
      </c>
      <c r="E565" s="33" t="inlineStr">
        <is>
          <t>bên phải</t>
        </is>
      </c>
      <c r="F565" s="34" t="inlineStr">
        <is>
          <t>有</t>
        </is>
      </c>
      <c r="G565" s="7" t="inlineStr">
        <is>
          <t>右</t>
        </is>
      </c>
      <c r="H565" s="8">
        <f>IF(TRIM($G565)="","",IF(EXACT(TRIM($G565),TRIM($C565)),"✅ Đúng","❌ Sai"))</f>
        <v/>
      </c>
      <c r="I565" s="36">
        <f>HYPERLINK("https://translate.google.com/translate_tts?ie=UTF-8&amp;tl=zh-CN&amp;client=tw-ob&amp;q=右","▶")</f>
        <v/>
      </c>
      <c r="J565" s="36">
        <f>HYPERLINK("https://youglish.com/pronounce/右/chinese","🔍")</f>
        <v/>
      </c>
      <c r="K565" s="37" t="n"/>
      <c r="L565" s="38" t="n"/>
      <c r="M565" s="37" t="n"/>
      <c r="N565" s="38" t="n"/>
      <c r="O565" s="37" t="n"/>
      <c r="P565" s="38" t="n"/>
      <c r="Q565" s="37" t="n"/>
      <c r="R565" s="40" t="inlineStr">
        <is>
          <t>2026-06-17</t>
        </is>
      </c>
      <c r="S565" s="43" t="n"/>
      <c r="T565" s="14" t="inlineStr">
        <is>
          <t>右 [HỮU] · bên phải
    ↳ Chiết tự: bộ 口 (khẩu – miệng) + 又 (hựu – bàn tay) — tay đưa cơm vào miệng là tay phải</t>
        </is>
      </c>
      <c r="U565" s="15" t="inlineStr">
        <is>
          <t>🧭 Phương hướng &amp; Vị trí</t>
        </is>
      </c>
      <c r="V565" s="63" t="inlineStr">
        <is>
          <t>请往右走。</t>
        </is>
      </c>
      <c r="W565" s="64" t="inlineStr">
        <is>
          <t>Qǐng wǎng yòu zǒu.
Xin đi về bên phải.</t>
        </is>
      </c>
    </row>
    <row r="566" ht="69.75" customHeight="1" s="99">
      <c r="A566" s="27" t="n">
        <v>438</v>
      </c>
      <c r="B566" s="30" t="inlineStr">
        <is>
          <t>HSK1+2</t>
        </is>
      </c>
      <c r="C566" s="31" t="inlineStr">
        <is>
          <t>右边</t>
        </is>
      </c>
      <c r="D566" s="32" t="inlineStr">
        <is>
          <t>yòubian</t>
        </is>
      </c>
      <c r="E566" s="33" t="inlineStr">
        <is>
          <t>phía bên phải</t>
        </is>
      </c>
      <c r="F566" s="34" t="inlineStr">
        <is>
          <t>右边</t>
        </is>
      </c>
      <c r="G566" s="7" t="inlineStr">
        <is>
          <t>右边</t>
        </is>
      </c>
      <c r="H566" s="8">
        <f>IF(TRIM($G566)="","",IF(EXACT(TRIM($G566),TRIM($C566)),"✅ Đúng","❌ Sai"))</f>
        <v/>
      </c>
      <c r="I566" s="36">
        <f>HYPERLINK("https://translate.google.com/translate_tts?ie=UTF-8&amp;tl=zh-CN&amp;client=tw-ob&amp;q=右边","▶")</f>
        <v/>
      </c>
      <c r="J566" s="36">
        <f>HYPERLINK("https://youglish.com/pronounce/右边/chinese","🔍")</f>
        <v/>
      </c>
      <c r="K566" s="37" t="n"/>
      <c r="L566" s="38" t="n"/>
      <c r="M566" s="37" t="n"/>
      <c r="N566" s="38" t="n"/>
      <c r="O566" s="37" t="n"/>
      <c r="P566" s="38" t="n"/>
      <c r="Q566" s="37" t="n"/>
      <c r="R566" s="40" t="inlineStr">
        <is>
          <t>2026-06-17</t>
        </is>
      </c>
      <c r="S566" s="42" t="n"/>
      <c r="T566" s="14" t="inlineStr">
        <is>
          <t>右 [HỮU] · bên phải
    ↳ Chiết tự: bộ 口 (khẩu – miệng) + 又 (hựu – bàn tay) — tay đưa cơm vào miệng là tay phải
边 [BIÊN] · bên cạnh, biên giới, rìa
    ↳ Chiết tự: giản thể của 邊: bộ 辶 (sước – bước đi) + 力 — phần rìa nơi bước chân dừng</t>
        </is>
      </c>
      <c r="U566" s="15" t="inlineStr">
        <is>
          <t>🧭 Phương hướng &amp; Vị trí</t>
        </is>
      </c>
      <c r="V566" s="63" t="inlineStr">
        <is>
          <t>银行在右边。</t>
        </is>
      </c>
      <c r="W566" s="64" t="inlineStr">
        <is>
          <t>Yínháng zài yòubian.
Ngân hàng ở bên phải.</t>
        </is>
      </c>
    </row>
    <row r="567" ht="34.9" customHeight="1" s="99">
      <c r="A567" s="27" t="n">
        <v>441</v>
      </c>
      <c r="B567" s="30" t="inlineStr">
        <is>
          <t>HSK1+2</t>
        </is>
      </c>
      <c r="C567" s="31" t="inlineStr">
        <is>
          <t>远</t>
        </is>
      </c>
      <c r="D567" s="32" t="inlineStr">
        <is>
          <t>yuǎn</t>
        </is>
      </c>
      <c r="E567" s="33" t="inlineStr">
        <is>
          <t>xa</t>
        </is>
      </c>
      <c r="F567" s="34" t="n"/>
      <c r="G567" s="7" t="n"/>
      <c r="H567" s="8">
        <f>IF(TRIM($G567)="","",IF(EXACT(TRIM($G567),TRIM($C567)),"✅ Đúng","❌ Sai"))</f>
        <v/>
      </c>
      <c r="I567" s="36">
        <f>HYPERLINK("https://translate.google.com/translate_tts?ie=UTF-8&amp;tl=zh-CN&amp;client=tw-ob&amp;q=远","▶")</f>
        <v/>
      </c>
      <c r="J567" s="36">
        <f>HYPERLINK("https://youglish.com/pronounce/远/chinese","🔍")</f>
        <v/>
      </c>
      <c r="K567" s="37" t="n"/>
      <c r="L567" s="38" t="n"/>
      <c r="M567" s="37" t="n"/>
      <c r="N567" s="38" t="n"/>
      <c r="O567" s="37" t="n"/>
      <c r="P567" s="38" t="n"/>
      <c r="Q567" s="37" t="n"/>
      <c r="R567" s="40" t="inlineStr">
        <is>
          <t>2026-06-17</t>
        </is>
      </c>
      <c r="S567" s="43" t="n"/>
      <c r="T567" s="14" t="inlineStr">
        <is>
          <t>远 [VIỄN] · xa xôi
    ↳ Chiết tự: giản thể của 遠: bộ 辶 (sước – bước đi) + 元 (nguyên – âm đọc) — quãng đường dài</t>
        </is>
      </c>
      <c r="U567" s="15" t="inlineStr">
        <is>
          <t>🧭 Phương hướng &amp; Vị trí</t>
        </is>
      </c>
      <c r="V567" s="63" t="inlineStr">
        <is>
          <t>学校离我家很远。</t>
        </is>
      </c>
      <c r="W567" s="64" t="inlineStr">
        <is>
          <t>Xuéxiào lí wǒ jiā hěn yuǎn.
Trường cách nhà tôi rất xa.</t>
        </is>
      </c>
    </row>
    <row r="568" ht="34.9" customHeight="1" s="99">
      <c r="A568" s="27" t="n">
        <v>445</v>
      </c>
      <c r="B568" s="30" t="inlineStr">
        <is>
          <t>HSK1+2</t>
        </is>
      </c>
      <c r="C568" s="31" t="inlineStr">
        <is>
          <t>在</t>
        </is>
      </c>
      <c r="D568" s="32" t="inlineStr">
        <is>
          <t>zài</t>
        </is>
      </c>
      <c r="E568" s="33" t="inlineStr">
        <is>
          <t>đang, ở tại</t>
        </is>
      </c>
      <c r="F568" s="34" t="inlineStr">
        <is>
          <t>在</t>
        </is>
      </c>
      <c r="G568" s="7" t="inlineStr">
        <is>
          <t>在</t>
        </is>
      </c>
      <c r="H568" s="8">
        <f>IF(TRIM($G568)="","",IF(EXACT(TRIM($G568),TRIM($C568)),"✅ Đúng","❌ Sai"))</f>
        <v/>
      </c>
      <c r="I568" s="36">
        <f>HYPERLINK("https://translate.google.com/translate_tts?ie=UTF-8&amp;tl=zh-CN&amp;client=tw-ob&amp;q=在","▶")</f>
        <v/>
      </c>
      <c r="J568" s="36">
        <f>HYPERLINK("https://youglish.com/pronounce/在/chinese","🔍")</f>
        <v/>
      </c>
      <c r="K568" s="37" t="n"/>
      <c r="L568" s="38" t="n"/>
      <c r="M568" s="37" t="n"/>
      <c r="N568" s="38" t="n"/>
      <c r="O568" s="37" t="n"/>
      <c r="P568" s="38" t="n"/>
      <c r="Q568" s="37" t="n"/>
      <c r="R568" s="40" t="inlineStr">
        <is>
          <t>2026-06-17</t>
        </is>
      </c>
      <c r="S568" s="43" t="n"/>
      <c r="T568" s="14" t="inlineStr">
        <is>
          <t>在 [TẠI] · ở tại, đang
    ↳ Chiết tự: bộ 土 (thổ – đất) + 才 (tài – âm đọc) — mầm cây tồn tại trên đất</t>
        </is>
      </c>
      <c r="U568" s="15" t="inlineStr">
        <is>
          <t>🧭 Phương hướng &amp; Vị trí</t>
        </is>
      </c>
      <c r="V568" s="63" t="inlineStr">
        <is>
          <t>我在公司工作。</t>
        </is>
      </c>
      <c r="W568" s="64" t="inlineStr">
        <is>
          <t>Wǒ zài gōngsī gōngzuò.
Tôi làm việc ở công ty.</t>
        </is>
      </c>
    </row>
    <row r="569" ht="69.75" customHeight="1" s="99">
      <c r="A569" s="27" t="n">
        <v>446</v>
      </c>
      <c r="B569" s="29" t="inlineStr">
        <is>
          <t>HSK1</t>
        </is>
      </c>
      <c r="C569" s="31" t="inlineStr">
        <is>
          <t>在家</t>
        </is>
      </c>
      <c r="D569" s="32" t="inlineStr">
        <is>
          <t>zàijiā</t>
        </is>
      </c>
      <c r="E569" s="33" t="inlineStr">
        <is>
          <t>ở nhà</t>
        </is>
      </c>
      <c r="F569" s="34" t="inlineStr">
        <is>
          <t>在家</t>
        </is>
      </c>
      <c r="G569" s="7" t="inlineStr">
        <is>
          <t>在家</t>
        </is>
      </c>
      <c r="H569" s="8">
        <f>IF(TRIM($G569)="","",IF(EXACT(TRIM($G569),TRIM($C569)),"✅ Đúng","❌ Sai"))</f>
        <v/>
      </c>
      <c r="I569" s="36">
        <f>HYPERLINK("https://translate.google.com/translate_tts?ie=UTF-8&amp;tl=zh-CN&amp;client=tw-ob&amp;q=在家","▶")</f>
        <v/>
      </c>
      <c r="J569" s="36">
        <f>HYPERLINK("https://youglish.com/pronounce/在家/chinese","🔍")</f>
        <v/>
      </c>
      <c r="K569" s="37" t="n"/>
      <c r="L569" s="38" t="n"/>
      <c r="M569" s="37" t="n"/>
      <c r="N569" s="38" t="n"/>
      <c r="O569" s="37" t="n"/>
      <c r="P569" s="38" t="n"/>
      <c r="Q569" s="37" t="n"/>
      <c r="R569" s="40" t="inlineStr">
        <is>
          <t>2026-06-17</t>
        </is>
      </c>
      <c r="S569" s="42" t="n"/>
      <c r="T569" s="14" t="inlineStr">
        <is>
          <t>在 [TẠI] · ở tại, đang
    ↳ Chiết tự: bộ 土 (thổ – đất) + 才 (tài – âm đọc) — mầm cây tồn tại trên đất
家 [GIA] · nhà, gia đình; nhà chuyên môn
    ↳ Chiết tự: bộ 宀 (miên – mái nhà) + 豕 (thỉ – con lợn) — dưới mái có nuôi lợn mới là một gia đình</t>
        </is>
      </c>
      <c r="U569" s="15" t="inlineStr">
        <is>
          <t>🧭 Phương hướng &amp; Vị trí</t>
        </is>
      </c>
      <c r="V569" s="63" t="inlineStr">
        <is>
          <t>周末我在家休息。</t>
        </is>
      </c>
      <c r="W569" s="64" t="inlineStr">
        <is>
          <t>Zhōumò wǒ zài jiā xiūxi.
Cuối tuần tôi ở nhà nghỉ.</t>
        </is>
      </c>
    </row>
    <row r="570" ht="34.9" customHeight="1" s="99">
      <c r="A570" s="27" t="n">
        <v>466</v>
      </c>
      <c r="B570" s="29" t="inlineStr">
        <is>
          <t>HSK1</t>
        </is>
      </c>
      <c r="C570" s="31" t="inlineStr">
        <is>
          <t>中</t>
        </is>
      </c>
      <c r="D570" s="32" t="inlineStr">
        <is>
          <t>zhōng</t>
        </is>
      </c>
      <c r="E570" s="33" t="inlineStr">
        <is>
          <t>giữa</t>
        </is>
      </c>
      <c r="F570" s="34" t="inlineStr">
        <is>
          <t>中</t>
        </is>
      </c>
      <c r="G570" s="7" t="inlineStr">
        <is>
          <t>中</t>
        </is>
      </c>
      <c r="H570" s="8">
        <f>IF(TRIM($G570)="","",IF(EXACT(TRIM($G570),TRIM($C570)),"✅ Đúng","❌ Sai"))</f>
        <v/>
      </c>
      <c r="I570" s="36">
        <f>HYPERLINK("https://translate.google.com/translate_tts?ie=UTF-8&amp;tl=zh-CN&amp;client=tw-ob&amp;q=中","▶")</f>
        <v/>
      </c>
      <c r="J570" s="36">
        <f>HYPERLINK("https://youglish.com/pronounce/中/chinese","🔍")</f>
        <v/>
      </c>
      <c r="K570" s="37" t="n"/>
      <c r="L570" s="38" t="n"/>
      <c r="M570" s="37" t="n"/>
      <c r="N570" s="38" t="n"/>
      <c r="O570" s="37" t="n"/>
      <c r="P570" s="38" t="n"/>
      <c r="Q570" s="37" t="n"/>
      <c r="R570" s="40" t="inlineStr">
        <is>
          <t>2026-06-17</t>
        </is>
      </c>
      <c r="S570" s="42" t="n"/>
      <c r="T570" s="14" t="inlineStr">
        <is>
          <t>中 [TRUNG] · ở giữa; Trung Quốc
    ↳ Chiết tự: bộ 丨 (cổn – nét sổ) xuyên chính giữa 口 (khẩu – khung vuông) — chữ chỉ sự</t>
        </is>
      </c>
      <c r="U570" s="15" t="inlineStr">
        <is>
          <t>🧭 Phương hướng &amp; Vị trí</t>
        </is>
      </c>
      <c r="V570" s="63" t="inlineStr">
        <is>
          <t>他在人群中。</t>
        </is>
      </c>
      <c r="W570" s="64" t="inlineStr">
        <is>
          <t>Tā zài rénqún zhōng.
Anh ấy ở giữa đám đông.</t>
        </is>
      </c>
    </row>
    <row r="571" ht="69.75" customHeight="1" s="99">
      <c r="A571" s="27" t="n">
        <v>468</v>
      </c>
      <c r="B571" s="61" t="inlineStr">
        <is>
          <t>HSK1+3</t>
        </is>
      </c>
      <c r="C571" s="31" t="inlineStr">
        <is>
          <t>中间</t>
        </is>
      </c>
      <c r="D571" s="32" t="inlineStr">
        <is>
          <t>zhōngjiān</t>
        </is>
      </c>
      <c r="E571" s="33" t="inlineStr">
        <is>
          <t>giữa</t>
        </is>
      </c>
      <c r="F571" s="34" t="inlineStr">
        <is>
          <t>中间</t>
        </is>
      </c>
      <c r="G571" s="7" t="inlineStr">
        <is>
          <t>中间</t>
        </is>
      </c>
      <c r="H571" s="8">
        <f>IF(TRIM($G571)="","",IF(EXACT(TRIM($G571),TRIM($C571)),"✅ Đúng","❌ Sai"))</f>
        <v/>
      </c>
      <c r="I571" s="36">
        <f>HYPERLINK("https://translate.google.com/translate_tts?ie=UTF-8&amp;tl=zh-CN&amp;client=tw-ob&amp;q=中间","▶")</f>
        <v/>
      </c>
      <c r="J571" s="36">
        <f>HYPERLINK("https://youglish.com/pronounce/中间/chinese","🔍")</f>
        <v/>
      </c>
      <c r="K571" s="37" t="n"/>
      <c r="L571" s="38" t="n"/>
      <c r="M571" s="37" t="n"/>
      <c r="N571" s="38" t="n"/>
      <c r="O571" s="37" t="n"/>
      <c r="P571" s="38" t="n"/>
      <c r="Q571" s="37" t="n"/>
      <c r="R571" s="40" t="inlineStr">
        <is>
          <t>2026-06-17</t>
        </is>
      </c>
      <c r="S571" s="42" t="n"/>
      <c r="T571" s="14" t="inlineStr">
        <is>
          <t>中 [TRUNG] · ở giữa; Trung Quốc
    ↳ Chiết tự: bộ 丨 (cổn – nét sổ) xuyên chính giữa 口 (khẩu – khung vuông) — chữ chỉ sự
间 [GIAN] · khoảng giữa; gian (lượng từ phòng)
    ↳ Chiết tự: giản thể của 間: bộ 门 (môn – cửa) + 日 (nhật – mặt trời) — nắng lọt qua khe cửa</t>
        </is>
      </c>
      <c r="U571" s="15" t="inlineStr">
        <is>
          <t>🧭 Phương hướng &amp; Vị trí</t>
        </is>
      </c>
      <c r="V571" s="63" t="inlineStr">
        <is>
          <t>他坐在我们中间。</t>
        </is>
      </c>
      <c r="W571" s="64" t="inlineStr">
        <is>
          <t>Tā zuò zài wǒmen zhōngjiān.
Anh ấy ngồi giữa chúng tôi.</t>
        </is>
      </c>
    </row>
    <row r="572" ht="23.25" customHeight="1" s="99">
      <c r="A572" s="27" t="n">
        <v>486</v>
      </c>
      <c r="B572" s="29" t="inlineStr">
        <is>
          <t>HSK1</t>
        </is>
      </c>
      <c r="C572" s="31" t="inlineStr">
        <is>
          <t>左</t>
        </is>
      </c>
      <c r="D572" s="32" t="inlineStr">
        <is>
          <t>zuǒ</t>
        </is>
      </c>
      <c r="E572" s="33" t="inlineStr">
        <is>
          <t>bên trái</t>
        </is>
      </c>
      <c r="F572" s="34" t="inlineStr">
        <is>
          <t>做</t>
        </is>
      </c>
      <c r="G572" s="7" t="inlineStr">
        <is>
          <t>左</t>
        </is>
      </c>
      <c r="H572" s="8">
        <f>IF(TRIM($G572)="","",IF(EXACT(TRIM($G572),TRIM($C572)),"✅ Đúng","❌ Sai"))</f>
        <v/>
      </c>
      <c r="I572" s="36">
        <f>HYPERLINK("https://translate.google.com/translate_tts?ie=UTF-8&amp;tl=zh-CN&amp;client=tw-ob&amp;q=左","▶")</f>
        <v/>
      </c>
      <c r="J572" s="36">
        <f>HYPERLINK("https://youglish.com/pronounce/左/chinese","🔍")</f>
        <v/>
      </c>
      <c r="K572" s="37" t="n"/>
      <c r="L572" s="38" t="n"/>
      <c r="M572" s="37" t="n"/>
      <c r="N572" s="38" t="n"/>
      <c r="O572" s="37" t="n"/>
      <c r="P572" s="38" t="n"/>
      <c r="Q572" s="37" t="n"/>
      <c r="R572" s="40" t="inlineStr">
        <is>
          <t>2026-06-17</t>
        </is>
      </c>
      <c r="S572" s="42" t="n"/>
      <c r="T572" s="14" t="inlineStr">
        <is>
          <t>左 [TẢ] · bên trái
    ↳ Chiết tự: bộ 工 (công – cái thước) + 屮 — tay giữ thước là tay trái</t>
        </is>
      </c>
      <c r="U572" s="15" t="inlineStr">
        <is>
          <t>🧭 Phương hướng &amp; Vị trí</t>
        </is>
      </c>
      <c r="V572" s="63" t="inlineStr">
        <is>
          <t>请往左转。</t>
        </is>
      </c>
      <c r="W572" s="64" t="inlineStr">
        <is>
          <t>Qǐng wǎng zuǒ zhuǎn.
Xin rẽ sang bên trái.</t>
        </is>
      </c>
    </row>
    <row r="573" ht="58.15" customHeight="1" s="99">
      <c r="A573" s="27" t="n">
        <v>487</v>
      </c>
      <c r="B573" s="30" t="inlineStr">
        <is>
          <t>HSK1+2</t>
        </is>
      </c>
      <c r="C573" s="31" t="inlineStr">
        <is>
          <t>左边</t>
        </is>
      </c>
      <c r="D573" s="32" t="inlineStr">
        <is>
          <t>zuǒbiān</t>
        </is>
      </c>
      <c r="E573" s="33" t="inlineStr">
        <is>
          <t>bên trái</t>
        </is>
      </c>
      <c r="F573" s="34" t="inlineStr">
        <is>
          <t>左边</t>
        </is>
      </c>
      <c r="G573" s="7" t="inlineStr">
        <is>
          <t>左边</t>
        </is>
      </c>
      <c r="H573" s="8">
        <f>IF(TRIM($G573)="","",IF(EXACT(TRIM($G573),TRIM($C573)),"✅ Đúng","❌ Sai"))</f>
        <v/>
      </c>
      <c r="I573" s="36">
        <f>HYPERLINK("https://translate.google.com/translate_tts?ie=UTF-8&amp;tl=zh-CN&amp;client=tw-ob&amp;q=左边","▶")</f>
        <v/>
      </c>
      <c r="J573" s="36">
        <f>HYPERLINK("https://youglish.com/pronounce/左边/chinese","🔍")</f>
        <v/>
      </c>
      <c r="K573" s="37" t="n"/>
      <c r="L573" s="38" t="n"/>
      <c r="M573" s="37" t="n"/>
      <c r="N573" s="38" t="n"/>
      <c r="O573" s="37" t="n"/>
      <c r="P573" s="38" t="n"/>
      <c r="Q573" s="37" t="n"/>
      <c r="R573" s="40" t="inlineStr">
        <is>
          <t>2026-06-17</t>
        </is>
      </c>
      <c r="S573" s="43" t="n"/>
      <c r="T573" s="14" t="inlineStr">
        <is>
          <t>左 [TẢ] · bên trái
    ↳ Chiết tự: bộ 工 (công – cái thước) + 屮 — tay giữ thước là tay trái
边 [BIÊN] · bên cạnh, biên giới, rìa
    ↳ Chiết tự: giản thể của 邊: bộ 辶 (sước – bước đi) + 力 — phần rìa nơi bước chân dừng</t>
        </is>
      </c>
      <c r="U573" s="15" t="inlineStr">
        <is>
          <t>🧭 Phương hướng &amp; Vị trí</t>
        </is>
      </c>
      <c r="V573" s="63" t="inlineStr">
        <is>
          <t>洗手间在左边。</t>
        </is>
      </c>
      <c r="W573" s="64" t="inlineStr">
        <is>
          <t>Xǐshǒujiān zài zuǒbian.
Nhà vệ sinh ở bên trái.</t>
        </is>
      </c>
    </row>
    <row r="574" ht="70.5" customHeight="1" s="99">
      <c r="A574" t="n">
        <v>503</v>
      </c>
      <c r="B574" s="82" t="inlineStr">
        <is>
          <t>HSK2</t>
        </is>
      </c>
      <c r="C574" s="78" t="inlineStr">
        <is>
          <t>后面</t>
        </is>
      </c>
      <c r="D574" s="78" t="inlineStr">
        <is>
          <t>hòumiàn</t>
        </is>
      </c>
      <c r="E574" s="78" t="inlineStr">
        <is>
          <t>phía sau</t>
        </is>
      </c>
      <c r="G574" s="7" t="inlineStr">
        <is>
          <t>后面</t>
        </is>
      </c>
      <c r="H574" s="8">
        <f>IF(TRIM($G574)="","",IF(EXACT(TRIM($G574),TRIM($C574)),"✅ Đúng","❌ Sai"))</f>
        <v/>
      </c>
      <c r="I574" s="54" t="inlineStr">
        <is>
          <t>▶</t>
        </is>
      </c>
      <c r="J574" s="54" t="inlineStr">
        <is>
          <t>🔍</t>
        </is>
      </c>
      <c r="R574" s="23" t="n">
        <v>46236</v>
      </c>
      <c r="T574" s="48" t="inlineStr">
        <is>
          <t>后 [HẬU] · phía sau, sau này; hoàng hậu
    ↳ Chiết tự: bộ 厂 (hán) + 一 + 口 (khẩu) — người quay ngoái lại phía sau
面 [DIỆN] · mặt, bề mặt, phía; sợi mì
    ↳ Chiết tự: bộ 面 (diện) — hình khuôn mặt có con mắt; giản thể gộp cả 麵 (mì)</t>
        </is>
      </c>
      <c r="U574" s="24" t="inlineStr">
        <is>
          <t>🧭 Phương hướng &amp; Vị trí</t>
        </is>
      </c>
      <c r="V574" s="63" t="inlineStr">
        <is>
          <t>他在我后面。</t>
        </is>
      </c>
      <c r="W574" s="64" t="inlineStr">
        <is>
          <t>Tā zài wǒ hòumiàn.
Anh ấy ở phía sau tôi.</t>
        </is>
      </c>
    </row>
    <row r="575" ht="70.5" customHeight="1" s="99">
      <c r="A575" t="n">
        <v>507</v>
      </c>
      <c r="B575" s="82" t="inlineStr">
        <is>
          <t>HSK2</t>
        </is>
      </c>
      <c r="C575" s="78" t="inlineStr">
        <is>
          <t>前面</t>
        </is>
      </c>
      <c r="D575" s="78" t="inlineStr">
        <is>
          <t>qiánmiàn</t>
        </is>
      </c>
      <c r="E575" s="78" t="inlineStr">
        <is>
          <t>phía trước</t>
        </is>
      </c>
      <c r="G575" s="7" t="inlineStr">
        <is>
          <t>前面</t>
        </is>
      </c>
      <c r="H575" s="8">
        <f>IF(TRIM($G575)="","",IF(EXACT(TRIM($G575),TRIM($C575)),"✅ Đúng","❌ Sai"))</f>
        <v/>
      </c>
      <c r="I575" s="54" t="inlineStr">
        <is>
          <t>▶</t>
        </is>
      </c>
      <c r="J575" s="54" t="inlineStr">
        <is>
          <t>🔍</t>
        </is>
      </c>
      <c r="R575" s="23" t="n">
        <v>46236</v>
      </c>
      <c r="T575" s="48" t="inlineStr">
        <is>
          <t>前 [TIỀN] · phía trước, trước đây
    ↳ Chiết tự: bộ 丷 (bát) + 月 (nguyệt/nhục) + 刂 (đao đứng) — thuyền và bàn chân tiến lên phía trước
面 [DIỆN] · mặt, bề mặt, phía; sợi mì
    ↳ Chiết tự: bộ 面 (diện) — hình khuôn mặt có con mắt; giản thể gộp cả 麵 (mì)</t>
        </is>
      </c>
      <c r="U575" s="24" t="inlineStr">
        <is>
          <t>🧭 Phương hướng &amp; Vị trí</t>
        </is>
      </c>
      <c r="V575" s="63" t="inlineStr">
        <is>
          <t>前面就是车站。</t>
        </is>
      </c>
      <c r="W575" s="64" t="inlineStr">
        <is>
          <t>Qiánmiàn jiù shì chēzhàn.
Phía trước chính là bến xe.</t>
        </is>
      </c>
    </row>
    <row r="576" ht="35.65" customHeight="1" s="99">
      <c r="A576" t="n">
        <v>529</v>
      </c>
      <c r="B576" s="83" t="inlineStr">
        <is>
          <t>HSK2+3</t>
        </is>
      </c>
      <c r="C576" s="78" t="inlineStr">
        <is>
          <t>近</t>
        </is>
      </c>
      <c r="D576" s="78" t="inlineStr">
        <is>
          <t>jìn</t>
        </is>
      </c>
      <c r="E576" s="78" t="inlineStr">
        <is>
          <t>gần</t>
        </is>
      </c>
      <c r="G576" s="7" t="n"/>
      <c r="H576" s="8">
        <f>IF(TRIM($G576)="","",IF(EXACT(TRIM($G576),TRIM($C576)),"✅ Đúng","❌ Sai"))</f>
        <v/>
      </c>
      <c r="I576" s="54" t="inlineStr">
        <is>
          <t>▶</t>
        </is>
      </c>
      <c r="J576" s="54" t="inlineStr">
        <is>
          <t>🔍</t>
        </is>
      </c>
      <c r="R576" s="23" t="n">
        <v>46236</v>
      </c>
      <c r="T576" s="48" t="inlineStr">
        <is>
          <t>近 [CẬN] · gần
    ↳ Chiết tự: bộ 辶 (sước – bước đi) + 斤 (cân – âm đọc) — đi vài bước là tới</t>
        </is>
      </c>
      <c r="U576" s="24" t="inlineStr">
        <is>
          <t>🧭 Phương hướng &amp; Vị trí</t>
        </is>
      </c>
      <c r="V576" s="63" t="inlineStr">
        <is>
          <t>我家离公司很近。</t>
        </is>
      </c>
      <c r="W576" s="64" t="inlineStr">
        <is>
          <t>Wǒ jiā lí gōngsī hěn jìn.
Nhà tôi cách công ty rất gần.</t>
        </is>
      </c>
    </row>
    <row r="577" ht="35.65" customHeight="1" s="99">
      <c r="A577" t="n">
        <v>534</v>
      </c>
      <c r="B577" s="82" t="inlineStr">
        <is>
          <t>HSK2</t>
        </is>
      </c>
      <c r="C577" s="78" t="inlineStr">
        <is>
          <t>离</t>
        </is>
      </c>
      <c r="D577" s="78" t="inlineStr">
        <is>
          <t>lí</t>
        </is>
      </c>
      <c r="E577" s="78" t="inlineStr">
        <is>
          <t>cách, rời</t>
        </is>
      </c>
      <c r="G577" s="7" t="n"/>
      <c r="H577" s="8">
        <f>IF(TRIM($G577)="","",IF(EXACT(TRIM($G577),TRIM($C577)),"✅ Đúng","❌ Sai"))</f>
        <v/>
      </c>
      <c r="I577" s="54" t="inlineStr">
        <is>
          <t>▶</t>
        </is>
      </c>
      <c r="J577" s="54" t="inlineStr">
        <is>
          <t>🔍</t>
        </is>
      </c>
      <c r="R577" s="23" t="n">
        <v>46236</v>
      </c>
      <c r="T577" s="48" t="inlineStr">
        <is>
          <t>离 [LY] · rời xa, cách
    ↳ Chiết tự: giản thể của 離: bộ 亠 (đầu) + 禸 (nhựu) — nghĩa gốc là chim mắc lưới, sau chỉ chia lìa</t>
        </is>
      </c>
      <c r="U577" s="24" t="inlineStr">
        <is>
          <t>🧭 Phương hướng &amp; Vị trí</t>
        </is>
      </c>
      <c r="V577" s="63" t="inlineStr">
        <is>
          <t>学校离这儿不远。</t>
        </is>
      </c>
      <c r="W577" s="64" t="inlineStr">
        <is>
          <t>Xuéxiào lí zhèr bù yuǎn.
Trường cách đây không xa.</t>
        </is>
      </c>
    </row>
    <row r="578" ht="35.65" customHeight="1" s="99">
      <c r="A578" t="n">
        <v>552</v>
      </c>
      <c r="B578" s="82" t="inlineStr">
        <is>
          <t>HSK2</t>
        </is>
      </c>
      <c r="C578" s="78" t="inlineStr">
        <is>
          <t>往</t>
        </is>
      </c>
      <c r="D578" s="78" t="inlineStr">
        <is>
          <t>wǎng</t>
        </is>
      </c>
      <c r="E578" s="78" t="inlineStr">
        <is>
          <t>hướng về, đi tới</t>
        </is>
      </c>
      <c r="G578" s="7" t="inlineStr">
        <is>
          <t>往</t>
        </is>
      </c>
      <c r="H578" s="8">
        <f>IF(TRIM($G578)="","",IF(EXACT(TRIM($G578),TRIM($C578)),"✅ Đúng","❌ Sai"))</f>
        <v/>
      </c>
      <c r="I578" s="54" t="inlineStr">
        <is>
          <t>▶</t>
        </is>
      </c>
      <c r="J578" s="54" t="inlineStr">
        <is>
          <t>🔍</t>
        </is>
      </c>
      <c r="R578" s="23" t="n">
        <v>46236</v>
      </c>
      <c r="T578" s="48" t="inlineStr">
        <is>
          <t>往 [VÃNG] · đi về hướng; đã qua
    ↳ Chiết tự: bộ 彳 (xích – bước ngắn) + 主 (chủ – âm đọc) — bước tới một hướng</t>
        </is>
      </c>
      <c r="U578" s="24" t="inlineStr">
        <is>
          <t>🧭 Phương hướng &amp; Vị trí</t>
        </is>
      </c>
      <c r="V578" s="63" t="inlineStr">
        <is>
          <t>请往前走。</t>
        </is>
      </c>
      <c r="W578" s="64" t="inlineStr">
        <is>
          <t>Qǐng wǎng qián zǒu.
Xin đi về phía trước.</t>
        </is>
      </c>
    </row>
    <row r="579" ht="69.75" customHeight="1" s="99">
      <c r="A579" t="n">
        <v>553</v>
      </c>
      <c r="B579" s="84" t="inlineStr">
        <is>
          <t>HSK3</t>
        </is>
      </c>
      <c r="C579" s="85" t="inlineStr">
        <is>
          <t>阿姨</t>
        </is>
      </c>
      <c r="D579" s="78" t="inlineStr">
        <is>
          <t>āyí</t>
        </is>
      </c>
      <c r="E579" s="78" t="inlineStr">
        <is>
          <t>dì, cô (gọi phụ nữ trung niên); bảo mẫu</t>
        </is>
      </c>
      <c r="G579" s="7" t="n"/>
      <c r="H579" s="8">
        <f>IF(TRIM($G579)="","",IF(EXACT(TRIM($G579),TRIM($C579)),"✅ Đúng","❌ Sai"))</f>
        <v/>
      </c>
      <c r="I579" s="56" t="inlineStr">
        <is>
          <t>▶</t>
        </is>
      </c>
      <c r="J579" s="56" t="inlineStr">
        <is>
          <t>🔍</t>
        </is>
      </c>
      <c r="R579" s="23" t="inlineStr">
        <is>
          <t>Sun Aug 02 2026</t>
        </is>
      </c>
      <c r="T579" s="58" t="inlineStr">
        <is>
          <t>阿 [A] · tiếng gọi thân mật; a-
    ↳ Chiết tự: bộ 阝 (phụ – gò đất) + 可 (khả – âm đọc) — vốn chỉ sườn núi lớn, sau mượn làm tiếng gọi
姨 [DI] · dì (chị/em của mẹ)
    ↳ Chiết tự: bộ 女 (nữ – phụ nữ) + 夷 (di – âm đọc) — người nữ bên họ mẹ</t>
        </is>
      </c>
      <c r="U579" s="24" t="inlineStr">
        <is>
          <t>👨‍👩‍👧 Gia đình &amp; Con người</t>
        </is>
      </c>
      <c r="V579" s="63" t="inlineStr">
        <is>
          <t>阿姨，请问几点了？</t>
        </is>
      </c>
      <c r="W579" s="64" t="inlineStr">
        <is>
          <t>Āyí, qǐngwèn jǐ diǎn le?
Cô ơi, xin hỏi mấy giờ rồi?</t>
        </is>
      </c>
    </row>
    <row r="580" ht="34.9" customHeight="1" s="99">
      <c r="A580" t="n">
        <v>554</v>
      </c>
      <c r="B580" s="84" t="inlineStr">
        <is>
          <t>HSK3</t>
        </is>
      </c>
      <c r="C580" s="85" t="inlineStr">
        <is>
          <t>啊</t>
        </is>
      </c>
      <c r="D580" s="78" t="inlineStr">
        <is>
          <t>a</t>
        </is>
      </c>
      <c r="E580" s="78" t="inlineStr">
        <is>
          <t>à, a (trợ từ cảm thán)</t>
        </is>
      </c>
      <c r="G580" s="7" t="n"/>
      <c r="H580" s="8">
        <f>IF(TRIM($G580)="","",IF(EXACT(TRIM($G580),TRIM($C580)),"✅ Đúng","❌ Sai"))</f>
        <v/>
      </c>
      <c r="I580" s="56" t="inlineStr">
        <is>
          <t>▶</t>
        </is>
      </c>
      <c r="J580" s="56" t="inlineStr">
        <is>
          <t>🔍</t>
        </is>
      </c>
      <c r="R580" s="23" t="inlineStr">
        <is>
          <t>Sun Aug 02 2026</t>
        </is>
      </c>
      <c r="T580" s="58" t="inlineStr">
        <is>
          <t>啊 [A] · à, a (thán từ)
    ↳ Chiết tự: bộ 口 (khẩu – miệng) + 阿 (a – âm đọc) — tiếng thốt ra từ miệng</t>
        </is>
      </c>
      <c r="U580" s="24" t="inlineStr">
        <is>
          <t>🔗 Từ nối &amp; Trợ từ</t>
        </is>
      </c>
      <c r="V580" s="63" t="inlineStr">
        <is>
          <t>啊，我明白了！</t>
        </is>
      </c>
      <c r="W580" s="64" t="inlineStr">
        <is>
          <t>À, wǒ míngbai le!
A, tôi hiểu rồi!</t>
        </is>
      </c>
    </row>
    <row r="581" ht="34.9" customHeight="1" s="99">
      <c r="A581" t="n">
        <v>555</v>
      </c>
      <c r="B581" s="84" t="inlineStr">
        <is>
          <t>HSK3</t>
        </is>
      </c>
      <c r="C581" s="85" t="inlineStr">
        <is>
          <t>矮</t>
        </is>
      </c>
      <c r="D581" s="78" t="inlineStr">
        <is>
          <t>ǎi</t>
        </is>
      </c>
      <c r="E581" s="78" t="inlineStr">
        <is>
          <t>thấp, lùn</t>
        </is>
      </c>
      <c r="G581" s="7" t="n"/>
      <c r="H581" s="8">
        <f>IF(TRIM($G581)="","",IF(EXACT(TRIM($G581),TRIM($C581)),"✅ Đúng","❌ Sai"))</f>
        <v/>
      </c>
      <c r="I581" s="56" t="inlineStr">
        <is>
          <t>▶</t>
        </is>
      </c>
      <c r="J581" s="56" t="inlineStr">
        <is>
          <t>🔍</t>
        </is>
      </c>
      <c r="R581" s="23" t="inlineStr">
        <is>
          <t>Sun Aug 02 2026</t>
        </is>
      </c>
      <c r="T581" s="58" t="inlineStr">
        <is>
          <t>矮 [ÃI] · thấp, lùn
    ↳ Chiết tự: bộ 矢 (thỉ – mũi tên) + 委 (uỷ – âm đọc) — lấy mũi tên đo, thấy ngắn</t>
        </is>
      </c>
      <c r="U581" s="24" t="inlineStr">
        <is>
          <t>🎨 Tính từ &amp; Trạng thái</t>
        </is>
      </c>
      <c r="V581" s="63" t="inlineStr">
        <is>
          <t>他比我矮一点儿。</t>
        </is>
      </c>
      <c r="W581" s="64" t="inlineStr">
        <is>
          <t>Tā bǐ wǒ ǎi yìdiǎnr.
Anh ấy thấp hơn tôi một chút.</t>
        </is>
      </c>
    </row>
    <row r="582" ht="69.75" customHeight="1" s="99">
      <c r="A582" t="n">
        <v>556</v>
      </c>
      <c r="B582" s="84" t="inlineStr">
        <is>
          <t>HSK3</t>
        </is>
      </c>
      <c r="C582" s="85" t="inlineStr">
        <is>
          <t>安静</t>
        </is>
      </c>
      <c r="D582" s="78" t="inlineStr">
        <is>
          <t>ānjìng</t>
        </is>
      </c>
      <c r="E582" s="78" t="inlineStr">
        <is>
          <t>yên tĩnh, tĩnh lặng</t>
        </is>
      </c>
      <c r="G582" s="7" t="n"/>
      <c r="H582" s="8">
        <f>IF(TRIM($G582)="","",IF(EXACT(TRIM($G582),TRIM($C582)),"✅ Đúng","❌ Sai"))</f>
        <v/>
      </c>
      <c r="I582" s="56" t="inlineStr">
        <is>
          <t>▶</t>
        </is>
      </c>
      <c r="J582" s="56" t="inlineStr">
        <is>
          <t>🔍</t>
        </is>
      </c>
      <c r="R582" s="23" t="inlineStr">
        <is>
          <t>Sun Aug 02 2026</t>
        </is>
      </c>
      <c r="T582" s="58" t="inlineStr">
        <is>
          <t>安 [AN] · yên ổn, an toàn
    ↳ Chiết tự: bộ 宀 (miên – mái nhà) + 女 (nữ – phụ nữ) — người nữ ở trong nhà thì yên
静 [TĨNH] · yên tĩnh, tĩnh lặng
    ↳ Chiết tự: bộ 青 (thanh – xanh, âm đọc) + 争 (tranh) — hết tranh giành thì lặng</t>
        </is>
      </c>
      <c r="U582" s="24" t="inlineStr">
        <is>
          <t>🎨 Tính từ &amp; Trạng thái</t>
        </is>
      </c>
      <c r="V582" s="63" t="inlineStr">
        <is>
          <t>请安静一点儿。</t>
        </is>
      </c>
      <c r="W582" s="64" t="inlineStr">
        <is>
          <t>Qǐng ānjìng yìdiǎnr.
Xin yên tĩnh một chút.</t>
        </is>
      </c>
    </row>
    <row r="583" ht="23.25" customHeight="1" s="99">
      <c r="A583" t="n">
        <v>557</v>
      </c>
      <c r="B583" s="84" t="inlineStr">
        <is>
          <t>HSK3</t>
        </is>
      </c>
      <c r="C583" s="85" t="inlineStr">
        <is>
          <t>把</t>
        </is>
      </c>
      <c r="D583" s="78" t="inlineStr">
        <is>
          <t>bǎ</t>
        </is>
      </c>
      <c r="E583" s="78" t="inlineStr">
        <is>
          <t>giới từ đưa bổ ngữ lên trước; cái (lượng từ)</t>
        </is>
      </c>
      <c r="G583" s="7" t="n"/>
      <c r="H583" s="8">
        <f>IF(TRIM($G583)="","",IF(EXACT(TRIM($G583),TRIM($C583)),"✅ Đúng","❌ Sai"))</f>
        <v/>
      </c>
      <c r="I583" s="56" t="inlineStr">
        <is>
          <t>▶</t>
        </is>
      </c>
      <c r="J583" s="56" t="inlineStr">
        <is>
          <t>🔍</t>
        </is>
      </c>
      <c r="R583" s="23" t="inlineStr">
        <is>
          <t>Sun Aug 02 2026</t>
        </is>
      </c>
      <c r="T583" s="58" t="inlineStr">
        <is>
          <t>把 [BÁ] · nắm, cầm; giới từ
    ↳ Chiết tự: bộ 扌 (thủ – tay) + 巴 (ba – âm đọc) — tay nắm lấy</t>
        </is>
      </c>
      <c r="U583" s="24" t="inlineStr">
        <is>
          <t>🔗 Từ nối &amp; Trợ từ</t>
        </is>
      </c>
      <c r="V583" s="63" t="inlineStr">
        <is>
          <t>请把门关上。</t>
        </is>
      </c>
      <c r="W583" s="64" t="inlineStr">
        <is>
          <t>Qǐng bǎ mén guān shàng.
Xin đóng cửa lại.</t>
        </is>
      </c>
    </row>
    <row r="584" ht="34.9" customHeight="1" s="99">
      <c r="A584" t="n">
        <v>558</v>
      </c>
      <c r="B584" s="84" t="inlineStr">
        <is>
          <t>HSK3</t>
        </is>
      </c>
      <c r="C584" s="85" t="inlineStr">
        <is>
          <t>搬</t>
        </is>
      </c>
      <c r="D584" s="78" t="inlineStr">
        <is>
          <t>bān</t>
        </is>
      </c>
      <c r="E584" s="78" t="inlineStr">
        <is>
          <t>chuyển, dọn, bê</t>
        </is>
      </c>
      <c r="G584" s="7" t="n"/>
      <c r="H584" s="8">
        <f>IF(TRIM($G584)="","",IF(EXACT(TRIM($G584),TRIM($C584)),"✅ Đúng","❌ Sai"))</f>
        <v/>
      </c>
      <c r="I584" s="56" t="inlineStr">
        <is>
          <t>▶</t>
        </is>
      </c>
      <c r="J584" s="56" t="inlineStr">
        <is>
          <t>🔍</t>
        </is>
      </c>
      <c r="R584" s="23" t="inlineStr">
        <is>
          <t>Sun Aug 02 2026</t>
        </is>
      </c>
      <c r="T584" s="58" t="inlineStr">
        <is>
          <t>搬 [BAN] · bê, chuyển, dọn
    ↳ Chiết tự: bộ 扌 (thủ – tay) + 般 (bàn – âm đọc) — dùng tay chuyển đồ</t>
        </is>
      </c>
      <c r="U584" s="24" t="inlineStr">
        <is>
          <t>🏃 Động từ thường ngày</t>
        </is>
      </c>
      <c r="V584" s="63" t="inlineStr">
        <is>
          <t>我们下个月搬家。</t>
        </is>
      </c>
      <c r="W584" s="64" t="inlineStr">
        <is>
          <t>Wǒmen xià ge yuè bān jiā.
Tháng sau chúng tôi chuyển nhà.</t>
        </is>
      </c>
    </row>
    <row r="585" ht="34.9" customHeight="1" s="99">
      <c r="A585" t="n">
        <v>559</v>
      </c>
      <c r="B585" s="84" t="inlineStr">
        <is>
          <t>HSK3</t>
        </is>
      </c>
      <c r="C585" s="85" t="inlineStr">
        <is>
          <t>饱</t>
        </is>
      </c>
      <c r="D585" s="78" t="inlineStr">
        <is>
          <t>bǎo</t>
        </is>
      </c>
      <c r="E585" s="78" t="inlineStr">
        <is>
          <t>no</t>
        </is>
      </c>
      <c r="G585" s="7" t="n"/>
      <c r="H585" s="8">
        <f>IF(TRIM($G585)="","",IF(EXACT(TRIM($G585),TRIM($C585)),"✅ Đúng","❌ Sai"))</f>
        <v/>
      </c>
      <c r="I585" s="56" t="inlineStr">
        <is>
          <t>▶</t>
        </is>
      </c>
      <c r="J585" s="56" t="inlineStr">
        <is>
          <t>🔍</t>
        </is>
      </c>
      <c r="R585" s="23" t="inlineStr">
        <is>
          <t>Sun Aug 02 2026</t>
        </is>
      </c>
      <c r="T585" s="58" t="inlineStr">
        <is>
          <t>饱 [BÃO] · no, đầy
    ↳ Chiết tự: giản thể của 飽: bộ 饣 (thực – ăn) + 包 (bao – bọc kín) — bụng ăn no căng</t>
        </is>
      </c>
      <c r="U585" s="24" t="inlineStr">
        <is>
          <t>⚕️ Sức khỏe &amp; Cơ thể</t>
        </is>
      </c>
      <c r="V585" s="63" t="inlineStr">
        <is>
          <t>我吃饱了。</t>
        </is>
      </c>
      <c r="W585" s="64" t="inlineStr">
        <is>
          <t>Wǒ chī bǎo le.
Tôi ăn no rồi.</t>
        </is>
      </c>
    </row>
    <row r="586" ht="58.15" customHeight="1" s="99">
      <c r="A586" t="n">
        <v>560</v>
      </c>
      <c r="B586" s="84" t="inlineStr">
        <is>
          <t>HSK3</t>
        </is>
      </c>
      <c r="C586" s="85" t="inlineStr">
        <is>
          <t>北方</t>
        </is>
      </c>
      <c r="D586" s="78" t="inlineStr">
        <is>
          <t>běifāng</t>
        </is>
      </c>
      <c r="E586" s="78" t="inlineStr">
        <is>
          <t>phương bắc, miền bắc</t>
        </is>
      </c>
      <c r="G586" s="7" t="inlineStr">
        <is>
          <t>北方</t>
        </is>
      </c>
      <c r="H586" s="8">
        <f>IF(TRIM($G586)="","",IF(EXACT(TRIM($G586),TRIM($C586)),"✅ Đúng","❌ Sai"))</f>
        <v/>
      </c>
      <c r="I586" s="56" t="inlineStr">
        <is>
          <t>▶</t>
        </is>
      </c>
      <c r="J586" s="56" t="inlineStr">
        <is>
          <t>🔍</t>
        </is>
      </c>
      <c r="R586" s="23" t="inlineStr">
        <is>
          <t>Sun Aug 02 2026</t>
        </is>
      </c>
      <c r="T586" s="58" t="inlineStr">
        <is>
          <t>北 [BẮC] · hướng bắc; thua trận
    ↳ Chiết tự: bộ 匕 (chủy) đôi — hai người quay lưng vào nhau, lưng hướng bắc
方 [PHƯƠNG] · phương hướng; vuông; cách thức
    ↳ Chiết tự: bộ 方 (phương) — hình lưỡi cày rẽ hai bên</t>
        </is>
      </c>
      <c r="U586" s="24" t="inlineStr">
        <is>
          <t>🧭 Phương hướng &amp; Vị trí</t>
        </is>
      </c>
      <c r="V586" s="63" t="inlineStr">
        <is>
          <t>北方的冬天很冷。</t>
        </is>
      </c>
      <c r="W586" s="64" t="inlineStr">
        <is>
          <t>Běifāng de dōngtiān hěn lěng.
Mùa đông miền bắc rất lạnh.</t>
        </is>
      </c>
    </row>
    <row r="587" ht="34.9" customHeight="1" s="99">
      <c r="A587" t="n">
        <v>561</v>
      </c>
      <c r="B587" s="84" t="inlineStr">
        <is>
          <t>HSK3</t>
        </is>
      </c>
      <c r="C587" s="85" t="inlineStr">
        <is>
          <t>被</t>
        </is>
      </c>
      <c r="D587" s="78" t="inlineStr">
        <is>
          <t>bèi</t>
        </is>
      </c>
      <c r="E587" s="78" t="inlineStr">
        <is>
          <t>bị, được (câu bị động); cái chăn</t>
        </is>
      </c>
      <c r="G587" s="7" t="n"/>
      <c r="H587" s="8">
        <f>IF(TRIM($G587)="","",IF(EXACT(TRIM($G587),TRIM($C587)),"✅ Đúng","❌ Sai"))</f>
        <v/>
      </c>
      <c r="I587" s="56" t="inlineStr">
        <is>
          <t>▶</t>
        </is>
      </c>
      <c r="J587" s="56" t="inlineStr">
        <is>
          <t>🔍</t>
        </is>
      </c>
      <c r="R587" s="23" t="inlineStr">
        <is>
          <t>Sun Aug 02 2026</t>
        </is>
      </c>
      <c r="T587" s="58" t="inlineStr">
        <is>
          <t>被 [BỊ] · bị, được; cái chăn
    ↳ Chiết tự: bộ 衤 (y – áo) + 皮 (bì – da, âm đọc) — tấm phủ lên người</t>
        </is>
      </c>
      <c r="U587" s="24" t="inlineStr">
        <is>
          <t>🔗 Từ nối &amp; Trợ từ</t>
        </is>
      </c>
      <c r="V587" s="63" t="inlineStr">
        <is>
          <t>我的钱包被偷了。</t>
        </is>
      </c>
      <c r="W587" s="64" t="inlineStr">
        <is>
          <t>Wǒ de qiánbāo bèi tōu le.
Ví của tôi bị mất cắp.</t>
        </is>
      </c>
    </row>
    <row r="588" ht="58.15" customHeight="1" s="99">
      <c r="A588" t="n">
        <v>562</v>
      </c>
      <c r="B588" s="84" t="inlineStr">
        <is>
          <t>HSK3</t>
        </is>
      </c>
      <c r="C588" s="85" t="inlineStr">
        <is>
          <t>鼻子</t>
        </is>
      </c>
      <c r="D588" s="78" t="inlineStr">
        <is>
          <t>bízi</t>
        </is>
      </c>
      <c r="E588" s="78" t="inlineStr">
        <is>
          <t>cái mũi</t>
        </is>
      </c>
      <c r="G588" s="7" t="n"/>
      <c r="H588" s="8">
        <f>IF(TRIM($G588)="","",IF(EXACT(TRIM($G588),TRIM($C588)),"✅ Đúng","❌ Sai"))</f>
        <v/>
      </c>
      <c r="I588" s="56" t="inlineStr">
        <is>
          <t>▶</t>
        </is>
      </c>
      <c r="J588" s="56" t="inlineStr">
        <is>
          <t>🔍</t>
        </is>
      </c>
      <c r="R588" s="23" t="inlineStr">
        <is>
          <t>Sun Aug 02 2026</t>
        </is>
      </c>
      <c r="T588" s="58" t="inlineStr">
        <is>
          <t>鼻 [TỴ] · cái mũi
    ↳ Chiết tự: bộ 自 (tự – hình cái mũi) + 畀 (bí – âm đọc) — cơ quan hít thở
子 [TỬ] · con cái; hậu tố danh từ; ngài
    ↳ Chiết tự: bộ 子 (tử) — hình em bé quấn tã, hai tay giơ lên</t>
        </is>
      </c>
      <c r="U588" s="24" t="inlineStr">
        <is>
          <t>⚕️ Sức khỏe &amp; Cơ thể</t>
        </is>
      </c>
      <c r="V588" s="63" t="inlineStr">
        <is>
          <t>我的鼻子不舒服。</t>
        </is>
      </c>
      <c r="W588" s="64" t="inlineStr">
        <is>
          <t>Wǒ de bízi bù shūfu.
Mũi tôi không dễ chịu.</t>
        </is>
      </c>
    </row>
    <row r="589" ht="58.15" customHeight="1" s="99">
      <c r="A589" t="n">
        <v>563</v>
      </c>
      <c r="B589" s="84" t="inlineStr">
        <is>
          <t>HSK3</t>
        </is>
      </c>
      <c r="C589" s="85" t="inlineStr">
        <is>
          <t>比较</t>
        </is>
      </c>
      <c r="D589" s="78" t="inlineStr">
        <is>
          <t>bǐjiào</t>
        </is>
      </c>
      <c r="E589" s="78" t="inlineStr">
        <is>
          <t>so sánh; tương đối, khá</t>
        </is>
      </c>
      <c r="G589" s="7" t="n"/>
      <c r="H589" s="8">
        <f>IF(TRIM($G589)="","",IF(EXACT(TRIM($G589),TRIM($C589)),"✅ Đúng","❌ Sai"))</f>
        <v/>
      </c>
      <c r="I589" s="56" t="inlineStr">
        <is>
          <t>▶</t>
        </is>
      </c>
      <c r="J589" s="56" t="inlineStr">
        <is>
          <t>🔍</t>
        </is>
      </c>
      <c r="R589" s="23" t="inlineStr">
        <is>
          <t>Sun Aug 02 2026</t>
        </is>
      </c>
      <c r="T589" s="58" t="inlineStr">
        <is>
          <t>比 [TỶ] · so sánh, tỉ lệ
    ↳ Chiết tự: bộ 比 (tỷ) — hai người đứng sát nhau để so
较 [GIẢO] · so sánh
    ↳ Chiết tự: giản thể của 較: bộ 车 (xa – xe) + 交 (giao – âm đọc) — đặt cạnh nhau mà so</t>
        </is>
      </c>
      <c r="U589" s="24" t="inlineStr">
        <is>
          <t>🎨 Tính từ &amp; Trạng thái</t>
        </is>
      </c>
      <c r="V589" s="63" t="inlineStr">
        <is>
          <t>今天比较冷。</t>
        </is>
      </c>
      <c r="W589" s="64" t="inlineStr">
        <is>
          <t>Jīntiān bǐjiào lěng.
Hôm nay khá lạnh.</t>
        </is>
      </c>
    </row>
    <row r="590" ht="58.15" customHeight="1" s="99">
      <c r="A590" t="n">
        <v>564</v>
      </c>
      <c r="B590" s="84" t="inlineStr">
        <is>
          <t>HSK3</t>
        </is>
      </c>
      <c r="C590" s="85" t="inlineStr">
        <is>
          <t>比赛</t>
        </is>
      </c>
      <c r="D590" s="78" t="inlineStr">
        <is>
          <t>bǐsài</t>
        </is>
      </c>
      <c r="E590" s="78" t="inlineStr">
        <is>
          <t>thi đấu, cuộc thi</t>
        </is>
      </c>
      <c r="G590" s="7" t="n"/>
      <c r="H590" s="8">
        <f>IF(TRIM($G590)="","",IF(EXACT(TRIM($G590),TRIM($C590)),"✅ Đúng","❌ Sai"))</f>
        <v/>
      </c>
      <c r="I590" s="56" t="inlineStr">
        <is>
          <t>▶</t>
        </is>
      </c>
      <c r="J590" s="56" t="inlineStr">
        <is>
          <t>🔍</t>
        </is>
      </c>
      <c r="R590" s="23" t="inlineStr">
        <is>
          <t>Sun Aug 02 2026</t>
        </is>
      </c>
      <c r="T590" s="58" t="inlineStr">
        <is>
          <t>比 [TỶ] · so sánh, tỉ lệ
    ↳ Chiết tự: bộ 比 (tỷ) — hai người đứng sát nhau để so
赛 [TÁI] · thi đấu, cuộc thi
    ↳ Chiết tự: giản thể của 賽: bộ 宀 (miên) + 贝 (bối – tiền của) — tranh giải thưởng</t>
        </is>
      </c>
      <c r="U590" s="24" t="inlineStr">
        <is>
          <t>🏃 Động từ thường ngày</t>
        </is>
      </c>
      <c r="V590" s="63" t="inlineStr">
        <is>
          <t>明天有足球比赛。</t>
        </is>
      </c>
      <c r="W590" s="64" t="inlineStr">
        <is>
          <t>Míngtiān yǒu zúqiú bǐsài.
Mai có trận đấu bóng đá.</t>
        </is>
      </c>
    </row>
    <row r="591" ht="104.65" customHeight="1" s="99">
      <c r="A591" t="n">
        <v>565</v>
      </c>
      <c r="B591" s="84" t="inlineStr">
        <is>
          <t>HSK3</t>
        </is>
      </c>
      <c r="C591" s="85" t="inlineStr">
        <is>
          <t>笔记本</t>
        </is>
      </c>
      <c r="D591" s="78" t="inlineStr">
        <is>
          <t>bǐjìběn</t>
        </is>
      </c>
      <c r="E591" s="78" t="inlineStr">
        <is>
          <t>sổ tay; máy tính xách tay</t>
        </is>
      </c>
      <c r="G591" s="7" t="n"/>
      <c r="H591" s="8">
        <f>IF(TRIM($G591)="","",IF(EXACT(TRIM($G591),TRIM($C591)),"✅ Đúng","❌ Sai"))</f>
        <v/>
      </c>
      <c r="I591" s="56" t="inlineStr">
        <is>
          <t>▶</t>
        </is>
      </c>
      <c r="J591" s="56" t="inlineStr">
        <is>
          <t>🔍</t>
        </is>
      </c>
      <c r="R591" s="23" t="inlineStr">
        <is>
          <t>Sun Aug 02 2026</t>
        </is>
      </c>
      <c r="T591" s="58" t="inlineStr">
        <is>
          <t>笔 [BÚT] · cây bút, nét bút
    ↳ Chiết tự: giản thể của 筆: bộ 竹 (trúc – tre) + 毛 (mao – lông) — quản tre gắn ngòi lông
记 [KÝ] · ghi chép, ghi nhớ
    ↳ Chiết tự: giản thể của 記: bộ 讠 (ngôn – lời nói) + 己 (kỷ – bản thân) — ghi lời vào lòng mình
本 [BẢN] · gốc rễ, vốn có; quyển (lượng từ)
    ↳ Chiết tự: bộ 木 (mộc – cây) + 一 (nhất) đánh dấu phần gốc — chữ chỉ sự</t>
        </is>
      </c>
      <c r="U591" s="24" t="inlineStr">
        <is>
          <t>🏫 Học tập &amp; Trường lớp</t>
        </is>
      </c>
      <c r="V591" s="63" t="inlineStr">
        <is>
          <t>我买了一个笔记本。</t>
        </is>
      </c>
      <c r="W591" s="64" t="inlineStr">
        <is>
          <t>Wǒ mǎi le yí ge bǐjìběn.
Tôi mua một quyển sổ tay.</t>
        </is>
      </c>
    </row>
    <row r="592" ht="69.75" customHeight="1" s="99">
      <c r="A592" t="n">
        <v>566</v>
      </c>
      <c r="B592" s="84" t="inlineStr">
        <is>
          <t>HSK3</t>
        </is>
      </c>
      <c r="C592" s="85" t="inlineStr">
        <is>
          <t>必须</t>
        </is>
      </c>
      <c r="D592" s="78" t="inlineStr">
        <is>
          <t>bìxū</t>
        </is>
      </c>
      <c r="E592" s="78" t="inlineStr">
        <is>
          <t>bắt buộc phải, nhất định phải</t>
        </is>
      </c>
      <c r="G592" s="7" t="n"/>
      <c r="H592" s="8">
        <f>IF(TRIM($G592)="","",IF(EXACT(TRIM($G592),TRIM($C592)),"✅ Đúng","❌ Sai"))</f>
        <v/>
      </c>
      <c r="I592" s="56" t="inlineStr">
        <is>
          <t>▶</t>
        </is>
      </c>
      <c r="J592" s="56" t="inlineStr">
        <is>
          <t>🔍</t>
        </is>
      </c>
      <c r="R592" s="23" t="inlineStr">
        <is>
          <t>Sun Aug 02 2026</t>
        </is>
      </c>
      <c r="T592" s="58" t="inlineStr">
        <is>
          <t>必 [TẤT] · tất yếu, nhất định
    ↳ Chiết tự: bộ 心 (tâm – trái tim) + 丿 (phiệt) — điều tất phải khắc trong lòng
须 [TU] · phải, cần
    ↳ Chiết tự: giản thể của 須: bộ 彡 (sam – sợi lông) + 页 (hiệt – cái đầu) — vốn chỉ râu, sau nghĩa "cần phải"</t>
        </is>
      </c>
      <c r="U592" s="24" t="inlineStr">
        <is>
          <t>🔗 Từ nối &amp; Trợ từ</t>
        </is>
      </c>
      <c r="V592" s="63" t="inlineStr">
        <is>
          <t>你必须准时到。</t>
        </is>
      </c>
      <c r="W592" s="64" t="inlineStr">
        <is>
          <t>Nǐ bìxū zhǔnshí dào.
Bạn bắt buộc phải đến đúng giờ.</t>
        </is>
      </c>
    </row>
    <row r="593" ht="69.75" customHeight="1" s="99">
      <c r="A593" t="n">
        <v>567</v>
      </c>
      <c r="B593" s="84" t="inlineStr">
        <is>
          <t>HSK3</t>
        </is>
      </c>
      <c r="C593" s="85" t="inlineStr">
        <is>
          <t>变化</t>
        </is>
      </c>
      <c r="D593" s="78" t="inlineStr">
        <is>
          <t>biànhuà</t>
        </is>
      </c>
      <c r="E593" s="78" t="inlineStr">
        <is>
          <t>biến đổi, thay đổi</t>
        </is>
      </c>
      <c r="G593" s="7" t="inlineStr">
        <is>
          <t>变化</t>
        </is>
      </c>
      <c r="H593" s="8">
        <f>IF(TRIM($G593)="","",IF(EXACT(TRIM($G593),TRIM($C593)),"✅ Đúng","❌ Sai"))</f>
        <v/>
      </c>
      <c r="I593" s="56" t="inlineStr">
        <is>
          <t>▶</t>
        </is>
      </c>
      <c r="J593" s="56" t="inlineStr">
        <is>
          <t>🔍</t>
        </is>
      </c>
      <c r="R593" s="23" t="inlineStr">
        <is>
          <t>Sun Aug 02 2026</t>
        </is>
      </c>
      <c r="T593" s="58" t="inlineStr">
        <is>
          <t>变 [BIẾN] · biến đổi, thay đổi
    ↳ Chiết tự: giản thể của 變: bộ 亦 + 夂 (truy – bước chân) — sự việc chuyển sang dạng khác
化 [HÓA] · biến hóa, hóa thành
    ↳ Chiết tự: bộ 亻 (nhân đứng – người) + 匕 (chủy) — người đổi dạng</t>
        </is>
      </c>
      <c r="U593" s="24" t="inlineStr">
        <is>
          <t>🏃 Động từ thường ngày</t>
        </is>
      </c>
      <c r="V593" s="63" t="inlineStr">
        <is>
          <t>这里变化很大。</t>
        </is>
      </c>
      <c r="W593" s="64" t="inlineStr">
        <is>
          <t>Zhèli biànhuà hěn dà.
Nơi này thay đổi rất nhiều.</t>
        </is>
      </c>
    </row>
    <row r="594" ht="69.75" customHeight="1" s="99">
      <c r="A594" t="n">
        <v>568</v>
      </c>
      <c r="B594" s="84" t="inlineStr">
        <is>
          <t>HSK3</t>
        </is>
      </c>
      <c r="C594" s="85" t="inlineStr">
        <is>
          <t>冰箱</t>
        </is>
      </c>
      <c r="D594" s="78" t="inlineStr">
        <is>
          <t>bīngxiāng</t>
        </is>
      </c>
      <c r="E594" s="78" t="inlineStr">
        <is>
          <t>tủ lạnh</t>
        </is>
      </c>
      <c r="G594" s="7" t="n"/>
      <c r="H594" s="8">
        <f>IF(TRIM($G594)="","",IF(EXACT(TRIM($G594),TRIM($C594)),"✅ Đúng","❌ Sai"))</f>
        <v/>
      </c>
      <c r="I594" s="56" t="inlineStr">
        <is>
          <t>▶</t>
        </is>
      </c>
      <c r="J594" s="56" t="inlineStr">
        <is>
          <t>🔍</t>
        </is>
      </c>
      <c r="R594" s="23" t="inlineStr">
        <is>
          <t>Sun Aug 02 2026</t>
        </is>
      </c>
      <c r="T594" s="58" t="inlineStr">
        <is>
          <t>冰 [BĂNG] · băng, đá lạnh
    ↳ Chiết tự: bộ 冫 (băng – hai giọt băng) + 水 (thủy – nước) — nước đóng cứng
箱 [TƯƠNG] · cái hộp, thùng
    ↳ Chiết tự: bộ 竹 (trúc – tre) + 相 (tương – âm đọc) — hộp đan bằng tre</t>
        </is>
      </c>
      <c r="U594" s="24" t="inlineStr">
        <is>
          <t>🏠 Nhà cửa &amp; Đồ vật</t>
        </is>
      </c>
      <c r="V594" s="63" t="inlineStr">
        <is>
          <t>水果在冰箱里。</t>
        </is>
      </c>
      <c r="W594" s="64" t="inlineStr">
        <is>
          <t>Shuǐguǒ zài bīngxiāng li.
Trái cây ở trong tủ lạnh.</t>
        </is>
      </c>
    </row>
    <row r="595" ht="69.75" customHeight="1" s="99">
      <c r="A595" t="n">
        <v>569</v>
      </c>
      <c r="B595" s="84" t="inlineStr">
        <is>
          <t>HSK3</t>
        </is>
      </c>
      <c r="C595" s="85" t="inlineStr">
        <is>
          <t>菜单</t>
        </is>
      </c>
      <c r="D595" s="78" t="inlineStr">
        <is>
          <t>càidān</t>
        </is>
      </c>
      <c r="E595" s="78" t="inlineStr">
        <is>
          <t>thực đơn</t>
        </is>
      </c>
      <c r="G595" s="7" t="n"/>
      <c r="H595" s="8">
        <f>IF(TRIM($G595)="","",IF(EXACT(TRIM($G595),TRIM($C595)),"✅ Đúng","❌ Sai"))</f>
        <v/>
      </c>
      <c r="I595" s="56" t="inlineStr">
        <is>
          <t>▶</t>
        </is>
      </c>
      <c r="J595" s="56" t="inlineStr">
        <is>
          <t>🔍</t>
        </is>
      </c>
      <c r="R595" s="23" t="inlineStr">
        <is>
          <t>Sun Aug 02 2026</t>
        </is>
      </c>
      <c r="T595" s="58" t="inlineStr">
        <is>
          <t>菜 [THÁI] · rau; món ăn
    ↳ Chiết tự: bộ 艹 (thảo – cây cỏ) + 采 (thái – hái) — thứ cỏ cây hái về ăn
单 [ĐƠN] · đơn lẻ, đơn giản; tờ đơn
    ↳ Chiết tự: giản thể của 單: bộ 丷 (bát) + 田 (điền) + 十 (thập) — chỉ một cái, không đôi</t>
        </is>
      </c>
      <c r="U595" s="24" t="inlineStr">
        <is>
          <t>🍜 Ăn uống</t>
        </is>
      </c>
      <c r="V595" s="63" t="inlineStr">
        <is>
          <t>请给我菜单。</t>
        </is>
      </c>
      <c r="W595" s="64" t="inlineStr">
        <is>
          <t>Qǐng gěi wǒ càidān.
Cho tôi thực đơn.</t>
        </is>
      </c>
    </row>
    <row r="596" ht="69.75" customHeight="1" s="99">
      <c r="A596" t="n">
        <v>570</v>
      </c>
      <c r="B596" s="84" t="inlineStr">
        <is>
          <t>HSK3</t>
        </is>
      </c>
      <c r="C596" s="85" t="inlineStr">
        <is>
          <t>参加</t>
        </is>
      </c>
      <c r="D596" s="78" t="inlineStr">
        <is>
          <t>cānjiā</t>
        </is>
      </c>
      <c r="E596" s="78" t="inlineStr">
        <is>
          <t>tham gia, tham dự</t>
        </is>
      </c>
      <c r="G596" s="7" t="n"/>
      <c r="H596" s="8">
        <f>IF(TRIM($G596)="","",IF(EXACT(TRIM($G596),TRIM($C596)),"✅ Đúng","❌ Sai"))</f>
        <v/>
      </c>
      <c r="I596" s="56" t="inlineStr">
        <is>
          <t>▶</t>
        </is>
      </c>
      <c r="J596" s="56" t="inlineStr">
        <is>
          <t>🔍</t>
        </is>
      </c>
      <c r="R596" s="23" t="inlineStr">
        <is>
          <t>Sun Aug 02 2026</t>
        </is>
      </c>
      <c r="T596" s="58" t="inlineStr">
        <is>
          <t>参 [THAM] · tham dự, tham gia
    ↳ Chiết tự: giản thể của 參: bộ 厶 (tư) + 大 + 彡 (sam) — cùng góp mặt vào
加 [GIA] · thêm vào, cộng
    ↳ Chiết tự: bộ 力 (lực – sức) + 口 (khẩu – miệng) — thêm sức, thêm lời</t>
        </is>
      </c>
      <c r="U596" s="24" t="inlineStr">
        <is>
          <t>🏃 Động từ thường ngày</t>
        </is>
      </c>
      <c r="V596" s="63" t="inlineStr">
        <is>
          <t>我想参加这个会议。</t>
        </is>
      </c>
      <c r="W596" s="64" t="inlineStr">
        <is>
          <t>Wǒ xiǎng cānjiā zhège huìyì.
Tôi muốn tham gia hội nghị này.</t>
        </is>
      </c>
    </row>
    <row r="597" hidden="1" ht="23.25" customHeight="1" s="99">
      <c r="A597" t="n">
        <v>571</v>
      </c>
      <c r="B597" s="57" t="inlineStr">
        <is>
          <t>HSK3</t>
        </is>
      </c>
      <c r="C597" s="59" t="inlineStr">
        <is>
          <t>草</t>
        </is>
      </c>
      <c r="D597" t="inlineStr">
        <is>
          <t>cǎo</t>
        </is>
      </c>
      <c r="E597" t="inlineStr">
        <is>
          <t>cỏ</t>
        </is>
      </c>
      <c r="G597" s="7" t="inlineStr">
        <is>
          <t>草</t>
        </is>
      </c>
      <c r="H597" s="8">
        <f>IF(TRIM($G597)="","",IF(EXACT(TRIM($G597),TRIM($C597)),"✅ Đúng","❌ Sai"))</f>
        <v/>
      </c>
      <c r="I597" s="56" t="inlineStr">
        <is>
          <t>▶</t>
        </is>
      </c>
      <c r="J597" s="56" t="inlineStr">
        <is>
          <t>🔍</t>
        </is>
      </c>
      <c r="R597" s="23" t="inlineStr">
        <is>
          <t>Sun Aug 02 2026</t>
        </is>
      </c>
      <c r="T597" s="58" t="inlineStr">
        <is>
          <t>草 [THẢO] · cỏ, thảo mộc
    ↳ Chiết tự: bộ 艹 (thảo – cỏ) + 早 (tảo – âm đọc) — loài cỏ</t>
        </is>
      </c>
      <c r="U597" s="24" t="inlineStr">
        <is>
          <t>🌤️ Thiên nhiên &amp; Thời tiết</t>
        </is>
      </c>
      <c r="V597" s="63" t="inlineStr">
        <is>
          <t>草地上有很多花。</t>
        </is>
      </c>
      <c r="W597" s="64" t="inlineStr">
        <is>
          <t>Cǎodì shang yǒu hěn duō huā.
Trên bãi cỏ có rất nhiều hoa.</t>
        </is>
      </c>
    </row>
    <row r="598" ht="34.9" customHeight="1" s="99">
      <c r="A598" t="n">
        <v>572</v>
      </c>
      <c r="B598" s="84" t="inlineStr">
        <is>
          <t>HSK3</t>
        </is>
      </c>
      <c r="C598" s="85" t="inlineStr">
        <is>
          <t>层</t>
        </is>
      </c>
      <c r="D598" s="78" t="inlineStr">
        <is>
          <t>céng</t>
        </is>
      </c>
      <c r="E598" s="78" t="inlineStr">
        <is>
          <t>tầng, lớp</t>
        </is>
      </c>
      <c r="G598" s="7" t="n"/>
      <c r="H598" s="8">
        <f>IF(TRIM($G598)="","",IF(EXACT(TRIM($G598),TRIM($C598)),"✅ Đúng","❌ Sai"))</f>
        <v/>
      </c>
      <c r="I598" s="56" t="inlineStr">
        <is>
          <t>▶</t>
        </is>
      </c>
      <c r="J598" s="56" t="inlineStr">
        <is>
          <t>🔍</t>
        </is>
      </c>
      <c r="R598" s="23" t="inlineStr">
        <is>
          <t>Sun Aug 02 2026</t>
        </is>
      </c>
      <c r="T598" s="58" t="inlineStr">
        <is>
          <t>层 [TẦNG] · tầng, lớp
    ↳ Chiết tự: giản thể của 層: bộ 尸 (thi – mái nhà) + 云 (vân – mây) — nhà xếp lớp như mây</t>
        </is>
      </c>
      <c r="U598" s="24" t="inlineStr">
        <is>
          <t>🔢 Số đếm &amp; Lượng từ</t>
        </is>
      </c>
      <c r="V598" s="63" t="inlineStr">
        <is>
          <t>我住在十二层。</t>
        </is>
      </c>
      <c r="W598" s="64" t="inlineStr">
        <is>
          <t>Wǒ zhù zài shí'èr céng.
Tôi ở tầng mười hai.</t>
        </is>
      </c>
    </row>
    <row r="599" hidden="1" ht="58.15" customHeight="1" s="99">
      <c r="A599" t="n">
        <v>573</v>
      </c>
      <c r="B599" s="84" t="inlineStr">
        <is>
          <t>HSK3</t>
        </is>
      </c>
      <c r="C599" s="85" t="inlineStr">
        <is>
          <t>超市</t>
        </is>
      </c>
      <c r="D599" s="78" t="inlineStr">
        <is>
          <t>chāoshì</t>
        </is>
      </c>
      <c r="E599" s="78" t="inlineStr">
        <is>
          <t>siêu thị</t>
        </is>
      </c>
      <c r="G599" s="7" t="inlineStr">
        <is>
          <t>超市</t>
        </is>
      </c>
      <c r="H599" s="8">
        <f>IF(TRIM($G599)="","",IF(EXACT(TRIM($G599),TRIM($C599)),"✅ Đúng","❌ Sai"))</f>
        <v/>
      </c>
      <c r="I599" s="56" t="inlineStr">
        <is>
          <t>▶</t>
        </is>
      </c>
      <c r="J599" s="56" t="inlineStr">
        <is>
          <t>🔍</t>
        </is>
      </c>
      <c r="R599" s="23" t="inlineStr">
        <is>
          <t>Sun Aug 02 2026</t>
        </is>
      </c>
      <c r="T599" s="58" t="inlineStr">
        <is>
          <t>超 [SIÊU] · siêu, vượt qua
    ↳ Chiết tự: bộ 走 (tẩu – chạy) + 召 (chiệu – âm đọc) — chạy vượt lên trước
市 [THỊ] · chợ, thành phố
    ↳ Chiết tự: bộ 巾 (cân – vải) + 亠 (đầu) — nơi treo vải bày bán</t>
        </is>
      </c>
      <c r="U599" s="24" t="inlineStr">
        <is>
          <t>💼 Công việc &amp; Mua sắm</t>
        </is>
      </c>
      <c r="V599" s="63" t="inlineStr">
        <is>
          <t>我去超市买东西。</t>
        </is>
      </c>
      <c r="W599" s="64" t="inlineStr">
        <is>
          <t>Wǒ qù chāoshì mǎi dōngxi.
Tôi đi siêu thị mua đồ.</t>
        </is>
      </c>
    </row>
    <row r="600" hidden="1" ht="58.15" customHeight="1" s="99">
      <c r="A600" t="n">
        <v>574</v>
      </c>
      <c r="B600" s="84" t="inlineStr">
        <is>
          <t>HSK3</t>
        </is>
      </c>
      <c r="C600" s="85" t="inlineStr">
        <is>
          <t>衬衫</t>
        </is>
      </c>
      <c r="D600" s="78" t="inlineStr">
        <is>
          <t>chènshān</t>
        </is>
      </c>
      <c r="E600" s="78" t="inlineStr">
        <is>
          <t>áo sơ mi</t>
        </is>
      </c>
      <c r="G600" s="7" t="inlineStr">
        <is>
          <t>衬衫</t>
        </is>
      </c>
      <c r="H600" s="8">
        <f>IF(TRIM($G600)="","",IF(EXACT(TRIM($G600),TRIM($C600)),"✅ Đúng","❌ Sai"))</f>
        <v/>
      </c>
      <c r="I600" s="56" t="inlineStr">
        <is>
          <t>▶</t>
        </is>
      </c>
      <c r="J600" s="56" t="inlineStr">
        <is>
          <t>🔍</t>
        </is>
      </c>
      <c r="R600" s="23" t="inlineStr">
        <is>
          <t>Sun Aug 02 2026</t>
        </is>
      </c>
      <c r="T600" s="58" t="inlineStr">
        <is>
          <t>衬 [SẤN] · áo lót, lót trong
    ↳ Chiết tự: giản thể của 襯: bộ 衤 (y – áo) + 寸 (thốn – âm đọc) — lớp áo lót bên trong
衫 [SAM] · áo đơn, áo sơ mi
    ↳ Chiết tự: bộ 衤 (y – áo) + 彡 (sam – nếp/sợi) — chiếc áo mỏng</t>
        </is>
      </c>
      <c r="U600" s="24" t="inlineStr">
        <is>
          <t>🏠 Nhà cửa &amp; Đồ vật</t>
        </is>
      </c>
      <c r="V600" s="63" t="inlineStr">
        <is>
          <t>这件衬衫很好看。</t>
        </is>
      </c>
      <c r="W600" s="64" t="inlineStr">
        <is>
          <t>Zhè jiàn chènshān hěn hǎokàn.
Chiếc áo sơ mi này rất đẹp.</t>
        </is>
      </c>
    </row>
    <row r="601" ht="58.15" customHeight="1" s="99">
      <c r="A601" t="n">
        <v>575</v>
      </c>
      <c r="B601" s="84" t="inlineStr">
        <is>
          <t>HSK3</t>
        </is>
      </c>
      <c r="C601" s="85" t="inlineStr">
        <is>
          <t>成绩</t>
        </is>
      </c>
      <c r="D601" s="78" t="inlineStr">
        <is>
          <t>chéngjì</t>
        </is>
      </c>
      <c r="E601" s="78" t="inlineStr">
        <is>
          <t>thành tích, điểm số</t>
        </is>
      </c>
      <c r="G601" s="7" t="n"/>
      <c r="H601" s="8">
        <f>IF(TRIM($G601)="","",IF(EXACT(TRIM($G601),TRIM($C601)),"✅ Đúng","❌ Sai"))</f>
        <v/>
      </c>
      <c r="I601" s="56" t="inlineStr">
        <is>
          <t>▶</t>
        </is>
      </c>
      <c r="J601" s="56" t="inlineStr">
        <is>
          <t>🔍</t>
        </is>
      </c>
      <c r="R601" s="23" t="inlineStr">
        <is>
          <t>Sun Aug 02 2026</t>
        </is>
      </c>
      <c r="T601" s="58" t="inlineStr">
        <is>
          <t>成 [THÀNH] · thành công, hoàn thành
    ↳ Chiết tự: bộ 戈 (qua – ngọn giáo) + 丁 (đinh) — việc binh đã xong
绩 [TÍCH] · thành tích, công trạng
    ↳ Chiết tự: giản thể của 績: bộ 纟 (mịch – sợi tơ) + 责 (trách – âm đọc) — kết quả xe tơ dệt được</t>
        </is>
      </c>
      <c r="U601" s="24" t="inlineStr">
        <is>
          <t>🏫 Học tập &amp; Trường lớp</t>
        </is>
      </c>
      <c r="V601" s="63" t="inlineStr">
        <is>
          <t>他的成绩很好。</t>
        </is>
      </c>
      <c r="W601" s="64" t="inlineStr">
        <is>
          <t>Tā de chéngjì hěn hǎo.
Thành tích của cậu ấy rất tốt.</t>
        </is>
      </c>
    </row>
    <row r="602" ht="58.15" customHeight="1" s="99">
      <c r="A602" t="n">
        <v>576</v>
      </c>
      <c r="B602" s="84" t="inlineStr">
        <is>
          <t>HSK3</t>
        </is>
      </c>
      <c r="C602" s="85" t="inlineStr">
        <is>
          <t>城市</t>
        </is>
      </c>
      <c r="D602" s="78" t="inlineStr">
        <is>
          <t>chéngshì</t>
        </is>
      </c>
      <c r="E602" s="78" t="inlineStr">
        <is>
          <t>thành phố, đô thị</t>
        </is>
      </c>
      <c r="G602" s="7" t="n"/>
      <c r="H602" s="8">
        <f>IF(TRIM($G602)="","",IF(EXACT(TRIM($G602),TRIM($C602)),"✅ Đúng","❌ Sai"))</f>
        <v/>
      </c>
      <c r="I602" s="56" t="inlineStr">
        <is>
          <t>▶</t>
        </is>
      </c>
      <c r="J602" s="56" t="inlineStr">
        <is>
          <t>🔍</t>
        </is>
      </c>
      <c r="R602" s="23" t="inlineStr">
        <is>
          <t>Sun Aug 02 2026</t>
        </is>
      </c>
      <c r="T602" s="58" t="inlineStr">
        <is>
          <t>城 [THÀNH] · thành phố, tường thành
    ↳ Chiết tự: bộ 土 (thổ – đất) + 成 (thành – âm đọc) — bờ đất đắp bao quanh
市 [THỊ] · chợ, thành phố
    ↳ Chiết tự: bộ 巾 (cân – vải) + 亠 (đầu) — nơi treo vải bày bán</t>
        </is>
      </c>
      <c r="U602" s="24" t="inlineStr">
        <is>
          <t>🚗 Giao thông &amp; Địa điểm</t>
        </is>
      </c>
      <c r="V602" s="63" t="inlineStr">
        <is>
          <t>北京是一个大城市。</t>
        </is>
      </c>
      <c r="W602" s="64" t="inlineStr">
        <is>
          <t>Běijīng shì yí ge dà chéngshì.
Bắc Kinh là một thành phố lớn.</t>
        </is>
      </c>
    </row>
    <row r="603" ht="69.75" customHeight="1" s="99">
      <c r="A603" t="n">
        <v>577</v>
      </c>
      <c r="B603" s="84" t="inlineStr">
        <is>
          <t>HSK3</t>
        </is>
      </c>
      <c r="C603" s="85" t="inlineStr">
        <is>
          <t>迟到</t>
        </is>
      </c>
      <c r="D603" s="78" t="inlineStr">
        <is>
          <t>chídào</t>
        </is>
      </c>
      <c r="E603" s="78" t="inlineStr">
        <is>
          <t>đến muộn, trễ giờ</t>
        </is>
      </c>
      <c r="G603" s="7" t="n"/>
      <c r="H603" s="8">
        <f>IF(TRIM($G603)="","",IF(EXACT(TRIM($G603),TRIM($C603)),"✅ Đúng","❌ Sai"))</f>
        <v/>
      </c>
      <c r="I603" s="56" t="inlineStr">
        <is>
          <t>▶</t>
        </is>
      </c>
      <c r="J603" s="56" t="inlineStr">
        <is>
          <t>🔍</t>
        </is>
      </c>
      <c r="R603" s="23" t="inlineStr">
        <is>
          <t>Sun Aug 02 2026</t>
        </is>
      </c>
      <c r="T603" s="58" t="inlineStr">
        <is>
          <t>迟 [TRÌ] · muộn, chậm trễ
    ↳ Chiết tự: giản thể của 遲: bộ 辶 (sước – bước đi) + 尺 (xích – âm đọc) — đi tới trễ
到 [ĐÁO] · đến, tới, chu đáo
    ↳ Chiết tự: bộ 至 (chí – tới nơi) + 刂 (đao đứng – âm đọc) — mũi tên cắm tới đích</t>
        </is>
      </c>
      <c r="U603" s="24" t="inlineStr">
        <is>
          <t>🏃 Động từ thường ngày</t>
        </is>
      </c>
      <c r="V603" s="63" t="inlineStr">
        <is>
          <t>对不起，我迟到了。</t>
        </is>
      </c>
      <c r="W603" s="64" t="inlineStr">
        <is>
          <t>Duìbuqǐ, wǒ chídào le.
Xin lỗi, tôi đến muộn rồi.</t>
        </is>
      </c>
    </row>
    <row r="604" ht="58.15" customHeight="1" s="99">
      <c r="A604" t="n">
        <v>578</v>
      </c>
      <c r="B604" s="84" t="inlineStr">
        <is>
          <t>HSK3</t>
        </is>
      </c>
      <c r="C604" s="85" t="inlineStr">
        <is>
          <t>除了</t>
        </is>
      </c>
      <c r="D604" s="78" t="inlineStr">
        <is>
          <t>chúle</t>
        </is>
      </c>
      <c r="E604" s="78" t="inlineStr">
        <is>
          <t>ngoài ra, trừ</t>
        </is>
      </c>
      <c r="G604" s="7" t="n"/>
      <c r="H604" s="8">
        <f>IF(TRIM($G604)="","",IF(EXACT(TRIM($G604),TRIM($C604)),"✅ Đúng","❌ Sai"))</f>
        <v/>
      </c>
      <c r="I604" s="56" t="inlineStr">
        <is>
          <t>▶</t>
        </is>
      </c>
      <c r="J604" s="56" t="inlineStr">
        <is>
          <t>🔍</t>
        </is>
      </c>
      <c r="R604" s="23" t="inlineStr">
        <is>
          <t>Sun Aug 02 2026</t>
        </is>
      </c>
      <c r="T604" s="58" t="inlineStr">
        <is>
          <t>除 [TRỪ] · trừ bỏ, loại ra
    ↳ Chiết tự: bộ 阝 (phụ – gò đất) + 余 (dư – âm đọc) — dọn bỏ đi
了 [LIỄU] · xong, rồi (trợ từ hoàn thành)
    ↳ Chiết tự: bộ 亅 (quyết – nét móc) — hình đứa trẻ bó tã không thấy tay, việc đã trọn</t>
        </is>
      </c>
      <c r="U604" s="24" t="inlineStr">
        <is>
          <t>🔗 Từ nối &amp; Trợ từ</t>
        </is>
      </c>
      <c r="V604" s="63" t="inlineStr">
        <is>
          <t>除了他，大家都来了。</t>
        </is>
      </c>
      <c r="W604" s="64" t="inlineStr">
        <is>
          <t>Chúle tā, dàjiā dōu lái le.
Ngoài anh ấy, mọi người đều đến.</t>
        </is>
      </c>
    </row>
    <row r="605" ht="34.9" customHeight="1" s="99">
      <c r="A605" t="n">
        <v>579</v>
      </c>
      <c r="B605" s="84" t="inlineStr">
        <is>
          <t>HSK3</t>
        </is>
      </c>
      <c r="C605" s="85" t="inlineStr">
        <is>
          <t>船</t>
        </is>
      </c>
      <c r="D605" s="78" t="inlineStr">
        <is>
          <t>chuán</t>
        </is>
      </c>
      <c r="E605" s="78" t="inlineStr">
        <is>
          <t>con thuyền, tàu thủy</t>
        </is>
      </c>
      <c r="G605" s="7" t="n"/>
      <c r="H605" s="8">
        <f>IF(TRIM($G605)="","",IF(EXACT(TRIM($G605),TRIM($C605)),"✅ Đúng","❌ Sai"))</f>
        <v/>
      </c>
      <c r="I605" s="56" t="inlineStr">
        <is>
          <t>▶</t>
        </is>
      </c>
      <c r="J605" s="56" t="inlineStr">
        <is>
          <t>🔍</t>
        </is>
      </c>
      <c r="R605" s="23" t="inlineStr">
        <is>
          <t>Sun Aug 02 2026</t>
        </is>
      </c>
      <c r="T605" s="58" t="inlineStr">
        <is>
          <t>船 [THUYỀN] · con thuyền, tàu
    ↳ Chiết tự: bộ 舟 (chu – thuyền) + 㕣 (duyên – âm đọc) — phương tiện đi trên nước</t>
        </is>
      </c>
      <c r="U605" s="24" t="inlineStr">
        <is>
          <t>🚗 Giao thông &amp; Địa điểm</t>
        </is>
      </c>
      <c r="V605" s="63" t="inlineStr">
        <is>
          <t>我们坐船去。</t>
        </is>
      </c>
      <c r="W605" s="64" t="inlineStr">
        <is>
          <t>Wǒmen zuò chuán qù.
Chúng tôi đi thuyền.</t>
        </is>
      </c>
    </row>
    <row r="606" hidden="1" ht="34.9" customHeight="1" s="99">
      <c r="A606" t="n">
        <v>580</v>
      </c>
      <c r="B606" s="84" t="inlineStr">
        <is>
          <t>HSK3</t>
        </is>
      </c>
      <c r="C606" s="85" t="inlineStr">
        <is>
          <t>春</t>
        </is>
      </c>
      <c r="D606" s="78" t="inlineStr">
        <is>
          <t>chūn</t>
        </is>
      </c>
      <c r="E606" s="78" t="inlineStr">
        <is>
          <t>mùa xuân</t>
        </is>
      </c>
      <c r="G606" s="7" t="inlineStr">
        <is>
          <t>春</t>
        </is>
      </c>
      <c r="H606" s="8">
        <f>IF(TRIM($G606)="","",IF(EXACT(TRIM($G606),TRIM($C606)),"✅ Đúng","❌ Sai"))</f>
        <v/>
      </c>
      <c r="I606" s="56" t="inlineStr">
        <is>
          <t>▶</t>
        </is>
      </c>
      <c r="J606" s="56" t="inlineStr">
        <is>
          <t>🔍</t>
        </is>
      </c>
      <c r="R606" s="23" t="inlineStr">
        <is>
          <t>Sun Aug 02 2026</t>
        </is>
      </c>
      <c r="T606" s="58" t="inlineStr">
        <is>
          <t>春 [XUÂN] · mùa xuân, tuổi trẻ
    ↳ Chiết tự: bộ 日 (nhật – mặt trời) + 艹 (thảo – cỏ non) — nắng lên cỏ mọc</t>
        </is>
      </c>
      <c r="U606" s="24" t="inlineStr">
        <is>
          <t>⏰ Thời gian &amp; Ngày tháng</t>
        </is>
      </c>
      <c r="V606" s="63" t="inlineStr">
        <is>
          <t>春天来了。</t>
        </is>
      </c>
      <c r="W606" s="64" t="inlineStr">
        <is>
          <t>Chūntiān lái le.
Mùa xuân đến rồi.</t>
        </is>
      </c>
    </row>
    <row r="607" hidden="1" ht="58.15" customHeight="1" s="99">
      <c r="A607" t="n">
        <v>581</v>
      </c>
      <c r="B607" s="84" t="inlineStr">
        <is>
          <t>HSK3</t>
        </is>
      </c>
      <c r="C607" s="85" t="inlineStr">
        <is>
          <t>词典</t>
        </is>
      </c>
      <c r="D607" s="78" t="inlineStr">
        <is>
          <t>cídiǎn</t>
        </is>
      </c>
      <c r="E607" s="78" t="inlineStr">
        <is>
          <t>từ điển</t>
        </is>
      </c>
      <c r="G607" s="7" t="inlineStr">
        <is>
          <t>词典</t>
        </is>
      </c>
      <c r="H607" s="8">
        <f>IF(TRIM($G607)="","",IF(EXACT(TRIM($G607),TRIM($C607)),"✅ Đúng","❌ Sai"))</f>
        <v/>
      </c>
      <c r="I607" s="56" t="inlineStr">
        <is>
          <t>▶</t>
        </is>
      </c>
      <c r="J607" s="56" t="inlineStr">
        <is>
          <t>🔍</t>
        </is>
      </c>
      <c r="R607" s="23" t="inlineStr">
        <is>
          <t>Sun Aug 02 2026</t>
        </is>
      </c>
      <c r="T607" s="58" t="inlineStr">
        <is>
          <t>词 [TỪ] · từ ngữ, lời
    ↳ Chiết tự: giản thể của 詞: bộ 讠 (ngôn – lời nói) + 司 (ty – âm đọc) — đơn vị của lời nói
典 [ĐIỂN] · sách chuẩn, điển tịch
    ↳ Chiết tự: bộ 八 (bát) + 曲 — hình sách kê trên giá, sách mẫu mực</t>
        </is>
      </c>
      <c r="U607" s="24" t="inlineStr">
        <is>
          <t>🏫 Học tập &amp; Trường lớp</t>
        </is>
      </c>
      <c r="V607" s="63" t="inlineStr">
        <is>
          <t>请借我用一下词典。</t>
        </is>
      </c>
      <c r="W607" s="64" t="inlineStr">
        <is>
          <t>Qǐng jiè wǒ yòng yíxià cídiǎn.
Cho tôi mượn từ điển một chút.</t>
        </is>
      </c>
    </row>
    <row r="608" hidden="1" ht="69.75" customHeight="1" s="99">
      <c r="A608" t="n">
        <v>582</v>
      </c>
      <c r="B608" s="84" t="inlineStr">
        <is>
          <t>HSK3</t>
        </is>
      </c>
      <c r="C608" s="85" t="inlineStr">
        <is>
          <t>聪明</t>
        </is>
      </c>
      <c r="D608" s="78" t="inlineStr">
        <is>
          <t>cōngmíng</t>
        </is>
      </c>
      <c r="E608" s="78" t="inlineStr">
        <is>
          <t>thông minh</t>
        </is>
      </c>
      <c r="G608" s="7" t="inlineStr">
        <is>
          <t>聪明</t>
        </is>
      </c>
      <c r="H608" s="8">
        <f>IF(TRIM($G608)="","",IF(EXACT(TRIM($G608),TRIM($C608)),"✅ Đúng","❌ Sai"))</f>
        <v/>
      </c>
      <c r="I608" s="56" t="inlineStr">
        <is>
          <t>▶</t>
        </is>
      </c>
      <c r="J608" s="56" t="inlineStr">
        <is>
          <t>🔍</t>
        </is>
      </c>
      <c r="R608" s="23" t="inlineStr">
        <is>
          <t>Sun Aug 02 2026</t>
        </is>
      </c>
      <c r="T608" s="58" t="inlineStr">
        <is>
          <t>聪 [THÔNG] · thông minh, tinh tường
    ↳ Chiết tự: giản thể của 聰: bộ 耳 (nhĩ – tai) + 总 (tổng – âm đọc) — tai nghe thấu mọi điều
明 [MINH] · sáng sủa, rõ ràng; ngày mai
    ↳ Chiết tự: bộ 日 (nhật – mặt trời) + 月 (nguyệt – mặt trăng) — hai nguồn sáng hợp lại</t>
        </is>
      </c>
      <c r="U608" s="24" t="inlineStr">
        <is>
          <t>🎨 Tính từ &amp; Trạng thái</t>
        </is>
      </c>
      <c r="V608" s="63" t="inlineStr">
        <is>
          <t>这个孩子很聪明。</t>
        </is>
      </c>
      <c r="W608" s="64" t="inlineStr">
        <is>
          <t>Zhège háizi hěn cōngming.
Đứa trẻ này rất thông minh.</t>
        </is>
      </c>
    </row>
    <row r="609" ht="69.75" customHeight="1" s="99">
      <c r="A609" t="n">
        <v>583</v>
      </c>
      <c r="B609" s="84" t="inlineStr">
        <is>
          <t>HSK3</t>
        </is>
      </c>
      <c r="C609" s="85" t="inlineStr">
        <is>
          <t>打扫</t>
        </is>
      </c>
      <c r="D609" s="78" t="inlineStr">
        <is>
          <t>dǎsǎo</t>
        </is>
      </c>
      <c r="E609" s="78" t="inlineStr">
        <is>
          <t>quét dọn, dọn dẹp</t>
        </is>
      </c>
      <c r="G609" s="7" t="n"/>
      <c r="H609" s="8">
        <f>IF(TRIM($G609)="","",IF(EXACT(TRIM($G609),TRIM($C609)),"✅ Đúng","❌ Sai"))</f>
        <v/>
      </c>
      <c r="I609" s="56" t="inlineStr">
        <is>
          <t>▶</t>
        </is>
      </c>
      <c r="J609" s="56" t="inlineStr">
        <is>
          <t>🔍</t>
        </is>
      </c>
      <c r="R609" s="23" t="inlineStr">
        <is>
          <t>Sun Aug 02 2026</t>
        </is>
      </c>
      <c r="T609" s="58" t="inlineStr">
        <is>
          <t>打 [ĐẢ] · đánh; làm, gọi (động từ vạn năng)
    ↳ Chiết tự: bộ 扌 (thủ đứng – bàn tay) + 丁 (đinh – cái đinh) — tay đóng đinh
扫 [TẢO] · quét, dọn
    ↳ Chiết tự: giản thể của 掃: bộ 扌 (thủ – tay) + 帚 (trửu – cái quét) — tay cầm cây quét</t>
        </is>
      </c>
      <c r="U609" s="24" t="inlineStr">
        <is>
          <t>🏃 Động từ thường ngày</t>
        </is>
      </c>
      <c r="V609" s="63" t="inlineStr">
        <is>
          <t>我在打扫房间。</t>
        </is>
      </c>
      <c r="W609" s="64" t="inlineStr">
        <is>
          <t>Wǒ zài dǎsǎo fángjiān.
Tôi đang dọn phòng.</t>
        </is>
      </c>
    </row>
    <row r="610" hidden="1" ht="69.75" customHeight="1" s="99">
      <c r="A610" t="n">
        <v>584</v>
      </c>
      <c r="B610" s="84" t="inlineStr">
        <is>
          <t>HSK3</t>
        </is>
      </c>
      <c r="C610" s="85" t="inlineStr">
        <is>
          <t>打算</t>
        </is>
      </c>
      <c r="D610" s="78" t="inlineStr">
        <is>
          <t>dǎsuàn</t>
        </is>
      </c>
      <c r="E610" s="78" t="inlineStr">
        <is>
          <t>dự định, tính toán</t>
        </is>
      </c>
      <c r="G610" s="7" t="inlineStr">
        <is>
          <t>打算</t>
        </is>
      </c>
      <c r="H610" s="8">
        <f>IF(TRIM($G610)="","",IF(EXACT(TRIM($G610),TRIM($C610)),"✅ Đúng","❌ Sai"))</f>
        <v/>
      </c>
      <c r="I610" s="56" t="inlineStr">
        <is>
          <t>▶</t>
        </is>
      </c>
      <c r="J610" s="56" t="inlineStr">
        <is>
          <t>🔍</t>
        </is>
      </c>
      <c r="R610" s="23" t="inlineStr">
        <is>
          <t>Sun Aug 02 2026</t>
        </is>
      </c>
      <c r="T610" s="58" t="inlineStr">
        <is>
          <t>打 [ĐẢ] · đánh; làm, gọi (động từ vạn năng)
    ↳ Chiết tự: bộ 扌 (thủ đứng – bàn tay) + 丁 (đinh – cái đinh) — tay đóng đinh
算 [TOÁN] · tính toán, tính đến
    ↳ Chiết tự: bộ 竹 (trúc – tre) + 目 (mục – mắt) + 廾 (củng – hai tay) — tay xếp thẻ tre mà tính</t>
        </is>
      </c>
      <c r="U610" s="24" t="inlineStr">
        <is>
          <t>🏃 Động từ thường ngày</t>
        </is>
      </c>
      <c r="V610" s="63" t="inlineStr">
        <is>
          <t>你打算做什么？</t>
        </is>
      </c>
      <c r="W610" s="64" t="inlineStr">
        <is>
          <t>Nǐ dǎsuàn zuò shénme?
Bạn dự định làm gì?</t>
        </is>
      </c>
    </row>
    <row r="611" ht="34.9" customHeight="1" s="99">
      <c r="A611" t="n">
        <v>585</v>
      </c>
      <c r="B611" s="84" t="inlineStr">
        <is>
          <t>HSK3</t>
        </is>
      </c>
      <c r="C611" s="85" t="inlineStr">
        <is>
          <t>带</t>
        </is>
      </c>
      <c r="D611" s="78" t="inlineStr">
        <is>
          <t>dài</t>
        </is>
      </c>
      <c r="E611" s="78" t="inlineStr">
        <is>
          <t>mang theo, dắt; dây, băng</t>
        </is>
      </c>
      <c r="G611" s="7" t="n"/>
      <c r="H611" s="8">
        <f>IF(TRIM($G611)="","",IF(EXACT(TRIM($G611),TRIM($C611)),"✅ Đúng","❌ Sai"))</f>
        <v/>
      </c>
      <c r="I611" s="56" t="inlineStr">
        <is>
          <t>▶</t>
        </is>
      </c>
      <c r="J611" s="56" t="inlineStr">
        <is>
          <t>🔍</t>
        </is>
      </c>
      <c r="R611" s="23" t="inlineStr">
        <is>
          <t>Sun Aug 02 2026</t>
        </is>
      </c>
      <c r="T611" s="58" t="inlineStr">
        <is>
          <t>带 [ĐÁI] · mang theo, dắt; dây
    ↳ Chiết tự: giản thể của 帶: bộ 巾 (cân – vải) + 丗 — hình dây lưng có tua, mang bên người</t>
        </is>
      </c>
      <c r="U611" s="24" t="inlineStr">
        <is>
          <t>🏃 Động từ thường ngày</t>
        </is>
      </c>
      <c r="V611" s="63" t="inlineStr">
        <is>
          <t>请带上你的护照。</t>
        </is>
      </c>
      <c r="W611" s="64" t="inlineStr">
        <is>
          <t>Qǐng dài shàng nǐ de hùzhào.
Xin mang theo hộ chiếu của bạn.</t>
        </is>
      </c>
    </row>
    <row r="612" hidden="1" ht="58.15" customHeight="1" s="99">
      <c r="A612" t="n">
        <v>586</v>
      </c>
      <c r="B612" s="84" t="inlineStr">
        <is>
          <t>HSK3</t>
        </is>
      </c>
      <c r="C612" s="85" t="inlineStr">
        <is>
          <t>担心</t>
        </is>
      </c>
      <c r="D612" s="78" t="inlineStr">
        <is>
          <t>dānxīn</t>
        </is>
      </c>
      <c r="E612" s="78" t="inlineStr">
        <is>
          <t>lo lắng</t>
        </is>
      </c>
      <c r="G612" s="7" t="inlineStr">
        <is>
          <t>担心</t>
        </is>
      </c>
      <c r="H612" s="8">
        <f>IF(TRIM($G612)="","",IF(EXACT(TRIM($G612),TRIM($C612)),"✅ Đúng","❌ Sai"))</f>
        <v/>
      </c>
      <c r="I612" s="56" t="inlineStr">
        <is>
          <t>▶</t>
        </is>
      </c>
      <c r="J612" s="56" t="inlineStr">
        <is>
          <t>🔍</t>
        </is>
      </c>
      <c r="R612" s="23" t="inlineStr">
        <is>
          <t>Sun Aug 02 2026</t>
        </is>
      </c>
      <c r="T612" s="58" t="inlineStr">
        <is>
          <t>担 [ĐẢM] · gánh, đảm nhận
    ↳ Chiết tự: giản thể của 擔: bộ 扌 (thủ – tay) + 旦 (đán – âm đọc) — tay gánh lấy
心 [TÂM] · trái tim, tấm lòng
    ↳ Chiết tự: bộ 心 (tâm) — hình quả tim có màng bao</t>
        </is>
      </c>
      <c r="U612" s="24" t="inlineStr">
        <is>
          <t>🎨 Tính từ &amp; Trạng thái</t>
        </is>
      </c>
      <c r="V612" s="63" t="inlineStr">
        <is>
          <t>别担心，会好的。</t>
        </is>
      </c>
      <c r="W612" s="64" t="inlineStr">
        <is>
          <t>Bié dānxīn, huì hǎo de.
Đừng lo, sẽ ổn thôi.</t>
        </is>
      </c>
    </row>
    <row r="613" hidden="1" ht="69.75" customHeight="1" s="99">
      <c r="A613" t="n">
        <v>587</v>
      </c>
      <c r="B613" s="84" t="inlineStr">
        <is>
          <t>HSK3</t>
        </is>
      </c>
      <c r="C613" s="85" t="inlineStr">
        <is>
          <t>蛋糕</t>
        </is>
      </c>
      <c r="D613" s="78" t="inlineStr">
        <is>
          <t>dàngāo</t>
        </is>
      </c>
      <c r="E613" s="78" t="inlineStr">
        <is>
          <t>bánh ga-tô</t>
        </is>
      </c>
      <c r="G613" s="7" t="inlineStr">
        <is>
          <t>蛋糕</t>
        </is>
      </c>
      <c r="H613" s="8">
        <f>IF(TRIM($G613)="","",IF(EXACT(TRIM($G613),TRIM($C613)),"✅ Đúng","❌ Sai"))</f>
        <v/>
      </c>
      <c r="I613" s="56" t="inlineStr">
        <is>
          <t>▶</t>
        </is>
      </c>
      <c r="J613" s="56" t="inlineStr">
        <is>
          <t>🔍</t>
        </is>
      </c>
      <c r="R613" s="23" t="inlineStr">
        <is>
          <t>Sun Aug 02 2026</t>
        </is>
      </c>
      <c r="T613" s="58" t="inlineStr">
        <is>
          <t>蛋 [ĐẢN] · quả trứng
    ↳ Chiết tự: bộ 疋 (sơ) + 虫 (trùng – sâu bọ/loài vật) — vật do loài vật đẻ ra
糕 [CAO] · bánh (làm từ bột)
    ↳ Chiết tự: bộ 米 (mễ – gạo) + 羔 (cao – âm đọc) — bánh làm từ gạo</t>
        </is>
      </c>
      <c r="U613" s="24" t="inlineStr">
        <is>
          <t>🍜 Ăn uống</t>
        </is>
      </c>
      <c r="V613" s="63" t="inlineStr">
        <is>
          <t>生日蛋糕很好吃。</t>
        </is>
      </c>
      <c r="W613" s="64" t="inlineStr">
        <is>
          <t>Shēngri dàngāo hěn hǎochī.
Bánh sinh nhật rất ngon.</t>
        </is>
      </c>
    </row>
    <row r="614" ht="69.75" customHeight="1" s="99">
      <c r="A614" t="n">
        <v>588</v>
      </c>
      <c r="B614" s="84" t="inlineStr">
        <is>
          <t>HSK3</t>
        </is>
      </c>
      <c r="C614" s="85" t="inlineStr">
        <is>
          <t>当然</t>
        </is>
      </c>
      <c r="D614" s="78" t="inlineStr">
        <is>
          <t>dāngrán</t>
        </is>
      </c>
      <c r="E614" s="78" t="inlineStr">
        <is>
          <t>đương nhiên, tất nhiên</t>
        </is>
      </c>
      <c r="G614" s="7" t="n"/>
      <c r="H614" s="8">
        <f>IF(TRIM($G614)="","",IF(EXACT(TRIM($G614),TRIM($C614)),"✅ Đúng","❌ Sai"))</f>
        <v/>
      </c>
      <c r="I614" s="56" t="inlineStr">
        <is>
          <t>▶</t>
        </is>
      </c>
      <c r="J614" s="56" t="inlineStr">
        <is>
          <t>🔍</t>
        </is>
      </c>
      <c r="R614" s="23" t="inlineStr">
        <is>
          <t>Sun Aug 02 2026</t>
        </is>
      </c>
      <c r="T614" s="58" t="inlineStr">
        <is>
          <t>当 [ĐANG / ĐÁNG] · làm, đảm nhiệm; thích đáng
    ↳ Chiết tự: giản thể của 當: bộ 尚 (thượng) + 田 (điền – ruộng) — tương xứng, ngang bằng
然 [NHIÊN] · như vậy, đúng thế
    ↳ Chiết tự: bộ 月 (nhục – thịt) + 犬 (khuyển – chó) + 灬 (hỏa – lửa) — nghĩa gốc là đốt thịt, mượn làm đại từ</t>
        </is>
      </c>
      <c r="U614" s="24" t="inlineStr">
        <is>
          <t>🔗 Từ nối &amp; Trợ từ</t>
        </is>
      </c>
      <c r="V614" s="63" t="inlineStr">
        <is>
          <t>当然可以！</t>
        </is>
      </c>
      <c r="W614" s="64" t="inlineStr">
        <is>
          <t>Dāngrán kěyǐ!
Đương nhiên là được!</t>
        </is>
      </c>
    </row>
    <row r="615" ht="58.15" customHeight="1" s="99">
      <c r="A615" t="n">
        <v>589</v>
      </c>
      <c r="B615" s="84" t="inlineStr">
        <is>
          <t>HSK3</t>
        </is>
      </c>
      <c r="C615" s="85" t="inlineStr">
        <is>
          <t>地铁</t>
        </is>
      </c>
      <c r="D615" s="78" t="inlineStr">
        <is>
          <t>dìtiě</t>
        </is>
      </c>
      <c r="E615" s="78" t="inlineStr">
        <is>
          <t>tàu điện ngầm</t>
        </is>
      </c>
      <c r="G615" s="7" t="n"/>
      <c r="H615" s="8">
        <f>IF(TRIM($G615)="","",IF(EXACT(TRIM($G615),TRIM($C615)),"✅ Đúng","❌ Sai"))</f>
        <v/>
      </c>
      <c r="I615" s="56" t="inlineStr">
        <is>
          <t>▶</t>
        </is>
      </c>
      <c r="J615" s="56" t="inlineStr">
        <is>
          <t>🔍</t>
        </is>
      </c>
      <c r="R615" s="23" t="inlineStr">
        <is>
          <t>Sun Aug 02 2026</t>
        </is>
      </c>
      <c r="T615" s="58" t="inlineStr">
        <is>
          <t>地 [ĐỊA] · đất đai, nơi chốn
    ↳ Chiết tự: bộ 土 (thổ – đất) + 也 (dã – âm đọc) — mặt đất
铁 [THIẾT] · sắt
    ↳ Chiết tự: giản thể của 鐵: bộ 钅 (kim – kim loại) + 失 (thất – âm đọc) — kim loại cứng</t>
        </is>
      </c>
      <c r="U615" s="24" t="inlineStr">
        <is>
          <t>🚗 Giao thông &amp; Địa điểm</t>
        </is>
      </c>
      <c r="V615" s="63" t="inlineStr">
        <is>
          <t>我坐地铁上班。</t>
        </is>
      </c>
      <c r="W615" s="64" t="inlineStr">
        <is>
          <t>Wǒ zuò dìtiě shàngbān.
Tôi đi tàu điện ngầm đi làm.</t>
        </is>
      </c>
    </row>
    <row r="616" hidden="1" ht="34.9" customHeight="1" s="99">
      <c r="A616" t="n">
        <v>590</v>
      </c>
      <c r="B616" s="84" t="inlineStr">
        <is>
          <t>HSK3</t>
        </is>
      </c>
      <c r="C616" s="85" t="inlineStr">
        <is>
          <t>灯</t>
        </is>
      </c>
      <c r="D616" s="78" t="inlineStr">
        <is>
          <t>dēng</t>
        </is>
      </c>
      <c r="E616" s="78" t="inlineStr">
        <is>
          <t>cái đèn</t>
        </is>
      </c>
      <c r="G616" s="7" t="inlineStr">
        <is>
          <t>灯</t>
        </is>
      </c>
      <c r="H616" s="8">
        <f>IF(TRIM($G616)="","",IF(EXACT(TRIM($G616),TRIM($C616)),"✅ Đúng","❌ Sai"))</f>
        <v/>
      </c>
      <c r="I616" s="56" t="inlineStr">
        <is>
          <t>▶</t>
        </is>
      </c>
      <c r="J616" s="56" t="inlineStr">
        <is>
          <t>🔍</t>
        </is>
      </c>
      <c r="R616" s="23" t="inlineStr">
        <is>
          <t>Sun Aug 02 2026</t>
        </is>
      </c>
      <c r="T616" s="58" t="inlineStr">
        <is>
          <t>灯 [ĐĂNG] · cái đèn
    ↳ Chiết tự: giản thể của 燈: bộ 火 (hỏa – lửa) + 丁 (đinh – âm đọc) — vật giữ lửa soi sáng</t>
        </is>
      </c>
      <c r="U616" s="24" t="inlineStr">
        <is>
          <t>🏠 Nhà cửa &amp; Đồ vật</t>
        </is>
      </c>
      <c r="V616" s="63" t="inlineStr">
        <is>
          <t>请开灯。</t>
        </is>
      </c>
      <c r="W616" s="64" t="inlineStr">
        <is>
          <t>Qǐng kāi dēng.
Xin bật đèn.</t>
        </is>
      </c>
    </row>
    <row r="617" ht="34.9" customHeight="1" s="99">
      <c r="A617" t="n">
        <v>591</v>
      </c>
      <c r="B617" s="84" t="inlineStr">
        <is>
          <t>HSK3</t>
        </is>
      </c>
      <c r="C617" s="85" t="inlineStr">
        <is>
          <t>低</t>
        </is>
      </c>
      <c r="D617" s="78" t="inlineStr">
        <is>
          <t>dī</t>
        </is>
      </c>
      <c r="E617" s="78" t="inlineStr">
        <is>
          <t>thấp; hạ xuống</t>
        </is>
      </c>
      <c r="G617" s="7" t="n"/>
      <c r="H617" s="8">
        <f>IF(TRIM($G617)="","",IF(EXACT(TRIM($G617),TRIM($C617)),"✅ Đúng","❌ Sai"))</f>
        <v/>
      </c>
      <c r="I617" s="56" t="inlineStr">
        <is>
          <t>▶</t>
        </is>
      </c>
      <c r="J617" s="56" t="inlineStr">
        <is>
          <t>🔍</t>
        </is>
      </c>
      <c r="R617" s="23" t="inlineStr">
        <is>
          <t>Sun Aug 02 2026</t>
        </is>
      </c>
      <c r="T617" s="58" t="inlineStr">
        <is>
          <t>低 [ĐÊ] · thấp, hạ thấp
    ↳ Chiết tự: bộ 亻 (nhân đứng – người) + 氐 (đê – gốc rễ) — người hạ mình xuống thấp</t>
        </is>
      </c>
      <c r="U617" s="24" t="inlineStr">
        <is>
          <t>🎨 Tính từ &amp; Trạng thái</t>
        </is>
      </c>
      <c r="V617" s="63" t="inlineStr">
        <is>
          <t>这里的价格很低。</t>
        </is>
      </c>
      <c r="W617" s="64" t="inlineStr">
        <is>
          <t>Zhèli de jiàgé hěn dī.
Giá ở đây rất thấp.</t>
        </is>
      </c>
    </row>
    <row r="618" ht="23.25" customHeight="1" s="99">
      <c r="A618" t="n">
        <v>592</v>
      </c>
      <c r="B618" s="84" t="inlineStr">
        <is>
          <t>HSK3</t>
        </is>
      </c>
      <c r="C618" s="85" t="inlineStr">
        <is>
          <t>掉</t>
        </is>
      </c>
      <c r="D618" s="78" t="inlineStr">
        <is>
          <t>diào</t>
        </is>
      </c>
      <c r="E618" s="78" t="inlineStr">
        <is>
          <t>rơi, đánh mất, rụng</t>
        </is>
      </c>
      <c r="G618" s="7" t="n"/>
      <c r="H618" s="8">
        <f>IF(TRIM($G618)="","",IF(EXACT(TRIM($G618),TRIM($C618)),"✅ Đúng","❌ Sai"))</f>
        <v/>
      </c>
      <c r="I618" s="56" t="inlineStr">
        <is>
          <t>▶</t>
        </is>
      </c>
      <c r="J618" s="56" t="inlineStr">
        <is>
          <t>🔍</t>
        </is>
      </c>
      <c r="R618" s="23" t="inlineStr">
        <is>
          <t>Sun Aug 02 2026</t>
        </is>
      </c>
      <c r="T618" s="58" t="inlineStr">
        <is>
          <t>掉 [ĐIỆU] · rơi, mất, bỏ
    ↳ Chiết tự: bộ 扌 (thủ – tay) + 卓 (trác – âm đọc) — tay đánh rơi</t>
        </is>
      </c>
      <c r="U618" s="24" t="inlineStr">
        <is>
          <t>🏃 Động từ thường ngày</t>
        </is>
      </c>
      <c r="V618" s="63" t="inlineStr">
        <is>
          <t>我的手机掉了。</t>
        </is>
      </c>
      <c r="W618" s="64" t="inlineStr">
        <is>
          <t>Wǒ de shǒujī diào le.
Điện thoại tôi bị rơi rồi.</t>
        </is>
      </c>
    </row>
    <row r="619" ht="69.75" customHeight="1" s="99">
      <c r="A619" t="n">
        <v>593</v>
      </c>
      <c r="B619" s="84" t="inlineStr">
        <is>
          <t>HSK3</t>
        </is>
      </c>
      <c r="C619" s="85" t="inlineStr">
        <is>
          <t>电梯</t>
        </is>
      </c>
      <c r="D619" s="78" t="inlineStr">
        <is>
          <t>diàntī</t>
        </is>
      </c>
      <c r="E619" s="78" t="inlineStr">
        <is>
          <t>thang máy</t>
        </is>
      </c>
      <c r="G619" s="7" t="n"/>
      <c r="H619" s="8">
        <f>IF(TRIM($G619)="","",IF(EXACT(TRIM($G619),TRIM($C619)),"✅ Đúng","❌ Sai"))</f>
        <v/>
      </c>
      <c r="I619" s="56" t="inlineStr">
        <is>
          <t>▶</t>
        </is>
      </c>
      <c r="J619" s="56" t="inlineStr">
        <is>
          <t>🔍</t>
        </is>
      </c>
      <c r="R619" s="23" t="inlineStr">
        <is>
          <t>Sun Aug 02 2026</t>
        </is>
      </c>
      <c r="T619" s="58" t="inlineStr">
        <is>
          <t>电 [ĐIỆN] · điện, tia chớp
    ↳ Chiết tự: giản thể của 電: bộ 雨 lược bỏ + 申 (thân) — tia chớp xẹt ra từ mây mưa
梯 [THÊ] · cái thang
    ↳ Chiết tự: bộ 木 (mộc – gỗ) + 弟 (đệ – âm đọc, thứ tự) — bậc gỗ xếp theo thứ tự</t>
        </is>
      </c>
      <c r="U619" s="24" t="inlineStr">
        <is>
          <t>🏠 Nhà cửa &amp; Đồ vật</t>
        </is>
      </c>
      <c r="V619" s="63" t="inlineStr">
        <is>
          <t>电梯在那边。</t>
        </is>
      </c>
      <c r="W619" s="64" t="inlineStr">
        <is>
          <t>Diàntī zài nàbian.
Thang máy ở bên kia.</t>
        </is>
      </c>
    </row>
    <row r="620" ht="127.9" customHeight="1" s="99">
      <c r="A620" t="n">
        <v>594</v>
      </c>
      <c r="B620" s="84" t="inlineStr">
        <is>
          <t>HSK3</t>
        </is>
      </c>
      <c r="C620" s="85" t="inlineStr">
        <is>
          <t>电子邮件</t>
        </is>
      </c>
      <c r="D620" s="78" t="inlineStr">
        <is>
          <t>diànzǐ yóujiàn</t>
        </is>
      </c>
      <c r="E620" s="78" t="inlineStr">
        <is>
          <t>thư điện tử, email</t>
        </is>
      </c>
      <c r="G620" s="7" t="n"/>
      <c r="H620" s="8">
        <f>IF(TRIM($G620)="","",IF(EXACT(TRIM($G620),TRIM($C620)),"✅ Đúng","❌ Sai"))</f>
        <v/>
      </c>
      <c r="I620" s="56" t="inlineStr">
        <is>
          <t>▶</t>
        </is>
      </c>
      <c r="J620" s="56" t="inlineStr">
        <is>
          <t>🔍</t>
        </is>
      </c>
      <c r="R620" s="23" t="inlineStr">
        <is>
          <t>Sun Aug 02 2026</t>
        </is>
      </c>
      <c r="T620" s="58" t="inlineStr">
        <is>
          <t>电 [ĐIỆN] · điện, tia chớp
    ↳ Chiết tự: giản thể của 電: bộ 雨 lược bỏ + 申 (thân) — tia chớp xẹt ra từ mây mưa
子 [TỬ] · con cái; hậu tố danh từ; ngài
    ↳ Chiết tự: bộ 子 (tử) — hình em bé quấn tã, hai tay giơ lên
邮 [BƯU] · bưu chính, gửi thư
    ↳ Chiết tự: giản thể của 郵: bộ 由 (do) + 阝 (ấp – làng) — trạm chuyển thư giữa các làng
件 [KIỆN] · cái, chiếc (lượng từ vật/việc)
    ↳ Chiết tự: bộ 亻 (nhân đứng – người) + 牛 (ngưu – con trâu) — người xẻ trâu thành từng phần</t>
        </is>
      </c>
      <c r="U620" s="24" t="inlineStr">
        <is>
          <t>🏢 Thương mại &amp; Công sở</t>
        </is>
      </c>
      <c r="V620" s="63" t="inlineStr">
        <is>
          <t>我给你发电子邮件。</t>
        </is>
      </c>
      <c r="W620" s="64" t="inlineStr">
        <is>
          <t>Wǒ gěi nǐ fā diànzǐ yóujiàn.
Tôi gửi email cho bạn.</t>
        </is>
      </c>
    </row>
    <row r="621" hidden="1" ht="34.9" customHeight="1" s="99">
      <c r="A621" t="n">
        <v>595</v>
      </c>
      <c r="B621" s="84" t="inlineStr">
        <is>
          <t>HSK3</t>
        </is>
      </c>
      <c r="C621" s="85" t="inlineStr">
        <is>
          <t>冬</t>
        </is>
      </c>
      <c r="D621" s="78" t="inlineStr">
        <is>
          <t>dōng</t>
        </is>
      </c>
      <c r="E621" s="78" t="inlineStr">
        <is>
          <t>mùa đông</t>
        </is>
      </c>
      <c r="G621" s="7" t="inlineStr">
        <is>
          <t>冬</t>
        </is>
      </c>
      <c r="H621" s="8">
        <f>IF(TRIM($G621)="","",IF(EXACT(TRIM($G621),TRIM($C621)),"✅ Đúng","❌ Sai"))</f>
        <v/>
      </c>
      <c r="I621" s="56" t="inlineStr">
        <is>
          <t>▶</t>
        </is>
      </c>
      <c r="J621" s="56" t="inlineStr">
        <is>
          <t>🔍</t>
        </is>
      </c>
      <c r="R621" s="23" t="inlineStr">
        <is>
          <t>Sun Aug 02 2026</t>
        </is>
      </c>
      <c r="T621" s="58" t="inlineStr">
        <is>
          <t>冬 [ĐÔNG] · mùa đông
    ↳ Chiết tự: bộ 夂 (truy – bước chân) + 冫 (băng – băng giá) — mùa băng tuyết</t>
        </is>
      </c>
      <c r="U621" s="24" t="inlineStr">
        <is>
          <t>⏰ Thời gian &amp; Ngày tháng</t>
        </is>
      </c>
      <c r="V621" s="63" t="inlineStr">
        <is>
          <t>冬天很冷。</t>
        </is>
      </c>
      <c r="W621" s="64" t="inlineStr">
        <is>
          <t>Dōngtiān hěn lěng.
Mùa đông rất lạnh.</t>
        </is>
      </c>
    </row>
    <row r="622" hidden="1" ht="69.75" customHeight="1" s="99">
      <c r="A622" t="n">
        <v>596</v>
      </c>
      <c r="B622" s="57" t="inlineStr">
        <is>
          <t>HSK3</t>
        </is>
      </c>
      <c r="C622" s="59" t="inlineStr">
        <is>
          <t>动物</t>
        </is>
      </c>
      <c r="D622" t="inlineStr">
        <is>
          <t>dòngwù</t>
        </is>
      </c>
      <c r="E622" t="inlineStr">
        <is>
          <t>động vật</t>
        </is>
      </c>
      <c r="G622" s="7" t="inlineStr">
        <is>
          <t>动物</t>
        </is>
      </c>
      <c r="H622" s="8">
        <f>IF(TRIM($G622)="","",IF(EXACT(TRIM($G622),TRIM($C622)),"✅ Đúng","❌ Sai"))</f>
        <v/>
      </c>
      <c r="I622" s="56" t="inlineStr">
        <is>
          <t>▶</t>
        </is>
      </c>
      <c r="J622" s="56" t="inlineStr">
        <is>
          <t>🔍</t>
        </is>
      </c>
      <c r="R622" s="23" t="inlineStr">
        <is>
          <t>Sun Aug 02 2026</t>
        </is>
      </c>
      <c r="T622" s="58" t="inlineStr">
        <is>
          <t>动 [ĐỘNG] · chuyển động, cử động
    ↳ Chiết tự: giản thể của 動: bộ 云 (vân) + 力 (lực – sức) — dùng sức thì vật chuyển
物 [VẬT] · đồ vật, sự vật
    ↳ Chiết tự: bộ 牜 (ngưu – con trâu) + 勿 (vật – âm đọc) — của cải thời xưa tính bằng trâu</t>
        </is>
      </c>
      <c r="U622" s="24" t="inlineStr">
        <is>
          <t>🌤️ Thiên nhiên &amp; Thời tiết</t>
        </is>
      </c>
      <c r="V622" s="63" t="inlineStr">
        <is>
          <t>孩子喜欢看动物。</t>
        </is>
      </c>
      <c r="W622" s="64" t="inlineStr">
        <is>
          <t>Háizi xǐhuan kàn dòngwù.
Trẻ con thích xem động vật.</t>
        </is>
      </c>
    </row>
    <row r="623" hidden="1" ht="34.9" customHeight="1" s="99">
      <c r="A623" t="n">
        <v>597</v>
      </c>
      <c r="B623" s="84" t="inlineStr">
        <is>
          <t>HSK3</t>
        </is>
      </c>
      <c r="C623" s="85" t="inlineStr">
        <is>
          <t>短</t>
        </is>
      </c>
      <c r="D623" s="78" t="inlineStr">
        <is>
          <t>duǎn</t>
        </is>
      </c>
      <c r="E623" s="78" t="inlineStr">
        <is>
          <t>ngắn</t>
        </is>
      </c>
      <c r="G623" s="7" t="inlineStr">
        <is>
          <t>短</t>
        </is>
      </c>
      <c r="H623" s="8">
        <f>IF(TRIM($G623)="","",IF(EXACT(TRIM($G623),TRIM($C623)),"✅ Đúng","❌ Sai"))</f>
        <v/>
      </c>
      <c r="I623" s="56" t="inlineStr">
        <is>
          <t>▶</t>
        </is>
      </c>
      <c r="J623" s="56" t="inlineStr">
        <is>
          <t>🔍</t>
        </is>
      </c>
      <c r="R623" s="23" t="inlineStr">
        <is>
          <t>Sun Aug 02 2026</t>
        </is>
      </c>
      <c r="T623" s="58" t="inlineStr">
        <is>
          <t>短 [ĐOẢN] · ngắn, thiếu
    ↳ Chiết tự: bộ 矢 (thỉ – mũi tên) + 豆 (đậu) — lấy mũi tên làm thước đo vật ngắn</t>
        </is>
      </c>
      <c r="U623" s="24" t="inlineStr">
        <is>
          <t>🎨 Tính từ &amp; Trạng thái</t>
        </is>
      </c>
      <c r="V623" s="63" t="inlineStr">
        <is>
          <t>这条路很短。</t>
        </is>
      </c>
      <c r="W623" s="64" t="inlineStr">
        <is>
          <t>Zhè tiáo lù hěn duǎn.
Con đường này rất ngắn.</t>
        </is>
      </c>
    </row>
    <row r="624" hidden="1" ht="34.9" customHeight="1" s="99">
      <c r="A624" t="n">
        <v>598</v>
      </c>
      <c r="B624" s="84" t="inlineStr">
        <is>
          <t>HSK3</t>
        </is>
      </c>
      <c r="C624" s="85" t="inlineStr">
        <is>
          <t>段</t>
        </is>
      </c>
      <c r="D624" s="78" t="inlineStr">
        <is>
          <t>duàn</t>
        </is>
      </c>
      <c r="E624" s="78" t="inlineStr">
        <is>
          <t>đoạn, khúc, giai đoạn</t>
        </is>
      </c>
      <c r="G624" s="7" t="inlineStr">
        <is>
          <t>段</t>
        </is>
      </c>
      <c r="H624" s="8">
        <f>IF(TRIM($G624)="","",IF(EXACT(TRIM($G624),TRIM($C624)),"✅ Đúng","❌ Sai"))</f>
        <v/>
      </c>
      <c r="I624" s="56" t="inlineStr">
        <is>
          <t>▶</t>
        </is>
      </c>
      <c r="J624" s="56" t="inlineStr">
        <is>
          <t>🔍</t>
        </is>
      </c>
      <c r="R624" s="23" t="inlineStr">
        <is>
          <t>Sun Aug 02 2026</t>
        </is>
      </c>
      <c r="T624" s="58" t="inlineStr">
        <is>
          <t>段 [ĐOẠN] · đoạn, khúc, giai đoạn
    ↳ Chiết tự: bộ 殳 (thù – cái vồ) + 𠭇 — đập cho tách thành từng khúc</t>
        </is>
      </c>
      <c r="U624" s="24" t="inlineStr">
        <is>
          <t>🔢 Số đếm &amp; Lượng từ</t>
        </is>
      </c>
      <c r="V624" s="63" t="inlineStr">
        <is>
          <t>这段时间我很忙。</t>
        </is>
      </c>
      <c r="W624" s="64" t="inlineStr">
        <is>
          <t>Zhè duàn shíjiān wǒ hěn máng.
Khoảng thời gian này tôi rất bận.</t>
        </is>
      </c>
    </row>
    <row r="625" ht="69.75" customHeight="1" s="99">
      <c r="A625" t="n">
        <v>599</v>
      </c>
      <c r="B625" s="84" t="inlineStr">
        <is>
          <t>HSK3</t>
        </is>
      </c>
      <c r="C625" s="85" t="inlineStr">
        <is>
          <t>锻炼</t>
        </is>
      </c>
      <c r="D625" s="78" t="inlineStr">
        <is>
          <t>duànliàn</t>
        </is>
      </c>
      <c r="E625" s="78" t="inlineStr">
        <is>
          <t>rèn luyện, tập thể dục</t>
        </is>
      </c>
      <c r="G625" s="7" t="n"/>
      <c r="H625" s="8">
        <f>IF(TRIM($G625)="","",IF(EXACT(TRIM($G625),TRIM($C625)),"✅ Đúng","❌ Sai"))</f>
        <v/>
      </c>
      <c r="I625" s="56" t="inlineStr">
        <is>
          <t>▶</t>
        </is>
      </c>
      <c r="J625" s="56" t="inlineStr">
        <is>
          <t>🔍</t>
        </is>
      </c>
      <c r="R625" s="23" t="inlineStr">
        <is>
          <t>Sun Aug 02 2026</t>
        </is>
      </c>
      <c r="T625" s="58" t="inlineStr">
        <is>
          <t>锻 [ĐOÁN] · rèn, tôi luyện
    ↳ Chiết tự: giản thể của 鍛: bộ 钅 (kim – kim loại) + 段 (đoạn – âm đọc) — nung sắt mà rèn
炼 [LUYỆN] · luyện, tinh luyện
    ↳ Chiết tự: giản thể của 煉: bộ 火 (hỏa – lửa) + 东 — dùng lửa nung cho tinh</t>
        </is>
      </c>
      <c r="U625" s="24" t="inlineStr">
        <is>
          <t>⚕️ Sức khỏe &amp; Cơ thể</t>
        </is>
      </c>
      <c r="V625" s="63" t="inlineStr">
        <is>
          <t>我每天锻炼身体。</t>
        </is>
      </c>
      <c r="W625" s="64" t="inlineStr">
        <is>
          <t>Wǒ měitiān duànliàn shēntǐ.
Tôi rèn luyện thân thể mỗi ngày.</t>
        </is>
      </c>
    </row>
    <row r="626" ht="69.75" customHeight="1" s="99">
      <c r="A626" t="n">
        <v>600</v>
      </c>
      <c r="B626" s="84" t="inlineStr">
        <is>
          <t>HSK3</t>
        </is>
      </c>
      <c r="C626" s="85" t="inlineStr">
        <is>
          <t>多么</t>
        </is>
      </c>
      <c r="D626" s="78" t="inlineStr">
        <is>
          <t>duōme</t>
        </is>
      </c>
      <c r="E626" s="78" t="inlineStr">
        <is>
          <t>biết bao, thật là</t>
        </is>
      </c>
      <c r="G626" s="7" t="n"/>
      <c r="H626" s="8">
        <f>IF(TRIM($G626)="","",IF(EXACT(TRIM($G626),TRIM($C626)),"✅ Đúng","❌ Sai"))</f>
        <v/>
      </c>
      <c r="I626" s="56" t="inlineStr">
        <is>
          <t>▶</t>
        </is>
      </c>
      <c r="J626" s="56" t="inlineStr">
        <is>
          <t>🔍</t>
        </is>
      </c>
      <c r="R626" s="23" t="inlineStr">
        <is>
          <t>Sun Aug 02 2026</t>
        </is>
      </c>
      <c r="T626" s="58" t="inlineStr">
        <is>
          <t>多 [ĐA] · nhiều
    ↳ Chiết tự: hai bộ 夕 (tịch – đêm) chồng nhau — hết đêm này qua đêm khác, tích lại thành nhiều
么 [MA] · gì, nào (trợ từ nghi vấn)
    ↳ Chiết tự: bộ 丿 (phiệt) + 厶 (tư – riêng tư) — chữ mượn âm, ghép 什么 / 怎么</t>
        </is>
      </c>
      <c r="U626" s="24" t="inlineStr">
        <is>
          <t>🎨 Tính từ &amp; Trạng thái</t>
        </is>
      </c>
      <c r="V626" s="63" t="inlineStr">
        <is>
          <t>这里多么漂亮！</t>
        </is>
      </c>
      <c r="W626" s="64" t="inlineStr">
        <is>
          <t>Zhèli duōme piàoliang!
Nơi đây đẹp biết bao!</t>
        </is>
      </c>
    </row>
    <row r="627" ht="69.75" customHeight="1" s="99">
      <c r="A627" t="n">
        <v>601</v>
      </c>
      <c r="B627" s="84" t="inlineStr">
        <is>
          <t>HSK3</t>
        </is>
      </c>
      <c r="C627" s="85" t="inlineStr">
        <is>
          <t>而且</t>
        </is>
      </c>
      <c r="D627" s="78" t="inlineStr">
        <is>
          <t>érqiě</t>
        </is>
      </c>
      <c r="E627" s="78" t="inlineStr">
        <is>
          <t>hơn nữa, mà còn</t>
        </is>
      </c>
      <c r="G627" s="7" t="n"/>
      <c r="H627" s="8">
        <f>IF(TRIM($G627)="","",IF(EXACT(TRIM($G627),TRIM($C627)),"✅ Đúng","❌ Sai"))</f>
        <v/>
      </c>
      <c r="I627" s="56" t="inlineStr">
        <is>
          <t>▶</t>
        </is>
      </c>
      <c r="J627" s="56" t="inlineStr">
        <is>
          <t>🔍</t>
        </is>
      </c>
      <c r="R627" s="23" t="inlineStr">
        <is>
          <t>Sun Aug 02 2026</t>
        </is>
      </c>
      <c r="T627" s="58" t="inlineStr">
        <is>
          <t>而 [NHI] · mà, và (liên từ)
    ↳ Chiết tự: bộ 而 (nhi) — hình chòm râu dưới miệng, mượn làm liên từ
且 [THẢ] · hơn nữa, tạm thời
    ↳ Chiết tự: bộ 一 (nhất) + 月 — hình bàn thờ xếp lớp, nghĩa "thêm nữa"</t>
        </is>
      </c>
      <c r="U627" s="24" t="inlineStr">
        <is>
          <t>🔗 Từ nối &amp; Trợ từ</t>
        </is>
      </c>
      <c r="V627" s="63" t="inlineStr">
        <is>
          <t>他很聪明，而且很努力。</t>
        </is>
      </c>
      <c r="W627" s="64" t="inlineStr">
        <is>
          <t>Tā hěn cōngming, érqiě hěn nǔlì.
Cậu ấy thông minh mà lại cần cù.</t>
        </is>
      </c>
    </row>
    <row r="628" ht="46.5" customHeight="1" s="99">
      <c r="A628" t="n">
        <v>602</v>
      </c>
      <c r="B628" s="84" t="inlineStr">
        <is>
          <t>HSK3</t>
        </is>
      </c>
      <c r="C628" s="85" t="inlineStr">
        <is>
          <t>耳朵</t>
        </is>
      </c>
      <c r="D628" s="78" t="inlineStr">
        <is>
          <t>ěrduo</t>
        </is>
      </c>
      <c r="E628" s="78" t="inlineStr">
        <is>
          <t>cái tai</t>
        </is>
      </c>
      <c r="G628" s="7" t="n"/>
      <c r="H628" s="8">
        <f>IF(TRIM($G628)="","",IF(EXACT(TRIM($G628),TRIM($C628)),"✅ Đúng","❌ Sai"))</f>
        <v/>
      </c>
      <c r="I628" s="56" t="inlineStr">
        <is>
          <t>▶</t>
        </is>
      </c>
      <c r="J628" s="56" t="inlineStr">
        <is>
          <t>🔍</t>
        </is>
      </c>
      <c r="R628" s="23" t="inlineStr">
        <is>
          <t>Sun Aug 02 2026</t>
        </is>
      </c>
      <c r="T628" s="58" t="inlineStr">
        <is>
          <t>耳 [NHĨ] · cái tai
    ↳ Chiết tự: bộ 耳 (nhĩ) — hình vành tai
朵 [ĐÓA] · đóa, bông (lượng từ hoa)
    ↳ Chiết tự: bộ 乃 + 木 (mộc – cây) — hình bông hoa trĩu trên cây</t>
        </is>
      </c>
      <c r="U628" s="24" t="inlineStr">
        <is>
          <t>⚕️ Sức khỏe &amp; Cơ thể</t>
        </is>
      </c>
      <c r="V628" s="63" t="inlineStr">
        <is>
          <t>我的耳朵有点儿疼。</t>
        </is>
      </c>
      <c r="W628" s="64" t="inlineStr">
        <is>
          <t>Wǒ de ěrduo yǒudiǎnr téng.
Tai tôi hơi đau.</t>
        </is>
      </c>
    </row>
    <row r="629" ht="34.9" customHeight="1" s="99">
      <c r="A629" t="n">
        <v>603</v>
      </c>
      <c r="B629" s="84" t="inlineStr">
        <is>
          <t>HSK3</t>
        </is>
      </c>
      <c r="C629" s="85" t="inlineStr">
        <is>
          <t>发</t>
        </is>
      </c>
      <c r="D629" s="78" t="inlineStr">
        <is>
          <t>fā</t>
        </is>
      </c>
      <c r="E629" s="78" t="inlineStr">
        <is>
          <t>phát ra, gửi đi</t>
        </is>
      </c>
      <c r="G629" s="7" t="n"/>
      <c r="H629" s="8">
        <f>IF(TRIM($G629)="","",IF(EXACT(TRIM($G629),TRIM($C629)),"✅ Đúng","❌ Sai"))</f>
        <v/>
      </c>
      <c r="I629" s="56" t="inlineStr">
        <is>
          <t>▶</t>
        </is>
      </c>
      <c r="J629" s="56" t="inlineStr">
        <is>
          <t>🔍</t>
        </is>
      </c>
      <c r="R629" s="23" t="inlineStr">
        <is>
          <t>Sun Aug 02 2026</t>
        </is>
      </c>
      <c r="T629" s="58" t="inlineStr">
        <is>
          <t>发 [PHÁT / PHÁP] · phát ra, gửi; tóc
    ↳ Chiết tự: giản thể của 發 (phát ra) và 髮 (tóc): bộ 又 (hựu – tay) + 弓 — tay giương cung bắn ra</t>
        </is>
      </c>
      <c r="U629" s="24" t="inlineStr">
        <is>
          <t>🏃 Động từ thường ngày</t>
        </is>
      </c>
      <c r="V629" s="63" t="inlineStr">
        <is>
          <t>我给他发了一个邮件。</t>
        </is>
      </c>
      <c r="W629" s="64" t="inlineStr">
        <is>
          <t>Wǒ gěi tā fā le yí ge yóujiàn.
Tôi đã gửi cho anh ấy một email.</t>
        </is>
      </c>
    </row>
    <row r="630" ht="69.75" customHeight="1" s="99">
      <c r="A630" t="n">
        <v>604</v>
      </c>
      <c r="B630" s="84" t="inlineStr">
        <is>
          <t>HSK3</t>
        </is>
      </c>
      <c r="C630" s="85" t="inlineStr">
        <is>
          <t>发烧</t>
        </is>
      </c>
      <c r="D630" s="78" t="inlineStr">
        <is>
          <t>fāshāo</t>
        </is>
      </c>
      <c r="E630" s="78" t="inlineStr">
        <is>
          <t>sốt, phát sốt</t>
        </is>
      </c>
      <c r="H630" s="8">
        <f>IF(TRIM($G630)="","",IF(EXACT(TRIM($G630),TRIM($C630)),"✅ Đúng","❌ Sai"))</f>
        <v/>
      </c>
      <c r="I630" s="56" t="inlineStr">
        <is>
          <t>▶</t>
        </is>
      </c>
      <c r="J630" s="56" t="inlineStr">
        <is>
          <t>🔍</t>
        </is>
      </c>
      <c r="R630" s="23" t="inlineStr">
        <is>
          <t>Sun Aug 02 2026</t>
        </is>
      </c>
      <c r="T630" s="58" t="inlineStr">
        <is>
          <t>发 [PHÁT / PHÁP] · phát ra, gửi; tóc
    ↳ Chiết tự: giản thể của 發 (phát ra) và 髮 (tóc): bộ 又 (hựu – tay) + 弓 — tay giương cung bắn ra
烧 [THIÊU] · đốt, sốt
    ↳ Chiết tự: giản thể của 燒: bộ 火 (hỏa – lửa) + 尧 (nghiêu – âm đọc) — lửa cháy, người nóng sốt</t>
        </is>
      </c>
      <c r="U630" s="24" t="inlineStr">
        <is>
          <t>⚕️ Sức khỏe &amp; Cơ thể</t>
        </is>
      </c>
      <c r="V630" s="63" t="inlineStr">
        <is>
          <t>孩子发烧了。</t>
        </is>
      </c>
      <c r="W630" s="64" t="inlineStr">
        <is>
          <t>Háizi fāshāo le.
Đứa trẻ bị sốt rồi.</t>
        </is>
      </c>
    </row>
    <row r="631" ht="69.75" customHeight="1" s="99">
      <c r="A631" t="n">
        <v>605</v>
      </c>
      <c r="B631" s="84" t="inlineStr">
        <is>
          <t>HSK3</t>
        </is>
      </c>
      <c r="C631" s="85" t="inlineStr">
        <is>
          <t>发现</t>
        </is>
      </c>
      <c r="D631" s="78" t="inlineStr">
        <is>
          <t>fāxiàn</t>
        </is>
      </c>
      <c r="E631" s="78" t="inlineStr">
        <is>
          <t>phát hiện, nhận ra</t>
        </is>
      </c>
      <c r="H631" s="8">
        <f>IF(TRIM($G631)="","",IF(EXACT(TRIM($G631),TRIM($C631)),"✅ Đúng","❌ Sai"))</f>
        <v/>
      </c>
      <c r="I631" s="56" t="inlineStr">
        <is>
          <t>▶</t>
        </is>
      </c>
      <c r="J631" s="56" t="inlineStr">
        <is>
          <t>🔍</t>
        </is>
      </c>
      <c r="R631" s="23" t="inlineStr">
        <is>
          <t>Sun Aug 02 2026</t>
        </is>
      </c>
      <c r="T631" s="58" t="inlineStr">
        <is>
          <t>发 [PHÁT / PHÁP] · phát ra, gửi; tóc
    ↳ Chiết tự: giản thể của 發 (phát ra) và 髮 (tóc): bộ 又 (hựu – tay) + 弓 — tay giương cung bắn ra
现 [HIỆN] · hiện ra, hiện tại
    ↳ Chiết tự: giản thể của 現: bộ 王 (ngọc) + 见 (kiến – trông thấy) — ngọc lộ ra trước mắt</t>
        </is>
      </c>
      <c r="U631" s="24" t="inlineStr">
        <is>
          <t>🏃 Động từ thường ngày</t>
        </is>
      </c>
      <c r="V631" s="63" t="inlineStr">
        <is>
          <t>我发现了一个问题。</t>
        </is>
      </c>
      <c r="W631" s="64" t="inlineStr">
        <is>
          <t>Wǒ fāxiàn le yí ge wèntí.
Tôi phát hiện một vấn đề.</t>
        </is>
      </c>
    </row>
    <row r="632" ht="58.15" customHeight="1" s="99">
      <c r="A632" t="n">
        <v>606</v>
      </c>
      <c r="B632" s="84" t="inlineStr">
        <is>
          <t>HSK3</t>
        </is>
      </c>
      <c r="C632" s="85" t="inlineStr">
        <is>
          <t>方便</t>
        </is>
      </c>
      <c r="D632" s="78" t="inlineStr">
        <is>
          <t>fāngbiàn</t>
        </is>
      </c>
      <c r="E632" s="78" t="inlineStr">
        <is>
          <t>thuận tiện, tiện lợi</t>
        </is>
      </c>
      <c r="H632" s="8">
        <f>IF(TRIM($G632)="","",IF(EXACT(TRIM($G632),TRIM($C632)),"✅ Đúng","❌ Sai"))</f>
        <v/>
      </c>
      <c r="I632" s="56" t="inlineStr">
        <is>
          <t>▶</t>
        </is>
      </c>
      <c r="J632" s="56" t="inlineStr">
        <is>
          <t>🔍</t>
        </is>
      </c>
      <c r="R632" s="23" t="inlineStr">
        <is>
          <t>Sun Aug 02 2026</t>
        </is>
      </c>
      <c r="T632" s="58" t="inlineStr">
        <is>
          <t>方 [PHƯƠNG] · phương hướng; vuông; cách thức
    ↳ Chiết tự: bộ 方 (phương) — hình lưỡi cày rẽ hai bên
便 [TIỆN / PHIỀN] · tiện lợi; rẻ (便宜)
    ↳ Chiết tự: bộ 亻 (nhân đứng – người) + 更 (canh – thay đổi) — người sửa cho thuận tiện</t>
        </is>
      </c>
      <c r="U632" s="24" t="inlineStr">
        <is>
          <t>🎨 Tính từ &amp; Trạng thái</t>
        </is>
      </c>
      <c r="V632" s="63" t="inlineStr">
        <is>
          <t>你什么时候方便？</t>
        </is>
      </c>
      <c r="W632" s="64" t="inlineStr">
        <is>
          <t>Nǐ shénme shíhou fāngbiàn?
Bạn khi nào thì tiện?</t>
        </is>
      </c>
    </row>
    <row r="633" ht="58.15" customHeight="1" s="99">
      <c r="A633" t="n">
        <v>607</v>
      </c>
      <c r="B633" s="84" t="inlineStr">
        <is>
          <t>HSK3</t>
        </is>
      </c>
      <c r="C633" s="85" t="inlineStr">
        <is>
          <t>放心</t>
        </is>
      </c>
      <c r="D633" s="78" t="inlineStr">
        <is>
          <t>fàngxīn</t>
        </is>
      </c>
      <c r="E633" s="78" t="inlineStr">
        <is>
          <t>yên tâm</t>
        </is>
      </c>
      <c r="H633" s="8">
        <f>IF(TRIM($G633)="","",IF(EXACT(TRIM($G633),TRIM($C633)),"✅ Đúng","❌ Sai"))</f>
        <v/>
      </c>
      <c r="I633" s="56" t="inlineStr">
        <is>
          <t>▶</t>
        </is>
      </c>
      <c r="J633" s="56" t="inlineStr">
        <is>
          <t>🔍</t>
        </is>
      </c>
      <c r="R633" s="23" t="inlineStr">
        <is>
          <t>Sun Aug 02 2026</t>
        </is>
      </c>
      <c r="T633" s="58" t="inlineStr">
        <is>
          <t>放 [PHÓNG] · đặt, thả, buông
    ↳ Chiết tự: bộ 方 (phương – âm đọc) + 攵 (phộc – tay cầm roi) — đánh cho đi ra, buông ra
心 [TÂM] · trái tim, tấm lòng
    ↳ Chiết tự: bộ 心 (tâm) — hình quả tim có màng bao</t>
        </is>
      </c>
      <c r="U633" s="24" t="inlineStr">
        <is>
          <t>🎨 Tính từ &amp; Trạng thái</t>
        </is>
      </c>
      <c r="V633" s="63" t="inlineStr">
        <is>
          <t>你放心吧。</t>
        </is>
      </c>
      <c r="W633" s="64" t="inlineStr">
        <is>
          <t>Nǐ fàngxīn ba.
Bạn cứ yên tâm.</t>
        </is>
      </c>
    </row>
    <row r="634" ht="69.75" customHeight="1" s="99">
      <c r="A634" t="n">
        <v>608</v>
      </c>
      <c r="B634" s="84" t="inlineStr">
        <is>
          <t>HSK3</t>
        </is>
      </c>
      <c r="C634" s="85" t="inlineStr">
        <is>
          <t>附近</t>
        </is>
      </c>
      <c r="D634" s="78" t="inlineStr">
        <is>
          <t>fùjìn</t>
        </is>
      </c>
      <c r="E634" s="78" t="inlineStr">
        <is>
          <t>gần đây, vùng phụ cận</t>
        </is>
      </c>
      <c r="H634" s="8">
        <f>IF(TRIM($G634)="","",IF(EXACT(TRIM($G634),TRIM($C634)),"✅ Đúng","❌ Sai"))</f>
        <v/>
      </c>
      <c r="I634" s="56" t="inlineStr">
        <is>
          <t>▶</t>
        </is>
      </c>
      <c r="J634" s="56" t="inlineStr">
        <is>
          <t>🔍</t>
        </is>
      </c>
      <c r="R634" s="23" t="inlineStr">
        <is>
          <t>Sun Aug 02 2026</t>
        </is>
      </c>
      <c r="T634" s="58" t="inlineStr">
        <is>
          <t>附 [PHỤ] · gần kề, kèm theo
    ↳ Chiết tự: bộ 阝 (phụ – gò đất) + 付 (phó – trao) — đắp thêm vào bên cạnh
近 [CẬN] · gần
    ↳ Chiết tự: bộ 辶 (sước – bước đi) + 斤 (cân – âm đọc) — đi vài bước là tới</t>
        </is>
      </c>
      <c r="U634" s="24" t="inlineStr">
        <is>
          <t>🧭 Phương hướng &amp; Vị trí</t>
        </is>
      </c>
      <c r="V634" s="63" t="inlineStr">
        <is>
          <t>附近有一家银行。</t>
        </is>
      </c>
      <c r="W634" s="64" t="inlineStr">
        <is>
          <t>Fùjìn yǒu yì jiā yínháng.
Gần đây có một ngân hàng.</t>
        </is>
      </c>
    </row>
    <row r="635" ht="69.75" customHeight="1" s="99">
      <c r="A635" t="n">
        <v>609</v>
      </c>
      <c r="B635" s="84" t="inlineStr">
        <is>
          <t>HSK3</t>
        </is>
      </c>
      <c r="C635" s="85" t="inlineStr">
        <is>
          <t>复习</t>
        </is>
      </c>
      <c r="D635" s="78" t="inlineStr">
        <is>
          <t>fùxí</t>
        </is>
      </c>
      <c r="E635" s="78" t="inlineStr">
        <is>
          <t>ôn tập, ôn lại</t>
        </is>
      </c>
      <c r="H635" s="8">
        <f>IF(TRIM($G635)="","",IF(EXACT(TRIM($G635),TRIM($C635)),"✅ Đúng","❌ Sai"))</f>
        <v/>
      </c>
      <c r="I635" s="56" t="inlineStr">
        <is>
          <t>▶</t>
        </is>
      </c>
      <c r="J635" s="56" t="inlineStr">
        <is>
          <t>🔍</t>
        </is>
      </c>
      <c r="R635" s="23" t="inlineStr">
        <is>
          <t>Sun Aug 02 2026</t>
        </is>
      </c>
      <c r="T635" s="58" t="inlineStr">
        <is>
          <t>复 [PHỤC] · lặp lại, hồi phục
    ↳ Chiết tự: giản thể của 復/複: bộ 夂 (truy – bước chân) + 日 — đi rồi trở lại
习 [TẬP] · học tập, luyện, thói quen
    ↳ Chiết tự: giản thể của 習: bộ 羽 (vũ – lông cánh) + 白 (bạch) — chim non ngày ngày vỗ cánh tập bay</t>
        </is>
      </c>
      <c r="U635" s="24" t="inlineStr">
        <is>
          <t>🏫 Học tập &amp; Trường lớp</t>
        </is>
      </c>
      <c r="V635" s="63" t="inlineStr">
        <is>
          <t>我在复习汉语。</t>
        </is>
      </c>
      <c r="W635" s="64" t="inlineStr">
        <is>
          <t>Wǒ zài fùxí Hànyǔ.
Tôi đang ôn tiếng Hán.</t>
        </is>
      </c>
    </row>
    <row r="636" hidden="1" ht="34.9" customHeight="1" s="99">
      <c r="A636" t="n">
        <v>610</v>
      </c>
      <c r="B636" s="84" t="inlineStr">
        <is>
          <t>HSK3</t>
        </is>
      </c>
      <c r="C636" s="85" t="inlineStr">
        <is>
          <t>敢</t>
        </is>
      </c>
      <c r="D636" s="78" t="inlineStr">
        <is>
          <t>gǎn</t>
        </is>
      </c>
      <c r="E636" s="78" t="inlineStr">
        <is>
          <t>dám, dũng cảm</t>
        </is>
      </c>
      <c r="G636" s="77" t="inlineStr">
        <is>
          <t>敢</t>
        </is>
      </c>
      <c r="H636" s="8">
        <f>IF(TRIM($G636)="","",IF(EXACT(TRIM($G636),TRIM($C636)),"✅ Đúng","❌ Sai"))</f>
        <v/>
      </c>
      <c r="I636" s="56" t="inlineStr">
        <is>
          <t>▶</t>
        </is>
      </c>
      <c r="J636" s="56" t="inlineStr">
        <is>
          <t>🔍</t>
        </is>
      </c>
      <c r="R636" s="23" t="inlineStr">
        <is>
          <t>Sun Aug 02 2026</t>
        </is>
      </c>
      <c r="T636" s="58" t="inlineStr">
        <is>
          <t>敢 [CẢM] · dám, dũng cảm
    ↳ Chiết tự: bộ 攵 (phộc – tay đánh) + 耳 — tay không mà giành lấy, tỏ ra gan</t>
        </is>
      </c>
      <c r="U636" s="24" t="inlineStr">
        <is>
          <t>🏃 Động từ thường ngày</t>
        </is>
      </c>
      <c r="V636" s="63" t="inlineStr">
        <is>
          <t>我不敢一个人去。</t>
        </is>
      </c>
      <c r="W636" s="64" t="inlineStr">
        <is>
          <t>Wǒ bù gǎn yí ge rén qù.
Tôi không dám đi một mình.</t>
        </is>
      </c>
    </row>
    <row r="637" ht="69.75" customHeight="1" s="99">
      <c r="A637" t="n">
        <v>611</v>
      </c>
      <c r="B637" s="84" t="inlineStr">
        <is>
          <t>HSK3</t>
        </is>
      </c>
      <c r="C637" s="85" t="inlineStr">
        <is>
          <t>感冒</t>
        </is>
      </c>
      <c r="D637" s="78" t="inlineStr">
        <is>
          <t>gǎnmào</t>
        </is>
      </c>
      <c r="E637" s="78" t="inlineStr">
        <is>
          <t>cảm, cảm lạnh</t>
        </is>
      </c>
      <c r="H637" s="8">
        <f>IF(TRIM($G637)="","",IF(EXACT(TRIM($G637),TRIM($C637)),"✅ Đúng","❌ Sai"))</f>
        <v/>
      </c>
      <c r="I637" s="56" t="inlineStr">
        <is>
          <t>▶</t>
        </is>
      </c>
      <c r="J637" s="56" t="inlineStr">
        <is>
          <t>🔍</t>
        </is>
      </c>
      <c r="R637" s="23" t="inlineStr">
        <is>
          <t>Sun Aug 02 2026</t>
        </is>
      </c>
      <c r="T637" s="58" t="inlineStr">
        <is>
          <t>感 [CẢM] · cảm nhận, cảm động
    ↳ Chiết tự: bộ 心 (tâm – trái tim) + 咸 (hàm – âm đọc) — lòng rung động
冒 [MẠO] · xông ra, mạo hiểm
    ↳ Chiết tự: bộ 目 (mục – mắt) + 冂 (quynh – khăn trùm) — trùm đầu mà xông lên</t>
        </is>
      </c>
      <c r="U637" s="24" t="inlineStr">
        <is>
          <t>⚕️ Sức khỏe &amp; Cơ thể</t>
        </is>
      </c>
      <c r="V637" s="63" t="inlineStr">
        <is>
          <t>我感冒了。</t>
        </is>
      </c>
      <c r="W637" s="64" t="inlineStr">
        <is>
          <t>Wǒ gǎnmào le.
Tôi bị cảm rồi.</t>
        </is>
      </c>
    </row>
    <row r="638" ht="104.65" customHeight="1" s="99">
      <c r="A638" t="n">
        <v>612</v>
      </c>
      <c r="B638" s="84" t="inlineStr">
        <is>
          <t>HSK3</t>
        </is>
      </c>
      <c r="C638" s="85" t="inlineStr">
        <is>
          <t>感兴趣</t>
        </is>
      </c>
      <c r="D638" s="78" t="inlineStr">
        <is>
          <t>gǎn xìngqù</t>
        </is>
      </c>
      <c r="E638" s="78" t="inlineStr">
        <is>
          <t>thấy thú vị, quan tâm tới</t>
        </is>
      </c>
      <c r="H638" s="8">
        <f>IF(TRIM($G638)="","",IF(EXACT(TRIM($G638),TRIM($C638)),"✅ Đúng","❌ Sai"))</f>
        <v/>
      </c>
      <c r="I638" s="56" t="inlineStr">
        <is>
          <t>▶</t>
        </is>
      </c>
      <c r="J638" s="56" t="inlineStr">
        <is>
          <t>🔍</t>
        </is>
      </c>
      <c r="R638" s="23" t="inlineStr">
        <is>
          <t>Sun Aug 02 2026</t>
        </is>
      </c>
      <c r="T638" s="58" t="inlineStr">
        <is>
          <t>感 [CẢM] · cảm nhận, cảm động
    ↳ Chiết tự: bộ 心 (tâm – trái tim) + 咸 (hàm – âm đọc) — lòng rung động
兴 [HƯNG / HỨNG] · hưng thịnh; hứng thú
    ↳ Chiết tự: giản thể của 興: bộ 八 (bát) + 同 (đồng) — nhiều tay cùng nâng lên thì hưng khởi
趣 [THÚ] · thú vị, hứng thú
    ↳ Chiết tự: bộ 走 (tẩu – chạy) + 取 (thủ – lấy) — chạy tới mà lấy vì thấy hay</t>
        </is>
      </c>
      <c r="U638" s="24" t="inlineStr">
        <is>
          <t>🎨 Tính từ &amp; Trạng thái</t>
        </is>
      </c>
      <c r="V638" s="63" t="inlineStr">
        <is>
          <t>我对历史很感兴趣。</t>
        </is>
      </c>
      <c r="W638" s="64" t="inlineStr">
        <is>
          <t>Wǒ duì lìshǐ hěn gǎn xìngqù.
Tôi rất thích lịch sử.</t>
        </is>
      </c>
    </row>
    <row r="639" ht="69.75" customHeight="1" s="99">
      <c r="A639" t="n">
        <v>613</v>
      </c>
      <c r="B639" s="84" t="inlineStr">
        <is>
          <t>HSK3</t>
        </is>
      </c>
      <c r="C639" s="85" t="inlineStr">
        <is>
          <t>刚才</t>
        </is>
      </c>
      <c r="D639" s="78" t="inlineStr">
        <is>
          <t>gāngcái</t>
        </is>
      </c>
      <c r="E639" s="78" t="inlineStr">
        <is>
          <t>vừa mới, vừa rồi</t>
        </is>
      </c>
      <c r="H639" s="8">
        <f>IF(TRIM($G639)="","",IF(EXACT(TRIM($G639),TRIM($C639)),"✅ Đúng","❌ Sai"))</f>
        <v/>
      </c>
      <c r="I639" s="56" t="inlineStr">
        <is>
          <t>▶</t>
        </is>
      </c>
      <c r="J639" s="56" t="inlineStr">
        <is>
          <t>🔍</t>
        </is>
      </c>
      <c r="R639" s="23" t="inlineStr">
        <is>
          <t>Sun Aug 02 2026</t>
        </is>
      </c>
      <c r="T639" s="58" t="inlineStr">
        <is>
          <t>刚 [CANG] · vừa mới; cứng rắn
    ↳ Chiết tự: giản thể của 剛: bộ 刂 (đao đứng – dao) + 冈 — dao vừa mới rèn, còn cứng
才 [TÀI] · tài năng; mới, vừa
    ↳ Chiết tự: bộ 一 (nhất) + 亅 (quyết) — hình mầm cây vừa nhú, nghĩa "vừa mới"</t>
        </is>
      </c>
      <c r="U639" s="24" t="inlineStr">
        <is>
          <t>⏰ Thời gian &amp; Ngày tháng</t>
        </is>
      </c>
      <c r="V639" s="63" t="inlineStr">
        <is>
          <t>刚才他来过。</t>
        </is>
      </c>
      <c r="W639" s="64" t="inlineStr">
        <is>
          <t>Gāngcái tā lái guo.
Vừa rồi anh ấy có đến.</t>
        </is>
      </c>
    </row>
    <row r="640" ht="58.15" customHeight="1" s="99">
      <c r="A640" t="n">
        <v>614</v>
      </c>
      <c r="B640" s="84" t="inlineStr">
        <is>
          <t>HSK3</t>
        </is>
      </c>
      <c r="C640" s="85" t="inlineStr">
        <is>
          <t>个子</t>
        </is>
      </c>
      <c r="D640" s="78" t="inlineStr">
        <is>
          <t>gèzi</t>
        </is>
      </c>
      <c r="E640" s="78" t="inlineStr">
        <is>
          <t>dáng người, chiều cao</t>
        </is>
      </c>
      <c r="H640" s="8">
        <f>IF(TRIM($G640)="","",IF(EXACT(TRIM($G640),TRIM($C640)),"✅ Đúng","❌ Sai"))</f>
        <v/>
      </c>
      <c r="I640" s="56" t="inlineStr">
        <is>
          <t>▶</t>
        </is>
      </c>
      <c r="J640" s="56" t="inlineStr">
        <is>
          <t>🔍</t>
        </is>
      </c>
      <c r="R640" s="23" t="inlineStr">
        <is>
          <t>Sun Aug 02 2026</t>
        </is>
      </c>
      <c r="T640" s="58" t="inlineStr">
        <is>
          <t>个 [CÁ] · cái, chiếc (lượng từ chung)
    ↳ Chiết tự: bộ 人 (nhân – người) + 丨 (cổn – nét sổ) — một cá thể riêng lẻ
子 [TỬ] · con cái; hậu tố danh từ; ngài
    ↳ Chiết tự: bộ 子 (tử) — hình em bé quấn tã, hai tay giơ lên</t>
        </is>
      </c>
      <c r="U640" s="24" t="inlineStr">
        <is>
          <t>⚕️ Sức khỏe &amp; Cơ thể</t>
        </is>
      </c>
      <c r="V640" s="63" t="inlineStr">
        <is>
          <t>他的个子很高。</t>
        </is>
      </c>
      <c r="W640" s="64" t="inlineStr">
        <is>
          <t>Tā de gèzi hěn gāo.
Dáng anh ấy rất cao.</t>
        </is>
      </c>
    </row>
    <row r="641" ht="58.15" customHeight="1" s="99">
      <c r="A641" t="n">
        <v>615</v>
      </c>
      <c r="B641" s="84" t="inlineStr">
        <is>
          <t>HSK3</t>
        </is>
      </c>
      <c r="C641" s="85" t="inlineStr">
        <is>
          <t>根据</t>
        </is>
      </c>
      <c r="D641" s="78" t="inlineStr">
        <is>
          <t>gēnjù</t>
        </is>
      </c>
      <c r="E641" s="78" t="inlineStr">
        <is>
          <t>căn cứ vào, dựa theo</t>
        </is>
      </c>
      <c r="H641" s="8">
        <f>IF(TRIM($G641)="","",IF(EXACT(TRIM($G641),TRIM($C641)),"✅ Đúng","❌ Sai"))</f>
        <v/>
      </c>
      <c r="I641" s="56" t="inlineStr">
        <is>
          <t>▶</t>
        </is>
      </c>
      <c r="J641" s="56" t="inlineStr">
        <is>
          <t>🔍</t>
        </is>
      </c>
      <c r="R641" s="23" t="inlineStr">
        <is>
          <t>Sun Aug 02 2026</t>
        </is>
      </c>
      <c r="T641" s="58" t="inlineStr">
        <is>
          <t>根 [CĂN] · gốc, rễ; căn cứ
    ↳ Chiết tự: bộ 木 (mộc – cây) + 艮 (cấn – âm đọc) — phần rễ cây
据 [CỨ] · căn cứ, dựa vào
    ↳ Chiết tự: giản thể của 據: bộ 扌 (thủ – tay) + 居 (cư – âm đọc) — tay nắm lấy chỗ tựa</t>
        </is>
      </c>
      <c r="U641" s="24" t="inlineStr">
        <is>
          <t>🔗 Từ nối &amp; Trợ từ</t>
        </is>
      </c>
      <c r="V641" s="63" t="inlineStr">
        <is>
          <t>根据合同，我们要付款。</t>
        </is>
      </c>
      <c r="W641" s="64" t="inlineStr">
        <is>
          <t>Gēnjù hétong, wǒmen yào fùkuǎn.
Căn cứ hợp đồng, chúng ta phải thanh toán.</t>
        </is>
      </c>
    </row>
    <row r="642" ht="34.9" customHeight="1" s="99">
      <c r="A642" t="n">
        <v>616</v>
      </c>
      <c r="B642" s="84" t="inlineStr">
        <is>
          <t>HSK3</t>
        </is>
      </c>
      <c r="C642" s="85" t="inlineStr">
        <is>
          <t>更</t>
        </is>
      </c>
      <c r="D642" s="78" t="inlineStr">
        <is>
          <t>gèng</t>
        </is>
      </c>
      <c r="E642" s="78" t="inlineStr">
        <is>
          <t>càng, hơn</t>
        </is>
      </c>
      <c r="H642" s="8">
        <f>IF(TRIM($G642)="","",IF(EXACT(TRIM($G642),TRIM($C642)),"✅ Đúng","❌ Sai"))</f>
        <v/>
      </c>
      <c r="I642" s="56" t="inlineStr">
        <is>
          <t>▶</t>
        </is>
      </c>
      <c r="J642" s="56" t="inlineStr">
        <is>
          <t>🔍</t>
        </is>
      </c>
      <c r="R642" s="23" t="inlineStr">
        <is>
          <t>Sun Aug 02 2026</t>
        </is>
      </c>
      <c r="T642" s="58" t="inlineStr">
        <is>
          <t>更 [CANH / CÁNH] · càng, hơn; canh giờ
    ↳ Chiết tự: bộ 一 + 曰 + 攴 (phộc) — đổi phiên trực, nghĩa phái sinh "càng"</t>
        </is>
      </c>
      <c r="U642" s="24" t="inlineStr">
        <is>
          <t>🎨 Tính từ &amp; Trạng thái</t>
        </is>
      </c>
      <c r="V642" s="63" t="inlineStr">
        <is>
          <t>今天比昨天更冷。</t>
        </is>
      </c>
      <c r="W642" s="64" t="inlineStr">
        <is>
          <t>Jīntiān bǐ zuótiān gèng lěng.
Hôm nay lạnh hơn hôm qua.</t>
        </is>
      </c>
    </row>
    <row r="643" ht="58.15" customHeight="1" s="99">
      <c r="A643" t="n">
        <v>617</v>
      </c>
      <c r="B643" s="84" t="inlineStr">
        <is>
          <t>HSK3</t>
        </is>
      </c>
      <c r="C643" s="85" t="inlineStr">
        <is>
          <t>公斤</t>
        </is>
      </c>
      <c r="D643" s="78" t="inlineStr">
        <is>
          <t>gōngjīn</t>
        </is>
      </c>
      <c r="E643" s="78" t="inlineStr">
        <is>
          <t>ki-lô-gam</t>
        </is>
      </c>
      <c r="H643" s="8">
        <f>IF(TRIM($G643)="","",IF(EXACT(TRIM($G643),TRIM($C643)),"✅ Đúng","❌ Sai"))</f>
        <v/>
      </c>
      <c r="I643" s="56" t="inlineStr">
        <is>
          <t>▶</t>
        </is>
      </c>
      <c r="J643" s="56" t="inlineStr">
        <is>
          <t>🔍</t>
        </is>
      </c>
      <c r="R643" s="23" t="inlineStr">
        <is>
          <t>Sun Aug 02 2026</t>
        </is>
      </c>
      <c r="T643" s="58" t="inlineStr">
        <is>
          <t>公 [CÔNG] · chung, công cộng; ông
    ↳ Chiết tự: bộ 八 (bát – chia) + 厶 (tư – riêng tư) — chia bỏ cái riêng thì thành cái chung
斤 [CÂN] · cân (0,5 kg); cái búa
    ↳ Chiết tự: bộ 斤 (cân) — hình cái búa/lưỡi rìu, sau làm đơn vị cân</t>
        </is>
      </c>
      <c r="U643" s="24" t="inlineStr">
        <is>
          <t>🔢 Số đếm &amp; Lượng từ</t>
        </is>
      </c>
      <c r="V643" s="63" t="inlineStr">
        <is>
          <t>这个五公斤。</t>
        </is>
      </c>
      <c r="W643" s="64" t="inlineStr">
        <is>
          <t>Zhège wǔ gōngjīn.
Cái này năm ki-lô.</t>
        </is>
      </c>
    </row>
    <row r="644" hidden="1" ht="69.75" customHeight="1" s="99">
      <c r="A644" t="n">
        <v>618</v>
      </c>
      <c r="B644" s="84" t="inlineStr">
        <is>
          <t>HSK3</t>
        </is>
      </c>
      <c r="C644" s="85" t="inlineStr">
        <is>
          <t>公园</t>
        </is>
      </c>
      <c r="D644" s="78" t="inlineStr">
        <is>
          <t>gōngyuán</t>
        </is>
      </c>
      <c r="E644" s="78" t="inlineStr">
        <is>
          <t>công viên</t>
        </is>
      </c>
      <c r="G644" s="77" t="inlineStr">
        <is>
          <t>公园</t>
        </is>
      </c>
      <c r="H644" s="8">
        <f>IF(TRIM($G644)="","",IF(EXACT(TRIM($G644),TRIM($C644)),"✅ Đúng","❌ Sai"))</f>
        <v/>
      </c>
      <c r="I644" s="56" t="inlineStr">
        <is>
          <t>▶</t>
        </is>
      </c>
      <c r="J644" s="56" t="inlineStr">
        <is>
          <t>🔍</t>
        </is>
      </c>
      <c r="R644" s="23" t="inlineStr">
        <is>
          <t>Sun Aug 02 2026</t>
        </is>
      </c>
      <c r="T644" s="58" t="inlineStr">
        <is>
          <t>公 [CÔNG] · chung, công cộng; ông
    ↳ Chiết tự: bộ 八 (bát – chia) + 厶 (tư – riêng tư) — chia bỏ cái riêng thì thành cái chung
园 [VIÊN] · vườn, công viên
    ↳ Chiết tự: giản thể của 園: bộ 囗 (vi – vây quanh) + 元 (nguyên – âm đọc) — đất có tường bao trồng cây</t>
        </is>
      </c>
      <c r="U644" s="24" t="inlineStr">
        <is>
          <t>🚗 Giao thông &amp; Địa điểm</t>
        </is>
      </c>
      <c r="V644" s="63" t="inlineStr">
        <is>
          <t>我们去公园走走。</t>
        </is>
      </c>
      <c r="W644" s="64" t="inlineStr">
        <is>
          <t>Wǒmen qù gōngyuán zǒuzou.
Chúng ta ra công viên đi bộ.</t>
        </is>
      </c>
    </row>
    <row r="645" hidden="1" ht="69.75" customHeight="1" s="99">
      <c r="A645" t="n">
        <v>619</v>
      </c>
      <c r="B645" s="84" t="inlineStr">
        <is>
          <t>HSK3</t>
        </is>
      </c>
      <c r="C645" s="85" t="inlineStr">
        <is>
          <t>故事</t>
        </is>
      </c>
      <c r="D645" s="78" t="inlineStr">
        <is>
          <t>gùshi</t>
        </is>
      </c>
      <c r="E645" s="78" t="inlineStr">
        <is>
          <t>câu chuyện</t>
        </is>
      </c>
      <c r="G645" s="77" t="inlineStr">
        <is>
          <t>故事</t>
        </is>
      </c>
      <c r="H645" s="8">
        <f>IF(TRIM($G645)="","",IF(EXACT(TRIM($G645),TRIM($C645)),"✅ Đúng","❌ Sai"))</f>
        <v/>
      </c>
      <c r="I645" s="56" t="inlineStr">
        <is>
          <t>▶</t>
        </is>
      </c>
      <c r="J645" s="56" t="inlineStr">
        <is>
          <t>🔍</t>
        </is>
      </c>
      <c r="R645" s="23" t="inlineStr">
        <is>
          <t>Sun Aug 02 2026</t>
        </is>
      </c>
      <c r="T645" s="58" t="inlineStr">
        <is>
          <t>故 [CỐ] · cũ, cố; nguyên nhân
    ↳ Chiết tự: bộ 攵 (phộc – tay đánh) + 古 (cổ – xưa) — việc đã cũ, cớ sự
事 [SỰ] · việc, sự việc, phụng sự
    ↳ Chiết tự: bộ 亅 (quyết) + 口 (khẩu – miệng) + 彐 (kệ – bàn tay) — tay cầm bút ghi lại việc</t>
        </is>
      </c>
      <c r="U645" s="24" t="inlineStr">
        <is>
          <t>🏫 Học tập &amp; Trường lớp</t>
        </is>
      </c>
      <c r="V645" s="63" t="inlineStr">
        <is>
          <t>奶奶给我讲故事。</t>
        </is>
      </c>
      <c r="W645" s="64" t="inlineStr">
        <is>
          <t>Nǎinai gěi wǒ jiǎng gùshi.
Bà kể chuyện cho tôi.</t>
        </is>
      </c>
    </row>
    <row r="646" hidden="1" ht="69.75" customHeight="1" s="99">
      <c r="A646" t="n">
        <v>620</v>
      </c>
      <c r="B646" s="57" t="inlineStr">
        <is>
          <t>HSK3</t>
        </is>
      </c>
      <c r="C646" s="59" t="inlineStr">
        <is>
          <t>刮风</t>
        </is>
      </c>
      <c r="D646" t="inlineStr">
        <is>
          <t>guā fēng</t>
        </is>
      </c>
      <c r="E646" t="inlineStr">
        <is>
          <t>có gió, gió thổi</t>
        </is>
      </c>
      <c r="G646" s="76" t="inlineStr">
        <is>
          <t>刮风</t>
        </is>
      </c>
      <c r="H646" s="8">
        <f>IF(TRIM($G646)="","",IF(EXACT(TRIM($G646),TRIM($C646)),"✅ Đúng","❌ Sai"))</f>
        <v/>
      </c>
      <c r="I646" s="56" t="inlineStr">
        <is>
          <t>▶</t>
        </is>
      </c>
      <c r="J646" s="56" t="inlineStr">
        <is>
          <t>🔍</t>
        </is>
      </c>
      <c r="R646" s="23" t="inlineStr">
        <is>
          <t>Sun Aug 02 2026</t>
        </is>
      </c>
      <c r="T646" s="58" t="inlineStr">
        <is>
          <t>刮 [QUA] · cạo, thổi (gió)
    ↳ Chiết tự: bộ 刂 (đao đứng – dao) + 舌 (thiệt – cái lưỡi) — lưỡi dao gạt ngang
风 [PHONG] · gió; phong cách
    ↳ Chiết tự: giản thể của 風: bộ 几 (kỷ) + 虫 (trùng) — luồng khí cuốn sinh ra sâu bọ</t>
        </is>
      </c>
      <c r="U646" s="24" t="inlineStr">
        <is>
          <t>🌤️ Thiên nhiên &amp; Thời tiết</t>
        </is>
      </c>
      <c r="V646" s="63" t="inlineStr">
        <is>
          <t>外边刮风了。</t>
        </is>
      </c>
      <c r="W646" s="64" t="inlineStr">
        <is>
          <t>Wàibian guā fēng le.
Bên ngoài có gió rồi.</t>
        </is>
      </c>
    </row>
    <row r="647" ht="58.15" customHeight="1" s="99">
      <c r="A647" t="n">
        <v>621</v>
      </c>
      <c r="B647" s="84" t="inlineStr">
        <is>
          <t>HSK3</t>
        </is>
      </c>
      <c r="C647" s="85" t="inlineStr">
        <is>
          <t>关系</t>
        </is>
      </c>
      <c r="D647" s="78" t="inlineStr">
        <is>
          <t>guānxì</t>
        </is>
      </c>
      <c r="E647" s="78" t="inlineStr">
        <is>
          <t>quan hệ, liên quan</t>
        </is>
      </c>
      <c r="H647" s="8">
        <f>IF(TRIM($G647)="","",IF(EXACT(TRIM($G647),TRIM($C647)),"✅ Đúng","❌ Sai"))</f>
        <v/>
      </c>
      <c r="I647" s="56" t="inlineStr">
        <is>
          <t>▶</t>
        </is>
      </c>
      <c r="J647" s="56" t="inlineStr">
        <is>
          <t>🔍</t>
        </is>
      </c>
      <c r="R647" s="23" t="inlineStr">
        <is>
          <t>Sun Aug 02 2026</t>
        </is>
      </c>
      <c r="T647" s="58" t="inlineStr">
        <is>
          <t>关 [QUAN] · đóng lại; liên quan; cửa ải
    ↳ Chiết tự: giản thể của 關: bộ 丷 (bát) + 天 (thiên) — hình then ngang cài cửa
系 [HỆ] · hệ thống, quan hệ; buộc
    ↳ Chiết tự: bộ 糸 (mịch – sợi tơ) + 丿 — sợi tơ buộc nối các vật</t>
        </is>
      </c>
      <c r="U647" s="24" t="inlineStr">
        <is>
          <t>🏢 Thương mại &amp; Công sở</t>
        </is>
      </c>
      <c r="V647" s="63" t="inlineStr">
        <is>
          <t>这两件事没有关系。</t>
        </is>
      </c>
      <c r="W647" s="64" t="inlineStr">
        <is>
          <t>Zhè liǎng jiàn shì méiyǒu guānxi.
Hai việc này không liên quan.</t>
        </is>
      </c>
    </row>
    <row r="648" ht="58.15" customHeight="1" s="99">
      <c r="A648" t="n">
        <v>622</v>
      </c>
      <c r="B648" s="84" t="inlineStr">
        <is>
          <t>HSK3</t>
        </is>
      </c>
      <c r="C648" s="85" t="inlineStr">
        <is>
          <t>关心</t>
        </is>
      </c>
      <c r="D648" s="78" t="inlineStr">
        <is>
          <t>guānxīn</t>
        </is>
      </c>
      <c r="E648" s="78" t="inlineStr">
        <is>
          <t>quan tâm, chăm lo</t>
        </is>
      </c>
      <c r="H648" s="8">
        <f>IF(TRIM($G648)="","",IF(EXACT(TRIM($G648),TRIM($C648)),"✅ Đúng","❌ Sai"))</f>
        <v/>
      </c>
      <c r="I648" s="56" t="inlineStr">
        <is>
          <t>▶</t>
        </is>
      </c>
      <c r="J648" s="56" t="inlineStr">
        <is>
          <t>🔍</t>
        </is>
      </c>
      <c r="R648" s="23" t="inlineStr">
        <is>
          <t>Sun Aug 02 2026</t>
        </is>
      </c>
      <c r="T648" s="58" t="inlineStr">
        <is>
          <t>关 [QUAN] · đóng lại; liên quan; cửa ải
    ↳ Chiết tự: giản thể của 關: bộ 丷 (bát) + 天 (thiên) — hình then ngang cài cửa
心 [TÂM] · trái tim, tấm lòng
    ↳ Chiết tự: bộ 心 (tâm) — hình quả tim có màng bao</t>
        </is>
      </c>
      <c r="U648" s="24" t="inlineStr">
        <is>
          <t>💬 Giao tiếp &amp; Lễ nghi</t>
        </is>
      </c>
      <c r="V648" s="63" t="inlineStr">
        <is>
          <t>谢谢你的关心。</t>
        </is>
      </c>
      <c r="W648" s="64" t="inlineStr">
        <is>
          <t>Xièxie nǐ de guānxīn.
Cảm ơn sự quan tâm của bạn.</t>
        </is>
      </c>
    </row>
    <row r="649" ht="58.15" customHeight="1" s="99">
      <c r="A649" t="n">
        <v>623</v>
      </c>
      <c r="B649" s="84" t="inlineStr">
        <is>
          <t>HSK3</t>
        </is>
      </c>
      <c r="C649" s="85" t="inlineStr">
        <is>
          <t>关于</t>
        </is>
      </c>
      <c r="D649" s="78" t="inlineStr">
        <is>
          <t>guānyú</t>
        </is>
      </c>
      <c r="E649" s="78" t="inlineStr">
        <is>
          <t>về, đối với</t>
        </is>
      </c>
      <c r="H649" s="8">
        <f>IF(TRIM($G649)="","",IF(EXACT(TRIM($G649),TRIM($C649)),"✅ Đúng","❌ Sai"))</f>
        <v/>
      </c>
      <c r="I649" s="56" t="inlineStr">
        <is>
          <t>▶</t>
        </is>
      </c>
      <c r="J649" s="56" t="inlineStr">
        <is>
          <t>🔍</t>
        </is>
      </c>
      <c r="R649" s="23" t="inlineStr">
        <is>
          <t>Sun Aug 02 2026</t>
        </is>
      </c>
      <c r="T649" s="58" t="inlineStr">
        <is>
          <t>关 [QUAN] · đóng lại; liên quan; cửa ải
    ↳ Chiết tự: giản thể của 關: bộ 丷 (bát) + 天 (thiên) — hình then ngang cài cửa
于 [VU] · ở, tại, đối với
    ↳ Chiết tự: bộ 二 (nhị) + 亅 (quyết) — giới từ chỉ nơi, hướng</t>
        </is>
      </c>
      <c r="U649" s="24" t="inlineStr">
        <is>
          <t>🔗 Từ nối &amp; Trợ từ</t>
        </is>
      </c>
      <c r="V649" s="63" t="inlineStr">
        <is>
          <t>关于这个问题，我们再讨论。</t>
        </is>
      </c>
      <c r="W649" s="64" t="inlineStr">
        <is>
          <t>Guānyú zhège wèntí, wǒmen zài tǎolùn.
Về vấn đề này, chúng ta thảo luận tiếp.</t>
        </is>
      </c>
    </row>
    <row r="650" ht="69.75" customHeight="1" s="99">
      <c r="A650" t="n">
        <v>624</v>
      </c>
      <c r="B650" s="84" t="inlineStr">
        <is>
          <t>HSK3</t>
        </is>
      </c>
      <c r="C650" s="85" t="inlineStr">
        <is>
          <t>过去</t>
        </is>
      </c>
      <c r="D650" s="78" t="inlineStr">
        <is>
          <t>guòqù</t>
        </is>
      </c>
      <c r="E650" s="78" t="inlineStr">
        <is>
          <t>quá khứ; đi qua</t>
        </is>
      </c>
      <c r="H650" s="8">
        <f>IF(TRIM($G650)="","",IF(EXACT(TRIM($G650),TRIM($C650)),"✅ Đúng","❌ Sai"))</f>
        <v/>
      </c>
      <c r="I650" s="56" t="inlineStr">
        <is>
          <t>▶</t>
        </is>
      </c>
      <c r="J650" s="56" t="inlineStr">
        <is>
          <t>🔍</t>
        </is>
      </c>
      <c r="R650" s="23" t="inlineStr">
        <is>
          <t>Sun Aug 02 2026</t>
        </is>
      </c>
      <c r="T650" s="58" t="inlineStr">
        <is>
          <t>过 [QUÁ] · đi qua; đã từng; quá mức
    ↳ Chiết tự: giản thể của 過: bộ 辶 (sước – bước đi) + 寸 (thốn – tấc) — bước ngang qua
去 [KHỨ] · đi, rời khỏi; đã qua
    ↳ Chiết tự: bộ 土 (thổ – đất) + 厶 (tư) — người rời khỏi chỗ đất mà đi</t>
        </is>
      </c>
      <c r="U650" s="24" t="inlineStr">
        <is>
          <t>⏰ Thời gian &amp; Ngày tháng</t>
        </is>
      </c>
      <c r="V650" s="63" t="inlineStr">
        <is>
          <t>过去我住在南方。</t>
        </is>
      </c>
      <c r="W650" s="64" t="inlineStr">
        <is>
          <t>Guòqù wǒ zhù zài nánfāng.
Trước đây tôi sống ở miền nam.</t>
        </is>
      </c>
    </row>
    <row r="651" ht="69.75" customHeight="1" s="99">
      <c r="A651" t="n">
        <v>625</v>
      </c>
      <c r="B651" s="84" t="inlineStr">
        <is>
          <t>HSK3</t>
        </is>
      </c>
      <c r="C651" s="85" t="inlineStr">
        <is>
          <t>害怕</t>
        </is>
      </c>
      <c r="D651" s="78" t="inlineStr">
        <is>
          <t>hàipà</t>
        </is>
      </c>
      <c r="E651" s="78" t="inlineStr">
        <is>
          <t>sợ, e sợ</t>
        </is>
      </c>
      <c r="H651" s="8">
        <f>IF(TRIM($G651)="","",IF(EXACT(TRIM($G651),TRIM($C651)),"✅ Đúng","❌ Sai"))</f>
        <v/>
      </c>
      <c r="I651" s="56" t="inlineStr">
        <is>
          <t>▶</t>
        </is>
      </c>
      <c r="J651" s="56" t="inlineStr">
        <is>
          <t>🔍</t>
        </is>
      </c>
      <c r="R651" s="23" t="inlineStr">
        <is>
          <t>Sun Aug 02 2026</t>
        </is>
      </c>
      <c r="T651" s="58" t="inlineStr">
        <is>
          <t>害 [HẠI] · gây hại, tai hại
    ↳ Chiết tự: bộ 宀 (miên – mái nhà) + 口 (khẩu – miệng) + 丰 — lời nói trong nhà gây tổn thương
怕 [PHẠ] · sợ, e sợ
    ↳ Chiết tự: bộ 忄 (tâm đứng – trái tim) + 白 (bạch – trắng) — lòng tái trắng vì sợ</t>
        </is>
      </c>
      <c r="U651" s="24" t="inlineStr">
        <is>
          <t>🎨 Tính từ &amp; Trạng thái</t>
        </is>
      </c>
      <c r="V651" s="63" t="inlineStr">
        <is>
          <t>我很害怕狗。</t>
        </is>
      </c>
      <c r="W651" s="64" t="inlineStr">
        <is>
          <t>Wǒ hěn hàipà gǒu.
Tôi rất sợ chó.</t>
        </is>
      </c>
    </row>
    <row r="652" hidden="1" ht="58.15" customHeight="1" s="99">
      <c r="A652" t="n">
        <v>626</v>
      </c>
      <c r="B652" s="84" t="inlineStr">
        <is>
          <t>HSK3</t>
        </is>
      </c>
      <c r="C652" s="85" t="inlineStr">
        <is>
          <t>黑板</t>
        </is>
      </c>
      <c r="D652" s="78" t="inlineStr">
        <is>
          <t>hēibǎn</t>
        </is>
      </c>
      <c r="E652" s="78" t="inlineStr">
        <is>
          <t>bảng đen</t>
        </is>
      </c>
      <c r="G652" s="77" t="inlineStr">
        <is>
          <t>黑板</t>
        </is>
      </c>
      <c r="H652" s="8">
        <f>IF(TRIM($G652)="","",IF(EXACT(TRIM($G652),TRIM($C652)),"✅ Đúng","❌ Sai"))</f>
        <v/>
      </c>
      <c r="I652" s="56" t="inlineStr">
        <is>
          <t>▶</t>
        </is>
      </c>
      <c r="J652" s="56" t="inlineStr">
        <is>
          <t>🔍</t>
        </is>
      </c>
      <c r="R652" s="23" t="inlineStr">
        <is>
          <t>Sun Aug 02 2026</t>
        </is>
      </c>
      <c r="T652" s="58" t="inlineStr">
        <is>
          <t>黑 [HẮC] · màu đen, tối
    ↳ Chiết tự: bộ 黑 (hắc) — hình mặt người ám khói bên trên 灬 (hỏa – lửa)
板 [BẢN] · tấm ván, bảng
    ↳ Chiết tự: bộ 木 (mộc – gỗ) + 反 (phản – âm đọc) — tấm gỗ phẳng</t>
        </is>
      </c>
      <c r="U652" s="24" t="inlineStr">
        <is>
          <t>🏫 Học tập &amp; Trường lớp</t>
        </is>
      </c>
      <c r="V652" s="63" t="inlineStr">
        <is>
          <t>老师在黑板上写字。</t>
        </is>
      </c>
      <c r="W652" s="64" t="inlineStr">
        <is>
          <t>Lǎoshī zài hēibǎn shang xiě zì.
Thầy viết chữ lên bảng.</t>
        </is>
      </c>
    </row>
    <row r="653" hidden="1" ht="69.75" customHeight="1" s="99">
      <c r="A653" t="n">
        <v>627</v>
      </c>
      <c r="B653" s="84" t="inlineStr">
        <is>
          <t>HSK3</t>
        </is>
      </c>
      <c r="C653" s="85" t="inlineStr">
        <is>
          <t>后来</t>
        </is>
      </c>
      <c r="D653" s="78" t="inlineStr">
        <is>
          <t>hòulái</t>
        </is>
      </c>
      <c r="E653" s="78" t="inlineStr">
        <is>
          <t>sau đó, về sau</t>
        </is>
      </c>
      <c r="G653" s="77" t="inlineStr">
        <is>
          <t>后来</t>
        </is>
      </c>
      <c r="H653" s="8">
        <f>IF(TRIM($G653)="","",IF(EXACT(TRIM($G653),TRIM($C653)),"✅ Đúng","❌ Sai"))</f>
        <v/>
      </c>
      <c r="I653" s="56" t="inlineStr">
        <is>
          <t>▶</t>
        </is>
      </c>
      <c r="J653" s="56" t="inlineStr">
        <is>
          <t>🔍</t>
        </is>
      </c>
      <c r="R653" s="23" t="inlineStr">
        <is>
          <t>Sun Aug 02 2026</t>
        </is>
      </c>
      <c r="T653" s="58" t="inlineStr">
        <is>
          <t>后 [HẬU] · phía sau, sau này; hoàng hậu
    ↳ Chiết tự: bộ 厂 (hán) + 一 + 口 (khẩu) — người quay ngoái lại phía sau
来 [LAI] · đến, tới, sắp tới
    ↳ Chiết tự: giản thể của 來: bộ 木 (mộc) — hình bông lúa mạch, mượn âm làm "đến"</t>
        </is>
      </c>
      <c r="U653" s="24" t="inlineStr">
        <is>
          <t>⏰ Thời gian &amp; Ngày tháng</t>
        </is>
      </c>
      <c r="V653" s="63" t="inlineStr">
        <is>
          <t>后来我才知道。</t>
        </is>
      </c>
      <c r="W653" s="64" t="inlineStr">
        <is>
          <t>Hòulái wǒ cái zhīdào.
Sau đó tôi mới biết.</t>
        </is>
      </c>
    </row>
    <row r="654" ht="58.15" customHeight="1" s="99">
      <c r="A654" t="n">
        <v>628</v>
      </c>
      <c r="B654" s="84" t="inlineStr">
        <is>
          <t>HSK3</t>
        </is>
      </c>
      <c r="C654" s="85" t="inlineStr">
        <is>
          <t>护照</t>
        </is>
      </c>
      <c r="D654" s="78" t="inlineStr">
        <is>
          <t>hùzhào</t>
        </is>
      </c>
      <c r="E654" s="78" t="inlineStr">
        <is>
          <t>hộ chiếu</t>
        </is>
      </c>
      <c r="H654" s="8">
        <f>IF(TRIM($G654)="","",IF(EXACT(TRIM($G654),TRIM($C654)),"✅ Đúng","❌ Sai"))</f>
        <v/>
      </c>
      <c r="I654" s="56" t="inlineStr">
        <is>
          <t>▶</t>
        </is>
      </c>
      <c r="J654" s="56" t="inlineStr">
        <is>
          <t>🔍</t>
        </is>
      </c>
      <c r="R654" s="23" t="inlineStr">
        <is>
          <t>Sun Aug 02 2026</t>
        </is>
      </c>
      <c r="T654" s="58" t="inlineStr">
        <is>
          <t>护 [HỘ] · bảo vệ, che chở
    ↳ Chiết tự: giản thể của 護: bộ 扌 (thủ – tay) + 户 (hộ – cửa) — tay giữ cửa che chắn
照 [CHIẾU] · chiếu sáng; chụp ảnh
    ↳ Chiết tự: bộ 灬 (hỏa – lửa) + 昭 (chiêu – sáng) — ánh lửa soi rọi</t>
        </is>
      </c>
      <c r="U654" s="24" t="inlineStr">
        <is>
          <t>🚗 Giao thông &amp; Địa điểm</t>
        </is>
      </c>
      <c r="V654" s="63" t="inlineStr">
        <is>
          <t>请出示您的护照。</t>
        </is>
      </c>
      <c r="W654" s="64" t="inlineStr">
        <is>
          <t>Qǐng chūshì nín de hùzhào.
Xin xuất trình hộ chiếu của ngài.</t>
        </is>
      </c>
    </row>
    <row r="655" ht="34.9" customHeight="1" s="99">
      <c r="A655" t="n">
        <v>629</v>
      </c>
      <c r="B655" s="84" t="inlineStr">
        <is>
          <t>HSK3</t>
        </is>
      </c>
      <c r="C655" s="85" t="inlineStr">
        <is>
          <t>画</t>
        </is>
      </c>
      <c r="D655" s="78" t="inlineStr">
        <is>
          <t>huà</t>
        </is>
      </c>
      <c r="E655" s="78" t="inlineStr">
        <is>
          <t>vẽ; bức tranh</t>
        </is>
      </c>
      <c r="H655" s="8">
        <f>IF(TRIM($G655)="","",IF(EXACT(TRIM($G655),TRIM($C655)),"✅ Đúng","❌ Sai"))</f>
        <v/>
      </c>
      <c r="I655" s="56" t="inlineStr">
        <is>
          <t>▶</t>
        </is>
      </c>
      <c r="J655" s="56" t="inlineStr">
        <is>
          <t>🔍</t>
        </is>
      </c>
      <c r="R655" s="23" t="inlineStr">
        <is>
          <t>Sun Aug 02 2026</t>
        </is>
      </c>
      <c r="T655" s="58" t="inlineStr">
        <is>
          <t>画 [HỌA] · vẽ, bức tranh
    ↳ Chiết tự: giản thể của 畫: bộ 田 (điền – ruộng) + 一 + 凵 — vẽ đường phân ranh ruộng</t>
        </is>
      </c>
      <c r="U655" s="24" t="inlineStr">
        <is>
          <t>🏃 Động từ thường ngày</t>
        </is>
      </c>
      <c r="V655" s="63" t="inlineStr">
        <is>
          <t>她画得很好。</t>
        </is>
      </c>
      <c r="W655" s="64" t="inlineStr">
        <is>
          <t>Tā huà de hěn hǎo.
Cô ấy vẽ rất đẹp.</t>
        </is>
      </c>
    </row>
    <row r="656" ht="69.75" customHeight="1" s="99">
      <c r="A656" t="n">
        <v>630</v>
      </c>
      <c r="B656" s="84" t="inlineStr">
        <is>
          <t>HSK3</t>
        </is>
      </c>
      <c r="C656" s="85" t="inlineStr">
        <is>
          <t>欢迎</t>
        </is>
      </c>
      <c r="D656" s="78" t="inlineStr">
        <is>
          <t>huānyíng</t>
        </is>
      </c>
      <c r="E656" s="78" t="inlineStr">
        <is>
          <t>hoan nghênh, chào mừng</t>
        </is>
      </c>
      <c r="H656" s="8">
        <f>IF(TRIM($G656)="","",IF(EXACT(TRIM($G656),TRIM($C656)),"✅ Đúng","❌ Sai"))</f>
        <v/>
      </c>
      <c r="I656" s="56" t="inlineStr">
        <is>
          <t>▶</t>
        </is>
      </c>
      <c r="J656" s="56" t="inlineStr">
        <is>
          <t>🔍</t>
        </is>
      </c>
      <c r="R656" s="23" t="inlineStr">
        <is>
          <t>Sun Aug 02 2026</t>
        </is>
      </c>
      <c r="T656" s="58" t="inlineStr">
        <is>
          <t>欢 [HOAN] · vui mừng, hoan hỉ
    ↳ Chiết tự: giản thể của 歡: bộ 又 (hựu – tay) + 欠 (khiếm – há miệng) — há miệng reo mừng
迎 [NGHINH] · nghênh tiếp, đón
    ↳ Chiết tự: bộ 辶 (sước – bước đi) + 卬 (ngưỡng – âm đọc) — bước ra đón khách</t>
        </is>
      </c>
      <c r="U656" s="24" t="inlineStr">
        <is>
          <t>💬 Giao tiếp &amp; Lễ nghi</t>
        </is>
      </c>
      <c r="V656" s="63" t="inlineStr">
        <is>
          <t>欢迎您来我们公司。</t>
        </is>
      </c>
      <c r="W656" s="64" t="inlineStr">
        <is>
          <t>Huānyíng nín lái wǒmen gōngsī.
Hoan nghênh ngài đến công ty chúng tôi.</t>
        </is>
      </c>
    </row>
    <row r="657" ht="58.15" customHeight="1" s="99">
      <c r="A657" t="n">
        <v>631</v>
      </c>
      <c r="B657" s="84" t="inlineStr">
        <is>
          <t>HSK3</t>
        </is>
      </c>
      <c r="C657" s="85" t="inlineStr">
        <is>
          <t>环境</t>
        </is>
      </c>
      <c r="D657" s="78" t="inlineStr">
        <is>
          <t>huánjìng</t>
        </is>
      </c>
      <c r="E657" s="78" t="inlineStr">
        <is>
          <t>môi trường, hoàn cảnh</t>
        </is>
      </c>
      <c r="H657" s="55">
        <f>IF(TRIM($G657)="","",IF(EXACT(TRIM($G657),TRIM($C657)),"✅ Đúng","❌ Sai"))</f>
        <v/>
      </c>
      <c r="I657" s="56" t="inlineStr">
        <is>
          <t>▶</t>
        </is>
      </c>
      <c r="J657" s="56" t="inlineStr">
        <is>
          <t>🔍</t>
        </is>
      </c>
      <c r="R657" s="23" t="inlineStr">
        <is>
          <t>Sun Aug 02 2026</t>
        </is>
      </c>
      <c r="T657" s="58" t="inlineStr">
        <is>
          <t>环 [HOÀN] · vòng, khoen; vòng quanh
    ↳ Chiết tự: giản thể của 環: bộ 王/玉 (ngọc) + 不 — vòng ngọc tròn
境 [CẢNH] · cảnh, biên giới, hoàn cảnh
    ↳ Chiết tự: bộ 土 (thổ – đất) + 竟 (cánh – âm đọc) — vùng đất giáp ranh</t>
        </is>
      </c>
      <c r="U657" s="24" t="inlineStr">
        <is>
          <t>🌤️ Thiên nhiên &amp; Thời tiết</t>
        </is>
      </c>
      <c r="V657" s="63" t="inlineStr">
        <is>
          <t>这里的环境很好。</t>
        </is>
      </c>
      <c r="W657" s="64" t="inlineStr">
        <is>
          <t>Zhèli de huánjìng hěn hǎo.
Môi trường ở đây rất tốt.</t>
        </is>
      </c>
    </row>
    <row r="658" ht="34.9" customHeight="1" s="99">
      <c r="A658" t="n">
        <v>632</v>
      </c>
      <c r="B658" s="84" t="inlineStr">
        <is>
          <t>HSK3</t>
        </is>
      </c>
      <c r="C658" s="85" t="inlineStr">
        <is>
          <t>换</t>
        </is>
      </c>
      <c r="D658" s="78" t="inlineStr">
        <is>
          <t>huàn</t>
        </is>
      </c>
      <c r="E658" s="78" t="inlineStr">
        <is>
          <t>đổi, thay</t>
        </is>
      </c>
      <c r="H658" s="55">
        <f>IF(TRIM($G658)="","",IF(EXACT(TRIM($G658),TRIM($C658)),"✅ Đúng","❌ Sai"))</f>
        <v/>
      </c>
      <c r="I658" s="56" t="inlineStr">
        <is>
          <t>▶</t>
        </is>
      </c>
      <c r="J658" s="56" t="inlineStr">
        <is>
          <t>🔍</t>
        </is>
      </c>
      <c r="R658" s="23" t="inlineStr">
        <is>
          <t>Sun Aug 02 2026</t>
        </is>
      </c>
      <c r="T658" s="58" t="inlineStr">
        <is>
          <t>换 [HOÁN] · đổi, thay
    ↳ Chiết tự: giản thể của 換: bộ 扌 (thủ – tay) + 奂 (hoán – âm đọc) — tay đổi vật</t>
        </is>
      </c>
      <c r="U658" s="24" t="inlineStr">
        <is>
          <t>🏃 Động từ thường ngày</t>
        </is>
      </c>
      <c r="V658" s="63" t="inlineStr">
        <is>
          <t>我想换一个房间。</t>
        </is>
      </c>
      <c r="W658" s="64" t="inlineStr">
        <is>
          <t>Wǒ xiǎng huàn yí ge fángjiān.
Tôi muốn đổi một phòng khác.</t>
        </is>
      </c>
    </row>
    <row r="659" hidden="1" ht="58.15" customHeight="1" s="99">
      <c r="A659" t="n">
        <v>633</v>
      </c>
      <c r="B659" s="84" t="inlineStr">
        <is>
          <t>HSK3</t>
        </is>
      </c>
      <c r="C659" s="85" t="inlineStr">
        <is>
          <t>黄河</t>
        </is>
      </c>
      <c r="D659" s="78" t="inlineStr">
        <is>
          <t>Huáng Hé</t>
        </is>
      </c>
      <c r="E659" s="78" t="inlineStr">
        <is>
          <t>sông Hoàng Hà</t>
        </is>
      </c>
      <c r="G659" s="77" t="inlineStr">
        <is>
          <t>黄河</t>
        </is>
      </c>
      <c r="H659" s="55">
        <f>IF(TRIM($G659)="","",IF(EXACT(TRIM($G659),TRIM($C659)),"✅ Đúng","❌ Sai"))</f>
        <v/>
      </c>
      <c r="I659" s="56" t="inlineStr">
        <is>
          <t>▶</t>
        </is>
      </c>
      <c r="J659" s="56" t="inlineStr">
        <is>
          <t>🔍</t>
        </is>
      </c>
      <c r="R659" s="23" t="inlineStr">
        <is>
          <t>Sun Aug 02 2026</t>
        </is>
      </c>
      <c r="T659" s="58" t="inlineStr">
        <is>
          <t>黄 [HOÀNG] · màu vàng
    ↳ Chiết tự: bộ 田 (điền) + 共 — vốn hình ngọc bích vàng đeo lưng
河 [HÀ] · con sông
    ↳ Chiết tự: bộ 氵 (thủy – nước) + 可 (khả – âm đọc) — dòng nước lớn</t>
        </is>
      </c>
      <c r="U659" s="24" t="inlineStr">
        <is>
          <t>🌤️ Thiên nhiên &amp; Thời tiết</t>
        </is>
      </c>
      <c r="V659" s="63" t="inlineStr">
        <is>
          <t>黄河是中国的母亲河。</t>
        </is>
      </c>
      <c r="W659" s="64" t="inlineStr">
        <is>
          <t>Huáng Hé shì Zhōngguó de mǔqīn hé.
Hoàng Hà là dòng sông mẹ của Trung Quốc.</t>
        </is>
      </c>
    </row>
    <row r="660" hidden="1" ht="69.75" customHeight="1" s="99">
      <c r="A660" t="n">
        <v>634</v>
      </c>
      <c r="B660" s="84" t="inlineStr">
        <is>
          <t>HSK3</t>
        </is>
      </c>
      <c r="C660" s="85" t="inlineStr">
        <is>
          <t>会议</t>
        </is>
      </c>
      <c r="D660" s="78" t="inlineStr">
        <is>
          <t>huìyì</t>
        </is>
      </c>
      <c r="E660" s="78" t="inlineStr">
        <is>
          <t>hội nghị, cuộc họp</t>
        </is>
      </c>
      <c r="G660" s="77" t="inlineStr">
        <is>
          <t>会议</t>
        </is>
      </c>
      <c r="H660" s="55">
        <f>IF(TRIM($G660)="","",IF(EXACT(TRIM($G660),TRIM($C660)),"✅ Đúng","❌ Sai"))</f>
        <v/>
      </c>
      <c r="I660" s="56" t="inlineStr">
        <is>
          <t>▶</t>
        </is>
      </c>
      <c r="J660" s="56" t="inlineStr">
        <is>
          <t>🔍</t>
        </is>
      </c>
      <c r="R660" s="23" t="inlineStr">
        <is>
          <t>Sun Aug 02 2026</t>
        </is>
      </c>
      <c r="T660" s="58" t="inlineStr">
        <is>
          <t>会 [HỘI] · biết làm; họp, hội
    ↳ Chiết tự: giản thể của 會: bộ 人 (nhân – người) + 云 (vân – mây) — người tụ như mây thì thành hội, hội đủ thì biết
议 [NGHỊ] · bàn luận, nghị sự
    ↳ Chiết tự: giản thể của 議: bộ 讠 (ngôn – lời nói) + 义 (nghĩa) — dùng lời bàn cho hợp nghĩa</t>
        </is>
      </c>
      <c r="U660" s="24" t="inlineStr">
        <is>
          <t>🏢 Thương mại &amp; Công sở</t>
        </is>
      </c>
      <c r="V660" s="63" t="inlineStr">
        <is>
          <t>会议下午两点开始。</t>
        </is>
      </c>
      <c r="W660" s="64" t="inlineStr">
        <is>
          <t>Huìyì xiàwǔ liǎng diǎn kāishǐ.
Cuộc họp bắt đầu lúc hai giờ chiều.</t>
        </is>
      </c>
    </row>
    <row r="661" ht="58.15" customHeight="1" s="99">
      <c r="A661" t="n">
        <v>635</v>
      </c>
      <c r="B661" s="84" t="inlineStr">
        <is>
          <t>HSK3</t>
        </is>
      </c>
      <c r="C661" s="85" t="inlineStr">
        <is>
          <t>或者</t>
        </is>
      </c>
      <c r="D661" s="78" t="inlineStr">
        <is>
          <t>huòzhě</t>
        </is>
      </c>
      <c r="E661" s="78" t="inlineStr">
        <is>
          <t>hoặc là</t>
        </is>
      </c>
      <c r="H661" s="55">
        <f>IF(TRIM($G661)="","",IF(EXACT(TRIM($G661),TRIM($C661)),"✅ Đúng","❌ Sai"))</f>
        <v/>
      </c>
      <c r="I661" s="56" t="inlineStr">
        <is>
          <t>▶</t>
        </is>
      </c>
      <c r="J661" s="56" t="inlineStr">
        <is>
          <t>🔍</t>
        </is>
      </c>
      <c r="R661" s="23" t="inlineStr">
        <is>
          <t>Sun Aug 02 2026</t>
        </is>
      </c>
      <c r="T661" s="58" t="inlineStr">
        <is>
          <t>或 [HOẶC] · hoặc, hoặc là
    ↳ Chiết tự: bộ 戈 (qua – ngọn giáo) + 口 + 一 — vốn nghĩa "vùng đất", mượn làm liên từ
者 [GIẢ] · người, kẻ (hậu tố)
    ↳ Chiết tự: bộ 老 (lão – già) rút gọn + 日 — chỉ người, kẻ làm việc gì</t>
        </is>
      </c>
      <c r="U661" s="24" t="inlineStr">
        <is>
          <t>🔗 Từ nối &amp; Trợ từ</t>
        </is>
      </c>
      <c r="V661" s="63" t="inlineStr">
        <is>
          <t>你或者他去都可以。</t>
        </is>
      </c>
      <c r="W661" s="64" t="inlineStr">
        <is>
          <t>Nǐ huòzhě tā qù dōu kěyǐ.
Bạn hoặc anh ấy đi đều được.</t>
        </is>
      </c>
    </row>
    <row r="662" ht="58.15" customHeight="1" s="99">
      <c r="A662" t="n">
        <v>636</v>
      </c>
      <c r="B662" s="84" t="inlineStr">
        <is>
          <t>HSK3</t>
        </is>
      </c>
      <c r="C662" s="85" t="inlineStr">
        <is>
          <t>几乎</t>
        </is>
      </c>
      <c r="D662" s="78" t="inlineStr">
        <is>
          <t>jīhū</t>
        </is>
      </c>
      <c r="E662" s="78" t="inlineStr">
        <is>
          <t>hầu như, gần như</t>
        </is>
      </c>
      <c r="H662" s="55">
        <f>IF(TRIM($G662)="","",IF(EXACT(TRIM($G662),TRIM($C662)),"✅ Đúng","❌ Sai"))</f>
        <v/>
      </c>
      <c r="I662" s="56" t="inlineStr">
        <is>
          <t>▶</t>
        </is>
      </c>
      <c r="J662" s="56" t="inlineStr">
        <is>
          <t>🔍</t>
        </is>
      </c>
      <c r="R662" s="23" t="inlineStr">
        <is>
          <t>Sun Aug 02 2026</t>
        </is>
      </c>
      <c r="T662" s="58" t="inlineStr">
        <is>
          <t>几 [KỶ / CƠ] · mấy, bao nhiêu; cái bàn nhỏ
    ↳ Chiết tự: bộ 几 (kỷ) — hình chiếc ghế đẩu, giản thể của 幾 mượn nghĩa hỏi số
乎 [HỒ] · ư, chăng (trợ từ); ghép 几乎
    ↳ Chiết tự: bộ 丿 (phiệt) + 丷 — hình hơi bốc lên, mượn làm trợ từ</t>
        </is>
      </c>
      <c r="U662" s="24" t="inlineStr">
        <is>
          <t>🎨 Tính từ &amp; Trạng thái</t>
        </is>
      </c>
      <c r="V662" s="63" t="inlineStr">
        <is>
          <t>我几乎每天都加班。</t>
        </is>
      </c>
      <c r="W662" s="64" t="inlineStr">
        <is>
          <t>Wǒ jīhū měitiān dōu jiābān.
Tôi hầu như ngày nào cũng làm thêm.</t>
        </is>
      </c>
    </row>
    <row r="663" ht="69.75" customHeight="1" s="99">
      <c r="A663" t="n">
        <v>637</v>
      </c>
      <c r="B663" s="84" t="inlineStr">
        <is>
          <t>HSK3</t>
        </is>
      </c>
      <c r="C663" s="85" t="inlineStr">
        <is>
          <t>机会</t>
        </is>
      </c>
      <c r="D663" s="78" t="inlineStr">
        <is>
          <t>jīhuì</t>
        </is>
      </c>
      <c r="E663" s="78" t="inlineStr">
        <is>
          <t>cơ hội</t>
        </is>
      </c>
      <c r="H663" s="55">
        <f>IF(TRIM($G663)="","",IF(EXACT(TRIM($G663),TRIM($C663)),"✅ Đúng","❌ Sai"))</f>
        <v/>
      </c>
      <c r="I663" s="56" t="inlineStr">
        <is>
          <t>▶</t>
        </is>
      </c>
      <c r="J663" s="56" t="inlineStr">
        <is>
          <t>🔍</t>
        </is>
      </c>
      <c r="R663" s="23" t="inlineStr">
        <is>
          <t>Sun Aug 02 2026</t>
        </is>
      </c>
      <c r="T663" s="58" t="inlineStr">
        <is>
          <t>机 [CƠ] · máy móc; cơ hội
    ↳ Chiết tự: giản thể của 機: bộ 木 (mộc – gỗ) + 几 (kỷ – âm đọc) — khung cửi bằng gỗ
会 [HỘI] · biết làm; họp, hội
    ↳ Chiết tự: giản thể của 會: bộ 人 (nhân – người) + 云 (vân – mây) — người tụ như mây thì thành hội, hội đủ thì biết</t>
        </is>
      </c>
      <c r="U663" s="24" t="inlineStr">
        <is>
          <t>🏢 Thương mại &amp; Công sở</t>
        </is>
      </c>
      <c r="V663" s="63" t="inlineStr">
        <is>
          <t>这是一个好机会。</t>
        </is>
      </c>
      <c r="W663" s="64" t="inlineStr">
        <is>
          <t>Zhè shì yí ge hǎo jīhuì.
Đây là một cơ hội tốt.</t>
        </is>
      </c>
    </row>
    <row r="664" ht="34.9" customHeight="1" s="99">
      <c r="A664" t="n">
        <v>638</v>
      </c>
      <c r="B664" s="84" t="inlineStr">
        <is>
          <t>HSK3</t>
        </is>
      </c>
      <c r="C664" s="85" t="inlineStr">
        <is>
          <t>极</t>
        </is>
      </c>
      <c r="D664" s="78" t="inlineStr">
        <is>
          <t>jí</t>
        </is>
      </c>
      <c r="E664" s="78" t="inlineStr">
        <is>
          <t>cực, vô cùng</t>
        </is>
      </c>
      <c r="H664" s="55">
        <f>IF(TRIM($G664)="","",IF(EXACT(TRIM($G664),TRIM($C664)),"✅ Đúng","❌ Sai"))</f>
        <v/>
      </c>
      <c r="I664" s="56" t="inlineStr">
        <is>
          <t>▶</t>
        </is>
      </c>
      <c r="J664" s="56" t="inlineStr">
        <is>
          <t>🔍</t>
        </is>
      </c>
      <c r="R664" s="23" t="inlineStr">
        <is>
          <t>Sun Aug 02 2026</t>
        </is>
      </c>
      <c r="T664" s="58" t="inlineStr">
        <is>
          <t>极 [CỰC] · cực, tột cùng
    ↳ Chiết tự: giản thể của 極: bộ 木 (mộc – cây) + 及 (cập – đạt tới) — ngọn cây, điểm cao nhất</t>
        </is>
      </c>
      <c r="U664" s="24" t="inlineStr">
        <is>
          <t>🎨 Tính từ &amp; Trạng thái</t>
        </is>
      </c>
      <c r="V664" s="63" t="inlineStr">
        <is>
          <t>这个菜好吃极了。</t>
        </is>
      </c>
      <c r="W664" s="64" t="inlineStr">
        <is>
          <t>Zhège cài hǎochī jí le.
Món này ngon cực kỳ.</t>
        </is>
      </c>
    </row>
    <row r="665" ht="69.75" customHeight="1" s="99">
      <c r="A665" t="n">
        <v>639</v>
      </c>
      <c r="B665" s="84" t="inlineStr">
        <is>
          <t>HSK3</t>
        </is>
      </c>
      <c r="C665" s="85" t="inlineStr">
        <is>
          <t>季节</t>
        </is>
      </c>
      <c r="D665" s="78" t="inlineStr">
        <is>
          <t>jìjié</t>
        </is>
      </c>
      <c r="E665" s="78" t="inlineStr">
        <is>
          <t>mùa, thời vụ</t>
        </is>
      </c>
      <c r="H665" s="55">
        <f>IF(TRIM($G665)="","",IF(EXACT(TRIM($G665),TRIM($C665)),"✅ Đúng","❌ Sai"))</f>
        <v/>
      </c>
      <c r="I665" s="56" t="inlineStr">
        <is>
          <t>▶</t>
        </is>
      </c>
      <c r="J665" s="56" t="inlineStr">
        <is>
          <t>🔍</t>
        </is>
      </c>
      <c r="R665" s="23" t="inlineStr">
        <is>
          <t>Sun Aug 02 2026</t>
        </is>
      </c>
      <c r="T665" s="58" t="inlineStr">
        <is>
          <t>季 [QUÝ] · mùa, quý, thời vụ
    ↳ Chiết tự: bộ 禾 (hòa – cây lúa) + 子 (tử – con) — lúa non theo mùa vụ
节 [TIẾT] · đốt, khớp; ngày lễ, tiết mục
    ↳ Chiết tự: giản thể của 節: bộ 竹 (trúc – tre) + 即 (tức – âm đọc) — mắt đốt của cây tre</t>
        </is>
      </c>
      <c r="U665" s="24" t="inlineStr">
        <is>
          <t>⏰ Thời gian &amp; Ngày tháng</t>
        </is>
      </c>
      <c r="V665" s="63" t="inlineStr">
        <is>
          <t>春天是我最喜欢的季节。</t>
        </is>
      </c>
      <c r="W665" s="64" t="inlineStr">
        <is>
          <t>Chūntiān shì wǒ zuì xǐhuan de jìjié.
Mùa xuân là mùa tôi thích nhất.</t>
        </is>
      </c>
    </row>
    <row r="666" ht="69.75" customHeight="1" s="99">
      <c r="A666" t="n">
        <v>640</v>
      </c>
      <c r="B666" s="84" t="inlineStr">
        <is>
          <t>HSK3</t>
        </is>
      </c>
      <c r="C666" s="85" t="inlineStr">
        <is>
          <t>检查</t>
        </is>
      </c>
      <c r="D666" s="78" t="inlineStr">
        <is>
          <t>jiǎnchá</t>
        </is>
      </c>
      <c r="E666" s="78" t="inlineStr">
        <is>
          <t>kiểm tra, khám</t>
        </is>
      </c>
      <c r="H666" s="55">
        <f>IF(TRIM($G666)="","",IF(EXACT(TRIM($G666),TRIM($C666)),"✅ Đúng","❌ Sai"))</f>
        <v/>
      </c>
      <c r="I666" s="56" t="inlineStr">
        <is>
          <t>▶</t>
        </is>
      </c>
      <c r="J666" s="56" t="inlineStr">
        <is>
          <t>🔍</t>
        </is>
      </c>
      <c r="R666" s="23" t="inlineStr">
        <is>
          <t>Sun Aug 02 2026</t>
        </is>
      </c>
      <c r="T666" s="58" t="inlineStr">
        <is>
          <t>检 [KIỂM] · kiểm tra, xét
    ↳ Chiết tự: giản thể của 檢: bộ 木 (mộc – gỗ) + 佥 (thiêm – âm đọc) — soát lại sổ gỗ
查 [TRA] · tra cứu, điều tra
    ↳ Chiết tự: bộ 木 (mộc – cây) + 旦 (đán) — vốn hình bè gỗ, nghĩa xem xét</t>
        </is>
      </c>
      <c r="U666" s="24" t="inlineStr">
        <is>
          <t>⚕️ Sức khỏe &amp; Cơ thể</t>
        </is>
      </c>
      <c r="V666" s="63" t="inlineStr">
        <is>
          <t>医生给我检查身体。</t>
        </is>
      </c>
      <c r="W666" s="64" t="inlineStr">
        <is>
          <t>Yīshēng gěi wǒ jiǎnchá shēntǐ.
Bác sĩ kiểm tra sức khỏe cho tôi.</t>
        </is>
      </c>
    </row>
    <row r="667" ht="69.75" customHeight="1" s="99">
      <c r="A667" t="n">
        <v>641</v>
      </c>
      <c r="B667" s="84" t="inlineStr">
        <is>
          <t>HSK3</t>
        </is>
      </c>
      <c r="C667" s="85" t="inlineStr">
        <is>
          <t>简单</t>
        </is>
      </c>
      <c r="D667" s="78" t="inlineStr">
        <is>
          <t>jiǎndān</t>
        </is>
      </c>
      <c r="E667" s="78" t="inlineStr">
        <is>
          <t>đơn giản</t>
        </is>
      </c>
      <c r="H667" s="55">
        <f>IF(TRIM($G667)="","",IF(EXACT(TRIM($G667),TRIM($C667)),"✅ Đúng","❌ Sai"))</f>
        <v/>
      </c>
      <c r="I667" s="56" t="inlineStr">
        <is>
          <t>▶</t>
        </is>
      </c>
      <c r="J667" s="56" t="inlineStr">
        <is>
          <t>🔍</t>
        </is>
      </c>
      <c r="R667" s="23" t="inlineStr">
        <is>
          <t>Sun Aug 02 2026</t>
        </is>
      </c>
      <c r="T667" s="58" t="inlineStr">
        <is>
          <t>简 [GIẢN] · đơn giản, giản lược
    ↳ Chiết tự: giản thể của 簡: bộ 竹 (trúc – tre) + 间 (gian – âm đọc) — thẻ tre chép vắn gọn
单 [ĐƠN] · đơn lẻ, đơn giản; tờ đơn
    ↳ Chiết tự: giản thể của 單: bộ 丷 (bát) + 田 (điền) + 十 (thập) — chỉ một cái, không đôi</t>
        </is>
      </c>
      <c r="U667" s="24" t="inlineStr">
        <is>
          <t>🎨 Tính từ &amp; Trạng thái</t>
        </is>
      </c>
      <c r="V667" s="63" t="inlineStr">
        <is>
          <t>这个问题很简单。</t>
        </is>
      </c>
      <c r="W667" s="64" t="inlineStr">
        <is>
          <t>Zhège wèntí hěn jiǎndān.
Vấn đề này rất đơn giản.</t>
        </is>
      </c>
    </row>
    <row r="668" ht="58.15" customHeight="1" s="99">
      <c r="A668" t="n">
        <v>642</v>
      </c>
      <c r="B668" s="84" t="inlineStr">
        <is>
          <t>HSK3</t>
        </is>
      </c>
      <c r="C668" s="85" t="inlineStr">
        <is>
          <t>健康</t>
        </is>
      </c>
      <c r="D668" s="78" t="inlineStr">
        <is>
          <t>jiànkāng</t>
        </is>
      </c>
      <c r="E668" s="78" t="inlineStr">
        <is>
          <t>sức khỏe, khỏe mạnh</t>
        </is>
      </c>
      <c r="H668" s="55">
        <f>IF(TRIM($G668)="","",IF(EXACT(TRIM($G668),TRIM($C668)),"✅ Đúng","❌ Sai"))</f>
        <v/>
      </c>
      <c r="I668" s="56" t="inlineStr">
        <is>
          <t>▶</t>
        </is>
      </c>
      <c r="J668" s="56" t="inlineStr">
        <is>
          <t>🔍</t>
        </is>
      </c>
      <c r="R668" s="23" t="inlineStr">
        <is>
          <t>Sun Aug 02 2026</t>
        </is>
      </c>
      <c r="T668" s="58" t="inlineStr">
        <is>
          <t>健 [KIỆN] · khỏe mạnh, kiện toàn
    ↳ Chiết tự: bộ 亻 (nhân đứng – người) + 建 (kiến – dựng) — người dựng thân vững
康 [KHANG] · khang an, khỏe mạnh
    ↳ Chiết tự: bộ 广 (nghiễm – mái nhà) + 隶 — nhà đủ ăn thì thân an</t>
        </is>
      </c>
      <c r="U668" s="24" t="inlineStr">
        <is>
          <t>⚕️ Sức khỏe &amp; Cơ thể</t>
        </is>
      </c>
      <c r="V668" s="63" t="inlineStr">
        <is>
          <t>祝你身体健康。</t>
        </is>
      </c>
      <c r="W668" s="64" t="inlineStr">
        <is>
          <t>Zhù nǐ shēntǐ jiànkāng.
Chúc bạn sức khỏe.</t>
        </is>
      </c>
    </row>
    <row r="669" ht="34.9" customHeight="1" s="99">
      <c r="A669" t="n">
        <v>643</v>
      </c>
      <c r="B669" s="84" t="inlineStr">
        <is>
          <t>HSK3</t>
        </is>
      </c>
      <c r="C669" s="85" t="inlineStr">
        <is>
          <t>讲</t>
        </is>
      </c>
      <c r="D669" s="78" t="inlineStr">
        <is>
          <t>jiǎng</t>
        </is>
      </c>
      <c r="E669" s="78" t="inlineStr">
        <is>
          <t>nói, kể, giảng</t>
        </is>
      </c>
      <c r="H669" s="55">
        <f>IF(TRIM($G669)="","",IF(EXACT(TRIM($G669),TRIM($C669)),"✅ Đúng","❌ Sai"))</f>
        <v/>
      </c>
      <c r="I669" s="56" t="inlineStr">
        <is>
          <t>▶</t>
        </is>
      </c>
      <c r="J669" s="56" t="inlineStr">
        <is>
          <t>🔍</t>
        </is>
      </c>
      <c r="R669" s="23" t="inlineStr">
        <is>
          <t>Sun Aug 02 2026</t>
        </is>
      </c>
      <c r="T669" s="58" t="inlineStr">
        <is>
          <t>讲 [GIẢNG] · nói, giảng giải
    ↳ Chiết tự: giản thể của 講: bộ 讠 (ngôn – lời nói) + 井 (tỉnh – âm đọc) — dùng lời trình bày</t>
        </is>
      </c>
      <c r="U669" s="24" t="inlineStr">
        <is>
          <t>💬 Giao tiếp &amp; Lễ nghi</t>
        </is>
      </c>
      <c r="V669" s="63" t="inlineStr">
        <is>
          <t>老师在讲课。</t>
        </is>
      </c>
      <c r="W669" s="64" t="inlineStr">
        <is>
          <t>Lǎoshī zài jiǎng kè.
Thầy đang giảng bài.</t>
        </is>
      </c>
    </row>
    <row r="670" ht="23.25" customHeight="1" s="99">
      <c r="A670" t="n">
        <v>644</v>
      </c>
      <c r="B670" s="84" t="inlineStr">
        <is>
          <t>HSK3</t>
        </is>
      </c>
      <c r="C670" s="85" t="inlineStr">
        <is>
          <t>角</t>
        </is>
      </c>
      <c r="D670" s="78" t="inlineStr">
        <is>
          <t>jiǎo</t>
        </is>
      </c>
      <c r="E670" s="78" t="inlineStr">
        <is>
          <t>góc; hào (tiền)</t>
        </is>
      </c>
      <c r="H670" s="55">
        <f>IF(TRIM($G670)="","",IF(EXACT(TRIM($G670),TRIM($C670)),"✅ Đúng","❌ Sai"))</f>
        <v/>
      </c>
      <c r="I670" s="56" t="inlineStr">
        <is>
          <t>▶</t>
        </is>
      </c>
      <c r="J670" s="56" t="inlineStr">
        <is>
          <t>🔍</t>
        </is>
      </c>
      <c r="R670" s="23" t="inlineStr">
        <is>
          <t>Sun Aug 02 2026</t>
        </is>
      </c>
      <c r="T670" s="58" t="inlineStr">
        <is>
          <t>角 [GIÁC] · góc, sừng; hào (tiền)
    ↳ Chiết tự: bộ 角 (giác) — hình cái sừng thú có vân</t>
        </is>
      </c>
      <c r="U670" s="24" t="inlineStr">
        <is>
          <t>🔢 Số đếm &amp; Lượng từ</t>
        </is>
      </c>
      <c r="V670" s="63" t="inlineStr">
        <is>
          <t>一元等于十角。</t>
        </is>
      </c>
      <c r="W670" s="64" t="inlineStr">
        <is>
          <t>Yì yuán děngyú shí jiǎo.
Một đồng bằng mười hào.</t>
        </is>
      </c>
    </row>
    <row r="671" ht="34.9" customHeight="1" s="99">
      <c r="A671" t="n">
        <v>645</v>
      </c>
      <c r="B671" s="84" t="inlineStr">
        <is>
          <t>HSK3</t>
        </is>
      </c>
      <c r="C671" s="85" t="inlineStr">
        <is>
          <t>脚</t>
        </is>
      </c>
      <c r="D671" s="78" t="inlineStr">
        <is>
          <t>jiǎo</t>
        </is>
      </c>
      <c r="E671" s="78" t="inlineStr">
        <is>
          <t>bàn chân</t>
        </is>
      </c>
      <c r="H671" s="55">
        <f>IF(TRIM($G671)="","",IF(EXACT(TRIM($G671),TRIM($C671)),"✅ Đúng","❌ Sai"))</f>
        <v/>
      </c>
      <c r="I671" s="56" t="inlineStr">
        <is>
          <t>▶</t>
        </is>
      </c>
      <c r="J671" s="56" t="inlineStr">
        <is>
          <t>🔍</t>
        </is>
      </c>
      <c r="R671" s="23" t="inlineStr">
        <is>
          <t>Sun Aug 02 2026</t>
        </is>
      </c>
      <c r="T671" s="58" t="inlineStr">
        <is>
          <t>脚 [CƯỚC] · bàn chân, chân đế
    ↳ Chiết tự: bộ 月/肉 (nhục – thịt) + 却 (khước – âm đọc) — bộ phận thịt dưới cùng</t>
        </is>
      </c>
      <c r="U671" s="24" t="inlineStr">
        <is>
          <t>⚕️ Sức khỏe &amp; Cơ thể</t>
        </is>
      </c>
      <c r="V671" s="63" t="inlineStr">
        <is>
          <t>我的脚很疼。</t>
        </is>
      </c>
      <c r="W671" s="64" t="inlineStr">
        <is>
          <t>Wǒ de jiǎo hěn téng.
Chân tôi rất đau.</t>
        </is>
      </c>
    </row>
    <row r="672" ht="69.75" customHeight="1" s="99">
      <c r="A672" t="n">
        <v>646</v>
      </c>
      <c r="B672" s="84" t="inlineStr">
        <is>
          <t>HSK3</t>
        </is>
      </c>
      <c r="C672" s="85" t="inlineStr">
        <is>
          <t>街道</t>
        </is>
      </c>
      <c r="D672" s="78" t="inlineStr">
        <is>
          <t>jiēdào</t>
        </is>
      </c>
      <c r="E672" s="78" t="inlineStr">
        <is>
          <t>đường phố, phố</t>
        </is>
      </c>
      <c r="H672" s="55">
        <f>IF(TRIM($G672)="","",IF(EXACT(TRIM($G672),TRIM($C672)),"✅ Đúng","❌ Sai"))</f>
        <v/>
      </c>
      <c r="I672" s="56" t="inlineStr">
        <is>
          <t>▶</t>
        </is>
      </c>
      <c r="J672" s="56" t="inlineStr">
        <is>
          <t>🔍</t>
        </is>
      </c>
      <c r="R672" s="23" t="inlineStr">
        <is>
          <t>Sun Aug 02 2026</t>
        </is>
      </c>
      <c r="T672" s="58" t="inlineStr">
        <is>
          <t>街 [GIAI] · đường phố
    ↳ Chiết tự: bộ 行 (hành – ngã tư đường) + 圭 (khuê – âm đọc) — lối đi giữa phố
道 [ĐẠO] · con đường; đạo lý; nói
    ↳ Chiết tự: bộ 辶 (sước – bước đi) + 首 (thủ – cái đầu) — lối đi dẫn đường</t>
        </is>
      </c>
      <c r="U672" s="24" t="inlineStr">
        <is>
          <t>🚗 Giao thông &amp; Địa điểm</t>
        </is>
      </c>
      <c r="V672" s="63" t="inlineStr">
        <is>
          <t>这条街道很热闹。</t>
        </is>
      </c>
      <c r="W672" s="64" t="inlineStr">
        <is>
          <t>Zhè tiáo jiēdào hěn rènao.
Con phố này rất nhộn nhịp.</t>
        </is>
      </c>
    </row>
    <row r="673" ht="69.75" customHeight="1" s="99">
      <c r="A673" t="n">
        <v>647</v>
      </c>
      <c r="B673" s="84" t="inlineStr">
        <is>
          <t>HSK3</t>
        </is>
      </c>
      <c r="C673" s="85" t="inlineStr">
        <is>
          <t>结婚</t>
        </is>
      </c>
      <c r="D673" s="78" t="inlineStr">
        <is>
          <t>jiéhūn</t>
        </is>
      </c>
      <c r="E673" s="78" t="inlineStr">
        <is>
          <t>kết hôn, cưới</t>
        </is>
      </c>
      <c r="H673" s="55">
        <f>IF(TRIM($G673)="","",IF(EXACT(TRIM($G673),TRIM($C673)),"✅ Đúng","❌ Sai"))</f>
        <v/>
      </c>
      <c r="I673" s="56" t="inlineStr">
        <is>
          <t>▶</t>
        </is>
      </c>
      <c r="J673" s="56" t="inlineStr">
        <is>
          <t>🔍</t>
        </is>
      </c>
      <c r="R673" s="23" t="inlineStr">
        <is>
          <t>Sun Aug 02 2026</t>
        </is>
      </c>
      <c r="T673" s="58" t="inlineStr">
        <is>
          <t>结 [KẾT] · kết nối, thắt; kết thúc
    ↳ Chiết tự: giản thể của 結: bộ 纟 (mịch – sợi tơ) + 吉 (cát – âm đọc) — thắt nút sợi tơ
婚 [HÔN] · kết hôn, hôn nhân
    ↳ Chiết tự: bộ 女 (nữ – phụ nữ) + 昏 (hôn – lúc tối) — xưa cưới vợ vào lúc chiều tối</t>
        </is>
      </c>
      <c r="U673" s="24" t="inlineStr">
        <is>
          <t>👨‍👩‍👧 Gia đình &amp; Con người</t>
        </is>
      </c>
      <c r="V673" s="63" t="inlineStr">
        <is>
          <t>他们去年结婚了。</t>
        </is>
      </c>
      <c r="W673" s="64" t="inlineStr">
        <is>
          <t>Tāmen qùnián jiéhūn le.
Họ kết hôn năm ngoái.</t>
        </is>
      </c>
    </row>
    <row r="674" ht="58.15" customHeight="1" s="99">
      <c r="A674" t="n">
        <v>648</v>
      </c>
      <c r="B674" s="84" t="inlineStr">
        <is>
          <t>HSK3</t>
        </is>
      </c>
      <c r="C674" s="85" t="inlineStr">
        <is>
          <t>结束</t>
        </is>
      </c>
      <c r="D674" s="78" t="inlineStr">
        <is>
          <t>jiéshù</t>
        </is>
      </c>
      <c r="E674" s="78" t="inlineStr">
        <is>
          <t>kết thúc</t>
        </is>
      </c>
      <c r="H674" s="55">
        <f>IF(TRIM($G674)="","",IF(EXACT(TRIM($G674),TRIM($C674)),"✅ Đúng","❌ Sai"))</f>
        <v/>
      </c>
      <c r="I674" s="56" t="inlineStr">
        <is>
          <t>▶</t>
        </is>
      </c>
      <c r="J674" s="56" t="inlineStr">
        <is>
          <t>🔍</t>
        </is>
      </c>
      <c r="R674" s="23" t="inlineStr">
        <is>
          <t>Sun Aug 02 2026</t>
        </is>
      </c>
      <c r="T674" s="58" t="inlineStr">
        <is>
          <t>结 [KẾT] · kết nối, thắt; kết thúc
    ↳ Chiết tự: giản thể của 結: bộ 纟 (mịch – sợi tơ) + 吉 (cát – âm đọc) — thắt nút sợi tơ
束 [THÚC] · bó lại, ràng buộc
    ↳ Chiết tự: bộ 木 (mộc – cây) + 口 — hình bó củi được buộc chặt</t>
        </is>
      </c>
      <c r="U674" s="24" t="inlineStr">
        <is>
          <t>🏃 Động từ thường ngày</t>
        </is>
      </c>
      <c r="V674" s="63" t="inlineStr">
        <is>
          <t>会议已经结束了。</t>
        </is>
      </c>
      <c r="W674" s="64" t="inlineStr">
        <is>
          <t>Huìyì yǐjīng jiéshù le.
Cuộc họp đã kết thúc.</t>
        </is>
      </c>
    </row>
    <row r="675" ht="58.15" customHeight="1" s="99">
      <c r="A675" t="n">
        <v>649</v>
      </c>
      <c r="B675" s="84" t="inlineStr">
        <is>
          <t>HSK3</t>
        </is>
      </c>
      <c r="C675" s="85" t="inlineStr">
        <is>
          <t>节目</t>
        </is>
      </c>
      <c r="D675" s="78" t="inlineStr">
        <is>
          <t>jiémù</t>
        </is>
      </c>
      <c r="E675" s="78" t="inlineStr">
        <is>
          <t>chương trình, tiết mục</t>
        </is>
      </c>
      <c r="H675" s="55">
        <f>IF(TRIM($G675)="","",IF(EXACT(TRIM($G675),TRIM($C675)),"✅ Đúng","❌ Sai"))</f>
        <v/>
      </c>
      <c r="I675" s="56" t="inlineStr">
        <is>
          <t>▶</t>
        </is>
      </c>
      <c r="J675" s="56" t="inlineStr">
        <is>
          <t>🔍</t>
        </is>
      </c>
      <c r="R675" s="23" t="inlineStr">
        <is>
          <t>Sun Aug 02 2026</t>
        </is>
      </c>
      <c r="T675" s="58" t="inlineStr">
        <is>
          <t>节 [TIẾT] · đốt, khớp; ngày lễ, tiết mục
    ↳ Chiết tự: giản thể của 節: bộ 竹 (trúc – tre) + 即 (tức – âm đọc) — mắt đốt của cây tre
目 [MỤC] · con mắt; mục lục, tiết mục
    ↳ Chiết tự: bộ 目 (mục) — hình con mắt dựng đứng</t>
        </is>
      </c>
      <c r="U675" s="24" t="inlineStr">
        <is>
          <t>🏠 Nhà cửa &amp; Đồ vật</t>
        </is>
      </c>
      <c r="V675" s="63" t="inlineStr">
        <is>
          <t>这个节目很有意思。</t>
        </is>
      </c>
      <c r="W675" s="64" t="inlineStr">
        <is>
          <t>Zhège jiémù hěn yǒu yìsi.
Chương trình này rất thú vị.</t>
        </is>
      </c>
    </row>
    <row r="676" ht="58.15" customHeight="1" s="99">
      <c r="A676" t="n">
        <v>650</v>
      </c>
      <c r="B676" s="84" t="inlineStr">
        <is>
          <t>HSK3</t>
        </is>
      </c>
      <c r="C676" s="85" t="inlineStr">
        <is>
          <t>节日</t>
        </is>
      </c>
      <c r="D676" s="78" t="inlineStr">
        <is>
          <t>jiérì</t>
        </is>
      </c>
      <c r="E676" s="78" t="inlineStr">
        <is>
          <t>ngày lễ, ngày tết</t>
        </is>
      </c>
      <c r="H676" s="55">
        <f>IF(TRIM($G676)="","",IF(EXACT(TRIM($G676),TRIM($C676)),"✅ Đúng","❌ Sai"))</f>
        <v/>
      </c>
      <c r="I676" s="56" t="inlineStr">
        <is>
          <t>▶</t>
        </is>
      </c>
      <c r="J676" s="56" t="inlineStr">
        <is>
          <t>🔍</t>
        </is>
      </c>
      <c r="R676" s="23" t="inlineStr">
        <is>
          <t>Sun Aug 02 2026</t>
        </is>
      </c>
      <c r="T676" s="58" t="inlineStr">
        <is>
          <t>节 [TIẾT] · đốt, khớp; ngày lễ, tiết mục
    ↳ Chiết tự: giản thể của 節: bộ 竹 (trúc – tre) + 即 (tức – âm đọc) — mắt đốt của cây tre
日 [NHẬT] · mặt trời, ngày
    ↳ Chiết tự: bộ 日 (nhật) — hình mặt trời tròn có chấm giữa</t>
        </is>
      </c>
      <c r="U676" s="24" t="inlineStr">
        <is>
          <t>⏰ Thời gian &amp; Ngày tháng</t>
        </is>
      </c>
      <c r="V676" s="63" t="inlineStr">
        <is>
          <t>春节是中国的大节日。</t>
        </is>
      </c>
      <c r="W676" s="64" t="inlineStr">
        <is>
          <t>Chūnjié shì Zhōngguó de dà jiérì.
Tết là ngày lễ lớn của Trung Quốc.</t>
        </is>
      </c>
    </row>
    <row r="677" ht="69.75" customHeight="1" s="99">
      <c r="A677" t="n">
        <v>651</v>
      </c>
      <c r="B677" s="84" t="inlineStr">
        <is>
          <t>HSK3</t>
        </is>
      </c>
      <c r="C677" s="85" t="inlineStr">
        <is>
          <t>解决</t>
        </is>
      </c>
      <c r="D677" s="78" t="inlineStr">
        <is>
          <t>jiějué</t>
        </is>
      </c>
      <c r="E677" s="78" t="inlineStr">
        <is>
          <t>giải quyết</t>
        </is>
      </c>
      <c r="H677" s="55">
        <f>IF(TRIM($G677)="","",IF(EXACT(TRIM($G677),TRIM($C677)),"✅ Đúng","❌ Sai"))</f>
        <v/>
      </c>
      <c r="I677" s="56" t="inlineStr">
        <is>
          <t>▶</t>
        </is>
      </c>
      <c r="J677" s="56" t="inlineStr">
        <is>
          <t>🔍</t>
        </is>
      </c>
      <c r="R677" s="23" t="inlineStr">
        <is>
          <t>Sun Aug 02 2026</t>
        </is>
      </c>
      <c r="T677" s="58" t="inlineStr">
        <is>
          <t>解 [GIẢI] · tháo, giải quyết, giải thích
    ↳ Chiết tự: bộ 角 (giác – sừng) + 刀 (đao – dao) + 牛 (ngưu – trâu) — dùng dao mổ trâu, tách rời
决 [QUYẾT] · quyết định, dứt khoát
    ↳ Chiết tự: giản thể của 決: bộ 冫 (băng – nước) + 夬 (quái – âm đọc) — khơi dòng nước cho thông</t>
        </is>
      </c>
      <c r="U677" s="24" t="inlineStr">
        <is>
          <t>🏢 Thương mại &amp; Công sở</t>
        </is>
      </c>
      <c r="V677" s="63" t="inlineStr">
        <is>
          <t>这个问题解决了。</t>
        </is>
      </c>
      <c r="W677" s="64" t="inlineStr">
        <is>
          <t>Zhège wèntí jiějué le.
Vấn đề này đã giải quyết xong.</t>
        </is>
      </c>
    </row>
    <row r="678" ht="34.9" customHeight="1" s="99">
      <c r="A678" t="n">
        <v>652</v>
      </c>
      <c r="B678" s="84" t="inlineStr">
        <is>
          <t>HSK3</t>
        </is>
      </c>
      <c r="C678" s="85" t="inlineStr">
        <is>
          <t>借</t>
        </is>
      </c>
      <c r="D678" s="78" t="inlineStr">
        <is>
          <t>jiè</t>
        </is>
      </c>
      <c r="E678" s="78" t="inlineStr">
        <is>
          <t>mượn, cho vay</t>
        </is>
      </c>
      <c r="H678" s="55">
        <f>IF(TRIM($G678)="","",IF(EXACT(TRIM($G678),TRIM($C678)),"✅ Đúng","❌ Sai"))</f>
        <v/>
      </c>
      <c r="I678" s="56" t="inlineStr">
        <is>
          <t>▶</t>
        </is>
      </c>
      <c r="J678" s="56" t="inlineStr">
        <is>
          <t>🔍</t>
        </is>
      </c>
      <c r="R678" s="23" t="inlineStr">
        <is>
          <t>Sun Aug 02 2026</t>
        </is>
      </c>
      <c r="T678" s="58" t="inlineStr">
        <is>
          <t>借 [TÁ] · mượn, cho vay; nhờ
    ↳ Chiết tự: bộ 亻 (nhân đứng – người) + 昔 (tích – xưa) — người tạm lấy dùng</t>
        </is>
      </c>
      <c r="U678" s="24" t="inlineStr">
        <is>
          <t>🏃 Động từ thường ngày</t>
        </is>
      </c>
      <c r="V678" s="63" t="inlineStr">
        <is>
          <t>我想借这本书。</t>
        </is>
      </c>
      <c r="W678" s="64" t="inlineStr">
        <is>
          <t>Wǒ xiǎng jiè zhè běn shū.
Tôi muốn mượn quyển sách này.</t>
        </is>
      </c>
    </row>
    <row r="679" ht="69.75" customHeight="1" s="99">
      <c r="A679" t="n">
        <v>653</v>
      </c>
      <c r="B679" s="84" t="inlineStr">
        <is>
          <t>HSK3</t>
        </is>
      </c>
      <c r="C679" s="85" t="inlineStr">
        <is>
          <t>经常</t>
        </is>
      </c>
      <c r="D679" s="78" t="inlineStr">
        <is>
          <t>jīngcháng</t>
        </is>
      </c>
      <c r="E679" s="78" t="inlineStr">
        <is>
          <t>thường xuyên</t>
        </is>
      </c>
      <c r="H679" s="55">
        <f>IF(TRIM($G679)="","",IF(EXACT(TRIM($G679),TRIM($C679)),"✅ Đúng","❌ Sai"))</f>
        <v/>
      </c>
      <c r="I679" s="56" t="inlineStr">
        <is>
          <t>▶</t>
        </is>
      </c>
      <c r="J679" s="56" t="inlineStr">
        <is>
          <t>🔍</t>
        </is>
      </c>
      <c r="R679" s="23" t="inlineStr">
        <is>
          <t>Sun Aug 02 2026</t>
        </is>
      </c>
      <c r="T679" s="58" t="inlineStr">
        <is>
          <t>经 [KINH] · trải qua, đã; kinh điển; sợi dọc
    ↳ Chiết tự: giản thể của 經: bộ 纟 (mịch – sợi tơ) + 巠 (kinh – âm đọc) — sợi dọc của tấm vải, cái xuyên suốt
常 [THƯỜNG] · thường xuyên; bình thường
    ↳ Chiết tự: bộ 尚 (thượng – âm đọc) + 巾 (cân – vải) — tấm vải dùng hằng ngày</t>
        </is>
      </c>
      <c r="U679" s="24" t="inlineStr">
        <is>
          <t>⏰ Thời gian &amp; Ngày tháng</t>
        </is>
      </c>
      <c r="V679" s="63" t="inlineStr">
        <is>
          <t>我经常去图书馆。</t>
        </is>
      </c>
      <c r="W679" s="64" t="inlineStr">
        <is>
          <t>Wǒ jīngcháng qù túshūguǎn.
Tôi thường xuyên đến thư viện.</t>
        </is>
      </c>
    </row>
    <row r="680" ht="69.75" customHeight="1" s="99">
      <c r="A680" t="n">
        <v>654</v>
      </c>
      <c r="B680" s="84" t="inlineStr">
        <is>
          <t>HSK3</t>
        </is>
      </c>
      <c r="C680" s="85" t="inlineStr">
        <is>
          <t>经过</t>
        </is>
      </c>
      <c r="D680" s="78" t="inlineStr">
        <is>
          <t>jīngguò</t>
        </is>
      </c>
      <c r="E680" s="78" t="inlineStr">
        <is>
          <t>đi qua, trải qua</t>
        </is>
      </c>
      <c r="H680" s="55">
        <f>IF(TRIM($G680)="","",IF(EXACT(TRIM($G680),TRIM($C680)),"✅ Đúng","❌ Sai"))</f>
        <v/>
      </c>
      <c r="I680" s="56" t="inlineStr">
        <is>
          <t>▶</t>
        </is>
      </c>
      <c r="J680" s="56" t="inlineStr">
        <is>
          <t>🔍</t>
        </is>
      </c>
      <c r="R680" s="23" t="inlineStr">
        <is>
          <t>Sun Aug 02 2026</t>
        </is>
      </c>
      <c r="T680" s="58" t="inlineStr">
        <is>
          <t>经 [KINH] · trải qua, đã; kinh điển; sợi dọc
    ↳ Chiết tự: giản thể của 經: bộ 纟 (mịch – sợi tơ) + 巠 (kinh – âm đọc) — sợi dọc của tấm vải, cái xuyên suốt
过 [QUÁ] · đi qua; đã từng; quá mức
    ↳ Chiết tự: giản thể của 過: bộ 辶 (sước – bước đi) + 寸 (thốn – tấc) — bước ngang qua</t>
        </is>
      </c>
      <c r="U680" s="24" t="inlineStr">
        <is>
          <t>🏃 Động từ thường ngày</t>
        </is>
      </c>
      <c r="V680" s="63" t="inlineStr">
        <is>
          <t>经过学校时我看到他。</t>
        </is>
      </c>
      <c r="W680" s="64" t="inlineStr">
        <is>
          <t>Jīngguò xuéxiào shí wǒ kàndào tā.
Khi đi qua trường tôi thấy anh ấy.</t>
        </is>
      </c>
    </row>
    <row r="681" ht="69.75" customHeight="1" s="99">
      <c r="A681" t="n">
        <v>655</v>
      </c>
      <c r="B681" s="84" t="inlineStr">
        <is>
          <t>HSK3</t>
        </is>
      </c>
      <c r="C681" s="85" t="inlineStr">
        <is>
          <t>经理</t>
        </is>
      </c>
      <c r="D681" s="78" t="inlineStr">
        <is>
          <t>jīnglǐ</t>
        </is>
      </c>
      <c r="E681" s="78" t="inlineStr">
        <is>
          <t>giám đốc, quản lý</t>
        </is>
      </c>
      <c r="H681" s="55">
        <f>IF(TRIM($G681)="","",IF(EXACT(TRIM($G681),TRIM($C681)),"✅ Đúng","❌ Sai"))</f>
        <v/>
      </c>
      <c r="I681" s="56" t="inlineStr">
        <is>
          <t>▶</t>
        </is>
      </c>
      <c r="J681" s="56" t="inlineStr">
        <is>
          <t>🔍</t>
        </is>
      </c>
      <c r="R681" s="23" t="inlineStr">
        <is>
          <t>Sun Aug 02 2026</t>
        </is>
      </c>
      <c r="T681" s="58" t="inlineStr">
        <is>
          <t>经 [KINH] · trải qua, đã; kinh điển; sợi dọc
    ↳ Chiết tự: giản thể của 經: bộ 纟 (mịch – sợi tơ) + 巠 (kinh – âm đọc) — sợi dọc của tấm vải, cái xuyên suốt
理 [LÝ] · lý lẽ; sửa sang, quản lý
    ↳ Chiết tự: bộ 王/玉 (ngọc) + 里 (lý – âm đọc) — mài ngọc theo thớ, nghĩa lẽ phải</t>
        </is>
      </c>
      <c r="U681" s="24" t="inlineStr">
        <is>
          <t>🏢 Thương mại &amp; Công sở</t>
        </is>
      </c>
      <c r="V681" s="63" t="inlineStr">
        <is>
          <t>经理明天出差。</t>
        </is>
      </c>
      <c r="W681" s="64" t="inlineStr">
        <is>
          <t>Jīnglǐ míngtiān chūchāi.
Giám đốc mai đi công tác.</t>
        </is>
      </c>
    </row>
    <row r="682" ht="34.9" customHeight="1" s="99">
      <c r="A682" t="n">
        <v>656</v>
      </c>
      <c r="B682" s="84" t="inlineStr">
        <is>
          <t>HSK3</t>
        </is>
      </c>
      <c r="C682" s="85" t="inlineStr">
        <is>
          <t>久</t>
        </is>
      </c>
      <c r="D682" s="78" t="inlineStr">
        <is>
          <t>jiǔ</t>
        </is>
      </c>
      <c r="E682" s="78" t="inlineStr">
        <is>
          <t>lâu, lâu dài</t>
        </is>
      </c>
      <c r="H682" s="55">
        <f>IF(TRIM($G682)="","",IF(EXACT(TRIM($G682),TRIM($C682)),"✅ Đúng","❌ Sai"))</f>
        <v/>
      </c>
      <c r="I682" s="56" t="inlineStr">
        <is>
          <t>▶</t>
        </is>
      </c>
      <c r="J682" s="56" t="inlineStr">
        <is>
          <t>🔍</t>
        </is>
      </c>
      <c r="R682" s="23" t="inlineStr">
        <is>
          <t>Sun Aug 02 2026</t>
        </is>
      </c>
      <c r="T682" s="58" t="inlineStr">
        <is>
          <t>久 [CỬU] · lâu dài
    ↳ Chiết tự: bộ 丿 (phiệt) + 乀 — hình người bị níu chân, đi lâu mới tới</t>
        </is>
      </c>
      <c r="U682" s="24" t="inlineStr">
        <is>
          <t>⏰ Thời gian &amp; Ngày tháng</t>
        </is>
      </c>
      <c r="V682" s="63" t="inlineStr">
        <is>
          <t>好久不见！</t>
        </is>
      </c>
      <c r="W682" s="64" t="inlineStr">
        <is>
          <t>Hǎojiǔ bú jiàn!
Lâu rồi không gặp!</t>
        </is>
      </c>
    </row>
    <row r="683" ht="34.9" customHeight="1" s="99">
      <c r="A683" t="n">
        <v>657</v>
      </c>
      <c r="B683" s="84" t="inlineStr">
        <is>
          <t>HSK3</t>
        </is>
      </c>
      <c r="C683" s="85" t="inlineStr">
        <is>
          <t>旧</t>
        </is>
      </c>
      <c r="D683" s="78" t="inlineStr">
        <is>
          <t>jiù</t>
        </is>
      </c>
      <c r="E683" s="78" t="inlineStr">
        <is>
          <t>cũ, xưa</t>
        </is>
      </c>
      <c r="H683" s="55">
        <f>IF(TRIM($G683)="","",IF(EXACT(TRIM($G683),TRIM($C683)),"✅ Đúng","❌ Sai"))</f>
        <v/>
      </c>
      <c r="I683" s="56" t="inlineStr">
        <is>
          <t>▶</t>
        </is>
      </c>
      <c r="J683" s="56" t="inlineStr">
        <is>
          <t>🔍</t>
        </is>
      </c>
      <c r="R683" s="23" t="inlineStr">
        <is>
          <t>Sun Aug 02 2026</t>
        </is>
      </c>
      <c r="T683" s="58" t="inlineStr">
        <is>
          <t>旧 [CỰU] · cũ, xưa
    ↳ Chiết tự: giản thể của 舊: bộ 丨 (cổn) + 日 (nhật – ngày) — trải qua nhiều ngày thì cũ</t>
        </is>
      </c>
      <c r="U683" s="24" t="inlineStr">
        <is>
          <t>🎨 Tính từ &amp; Trạng thái</t>
        </is>
      </c>
      <c r="V683" s="63" t="inlineStr">
        <is>
          <t>这本书很旧了。</t>
        </is>
      </c>
      <c r="W683" s="64" t="inlineStr">
        <is>
          <t>Zhè běn shū hěn jiù le.
Quyển sách này cũ rồi.</t>
        </is>
      </c>
    </row>
    <row r="684" ht="58.15" customHeight="1" s="99">
      <c r="A684" t="n">
        <v>658</v>
      </c>
      <c r="B684" s="84" t="inlineStr">
        <is>
          <t>HSK3</t>
        </is>
      </c>
      <c r="C684" s="85" t="inlineStr">
        <is>
          <t>举行</t>
        </is>
      </c>
      <c r="D684" s="78" t="inlineStr">
        <is>
          <t>jǔxíng</t>
        </is>
      </c>
      <c r="E684" s="78" t="inlineStr">
        <is>
          <t>tổ chức, tiến hành</t>
        </is>
      </c>
      <c r="H684" s="55">
        <f>IF(TRIM($G684)="","",IF(EXACT(TRIM($G684),TRIM($C684)),"✅ Đúng","❌ Sai"))</f>
        <v/>
      </c>
      <c r="I684" s="56" t="inlineStr">
        <is>
          <t>▶</t>
        </is>
      </c>
      <c r="J684" s="56" t="inlineStr">
        <is>
          <t>🔍</t>
        </is>
      </c>
      <c r="R684" s="23" t="inlineStr">
        <is>
          <t>Sun Aug 02 2026</t>
        </is>
      </c>
      <c r="T684" s="58" t="inlineStr">
        <is>
          <t>举 [CỬ] · nâng lên, tổ chức, bầu cử
    ↳ Chiết tự: giản thể của 舉: bộ 丶 + 兴 + 十 — nhiều tay cùng nâng lên
行 [HÀNH / HÀNG] · đi, làm; được; hàng lối; ngân hàng
    ↳ Chiết tự: bộ 行 (hành) — hình ngã tư đường, nơi người qua lại</t>
        </is>
      </c>
      <c r="U684" s="24" t="inlineStr">
        <is>
          <t>🏢 Thương mại &amp; Công sở</t>
        </is>
      </c>
      <c r="V684" s="63" t="inlineStr">
        <is>
          <t>会议在这里举行。</t>
        </is>
      </c>
      <c r="W684" s="64" t="inlineStr">
        <is>
          <t>Huìyì zài zhèli jǔxíng.
Hội nghị được tổ chức ở đây.</t>
        </is>
      </c>
    </row>
    <row r="685" ht="58.15" customHeight="1" s="99">
      <c r="A685" t="n">
        <v>659</v>
      </c>
      <c r="B685" s="84" t="inlineStr">
        <is>
          <t>HSK3</t>
        </is>
      </c>
      <c r="C685" s="85" t="inlineStr">
        <is>
          <t>句子</t>
        </is>
      </c>
      <c r="D685" s="78" t="inlineStr">
        <is>
          <t>jùzi</t>
        </is>
      </c>
      <c r="E685" s="78" t="inlineStr">
        <is>
          <t>câu (ngữ pháp)</t>
        </is>
      </c>
      <c r="H685" s="55">
        <f>IF(TRIM($G685)="","",IF(EXACT(TRIM($G685),TRIM($C685)),"✅ Đúng","❌ Sai"))</f>
        <v/>
      </c>
      <c r="I685" s="56" t="inlineStr">
        <is>
          <t>▶</t>
        </is>
      </c>
      <c r="J685" s="56" t="inlineStr">
        <is>
          <t>🔍</t>
        </is>
      </c>
      <c r="R685" s="23" t="inlineStr">
        <is>
          <t>Sun Aug 02 2026</t>
        </is>
      </c>
      <c r="T685" s="58" t="inlineStr">
        <is>
          <t>句 [CÚ] · câu, câu nói
    ↳ Chiết tự: bộ 勹 (bao – ôm bọc) + 口 (khẩu – miệng) — lời nói được gói trọn ý
子 [TỬ] · con cái; hậu tố danh từ; ngài
    ↳ Chiết tự: bộ 子 (tử) — hình em bé quấn tã, hai tay giơ lên</t>
        </is>
      </c>
      <c r="U685" s="24" t="inlineStr">
        <is>
          <t>🏫 Học tập &amp; Trường lớp</t>
        </is>
      </c>
      <c r="V685" s="63" t="inlineStr">
        <is>
          <t>请读这个句子。</t>
        </is>
      </c>
      <c r="W685" s="64" t="inlineStr">
        <is>
          <t>Qǐng dú zhège jùzi.
Xin đọc câu này.</t>
        </is>
      </c>
    </row>
    <row r="686" ht="69.75" customHeight="1" s="99">
      <c r="A686" t="n">
        <v>660</v>
      </c>
      <c r="B686" s="84" t="inlineStr">
        <is>
          <t>HSK3</t>
        </is>
      </c>
      <c r="C686" s="85" t="inlineStr">
        <is>
          <t>决定</t>
        </is>
      </c>
      <c r="D686" s="78" t="inlineStr">
        <is>
          <t>juédìng</t>
        </is>
      </c>
      <c r="E686" s="78" t="inlineStr">
        <is>
          <t>quyết định</t>
        </is>
      </c>
      <c r="H686" s="55">
        <f>IF(TRIM($G686)="","",IF(EXACT(TRIM($G686),TRIM($C686)),"✅ Đúng","❌ Sai"))</f>
        <v/>
      </c>
      <c r="I686" s="56" t="inlineStr">
        <is>
          <t>▶</t>
        </is>
      </c>
      <c r="J686" s="56" t="inlineStr">
        <is>
          <t>🔍</t>
        </is>
      </c>
      <c r="R686" s="23" t="inlineStr">
        <is>
          <t>Sun Aug 02 2026</t>
        </is>
      </c>
      <c r="T686" s="58" t="inlineStr">
        <is>
          <t>决 [QUYẾT] · quyết định, dứt khoát
    ↳ Chiết tự: giản thể của 決: bộ 冫 (băng – nước) + 夬 (quái – âm đọc) — khơi dòng nước cho thông
定 [ĐỊNH] · xác định, ổn định
    ↳ Chiết tự: bộ 宀 (miên – mái nhà) + 正 (chính – ngay) — trong nhà đã đặt đúng chỗ</t>
        </is>
      </c>
      <c r="U686" s="24" t="inlineStr">
        <is>
          <t>🏢 Thương mại &amp; Công sở</t>
        </is>
      </c>
      <c r="V686" s="63" t="inlineStr">
        <is>
          <t>我决定去中国留学。</t>
        </is>
      </c>
      <c r="W686" s="64" t="inlineStr">
        <is>
          <t>Wǒ juédìng qù Zhōngguó liúxué.
Tôi quyết định đi Trung Quốc du học.</t>
        </is>
      </c>
    </row>
    <row r="687" ht="58.15" customHeight="1" s="99">
      <c r="A687" t="n">
        <v>661</v>
      </c>
      <c r="B687" s="84" t="inlineStr">
        <is>
          <t>HSK3</t>
        </is>
      </c>
      <c r="C687" s="85" t="inlineStr">
        <is>
          <t>可爱</t>
        </is>
      </c>
      <c r="D687" s="78" t="inlineStr">
        <is>
          <t>kě'ài</t>
        </is>
      </c>
      <c r="E687" s="78" t="inlineStr">
        <is>
          <t>đáng yêu</t>
        </is>
      </c>
      <c r="H687" s="55">
        <f>IF(TRIM($G687)="","",IF(EXACT(TRIM($G687),TRIM($C687)),"✅ Đúng","❌ Sai"))</f>
        <v/>
      </c>
      <c r="I687" s="56" t="inlineStr">
        <is>
          <t>▶</t>
        </is>
      </c>
      <c r="J687" s="56" t="inlineStr">
        <is>
          <t>🔍</t>
        </is>
      </c>
      <c r="R687" s="23" t="inlineStr">
        <is>
          <t>Sun Aug 02 2026</t>
        </is>
      </c>
      <c r="T687" s="58" t="inlineStr">
        <is>
          <t>可 [KHẢ] · có thể, được; đáng
    ↳ Chiết tự: bộ 口 (khẩu – miệng) + 丁 — miệng gật đầu chấp thuận
爱 [ÁI] · yêu, yêu thương, ưa thích
    ↳ Chiết tự: giản thể của 愛: bộ 爫 (trảo – bàn tay chụp) + 冖 (mịch – che phủ) + 友 (hữu – bạn) — đưa tay che chở người mình thương</t>
        </is>
      </c>
      <c r="U687" s="24" t="inlineStr">
        <is>
          <t>🎨 Tính từ &amp; Trạng thái</t>
        </is>
      </c>
      <c r="V687" s="63" t="inlineStr">
        <is>
          <t>这只猫很可爱。</t>
        </is>
      </c>
      <c r="W687" s="64" t="inlineStr">
        <is>
          <t>Zhè zhī māo hěn kě'ài.
Con mèo này rất đáng yêu.</t>
        </is>
      </c>
    </row>
    <row r="688" ht="34.9" customHeight="1" s="99">
      <c r="A688" t="n">
        <v>662</v>
      </c>
      <c r="B688" s="84" t="inlineStr">
        <is>
          <t>HSK3</t>
        </is>
      </c>
      <c r="C688" s="85" t="inlineStr">
        <is>
          <t>刻</t>
        </is>
      </c>
      <c r="D688" s="78" t="inlineStr">
        <is>
          <t>kè</t>
        </is>
      </c>
      <c r="E688" s="78" t="inlineStr">
        <is>
          <t>khắc (15 phút); khắc, tạc</t>
        </is>
      </c>
      <c r="H688" s="55">
        <f>IF(TRIM($G688)="","",IF(EXACT(TRIM($G688),TRIM($C688)),"✅ Đúng","❌ Sai"))</f>
        <v/>
      </c>
      <c r="I688" s="56" t="inlineStr">
        <is>
          <t>▶</t>
        </is>
      </c>
      <c r="J688" s="56" t="inlineStr">
        <is>
          <t>🔍</t>
        </is>
      </c>
      <c r="R688" s="23" t="inlineStr">
        <is>
          <t>Sun Aug 02 2026</t>
        </is>
      </c>
      <c r="T688" s="58" t="inlineStr">
        <is>
          <t>刻 [KHẮC] · khắc, chạm; khắc (15 phút)
    ↳ Chiết tự: bộ 刂 (đao đứng – dao) + 亥 (hợi – âm đọc) — dùng dao khắc vạch đo giờ</t>
        </is>
      </c>
      <c r="U688" s="24" t="inlineStr">
        <is>
          <t>⏰ Thời gian &amp; Ngày tháng</t>
        </is>
      </c>
      <c r="V688" s="63" t="inlineStr">
        <is>
          <t>现在三点一刻。</t>
        </is>
      </c>
      <c r="W688" s="64" t="inlineStr">
        <is>
          <t>Xiànzài sān diǎn yí kè.
Bây giờ ba giờ mười lăm.</t>
        </is>
      </c>
    </row>
    <row r="689" ht="69.75" customHeight="1" s="99">
      <c r="A689" t="n">
        <v>663</v>
      </c>
      <c r="B689" s="84" t="inlineStr">
        <is>
          <t>HSK3</t>
        </is>
      </c>
      <c r="C689" s="85" t="inlineStr">
        <is>
          <t>客人</t>
        </is>
      </c>
      <c r="D689" s="78" t="inlineStr">
        <is>
          <t>kèrén</t>
        </is>
      </c>
      <c r="E689" s="78" t="inlineStr">
        <is>
          <t>khách, khách mời</t>
        </is>
      </c>
      <c r="H689" s="55">
        <f>IF(TRIM($G689)="","",IF(EXACT(TRIM($G689),TRIM($C689)),"✅ Đúng","❌ Sai"))</f>
        <v/>
      </c>
      <c r="I689" s="56" t="inlineStr">
        <is>
          <t>▶</t>
        </is>
      </c>
      <c r="J689" s="56" t="inlineStr">
        <is>
          <t>🔍</t>
        </is>
      </c>
      <c r="R689" s="23" t="inlineStr">
        <is>
          <t>Sun Aug 02 2026</t>
        </is>
      </c>
      <c r="T689" s="58" t="inlineStr">
        <is>
          <t>客 [KHÁCH] · khách, người ngoài
    ↳ Chiết tự: bộ 宀 (miên – mái nhà) + 各 (các – âm đọc) — người từ ngoài ghé vào nhà
人 [NHÂN] · người, con người
    ↳ Chiết tự: bộ 人 (nhân) — hình người đứng nghiêng, dang hai chân</t>
        </is>
      </c>
      <c r="U689" s="24" t="inlineStr">
        <is>
          <t>👨‍👩‍👧 Gia đình &amp; Con người</t>
        </is>
      </c>
      <c r="V689" s="63" t="inlineStr">
        <is>
          <t>今天家里有客人。</t>
        </is>
      </c>
      <c r="W689" s="64" t="inlineStr">
        <is>
          <t>Jīntiān jiā li yǒu kèrén.
Hôm nay nhà có khách.</t>
        </is>
      </c>
    </row>
    <row r="690" ht="69.75" customHeight="1" s="99">
      <c r="A690" t="n">
        <v>664</v>
      </c>
      <c r="B690" s="84" t="inlineStr">
        <is>
          <t>HSK3</t>
        </is>
      </c>
      <c r="C690" s="85" t="inlineStr">
        <is>
          <t>空调</t>
        </is>
      </c>
      <c r="D690" s="78" t="inlineStr">
        <is>
          <t>kōngtiáo</t>
        </is>
      </c>
      <c r="E690" s="78" t="inlineStr">
        <is>
          <t>máy điều hòa</t>
        </is>
      </c>
      <c r="H690" s="55">
        <f>IF(TRIM($G690)="","",IF(EXACT(TRIM($G690),TRIM($C690)),"✅ Đúng","❌ Sai"))</f>
        <v/>
      </c>
      <c r="I690" s="56" t="inlineStr">
        <is>
          <t>▶</t>
        </is>
      </c>
      <c r="J690" s="56" t="inlineStr">
        <is>
          <t>🔍</t>
        </is>
      </c>
      <c r="R690" s="23" t="inlineStr">
        <is>
          <t>Sun Aug 02 2026</t>
        </is>
      </c>
      <c r="T690" s="58" t="inlineStr">
        <is>
          <t>空 [KHÔNG / KHỐNG] · trống rỗng; khoảng trống
    ↳ Chiết tự: bộ 穴 (huyệt – cái hang) + 工 (công – âm đọc) — hang rỗng không
调 [ĐIỀU / ĐIỆU] · điều chỉnh, pha; giọng điệu
    ↳ Chiết tự: giản thể của 調: bộ 讠 (ngôn – lời nói) + 周 (chu – âm đọc) — nói cho hài hòa</t>
        </is>
      </c>
      <c r="U690" s="24" t="inlineStr">
        <is>
          <t>🏠 Nhà cửa &amp; Đồ vật</t>
        </is>
      </c>
      <c r="V690" s="63" t="inlineStr">
        <is>
          <t>请把空调打开。</t>
        </is>
      </c>
      <c r="W690" s="64" t="inlineStr">
        <is>
          <t>Qǐng bǎ kōngtiáo dǎkāi.
Xin bật máy điều hòa lên.</t>
        </is>
      </c>
    </row>
    <row r="691" hidden="1" ht="58.15" customHeight="1" s="99">
      <c r="A691" t="n">
        <v>665</v>
      </c>
      <c r="B691" s="84" t="inlineStr">
        <is>
          <t>HSK3</t>
        </is>
      </c>
      <c r="C691" s="85" t="inlineStr">
        <is>
          <t>裤子</t>
        </is>
      </c>
      <c r="D691" s="78" t="inlineStr">
        <is>
          <t>kùzi</t>
        </is>
      </c>
      <c r="E691" s="78" t="inlineStr">
        <is>
          <t>cái quần</t>
        </is>
      </c>
      <c r="G691" s="77" t="inlineStr">
        <is>
          <t>裤子</t>
        </is>
      </c>
      <c r="H691" s="55">
        <f>IF(TRIM($G691)="","",IF(EXACT(TRIM($G691),TRIM($C691)),"✅ Đúng","❌ Sai"))</f>
        <v/>
      </c>
      <c r="I691" s="56" t="inlineStr">
        <is>
          <t>▶</t>
        </is>
      </c>
      <c r="J691" s="56" t="inlineStr">
        <is>
          <t>🔍</t>
        </is>
      </c>
      <c r="R691" s="23" t="inlineStr">
        <is>
          <t>Sun Aug 02 2026</t>
        </is>
      </c>
      <c r="T691" s="58" t="inlineStr">
        <is>
          <t>裤 [KHỐ] · cái quần
    ↳ Chiết tự: giản thể của 褲: bộ 衤 (y – áo) + 库 (khố – kho) — phần áo bọc chân
子 [TỬ] · con cái; hậu tố danh từ; ngài
    ↳ Chiết tự: bộ 子 (tử) — hình em bé quấn tã, hai tay giơ lên</t>
        </is>
      </c>
      <c r="U691" s="24" t="inlineStr">
        <is>
          <t>🏠 Nhà cửa &amp; Đồ vật</t>
        </is>
      </c>
      <c r="V691" s="63" t="inlineStr">
        <is>
          <t>这条裤子太长了。</t>
        </is>
      </c>
      <c r="W691" s="64" t="inlineStr">
        <is>
          <t>Zhè tiáo kùzi tài cháng le.
Chiếc quần này quá dài.</t>
        </is>
      </c>
    </row>
    <row r="692" hidden="1" ht="58.15" customHeight="1" s="99">
      <c r="A692" t="n">
        <v>666</v>
      </c>
      <c r="B692" s="84" t="inlineStr">
        <is>
          <t>HSK3</t>
        </is>
      </c>
      <c r="C692" s="85" t="inlineStr">
        <is>
          <t>筷子</t>
        </is>
      </c>
      <c r="D692" s="78" t="inlineStr">
        <is>
          <t>kuàizi</t>
        </is>
      </c>
      <c r="E692" s="78" t="inlineStr">
        <is>
          <t>đôi đũa</t>
        </is>
      </c>
      <c r="G692" s="77" t="inlineStr">
        <is>
          <t>筷子</t>
        </is>
      </c>
      <c r="H692" s="55">
        <f>IF(TRIM($G692)="","",IF(EXACT(TRIM($G692),TRIM($C692)),"✅ Đúng","❌ Sai"))</f>
        <v/>
      </c>
      <c r="I692" s="56" t="inlineStr">
        <is>
          <t>▶</t>
        </is>
      </c>
      <c r="J692" s="56" t="inlineStr">
        <is>
          <t>🔍</t>
        </is>
      </c>
      <c r="R692" s="23" t="inlineStr">
        <is>
          <t>Sun Aug 02 2026</t>
        </is>
      </c>
      <c r="T692" s="58" t="inlineStr">
        <is>
          <t>筷 [KHOÁI] · đôi đũa
    ↳ Chiết tự: bộ 竹 (trúc – tre) + 快 (khoái – nhanh) — thanh tre gắp cho nhanh
子 [TỬ] · con cái; hậu tố danh từ; ngài
    ↳ Chiết tự: bộ 子 (tử) — hình em bé quấn tã, hai tay giơ lên</t>
        </is>
      </c>
      <c r="U692" s="24" t="inlineStr">
        <is>
          <t>🍜 Ăn uống</t>
        </is>
      </c>
      <c r="V692" s="63" t="inlineStr">
        <is>
          <t>我不会用筷子。</t>
        </is>
      </c>
      <c r="W692" s="64" t="inlineStr">
        <is>
          <t>Wǒ bú huì yòng kuàizi.
Tôi không biết dùng đũa.</t>
        </is>
      </c>
    </row>
    <row r="693" ht="34.9" customHeight="1" s="99">
      <c r="A693" t="n">
        <v>667</v>
      </c>
      <c r="B693" s="84" t="inlineStr">
        <is>
          <t>HSK3</t>
        </is>
      </c>
      <c r="C693" s="85" t="inlineStr">
        <is>
          <t>蓝</t>
        </is>
      </c>
      <c r="D693" s="78" t="inlineStr">
        <is>
          <t>lán</t>
        </is>
      </c>
      <c r="E693" s="78" t="inlineStr">
        <is>
          <t>màu xanh lam</t>
        </is>
      </c>
      <c r="H693" s="55">
        <f>IF(TRIM($G693)="","",IF(EXACT(TRIM($G693),TRIM($C693)),"✅ Đúng","❌ Sai"))</f>
        <v/>
      </c>
      <c r="I693" s="56" t="inlineStr">
        <is>
          <t>▶</t>
        </is>
      </c>
      <c r="J693" s="56" t="inlineStr">
        <is>
          <t>🔍</t>
        </is>
      </c>
      <c r="R693" s="23" t="inlineStr">
        <is>
          <t>Sun Aug 02 2026</t>
        </is>
      </c>
      <c r="T693" s="58" t="inlineStr">
        <is>
          <t>蓝 [LAM] · màu xanh lam
    ↳ Chiết tự: giản thể của 藍: bộ 艹 (thảo – cỏ) + 监 (giám – âm đọc) — cây cỏ nhuộm ra màu lam</t>
        </is>
      </c>
      <c r="U693" s="24" t="inlineStr">
        <is>
          <t>🎨 Tính từ &amp; Trạng thái</t>
        </is>
      </c>
      <c r="V693" s="63" t="inlineStr">
        <is>
          <t>她穿着蓝裙子。</t>
        </is>
      </c>
      <c r="W693" s="64" t="inlineStr">
        <is>
          <t>Tā chuān zhe lán qúnzi.
Cô ấy mặc váy xanh.</t>
        </is>
      </c>
    </row>
    <row r="694" hidden="1" ht="69.75" customHeight="1" s="99">
      <c r="A694" t="n">
        <v>668</v>
      </c>
      <c r="B694" s="84" t="inlineStr">
        <is>
          <t>HSK3</t>
        </is>
      </c>
      <c r="C694" s="85" t="inlineStr">
        <is>
          <t>离开</t>
        </is>
      </c>
      <c r="D694" s="78" t="inlineStr">
        <is>
          <t>líkāi</t>
        </is>
      </c>
      <c r="E694" s="78" t="inlineStr">
        <is>
          <t>rời khỏi, chia tay</t>
        </is>
      </c>
      <c r="G694" s="77" t="inlineStr">
        <is>
          <t>离开</t>
        </is>
      </c>
      <c r="H694" s="55">
        <f>IF(TRIM($G694)="","",IF(EXACT(TRIM($G694),TRIM($C694)),"✅ Đúng","❌ Sai"))</f>
        <v/>
      </c>
      <c r="I694" s="56" t="inlineStr">
        <is>
          <t>▶</t>
        </is>
      </c>
      <c r="J694" s="56" t="inlineStr">
        <is>
          <t>🔍</t>
        </is>
      </c>
      <c r="R694" s="23" t="inlineStr">
        <is>
          <t>Sun Aug 02 2026</t>
        </is>
      </c>
      <c r="T694" s="58" t="inlineStr">
        <is>
          <t>离 [LY] · rời xa, cách
    ↳ Chiết tự: giản thể của 離: bộ 亠 (đầu) + 禸 (nhựu) — nghĩa gốc là chim mắc lưới, sau chỉ chia lìa
开 [KHAI] · mở ra, bắt đầu, khai trương
    ↳ Chiết tự: giản thể của 開: bộ 廾 (củng – hai tay) — hai tay nhấc then cửa lên</t>
        </is>
      </c>
      <c r="U694" s="24" t="inlineStr">
        <is>
          <t>🏃 Động từ thường ngày</t>
        </is>
      </c>
      <c r="V694" s="63" t="inlineStr">
        <is>
          <t>他昨天离开了北京。</t>
        </is>
      </c>
      <c r="W694" s="64" t="inlineStr">
        <is>
          <t>Tā zuótiān líkāi le Běijīng.
Hôm qua anh ấy rời Bắc Kinh.</t>
        </is>
      </c>
    </row>
    <row r="695" ht="69.75" customHeight="1" s="99">
      <c r="A695" t="n">
        <v>669</v>
      </c>
      <c r="B695" s="84" t="inlineStr">
        <is>
          <t>HSK3</t>
        </is>
      </c>
      <c r="C695" s="85" t="inlineStr">
        <is>
          <t>礼物</t>
        </is>
      </c>
      <c r="D695" s="78" t="inlineStr">
        <is>
          <t>lǐwù</t>
        </is>
      </c>
      <c r="E695" s="78" t="inlineStr">
        <is>
          <t>quà tặng</t>
        </is>
      </c>
      <c r="H695" s="55">
        <f>IF(TRIM($G695)="","",IF(EXACT(TRIM($G695),TRIM($C695)),"✅ Đúng","❌ Sai"))</f>
        <v/>
      </c>
      <c r="I695" s="56" t="inlineStr">
        <is>
          <t>▶</t>
        </is>
      </c>
      <c r="J695" s="56" t="inlineStr">
        <is>
          <t>🔍</t>
        </is>
      </c>
      <c r="R695" s="23" t="inlineStr">
        <is>
          <t>Sun Aug 02 2026</t>
        </is>
      </c>
      <c r="T695" s="58" t="inlineStr">
        <is>
          <t>礼 [LỄ] · lễ nghi, lễ phép; quà
    ↳ Chiết tự: giản thể của 禮: bộ 礻 (thị – thờ cúng) + 乚 — nghi thức tế thần
物 [VẬT] · đồ vật, sự vật
    ↳ Chiết tự: bộ 牜 (ngưu – con trâu) + 勿 (vật – âm đọc) — của cải thời xưa tính bằng trâu</t>
        </is>
      </c>
      <c r="U695" s="24" t="inlineStr">
        <is>
          <t>💬 Giao tiếp &amp; Lễ nghi</t>
        </is>
      </c>
      <c r="V695" s="63" t="inlineStr">
        <is>
          <t>这是给你的礼物。</t>
        </is>
      </c>
      <c r="W695" s="64" t="inlineStr">
        <is>
          <t>Zhè shì gěi nǐ de lǐwù.
Đây là quà tặng bạn.</t>
        </is>
      </c>
    </row>
    <row r="696" hidden="1" ht="69.75" customHeight="1" s="99">
      <c r="A696" t="n">
        <v>670</v>
      </c>
      <c r="B696" s="84" t="inlineStr">
        <is>
          <t>HSK3</t>
        </is>
      </c>
      <c r="C696" s="85" t="inlineStr">
        <is>
          <t>历史</t>
        </is>
      </c>
      <c r="D696" s="78" t="inlineStr">
        <is>
          <t>lìshǐ</t>
        </is>
      </c>
      <c r="E696" s="78" t="inlineStr">
        <is>
          <t>lịch sử</t>
        </is>
      </c>
      <c r="G696" s="77" t="inlineStr">
        <is>
          <t>历史</t>
        </is>
      </c>
      <c r="H696" s="55">
        <f>IF(TRIM($G696)="","",IF(EXACT(TRIM($G696),TRIM($C696)),"✅ Đúng","❌ Sai"))</f>
        <v/>
      </c>
      <c r="I696" s="56" t="inlineStr">
        <is>
          <t>▶</t>
        </is>
      </c>
      <c r="J696" s="56" t="inlineStr">
        <is>
          <t>🔍</t>
        </is>
      </c>
      <c r="R696" s="23" t="inlineStr">
        <is>
          <t>Sun Aug 02 2026</t>
        </is>
      </c>
      <c r="T696" s="58" t="inlineStr">
        <is>
          <t>历 [LỊCH] · trải qua, lịch sử
    ↳ Chiết tự: giản thể của 歷: bộ 厂 (hán – vách đá) + 力 (lực – sức) — bước đã trải qua
史 [SỬ] · sử sách, người chép sử
    ↳ Chiết tự: bộ 口 (khẩu) + 又 (hựu – bàn tay) — tay giữ thẻ ghi chép việc</t>
        </is>
      </c>
      <c r="U696" s="24" t="inlineStr">
        <is>
          <t>🏫 Học tập &amp; Trường lớp</t>
        </is>
      </c>
      <c r="V696" s="63" t="inlineStr">
        <is>
          <t>我喜欢学历史。</t>
        </is>
      </c>
      <c r="W696" s="64" t="inlineStr">
        <is>
          <t>Wǒ xǐhuan xué lìshǐ.
Tôi thích học lịch sử.</t>
        </is>
      </c>
    </row>
    <row r="697" hidden="1" ht="34.9" customHeight="1" s="99">
      <c r="A697" t="n">
        <v>671</v>
      </c>
      <c r="B697" s="84" t="inlineStr">
        <is>
          <t>HSK3</t>
        </is>
      </c>
      <c r="C697" s="85" t="inlineStr">
        <is>
          <t>脸</t>
        </is>
      </c>
      <c r="D697" s="78" t="inlineStr">
        <is>
          <t>liǎn</t>
        </is>
      </c>
      <c r="E697" s="78" t="inlineStr">
        <is>
          <t>mặt, khuôn mặt</t>
        </is>
      </c>
      <c r="G697" s="77" t="inlineStr">
        <is>
          <t>脸</t>
        </is>
      </c>
      <c r="H697" s="55">
        <f>IF(TRIM($G697)="","",IF(EXACT(TRIM($G697),TRIM($C697)),"✅ Đúng","❌ Sai"))</f>
        <v/>
      </c>
      <c r="I697" s="56" t="inlineStr">
        <is>
          <t>▶</t>
        </is>
      </c>
      <c r="J697" s="56" t="inlineStr">
        <is>
          <t>🔍</t>
        </is>
      </c>
      <c r="R697" s="23" t="inlineStr">
        <is>
          <t>Sun Aug 02 2026</t>
        </is>
      </c>
      <c r="T697" s="58" t="inlineStr">
        <is>
          <t>脸 [LIỄM] · mặt, khuôn mặt
    ↳ Chiết tự: giản thể của 臉: bộ 月/肉 (nhục – thịt) + 佥 (thiêm – âm đọc) — phần thịt trước đầu</t>
        </is>
      </c>
      <c r="U697" s="24" t="inlineStr">
        <is>
          <t>⚕️ Sức khỏe &amp; Cơ thể</t>
        </is>
      </c>
      <c r="V697" s="63" t="inlineStr">
        <is>
          <t>他的脸红了。</t>
        </is>
      </c>
      <c r="W697" s="64" t="inlineStr">
        <is>
          <t>Tā de liǎn hóng le.
Mặt anh ấy đỏ lên.</t>
        </is>
      </c>
    </row>
    <row r="698" ht="69.75" customHeight="1" s="99">
      <c r="A698" t="n">
        <v>672</v>
      </c>
      <c r="B698" s="84" t="inlineStr">
        <is>
          <t>HSK3</t>
        </is>
      </c>
      <c r="C698" s="85" t="inlineStr">
        <is>
          <t>练习</t>
        </is>
      </c>
      <c r="D698" s="78" t="inlineStr">
        <is>
          <t>liànxí</t>
        </is>
      </c>
      <c r="E698" s="78" t="inlineStr">
        <is>
          <t>luyện tập, bài tập</t>
        </is>
      </c>
      <c r="H698" s="55">
        <f>IF(TRIM($G698)="","",IF(EXACT(TRIM($G698),TRIM($C698)),"✅ Đúng","❌ Sai"))</f>
        <v/>
      </c>
      <c r="I698" s="56" t="inlineStr">
        <is>
          <t>▶</t>
        </is>
      </c>
      <c r="J698" s="56" t="inlineStr">
        <is>
          <t>🔍</t>
        </is>
      </c>
      <c r="R698" s="23" t="inlineStr">
        <is>
          <t>Sun Aug 02 2026</t>
        </is>
      </c>
      <c r="T698" s="58" t="inlineStr">
        <is>
          <t>练 [LUYỆN] · luyện tập, rèn
    ↳ Chiết tự: giản thể của 練: bộ 纟 (mịch – sợi tơ) + 东 — nấu tơ cho mềm, nghĩa rèn luyện
习 [TẬP] · học tập, luyện, thói quen
    ↳ Chiết tự: giản thể của 習: bộ 羽 (vũ – lông cánh) + 白 (bạch) — chim non ngày ngày vỗ cánh tập bay</t>
        </is>
      </c>
      <c r="U698" s="24" t="inlineStr">
        <is>
          <t>🏫 Học tập &amp; Trường lớp</t>
        </is>
      </c>
      <c r="V698" s="63" t="inlineStr">
        <is>
          <t>我每天练习写汉字。</t>
        </is>
      </c>
      <c r="W698" s="64" t="inlineStr">
        <is>
          <t>Wǒ měitiān liànxí xiě Hànzì.
Tôi luyện viết chữ Hán mỗi ngày.</t>
        </is>
      </c>
    </row>
    <row r="699" ht="34.9" customHeight="1" s="99">
      <c r="A699" t="n">
        <v>673</v>
      </c>
      <c r="B699" s="84" t="inlineStr">
        <is>
          <t>HSK3</t>
        </is>
      </c>
      <c r="C699" s="85" t="inlineStr">
        <is>
          <t>辆</t>
        </is>
      </c>
      <c r="D699" s="78" t="inlineStr">
        <is>
          <t>liàng</t>
        </is>
      </c>
      <c r="E699" s="78" t="inlineStr">
        <is>
          <t>chiếc (lượng từ xe)</t>
        </is>
      </c>
      <c r="H699" s="55">
        <f>IF(TRIM($G699)="","",IF(EXACT(TRIM($G699),TRIM($C699)),"✅ Đúng","❌ Sai"))</f>
        <v/>
      </c>
      <c r="I699" s="56" t="inlineStr">
        <is>
          <t>▶</t>
        </is>
      </c>
      <c r="J699" s="56" t="inlineStr">
        <is>
          <t>🔍</t>
        </is>
      </c>
      <c r="R699" s="23" t="inlineStr">
        <is>
          <t>Sun Aug 02 2026</t>
        </is>
      </c>
      <c r="T699" s="58" t="inlineStr">
        <is>
          <t>辆 [LƯỢNG] · chiếc (lượng từ xe)
    ↳ Chiết tự: giản thể của 輛: bộ 车 (xa – xe) + 两 (lưỡng – đôi) — xe có đôi bánh</t>
        </is>
      </c>
      <c r="U699" s="24" t="inlineStr">
        <is>
          <t>🔢 Số đếm &amp; Lượng từ</t>
        </is>
      </c>
      <c r="V699" s="63" t="inlineStr">
        <is>
          <t>门口有三辆车。</t>
        </is>
      </c>
      <c r="W699" s="64" t="inlineStr">
        <is>
          <t>Ménkǒu yǒu sān liàng chē.
Trước cửa có ba chiếc xe.</t>
        </is>
      </c>
    </row>
    <row r="700" ht="69.75" customHeight="1" s="99">
      <c r="A700" t="n">
        <v>674</v>
      </c>
      <c r="B700" s="84" t="inlineStr">
        <is>
          <t>HSK3</t>
        </is>
      </c>
      <c r="C700" s="85" t="inlineStr">
        <is>
          <t>聊天</t>
        </is>
      </c>
      <c r="D700" s="78" t="inlineStr">
        <is>
          <t>liáotiān</t>
        </is>
      </c>
      <c r="E700" s="78" t="inlineStr">
        <is>
          <t>tán gẫu, nói chuyện</t>
        </is>
      </c>
      <c r="H700" s="55">
        <f>IF(TRIM($G700)="","",IF(EXACT(TRIM($G700),TRIM($C700)),"✅ Đúng","❌ Sai"))</f>
        <v/>
      </c>
      <c r="I700" s="56" t="inlineStr">
        <is>
          <t>▶</t>
        </is>
      </c>
      <c r="J700" s="56" t="inlineStr">
        <is>
          <t>🔍</t>
        </is>
      </c>
      <c r="R700" s="23" t="inlineStr">
        <is>
          <t>Sun Aug 02 2026</t>
        </is>
      </c>
      <c r="T700" s="58" t="inlineStr">
        <is>
          <t>聊 [LIÊU] · tán gẫu, chuyện vãn
    ↳ Chiết tự: bộ 耳 (nhĩ – tai) + 卯 (mão – âm đọc) — kề tai nói chuyện
天 [THIÊN] · trời, ngày, thiên nhiên
    ↳ Chiết tự: bộ 大 (đại – người) + 一 (nhất) trên đầu — khoảng cao nhất trên đầu người</t>
        </is>
      </c>
      <c r="U700" s="24" t="inlineStr">
        <is>
          <t>💬 Giao tiếp &amp; Lễ nghi</t>
        </is>
      </c>
      <c r="V700" s="63" t="inlineStr">
        <is>
          <t>我们聊天聊了很久。</t>
        </is>
      </c>
      <c r="W700" s="64" t="inlineStr">
        <is>
          <t>Wǒmen liáotiān liáo le hěn jiǔ.
Chúng tôi tán gẫu rất lâu.</t>
        </is>
      </c>
    </row>
    <row r="701" ht="69.75" customHeight="1" s="99">
      <c r="A701" t="n">
        <v>675</v>
      </c>
      <c r="B701" s="84" t="inlineStr">
        <is>
          <t>HSK3</t>
        </is>
      </c>
      <c r="C701" s="85" t="inlineStr">
        <is>
          <t>了解</t>
        </is>
      </c>
      <c r="D701" s="78" t="inlineStr">
        <is>
          <t>liǎojiě</t>
        </is>
      </c>
      <c r="E701" s="78" t="inlineStr">
        <is>
          <t>hiểu rõ, tìm hiểu</t>
        </is>
      </c>
      <c r="H701" s="55">
        <f>IF(TRIM($G701)="","",IF(EXACT(TRIM($G701),TRIM($C701)),"✅ Đúng","❌ Sai"))</f>
        <v/>
      </c>
      <c r="I701" s="56" t="inlineStr">
        <is>
          <t>▶</t>
        </is>
      </c>
      <c r="J701" s="56" t="inlineStr">
        <is>
          <t>🔍</t>
        </is>
      </c>
      <c r="R701" s="23" t="inlineStr">
        <is>
          <t>Sun Aug 02 2026</t>
        </is>
      </c>
      <c r="T701" s="58" t="inlineStr">
        <is>
          <t>了 [LIỄU] · xong, rồi (trợ từ hoàn thành)
    ↳ Chiết tự: bộ 亅 (quyết – nét móc) — hình đứa trẻ bó tã không thấy tay, việc đã trọn
解 [GIẢI] · tháo, giải quyết, giải thích
    ↳ Chiết tự: bộ 角 (giác – sừng) + 刀 (đao – dao) + 牛 (ngưu – trâu) — dùng dao mổ trâu, tách rời</t>
        </is>
      </c>
      <c r="U701" s="24" t="inlineStr">
        <is>
          <t>🏃 Động từ thường ngày</t>
        </is>
      </c>
      <c r="V701" s="63" t="inlineStr">
        <is>
          <t>我不太了解他。</t>
        </is>
      </c>
      <c r="W701" s="64" t="inlineStr">
        <is>
          <t>Wǒ bú tài liǎojiě tā.
Tôi không hiểu rõ anh ấy lắm.</t>
        </is>
      </c>
    </row>
    <row r="702" ht="69.75" customHeight="1" s="99">
      <c r="A702" t="n">
        <v>676</v>
      </c>
      <c r="B702" s="84" t="inlineStr">
        <is>
          <t>HSK3</t>
        </is>
      </c>
      <c r="C702" s="85" t="inlineStr">
        <is>
          <t>邻居</t>
        </is>
      </c>
      <c r="D702" s="78" t="inlineStr">
        <is>
          <t>línjū</t>
        </is>
      </c>
      <c r="E702" s="78" t="inlineStr">
        <is>
          <t>người láng giềng</t>
        </is>
      </c>
      <c r="H702" s="55">
        <f>IF(TRIM($G702)="","",IF(EXACT(TRIM($G702),TRIM($C702)),"✅ Đúng","❌ Sai"))</f>
        <v/>
      </c>
      <c r="I702" s="56" t="inlineStr">
        <is>
          <t>▶</t>
        </is>
      </c>
      <c r="J702" s="56" t="inlineStr">
        <is>
          <t>🔍</t>
        </is>
      </c>
      <c r="R702" s="23" t="inlineStr">
        <is>
          <t>Sun Aug 02 2026</t>
        </is>
      </c>
      <c r="T702" s="58" t="inlineStr">
        <is>
          <t>邻 [LÂN] · láng giềng, lân cận
    ↳ Chiết tự: giản thể của 鄰: bộ 令 (lệnh – âm đọc) + 阝 (ấp – làng) — nhà cùng làng
居 [CƯ] · ở, cư trú
    ↳ Chiết tự: bộ 尸 (thi – mái nhà) + 古 (cổ – âm đọc) — chỗ người ngồi ở</t>
        </is>
      </c>
      <c r="U702" s="24" t="inlineStr">
        <is>
          <t>👨‍👩‍👧 Gia đình &amp; Con người</t>
        </is>
      </c>
      <c r="V702" s="63" t="inlineStr">
        <is>
          <t>我的邻居很热情。</t>
        </is>
      </c>
      <c r="W702" s="64" t="inlineStr">
        <is>
          <t>Wǒ de línjū hěn rèqíng.
Láng giềng của tôi rất nhiệt tình.</t>
        </is>
      </c>
    </row>
    <row r="703" ht="34.9" customHeight="1" s="99">
      <c r="A703" t="n">
        <v>677</v>
      </c>
      <c r="B703" s="84" t="inlineStr">
        <is>
          <t>HSK3</t>
        </is>
      </c>
      <c r="C703" s="85" t="inlineStr">
        <is>
          <t>绿</t>
        </is>
      </c>
      <c r="D703" s="78" t="inlineStr">
        <is>
          <t>lǜ</t>
        </is>
      </c>
      <c r="E703" s="78" t="inlineStr">
        <is>
          <t>màu xanh lục</t>
        </is>
      </c>
      <c r="H703" s="55">
        <f>IF(TRIM($G703)="","",IF(EXACT(TRIM($G703),TRIM($C703)),"✅ Đúng","❌ Sai"))</f>
        <v/>
      </c>
      <c r="I703" s="56" t="inlineStr">
        <is>
          <t>▶</t>
        </is>
      </c>
      <c r="J703" s="56" t="inlineStr">
        <is>
          <t>🔍</t>
        </is>
      </c>
      <c r="R703" s="23" t="inlineStr">
        <is>
          <t>Sun Aug 02 2026</t>
        </is>
      </c>
      <c r="T703" s="58" t="inlineStr">
        <is>
          <t>绿 [LỤC] · màu xanh lục
    ↳ Chiết tự: giản thể của 綠: bộ 纟 (mịch – sợi tơ) + 录 (lục – âm đọc) — tơ nhuộm màu lá</t>
        </is>
      </c>
      <c r="U703" s="24" t="inlineStr">
        <is>
          <t>🎨 Tính từ &amp; Trạng thái</t>
        </is>
      </c>
      <c r="V703" s="63" t="inlineStr">
        <is>
          <t>春天树叶变绿了。</t>
        </is>
      </c>
      <c r="W703" s="64" t="inlineStr">
        <is>
          <t>Chūntiān shùyè biàn lǜ le.
Mùa xuân lá cây xanh trở lại.</t>
        </is>
      </c>
    </row>
    <row r="704" ht="69.75" customHeight="1" s="99">
      <c r="A704" t="n">
        <v>678</v>
      </c>
      <c r="B704" s="84" t="inlineStr">
        <is>
          <t>HSK3</t>
        </is>
      </c>
      <c r="C704" s="85" t="inlineStr">
        <is>
          <t>满意</t>
        </is>
      </c>
      <c r="D704" s="78" t="inlineStr">
        <is>
          <t>mǎnyì</t>
        </is>
      </c>
      <c r="E704" s="78" t="inlineStr">
        <is>
          <t>hài lòng, thỏa mãn</t>
        </is>
      </c>
      <c r="H704" s="55">
        <f>IF(TRIM($G704)="","",IF(EXACT(TRIM($G704),TRIM($C704)),"✅ Đúng","❌ Sai"))</f>
        <v/>
      </c>
      <c r="I704" s="56" t="inlineStr">
        <is>
          <t>▶</t>
        </is>
      </c>
      <c r="J704" s="56" t="inlineStr">
        <is>
          <t>🔍</t>
        </is>
      </c>
      <c r="R704" s="23" t="inlineStr">
        <is>
          <t>Sun Aug 02 2026</t>
        </is>
      </c>
      <c r="T704" s="58" t="inlineStr">
        <is>
          <t>满 [MÃN] · đầy, tràn; hài lòng
    ↳ Chiết tự: giản thể của 滿: bộ 氵 (thủy – nước) + 两 — nước dâng tràn
意 [Ý] · ý nghĩ, ý nghĩa, ý muốn
    ↳ Chiết tự: bộ 音 (âm – tiếng) + 心 (tâm – trái tim) — tiếng lòng phát ra</t>
        </is>
      </c>
      <c r="U704" s="24" t="inlineStr">
        <is>
          <t>🎨 Tính từ &amp; Trạng thái</t>
        </is>
      </c>
      <c r="V704" s="63" t="inlineStr">
        <is>
          <t>客户很满意。</t>
        </is>
      </c>
      <c r="W704" s="64" t="inlineStr">
        <is>
          <t>Kèhù hěn mǎnyì.
Khách hàng rất hài lòng.</t>
        </is>
      </c>
    </row>
    <row r="705" hidden="1" ht="58.15" customHeight="1" s="99">
      <c r="A705" t="n">
        <v>679</v>
      </c>
      <c r="B705" s="84" t="inlineStr">
        <is>
          <t>HSK3</t>
        </is>
      </c>
      <c r="C705" s="85" t="inlineStr">
        <is>
          <t>帽子</t>
        </is>
      </c>
      <c r="D705" s="78" t="inlineStr">
        <is>
          <t>màozi</t>
        </is>
      </c>
      <c r="E705" s="78" t="inlineStr">
        <is>
          <t>cái mũ</t>
        </is>
      </c>
      <c r="G705" s="77" t="inlineStr">
        <is>
          <t>帽子</t>
        </is>
      </c>
      <c r="H705" s="55">
        <f>IF(TRIM($G705)="","",IF(EXACT(TRIM($G705),TRIM($C705)),"✅ Đúng","❌ Sai"))</f>
        <v/>
      </c>
      <c r="I705" s="56" t="inlineStr">
        <is>
          <t>▶</t>
        </is>
      </c>
      <c r="J705" s="56" t="inlineStr">
        <is>
          <t>🔍</t>
        </is>
      </c>
      <c r="R705" s="23" t="inlineStr">
        <is>
          <t>Sun Aug 02 2026</t>
        </is>
      </c>
      <c r="T705" s="58" t="inlineStr">
        <is>
          <t>帽 [MẠO] · cái mũ
    ↳ Chiết tự: bộ 巾 (cân – vải) + 冒 (mạo – trùm đầu) — vải trùm lên đầu
子 [TỬ] · con cái; hậu tố danh từ; ngài
    ↳ Chiết tự: bộ 子 (tử) — hình em bé quấn tã, hai tay giơ lên</t>
        </is>
      </c>
      <c r="U705" s="24" t="inlineStr">
        <is>
          <t>🏠 Nhà cửa &amp; Đồ vật</t>
        </is>
      </c>
      <c r="V705" s="63" t="inlineStr">
        <is>
          <t>他戴着一个帽子。</t>
        </is>
      </c>
      <c r="W705" s="64" t="inlineStr">
        <is>
          <t>Tā dài zhe yí ge màozi.
Anh ấy đội một cái mũ.</t>
        </is>
      </c>
    </row>
    <row r="706" hidden="1" ht="69.75" customHeight="1" s="99">
      <c r="A706" t="n">
        <v>680</v>
      </c>
      <c r="B706" s="84" t="inlineStr">
        <is>
          <t>HSK3</t>
        </is>
      </c>
      <c r="C706" s="85" t="inlineStr">
        <is>
          <t>难过</t>
        </is>
      </c>
      <c r="D706" s="78" t="inlineStr">
        <is>
          <t>nánguò</t>
        </is>
      </c>
      <c r="E706" s="78" t="inlineStr">
        <is>
          <t>buồn, khó chịu</t>
        </is>
      </c>
      <c r="G706" s="77" t="inlineStr">
        <is>
          <t>难过</t>
        </is>
      </c>
      <c r="H706" s="55">
        <f>IF(TRIM($G706)="","",IF(EXACT(TRIM($G706),TRIM($C706)),"✅ Đúng","❌ Sai"))</f>
        <v/>
      </c>
      <c r="I706" s="56" t="inlineStr">
        <is>
          <t>▶</t>
        </is>
      </c>
      <c r="J706" s="56" t="inlineStr">
        <is>
          <t>🔍</t>
        </is>
      </c>
      <c r="R706" s="23" t="inlineStr">
        <is>
          <t>Sun Aug 02 2026</t>
        </is>
      </c>
      <c r="T706" s="58" t="inlineStr">
        <is>
          <t>难 [NAN / NẠN] · khó khăn; tai nạn
    ↳ Chiết tự: giản thể của 難: bộ 又 (hựu – bàn tay) + 隹 (chuy – con chim) — tay không bắt chim rất khó
过 [QUÁ] · đi qua; đã từng; quá mức
    ↳ Chiết tự: giản thể của 過: bộ 辶 (sước – bước đi) + 寸 (thốn – tấc) — bước ngang qua</t>
        </is>
      </c>
      <c r="U706" s="24" t="inlineStr">
        <is>
          <t>🎨 Tính từ &amp; Trạng thái</t>
        </is>
      </c>
      <c r="V706" s="63" t="inlineStr">
        <is>
          <t>听到这个消息我很难过。</t>
        </is>
      </c>
      <c r="W706" s="64" t="inlineStr">
        <is>
          <t>Tīngdào zhège xiāoxi wǒ hěn nánguò.
Nghe tin này tôi rất buồn.</t>
        </is>
      </c>
    </row>
    <row r="707" ht="69.75" customHeight="1" s="99">
      <c r="A707" t="n">
        <v>681</v>
      </c>
      <c r="B707" s="84" t="inlineStr">
        <is>
          <t>HSK3</t>
        </is>
      </c>
      <c r="C707" s="85" t="inlineStr">
        <is>
          <t>年轻</t>
        </is>
      </c>
      <c r="D707" s="78" t="inlineStr">
        <is>
          <t>niánqīng</t>
        </is>
      </c>
      <c r="E707" s="78" t="inlineStr">
        <is>
          <t>trẻ, tuổi trẻ</t>
        </is>
      </c>
      <c r="H707" s="55">
        <f>IF(TRIM($G707)="","",IF(EXACT(TRIM($G707),TRIM($C707)),"✅ Đúng","❌ Sai"))</f>
        <v/>
      </c>
      <c r="I707" s="56" t="inlineStr">
        <is>
          <t>▶</t>
        </is>
      </c>
      <c r="J707" s="56" t="inlineStr">
        <is>
          <t>🔍</t>
        </is>
      </c>
      <c r="R707" s="23" t="inlineStr">
        <is>
          <t>Sun Aug 02 2026</t>
        </is>
      </c>
      <c r="T707" s="58" t="inlineStr">
        <is>
          <t>年 [NIÊN] · năm, tuổi
    ↳ Chiết tự: bộ 干 (can) + 丿 — hình người gánh lúa chín, một vụ lúa là một năm
轻 [KHINH] · nhẹ; trẻ (年轻)
    ↳ Chiết tự: giản thể của 輕: bộ 车 (xa – xe) + 圣 — chiếc xe nhẹ đi nhanh</t>
        </is>
      </c>
      <c r="U707" s="24" t="inlineStr">
        <is>
          <t>🎨 Tính từ &amp; Trạng thái</t>
        </is>
      </c>
      <c r="V707" s="63" t="inlineStr">
        <is>
          <t>他还很年轻。</t>
        </is>
      </c>
      <c r="W707" s="64" t="inlineStr">
        <is>
          <t>Tā hái hěn niánqīng.
Anh ấy vẫn còn rất trẻ.</t>
        </is>
      </c>
    </row>
    <row r="708" ht="34.9" customHeight="1" s="99">
      <c r="A708" t="n">
        <v>682</v>
      </c>
      <c r="B708" s="84" t="inlineStr">
        <is>
          <t>HSK3</t>
        </is>
      </c>
      <c r="C708" s="85" t="inlineStr">
        <is>
          <t>鸟</t>
        </is>
      </c>
      <c r="D708" s="78" t="inlineStr">
        <is>
          <t>niǎo</t>
        </is>
      </c>
      <c r="E708" s="78" t="inlineStr">
        <is>
          <t>con chim</t>
        </is>
      </c>
      <c r="H708" s="55">
        <f>IF(TRIM($G708)="","",IF(EXACT(TRIM($G708),TRIM($C708)),"✅ Đúng","❌ Sai"))</f>
        <v/>
      </c>
      <c r="I708" s="56" t="inlineStr">
        <is>
          <t>▶</t>
        </is>
      </c>
      <c r="J708" s="56" t="inlineStr">
        <is>
          <t>🔍</t>
        </is>
      </c>
      <c r="R708" s="23" t="inlineStr">
        <is>
          <t>Sun Aug 02 2026</t>
        </is>
      </c>
      <c r="T708" s="58" t="inlineStr">
        <is>
          <t>鸟 [ĐIỂU] · con chim
    ↳ Chiết tự: giản thể của 鳥: bộ 鸟 (điểu) — hình con chim có mào và chân</t>
        </is>
      </c>
      <c r="U708" s="24" t="inlineStr">
        <is>
          <t>🌤️ Thiên nhiên &amp; Thời tiết</t>
        </is>
      </c>
      <c r="V708" s="63" t="inlineStr">
        <is>
          <t>树上有一只鸟。</t>
        </is>
      </c>
      <c r="W708" s="64" t="inlineStr">
        <is>
          <t>Shù shang yǒu yì zhī niǎo.
Trên cây có một con chim.</t>
        </is>
      </c>
    </row>
    <row r="709" hidden="1" ht="58.15" customHeight="1" s="99">
      <c r="A709" t="n">
        <v>683</v>
      </c>
      <c r="B709" s="84" t="inlineStr">
        <is>
          <t>HSK3</t>
        </is>
      </c>
      <c r="C709" s="85" t="inlineStr">
        <is>
          <t>努力</t>
        </is>
      </c>
      <c r="D709" s="78" t="inlineStr">
        <is>
          <t>nǔlì</t>
        </is>
      </c>
      <c r="E709" s="78" t="inlineStr">
        <is>
          <t>nỗ lực, cố gắng</t>
        </is>
      </c>
      <c r="G709" s="77" t="inlineStr">
        <is>
          <t>努力</t>
        </is>
      </c>
      <c r="H709" s="55">
        <f>IF(TRIM($G709)="","",IF(EXACT(TRIM($G709),TRIM($C709)),"✅ Đúng","❌ Sai"))</f>
        <v/>
      </c>
      <c r="I709" s="56" t="inlineStr">
        <is>
          <t>▶</t>
        </is>
      </c>
      <c r="J709" s="56" t="inlineStr">
        <is>
          <t>🔍</t>
        </is>
      </c>
      <c r="R709" s="23" t="inlineStr">
        <is>
          <t>Sun Aug 02 2026</t>
        </is>
      </c>
      <c r="T709" s="58" t="inlineStr">
        <is>
          <t>努 [NỖ] · nỗ lực, ra sức
    ↳ Chiết tự: bộ 力 (lực – sức) + 奴 (nô – âm đọc) — dốc sức như người làm thuê
力 [LỰC] · sức lực, năng lực
    ↳ Chiết tự: bộ 力 (lực) — hình cánh tay gân nổi, hoặc cái cày</t>
        </is>
      </c>
      <c r="U709" s="24" t="inlineStr">
        <is>
          <t>🏃 Động từ thường ngày</t>
        </is>
      </c>
      <c r="V709" s="63" t="inlineStr">
        <is>
          <t>他学习很努力。</t>
        </is>
      </c>
      <c r="W709" s="64" t="inlineStr">
        <is>
          <t>Tā xuéxí hěn nǔlì.
Cậu ấy học rất chăm.</t>
        </is>
      </c>
    </row>
    <row r="710" ht="58.15" customHeight="1" s="99">
      <c r="A710" t="n">
        <v>684</v>
      </c>
      <c r="B710" s="84" t="inlineStr">
        <is>
          <t>HSK3</t>
        </is>
      </c>
      <c r="C710" s="85" t="inlineStr">
        <is>
          <t>爬山</t>
        </is>
      </c>
      <c r="D710" s="78" t="inlineStr">
        <is>
          <t>pá shān</t>
        </is>
      </c>
      <c r="E710" s="78" t="inlineStr">
        <is>
          <t>leo núi</t>
        </is>
      </c>
      <c r="H710" s="55">
        <f>IF(TRIM($G710)="","",IF(EXACT(TRIM($G710),TRIM($C710)),"✅ Đúng","❌ Sai"))</f>
        <v/>
      </c>
      <c r="I710" s="56" t="inlineStr">
        <is>
          <t>▶</t>
        </is>
      </c>
      <c r="J710" s="56" t="inlineStr">
        <is>
          <t>🔍</t>
        </is>
      </c>
      <c r="R710" s="23" t="inlineStr">
        <is>
          <t>Sun Aug 02 2026</t>
        </is>
      </c>
      <c r="T710" s="58" t="inlineStr">
        <is>
          <t>爬 [BÀ] · bò, leo
    ↳ Chiết tự: bộ 爪 (trảo – móng vuốt) + 巴 (ba – âm đọc) — dùng móng bám mà leo
山 [SƠN] · núi non
    ↳ Chiết tự: bộ 山 (sơn) — hình ba ngọn núi nhô lên</t>
        </is>
      </c>
      <c r="U710" s="24" t="inlineStr">
        <is>
          <t>🏃 Động từ thường ngày</t>
        </is>
      </c>
      <c r="V710" s="63" t="inlineStr">
        <is>
          <t>周末我们去爬山。</t>
        </is>
      </c>
      <c r="W710" s="64" t="inlineStr">
        <is>
          <t>Zhōumò wǒmen qù pá shān.
Cuối tuần chúng tôi đi leo núi.</t>
        </is>
      </c>
    </row>
    <row r="711" ht="58.15" customHeight="1" s="99">
      <c r="A711" t="n">
        <v>685</v>
      </c>
      <c r="B711" s="84" t="inlineStr">
        <is>
          <t>HSK3</t>
        </is>
      </c>
      <c r="C711" s="85" t="inlineStr">
        <is>
          <t>盘子</t>
        </is>
      </c>
      <c r="D711" s="78" t="inlineStr">
        <is>
          <t>pánzi</t>
        </is>
      </c>
      <c r="E711" s="78" t="inlineStr">
        <is>
          <t>cái đĩa</t>
        </is>
      </c>
      <c r="H711" s="55">
        <f>IF(TRIM($G711)="","",IF(EXACT(TRIM($G711),TRIM($C711)),"✅ Đúng","❌ Sai"))</f>
        <v/>
      </c>
      <c r="I711" s="56" t="inlineStr">
        <is>
          <t>▶</t>
        </is>
      </c>
      <c r="J711" s="56" t="inlineStr">
        <is>
          <t>🔍</t>
        </is>
      </c>
      <c r="R711" s="23" t="inlineStr">
        <is>
          <t>Sun Aug 02 2026</t>
        </is>
      </c>
      <c r="T711" s="58" t="inlineStr">
        <is>
          <t>盘 [BÀN] · cái đĩa, mâm
    ↳ Chiết tự: giản thể của 盤: bộ 舟 (chu – thuyền) + 皿 (mãnh – bát đĩa) — đồ đựng lòng nông
子 [TỬ] · con cái; hậu tố danh từ; ngài
    ↳ Chiết tự: bộ 子 (tử) — hình em bé quấn tã, hai tay giơ lên</t>
        </is>
      </c>
      <c r="U711" s="24" t="inlineStr">
        <is>
          <t>🍜 Ăn uống</t>
        </is>
      </c>
      <c r="V711" s="63" t="inlineStr">
        <is>
          <t>请给我一个盘子。</t>
        </is>
      </c>
      <c r="W711" s="64" t="inlineStr">
        <is>
          <t>Qǐng gěi wǒ yí ge pánzi.
Cho tôi một cái đĩa.</t>
        </is>
      </c>
    </row>
    <row r="712" hidden="1" ht="34.9" customHeight="1" s="99">
      <c r="A712" t="n">
        <v>686</v>
      </c>
      <c r="B712" s="84" t="inlineStr">
        <is>
          <t>HSK3</t>
        </is>
      </c>
      <c r="C712" s="85" t="inlineStr">
        <is>
          <t>胖</t>
        </is>
      </c>
      <c r="D712" s="78" t="inlineStr">
        <is>
          <t>pàng</t>
        </is>
      </c>
      <c r="E712" s="78" t="inlineStr">
        <is>
          <t>béo, mập</t>
        </is>
      </c>
      <c r="G712" s="77" t="inlineStr">
        <is>
          <t>胖</t>
        </is>
      </c>
      <c r="H712" s="55">
        <f>IF(TRIM($G712)="","",IF(EXACT(TRIM($G712),TRIM($C712)),"✅ Đúng","❌ Sai"))</f>
        <v/>
      </c>
      <c r="I712" s="56" t="inlineStr">
        <is>
          <t>▶</t>
        </is>
      </c>
      <c r="J712" s="56" t="inlineStr">
        <is>
          <t>🔍</t>
        </is>
      </c>
      <c r="R712" s="23" t="inlineStr">
        <is>
          <t>Sun Aug 02 2026</t>
        </is>
      </c>
      <c r="T712" s="58" t="inlineStr">
        <is>
          <t>胖 [BÀN / PHÌ] · béo, mập
    ↳ Chiết tự: bộ 月/肉 (nhục – thịt) + 半 (bán – nửa) — thịt nhiều quá nửa</t>
        </is>
      </c>
      <c r="U712" s="24" t="inlineStr">
        <is>
          <t>🎨 Tính từ &amp; Trạng thái</t>
        </is>
      </c>
      <c r="V712" s="63" t="inlineStr">
        <is>
          <t>他最近胖了。</t>
        </is>
      </c>
      <c r="W712" s="64" t="inlineStr">
        <is>
          <t>Tā zuìjìn pàng le.
Dạo này anh ấy béo lên.</t>
        </is>
      </c>
    </row>
    <row r="713" ht="58.15" customHeight="1" s="99">
      <c r="A713" t="n">
        <v>687</v>
      </c>
      <c r="B713" s="84" t="inlineStr">
        <is>
          <t>HSK3</t>
        </is>
      </c>
      <c r="C713" s="85" t="inlineStr">
        <is>
          <t>皮鞋</t>
        </is>
      </c>
      <c r="D713" s="78" t="inlineStr">
        <is>
          <t>píxié</t>
        </is>
      </c>
      <c r="E713" s="78" t="inlineStr">
        <is>
          <t>giày da</t>
        </is>
      </c>
      <c r="H713" s="55">
        <f>IF(TRIM($G713)="","",IF(EXACT(TRIM($G713),TRIM($C713)),"✅ Đúng","❌ Sai"))</f>
        <v/>
      </c>
      <c r="I713" s="56" t="inlineStr">
        <is>
          <t>▶</t>
        </is>
      </c>
      <c r="J713" s="56" t="inlineStr">
        <is>
          <t>🔍</t>
        </is>
      </c>
      <c r="R713" s="23" t="inlineStr">
        <is>
          <t>Sun Aug 02 2026</t>
        </is>
      </c>
      <c r="T713" s="58" t="inlineStr">
        <is>
          <t>皮 [BÌ] · da, vỏ
    ↳ Chiết tự: bộ 皮 (bì) — hình tay lột da thú
鞋 [HÀI] · đôi giày
    ↳ Chiết tự: bộ 革 (cách – da thuộc) + 圭 (khuê – âm đọc) — đồ bằng da xỏ chân</t>
        </is>
      </c>
      <c r="U713" s="24" t="inlineStr">
        <is>
          <t>🏠 Nhà cửa &amp; Đồ vật</t>
        </is>
      </c>
      <c r="V713" s="63" t="inlineStr">
        <is>
          <t>这双皮鞋很贵。</t>
        </is>
      </c>
      <c r="W713" s="64" t="inlineStr">
        <is>
          <t>Zhè shuāng píxié hěn guì.
Đôi giày da này rất đắt.</t>
        </is>
      </c>
    </row>
    <row r="714" hidden="1" ht="69.75" customHeight="1" s="99">
      <c r="A714" t="n">
        <v>688</v>
      </c>
      <c r="B714" s="84" t="inlineStr">
        <is>
          <t>HSK3</t>
        </is>
      </c>
      <c r="C714" s="85" t="inlineStr">
        <is>
          <t>啤酒</t>
        </is>
      </c>
      <c r="D714" s="78" t="inlineStr">
        <is>
          <t>píjiǔ</t>
        </is>
      </c>
      <c r="E714" s="78" t="inlineStr">
        <is>
          <t>bia</t>
        </is>
      </c>
      <c r="G714" s="77" t="inlineStr">
        <is>
          <t>啤酒</t>
        </is>
      </c>
      <c r="H714" s="55">
        <f>IF(TRIM($G714)="","",IF(EXACT(TRIM($G714),TRIM($C714)),"✅ Đúng","❌ Sai"))</f>
        <v/>
      </c>
      <c r="I714" s="56" t="inlineStr">
        <is>
          <t>▶</t>
        </is>
      </c>
      <c r="J714" s="56" t="inlineStr">
        <is>
          <t>🔍</t>
        </is>
      </c>
      <c r="R714" s="23" t="inlineStr">
        <is>
          <t>Sun Aug 02 2026</t>
        </is>
      </c>
      <c r="T714" s="58" t="inlineStr">
        <is>
          <t>啤 [BỀ] · bia (phiên âm beer)
    ↳ Chiết tự: bộ 口 (khẩu – miệng) + 卑 (ty – âm đọc) — chữ mượn âm nước ngoài
酒 [TỬU] · rượu, đồ uống có cồn
    ↳ Chiết tự: bộ 氵 (thủy – nước) + 酉 (dậu – vò rượu) — nước ủ trong vò</t>
        </is>
      </c>
      <c r="U714" s="24" t="inlineStr">
        <is>
          <t>🍜 Ăn uống</t>
        </is>
      </c>
      <c r="V714" s="63" t="inlineStr">
        <is>
          <t>我不喝啤酒。</t>
        </is>
      </c>
      <c r="W714" s="64" t="inlineStr">
        <is>
          <t>Wǒ bù hē píjiǔ.
Tôi không uống bia.</t>
        </is>
      </c>
    </row>
    <row r="715" ht="46.5" customHeight="1" s="99">
      <c r="A715" t="n">
        <v>689</v>
      </c>
      <c r="B715" s="84" t="inlineStr">
        <is>
          <t>HSK3</t>
        </is>
      </c>
      <c r="C715" s="85" t="inlineStr">
        <is>
          <t>葡萄</t>
        </is>
      </c>
      <c r="D715" s="78" t="inlineStr">
        <is>
          <t>pútao</t>
        </is>
      </c>
      <c r="E715" s="78" t="inlineStr">
        <is>
          <t>quả nho</t>
        </is>
      </c>
      <c r="H715" s="55">
        <f>IF(TRIM($G715)="","",IF(EXACT(TRIM($G715),TRIM($C715)),"✅ Đúng","❌ Sai"))</f>
        <v/>
      </c>
      <c r="I715" s="56" t="inlineStr">
        <is>
          <t>▶</t>
        </is>
      </c>
      <c r="J715" s="56" t="inlineStr">
        <is>
          <t>🔍</t>
        </is>
      </c>
      <c r="R715" s="23" t="inlineStr">
        <is>
          <t>Sun Aug 02 2026</t>
        </is>
      </c>
      <c r="T715" s="58" t="inlineStr">
        <is>
          <t>葡 [BỒ] · nho (葡萄)
    ↳ Chiết tự: bộ 艹 (thảo – cỏ) + 匍 (bồ – âm đọc) — loài cây leo
萄 [ĐÀO] · nho (葡萄)
    ↳ Chiết tự: bộ 艹 (thảo – cỏ) + 陶 (đào – âm đọc) — quả của cây leo</t>
        </is>
      </c>
      <c r="U715" s="24" t="inlineStr">
        <is>
          <t>🍜 Ăn uống</t>
        </is>
      </c>
      <c r="V715" s="63" t="inlineStr">
        <is>
          <t>这些葡萄很甜。</t>
        </is>
      </c>
      <c r="W715" s="64" t="inlineStr">
        <is>
          <t>Zhèxiē pútao hěn tián.
Những quả nho này rất ngọt.</t>
        </is>
      </c>
    </row>
    <row r="716" hidden="1" ht="93" customHeight="1" s="99">
      <c r="A716" t="n">
        <v>690</v>
      </c>
      <c r="B716" s="84" t="inlineStr">
        <is>
          <t>HSK3</t>
        </is>
      </c>
      <c r="C716" s="85" t="inlineStr">
        <is>
          <t>普通话</t>
        </is>
      </c>
      <c r="D716" s="78" t="inlineStr">
        <is>
          <t>pǔtōnghuà</t>
        </is>
      </c>
      <c r="E716" s="78" t="inlineStr">
        <is>
          <t>tiếng phổ thông (Trung)</t>
        </is>
      </c>
      <c r="G716" s="77" t="inlineStr">
        <is>
          <t>普通话</t>
        </is>
      </c>
      <c r="H716" s="55">
        <f>IF(TRIM($G716)="","",IF(EXACT(TRIM($G716),TRIM($C716)),"✅ Đúng","❌ Sai"))</f>
        <v/>
      </c>
      <c r="I716" s="56" t="inlineStr">
        <is>
          <t>▶</t>
        </is>
      </c>
      <c r="J716" s="56" t="inlineStr">
        <is>
          <t>🔍</t>
        </is>
      </c>
      <c r="R716" s="23" t="inlineStr">
        <is>
          <t>Sun Aug 02 2026</t>
        </is>
      </c>
      <c r="T716" s="58" t="inlineStr">
        <is>
          <t>普 [PHỔ] · phổ biến, khắp
    ↳ Chiết tự: bộ 日 (nhật – mặt trời) + 并 — nắng chiếu khắp nơi
通 [THÔNG] · thông suốt, thông thường
    ↳ Chiết tự: bộ 辶 (sước – bước đi) + 甬 (dũng – âm đọc) — đường đi suốt không tắc
话 [THOẠI] · lời nói, câu chuyện
    ↳ Chiết tự: giản thể của 話: bộ 讠 (ngôn – lời nói) + 舌 (thiệt – cái lưỡi) — lưỡi phát thành lời</t>
        </is>
      </c>
      <c r="U716" s="24" t="inlineStr">
        <is>
          <t>🏫 Học tập &amp; Trường lớp</t>
        </is>
      </c>
      <c r="V716" s="63" t="inlineStr">
        <is>
          <t>他的普通话很好。</t>
        </is>
      </c>
      <c r="W716" s="64" t="inlineStr">
        <is>
          <t>Tā de pǔtōnghuà hěn hǎo.
Tiếng phổ thông của anh ấy rất tốt.</t>
        </is>
      </c>
    </row>
    <row r="717" ht="34.9" customHeight="1" s="99">
      <c r="A717" t="n">
        <v>691</v>
      </c>
      <c r="B717" s="84" t="inlineStr">
        <is>
          <t>HSK3</t>
        </is>
      </c>
      <c r="C717" s="85" t="inlineStr">
        <is>
          <t>骑</t>
        </is>
      </c>
      <c r="D717" s="78" t="inlineStr">
        <is>
          <t>qí</t>
        </is>
      </c>
      <c r="E717" s="78" t="inlineStr">
        <is>
          <t>cưỡi, đi (xe đạp, ngựa)</t>
        </is>
      </c>
      <c r="H717" s="55">
        <f>IF(TRIM($G717)="","",IF(EXACT(TRIM($G717),TRIM($C717)),"✅ Đúng","❌ Sai"))</f>
        <v/>
      </c>
      <c r="I717" s="56" t="inlineStr">
        <is>
          <t>▶</t>
        </is>
      </c>
      <c r="J717" s="56" t="inlineStr">
        <is>
          <t>🔍</t>
        </is>
      </c>
      <c r="R717" s="23" t="inlineStr">
        <is>
          <t>Sun Aug 02 2026</t>
        </is>
      </c>
      <c r="T717" s="58" t="inlineStr">
        <is>
          <t>骑 [KỴ] · cưỡi, đi (xe/ngựa)
    ↳ Chiết tự: giản thể của 騎: bộ 马 (mã – con ngựa) + 奇 (kỳ – âm đọc) — ngồi trên lưng ngựa</t>
        </is>
      </c>
      <c r="U717" s="24" t="inlineStr">
        <is>
          <t>🚗 Giao thông &amp; Địa điểm</t>
        </is>
      </c>
      <c r="V717" s="63" t="inlineStr">
        <is>
          <t>我骑自行车去。</t>
        </is>
      </c>
      <c r="W717" s="64" t="inlineStr">
        <is>
          <t>Wǒ qí zìxíngchē qù.
Tôi đạp xe đi.</t>
        </is>
      </c>
    </row>
    <row r="718" ht="58.15" customHeight="1" s="99">
      <c r="A718" t="n">
        <v>692</v>
      </c>
      <c r="B718" s="84" t="inlineStr">
        <is>
          <t>HSK3</t>
        </is>
      </c>
      <c r="C718" s="85" t="inlineStr">
        <is>
          <t>其实</t>
        </is>
      </c>
      <c r="D718" s="78" t="inlineStr">
        <is>
          <t>qíshí</t>
        </is>
      </c>
      <c r="E718" s="78" t="inlineStr">
        <is>
          <t>thực ra, thật ra</t>
        </is>
      </c>
      <c r="H718" s="55">
        <f>IF(TRIM($G718)="","",IF(EXACT(TRIM($G718),TRIM($C718)),"✅ Đúng","❌ Sai"))</f>
        <v/>
      </c>
      <c r="I718" s="56" t="inlineStr">
        <is>
          <t>▶</t>
        </is>
      </c>
      <c r="J718" s="56" t="inlineStr">
        <is>
          <t>🔍</t>
        </is>
      </c>
      <c r="R718" s="23" t="inlineStr">
        <is>
          <t>Sun Aug 02 2026</t>
        </is>
      </c>
      <c r="T718" s="58" t="inlineStr">
        <is>
          <t>其 [KỲ] · ấy, đó (đại từ)
    ↳ Chiết tự: bộ 八 (bát) + 甘 — hình cái nia, mượn làm đại từ
实 [THỰC] · thật, thực tế; quả
    ↳ Chiết tự: giản thể của 實: bộ 宀 (miên – mái nhà) + 头 — trong nhà đầy của, đúng thật</t>
        </is>
      </c>
      <c r="U718" s="24" t="inlineStr">
        <is>
          <t>🔗 Từ nối &amp; Trợ từ</t>
        </is>
      </c>
      <c r="V718" s="63" t="inlineStr">
        <is>
          <t>其实我不太喜欢。</t>
        </is>
      </c>
      <c r="W718" s="64" t="inlineStr">
        <is>
          <t>Qíshí wǒ bú tài xǐhuan.
Thực ra tôi không thích lắm.</t>
        </is>
      </c>
    </row>
    <row r="719" ht="58.15" customHeight="1" s="99">
      <c r="A719" t="n">
        <v>693</v>
      </c>
      <c r="B719" s="84" t="inlineStr">
        <is>
          <t>HSK3</t>
        </is>
      </c>
      <c r="C719" s="85" t="inlineStr">
        <is>
          <t>其他</t>
        </is>
      </c>
      <c r="D719" s="78" t="inlineStr">
        <is>
          <t>qítā</t>
        </is>
      </c>
      <c r="E719" s="78" t="inlineStr">
        <is>
          <t>những cái khác</t>
        </is>
      </c>
      <c r="H719" s="55">
        <f>IF(TRIM($G719)="","",IF(EXACT(TRIM($G719),TRIM($C719)),"✅ Đúng","❌ Sai"))</f>
        <v/>
      </c>
      <c r="I719" s="56" t="inlineStr">
        <is>
          <t>▶</t>
        </is>
      </c>
      <c r="J719" s="56" t="inlineStr">
        <is>
          <t>🔍</t>
        </is>
      </c>
      <c r="R719" s="23" t="inlineStr">
        <is>
          <t>Sun Aug 02 2026</t>
        </is>
      </c>
      <c r="T719" s="58" t="inlineStr">
        <is>
          <t>其 [KỲ] · ấy, đó (đại từ)
    ↳ Chiết tự: bộ 八 (bát) + 甘 — hình cái nia, mượn làm đại từ
他 [THA] · anh ấy, người khác
    ↳ Chiết tự: bộ 亻 (nhân đứng – người) + 也 (dã – âm đọc) — chỉ người thứ ba nam</t>
        </is>
      </c>
      <c r="U719" s="24" t="inlineStr">
        <is>
          <t>🔗 Từ nối &amp; Trợ từ</t>
        </is>
      </c>
      <c r="V719" s="63" t="inlineStr">
        <is>
          <t>其他人还没来。</t>
        </is>
      </c>
      <c r="W719" s="64" t="inlineStr">
        <is>
          <t>Qítā rén hái méi lái.
Những người khác vẫn chưa đến.</t>
        </is>
      </c>
    </row>
    <row r="720" ht="69.75" customHeight="1" s="99">
      <c r="A720" t="n">
        <v>694</v>
      </c>
      <c r="B720" s="84" t="inlineStr">
        <is>
          <t>HSK3</t>
        </is>
      </c>
      <c r="C720" s="85" t="inlineStr">
        <is>
          <t>奇怪</t>
        </is>
      </c>
      <c r="D720" s="78" t="inlineStr">
        <is>
          <t>qíguài</t>
        </is>
      </c>
      <c r="E720" s="78" t="inlineStr">
        <is>
          <t>kỳ lạ, lạ lùng</t>
        </is>
      </c>
      <c r="H720" s="55">
        <f>IF(TRIM($G720)="","",IF(EXACT(TRIM($G720),TRIM($C720)),"✅ Đúng","❌ Sai"))</f>
        <v/>
      </c>
      <c r="I720" s="56" t="inlineStr">
        <is>
          <t>▶</t>
        </is>
      </c>
      <c r="J720" s="56" t="inlineStr">
        <is>
          <t>🔍</t>
        </is>
      </c>
      <c r="R720" s="23" t="inlineStr">
        <is>
          <t>Sun Aug 02 2026</t>
        </is>
      </c>
      <c r="T720" s="58" t="inlineStr">
        <is>
          <t>奇 [KỲ] · kỳ lạ, lạ lùng
    ↳ Chiết tự: bộ 大 (đại – lớn) + 可 (khả – âm đọc) — điều lớn khác thường
怪 [QUÁI] · quái lạ, kỳ quái
    ↳ Chiết tự: bộ 忄 (tâm đứng – trái tim) + 圣 — trong lòng thấy khác thường</t>
        </is>
      </c>
      <c r="U720" s="24" t="inlineStr">
        <is>
          <t>🎨 Tính từ &amp; Trạng thái</t>
        </is>
      </c>
      <c r="V720" s="63" t="inlineStr">
        <is>
          <t>这件事很奇怪。</t>
        </is>
      </c>
      <c r="W720" s="64" t="inlineStr">
        <is>
          <t>Zhè jiàn shì hěn qíguài.
Việc này rất kỳ lạ.</t>
        </is>
      </c>
    </row>
    <row r="721" ht="58.15" customHeight="1" s="99">
      <c r="A721" t="n">
        <v>695</v>
      </c>
      <c r="B721" s="84" t="inlineStr">
        <is>
          <t>HSK3</t>
        </is>
      </c>
      <c r="C721" s="85" t="inlineStr">
        <is>
          <t>起飞</t>
        </is>
      </c>
      <c r="D721" s="78" t="inlineStr">
        <is>
          <t>qǐfēi</t>
        </is>
      </c>
      <c r="E721" s="78" t="inlineStr">
        <is>
          <t>cất cánh</t>
        </is>
      </c>
      <c r="H721" s="55">
        <f>IF(TRIM($G721)="","",IF(EXACT(TRIM($G721),TRIM($C721)),"✅ Đúng","❌ Sai"))</f>
        <v/>
      </c>
      <c r="I721" s="56" t="inlineStr">
        <is>
          <t>▶</t>
        </is>
      </c>
      <c r="J721" s="56" t="inlineStr">
        <is>
          <t>🔍</t>
        </is>
      </c>
      <c r="R721" s="23" t="inlineStr">
        <is>
          <t>Sun Aug 02 2026</t>
        </is>
      </c>
      <c r="T721" s="58" t="inlineStr">
        <is>
          <t>起 [KHỞI] · đứng dậy, khởi đầu, nổi lên
    ↳ Chiết tự: bộ 走 (tẩu – đi) + 己 (kỷ – bản thân) — tự mình bước dậy
飞 [PHI] · bay
    ↳ Chiết tự: giản thể của 飛: bộ 飞 (phi) — hình đôi cánh chim vỗ lên</t>
        </is>
      </c>
      <c r="U721" s="24" t="inlineStr">
        <is>
          <t>🚗 Giao thông &amp; Địa điểm</t>
        </is>
      </c>
      <c r="V721" s="63" t="inlineStr">
        <is>
          <t>飞机已经起飞了。</t>
        </is>
      </c>
      <c r="W721" s="64" t="inlineStr">
        <is>
          <t>Fēijī yǐjīng qǐfēi le.
Máy bay đã cất cánh.</t>
        </is>
      </c>
    </row>
    <row r="722" ht="58.15" customHeight="1" s="99">
      <c r="A722" t="n">
        <v>696</v>
      </c>
      <c r="B722" s="84" t="inlineStr">
        <is>
          <t>HSK3</t>
        </is>
      </c>
      <c r="C722" s="85" t="inlineStr">
        <is>
          <t>清楚</t>
        </is>
      </c>
      <c r="D722" s="78" t="inlineStr">
        <is>
          <t>qīngchu</t>
        </is>
      </c>
      <c r="E722" s="78" t="inlineStr">
        <is>
          <t>rõ ràng, rõ</t>
        </is>
      </c>
      <c r="H722" s="55">
        <f>IF(TRIM($G722)="","",IF(EXACT(TRIM($G722),TRIM($C722)),"✅ Đúng","❌ Sai"))</f>
        <v/>
      </c>
      <c r="I722" s="56" t="inlineStr">
        <is>
          <t>▶</t>
        </is>
      </c>
      <c r="J722" s="56" t="inlineStr">
        <is>
          <t>🔍</t>
        </is>
      </c>
      <c r="R722" s="23" t="inlineStr">
        <is>
          <t>Sun Aug 02 2026</t>
        </is>
      </c>
      <c r="T722" s="58" t="inlineStr">
        <is>
          <t>清 [THANH] · trong, rõ, thanh sạch
    ↳ Chiết tự: bộ 氵 (thủy – nước) + 青 (thanh – xanh) — nước xanh trong vắt
楚 [SỞ] · rõ ràng; nước Sở
    ↳ Chiết tự: bộ 林 (lâm – rừng) + 疋 (sơ – âm đọc) — bụi cây rõ nét</t>
        </is>
      </c>
      <c r="U722" s="24" t="inlineStr">
        <is>
          <t>🎨 Tính từ &amp; Trạng thái</t>
        </is>
      </c>
      <c r="V722" s="63" t="inlineStr">
        <is>
          <t>请说清楚一点儿。</t>
        </is>
      </c>
      <c r="W722" s="64" t="inlineStr">
        <is>
          <t>Qǐng shuō qīngchu yìdiǎnr.
Xin nói rõ hơn một chút.</t>
        </is>
      </c>
    </row>
    <row r="723" ht="34.9" customHeight="1" s="99">
      <c r="A723" t="n">
        <v>697</v>
      </c>
      <c r="B723" s="84" t="inlineStr">
        <is>
          <t>HSK3</t>
        </is>
      </c>
      <c r="C723" s="85" t="inlineStr">
        <is>
          <t>秋</t>
        </is>
      </c>
      <c r="D723" s="78" t="inlineStr">
        <is>
          <t>qiū</t>
        </is>
      </c>
      <c r="E723" s="78" t="inlineStr">
        <is>
          <t>mùa thu</t>
        </is>
      </c>
      <c r="H723" s="55">
        <f>IF(TRIM($G723)="","",IF(EXACT(TRIM($G723),TRIM($C723)),"✅ Đúng","❌ Sai"))</f>
        <v/>
      </c>
      <c r="I723" s="56" t="inlineStr">
        <is>
          <t>▶</t>
        </is>
      </c>
      <c r="J723" s="56" t="inlineStr">
        <is>
          <t>🔍</t>
        </is>
      </c>
      <c r="R723" s="23" t="inlineStr">
        <is>
          <t>Sun Aug 02 2026</t>
        </is>
      </c>
      <c r="T723" s="58" t="inlineStr">
        <is>
          <t>秋 [THU] · mùa thu
    ↳ Chiết tự: bộ 禾 (hòa – cây lúa) + 火 (hỏa – lửa) — lúa chín vàng như lửa</t>
        </is>
      </c>
      <c r="U723" s="24" t="inlineStr">
        <is>
          <t>⏰ Thời gian &amp; Ngày tháng</t>
        </is>
      </c>
      <c r="V723" s="63" t="inlineStr">
        <is>
          <t>秋天的天气最好。</t>
        </is>
      </c>
      <c r="W723" s="64" t="inlineStr">
        <is>
          <t>Qiūtiān de tiānqì zuì hǎo.
Thời tiết mùa thu đẹp nhất.</t>
        </is>
      </c>
    </row>
    <row r="724" hidden="1" ht="58.15" customHeight="1" s="99">
      <c r="A724" t="n">
        <v>698</v>
      </c>
      <c r="B724" s="84" t="inlineStr">
        <is>
          <t>HSK3</t>
        </is>
      </c>
      <c r="C724" s="85" t="inlineStr">
        <is>
          <t>裙子</t>
        </is>
      </c>
      <c r="D724" s="78" t="inlineStr">
        <is>
          <t>qúnzi</t>
        </is>
      </c>
      <c r="E724" s="78" t="inlineStr">
        <is>
          <t>cái váy</t>
        </is>
      </c>
      <c r="G724" s="77" t="inlineStr">
        <is>
          <t>裙子</t>
        </is>
      </c>
      <c r="H724" s="55">
        <f>IF(TRIM($G724)="","",IF(EXACT(TRIM($G724),TRIM($C724)),"✅ Đúng","❌ Sai"))</f>
        <v/>
      </c>
      <c r="I724" s="56" t="inlineStr">
        <is>
          <t>▶</t>
        </is>
      </c>
      <c r="J724" s="56" t="inlineStr">
        <is>
          <t>🔍</t>
        </is>
      </c>
      <c r="R724" s="23" t="inlineStr">
        <is>
          <t>Sun Aug 02 2026</t>
        </is>
      </c>
      <c r="T724" s="58" t="inlineStr">
        <is>
          <t>裙 [QUẦN] · cái váy
    ↳ Chiết tự: bộ 衤 (y – áo) + 君 (quân – âm đọc) — áo quây quanh hông
子 [TỬ] · con cái; hậu tố danh từ; ngài
    ↳ Chiết tự: bộ 子 (tử) — hình em bé quấn tã, hai tay giơ lên</t>
        </is>
      </c>
      <c r="U724" s="24" t="inlineStr">
        <is>
          <t>🏠 Nhà cửa &amp; Đồ vật</t>
        </is>
      </c>
      <c r="V724" s="63" t="inlineStr">
        <is>
          <t>这条裙子很漂亮。</t>
        </is>
      </c>
      <c r="W724" s="64" t="inlineStr">
        <is>
          <t>Zhè tiáo qúnzi hěn piàoliang.
Chiếc váy này rất đẹp.</t>
        </is>
      </c>
    </row>
    <row r="725" ht="69.75" customHeight="1" s="99">
      <c r="A725" t="n">
        <v>699</v>
      </c>
      <c r="B725" s="84" t="inlineStr">
        <is>
          <t>HSK3</t>
        </is>
      </c>
      <c r="C725" s="85" t="inlineStr">
        <is>
          <t>然后</t>
        </is>
      </c>
      <c r="D725" s="78" t="inlineStr">
        <is>
          <t>ránhòu</t>
        </is>
      </c>
      <c r="E725" s="78" t="inlineStr">
        <is>
          <t>sau đó, rồi thì</t>
        </is>
      </c>
      <c r="H725" s="55">
        <f>IF(TRIM($G725)="","",IF(EXACT(TRIM($G725),TRIM($C725)),"✅ Đúng","❌ Sai"))</f>
        <v/>
      </c>
      <c r="I725" s="56" t="inlineStr">
        <is>
          <t>▶</t>
        </is>
      </c>
      <c r="J725" s="56" t="inlineStr">
        <is>
          <t>🔍</t>
        </is>
      </c>
      <c r="R725" s="23" t="inlineStr">
        <is>
          <t>Sun Aug 02 2026</t>
        </is>
      </c>
      <c r="T725" s="58" t="inlineStr">
        <is>
          <t>然 [NHIÊN] · như vậy, đúng thế
    ↳ Chiết tự: bộ 月 (nhục – thịt) + 犬 (khuyển – chó) + 灬 (hỏa – lửa) — nghĩa gốc là đốt thịt, mượn làm đại từ
后 [HẬU] · phía sau, sau này; hoàng hậu
    ↳ Chiết tự: bộ 厂 (hán) + 一 + 口 (khẩu) — người quay ngoái lại phía sau</t>
        </is>
      </c>
      <c r="U725" s="24" t="inlineStr">
        <is>
          <t>🔗 Từ nối &amp; Trợ từ</t>
        </is>
      </c>
      <c r="V725" s="63" t="inlineStr">
        <is>
          <t>先吃饭，然后休息。</t>
        </is>
      </c>
      <c r="W725" s="64" t="inlineStr">
        <is>
          <t>Xiān chīfàn, ránhòu xiūxi.
Ăn cơm trước, sau đó nghỉ.</t>
        </is>
      </c>
    </row>
    <row r="726" ht="69.75" customHeight="1" s="99">
      <c r="A726" t="n">
        <v>700</v>
      </c>
      <c r="B726" s="84" t="inlineStr">
        <is>
          <t>HSK3</t>
        </is>
      </c>
      <c r="C726" s="85" t="inlineStr">
        <is>
          <t>热情</t>
        </is>
      </c>
      <c r="D726" s="78" t="inlineStr">
        <is>
          <t>rèqíng</t>
        </is>
      </c>
      <c r="E726" s="78" t="inlineStr">
        <is>
          <t>nhiệt tình, nồng nhiệt</t>
        </is>
      </c>
      <c r="H726" s="55">
        <f>IF(TRIM($G726)="","",IF(EXACT(TRIM($G726),TRIM($C726)),"✅ Đúng","❌ Sai"))</f>
        <v/>
      </c>
      <c r="I726" s="56" t="inlineStr">
        <is>
          <t>▶</t>
        </is>
      </c>
      <c r="J726" s="56" t="inlineStr">
        <is>
          <t>🔍</t>
        </is>
      </c>
      <c r="R726" s="23" t="inlineStr">
        <is>
          <t>Sun Aug 02 2026</t>
        </is>
      </c>
      <c r="T726" s="58" t="inlineStr">
        <is>
          <t>热 [NHIỆT] · nóng, nhiệt tình
    ↳ Chiết tự: giản thể của 熱: bộ 灬 (hỏa – lửa) + 执 (chấp – âm đọc) — lửa đốt bên dưới
情 [TÌNH] · tình cảm; tình hình
    ↳ Chiết tự: bộ 忄 (tâm đứng – trái tim) + 青 (thanh – âm đọc) — cái trong sáng của lòng người</t>
        </is>
      </c>
      <c r="U726" s="24" t="inlineStr">
        <is>
          <t>🎨 Tính từ &amp; Trạng thái</t>
        </is>
      </c>
      <c r="V726" s="63" t="inlineStr">
        <is>
          <t>他对客人很热情。</t>
        </is>
      </c>
      <c r="W726" s="64" t="inlineStr">
        <is>
          <t>Tā duì kèrén hěn rèqíng.
Anh ấy rất nhiệt tình với khách.</t>
        </is>
      </c>
    </row>
    <row r="727" ht="69.75" customHeight="1" s="99">
      <c r="A727" t="n">
        <v>701</v>
      </c>
      <c r="B727" s="84" t="inlineStr">
        <is>
          <t>HSK3</t>
        </is>
      </c>
      <c r="C727" s="85" t="inlineStr">
        <is>
          <t>认为</t>
        </is>
      </c>
      <c r="D727" s="78" t="inlineStr">
        <is>
          <t>rènwéi</t>
        </is>
      </c>
      <c r="E727" s="78" t="inlineStr">
        <is>
          <t>cho rằng, nhận định</t>
        </is>
      </c>
      <c r="H727" s="55">
        <f>IF(TRIM($G727)="","",IF(EXACT(TRIM($G727),TRIM($C727)),"✅ Đúng","❌ Sai"))</f>
        <v/>
      </c>
      <c r="I727" s="56" t="inlineStr">
        <is>
          <t>▶</t>
        </is>
      </c>
      <c r="J727" s="56" t="inlineStr">
        <is>
          <t>🔍</t>
        </is>
      </c>
      <c r="R727" s="23" t="inlineStr">
        <is>
          <t>Sun Aug 02 2026</t>
        </is>
      </c>
      <c r="T727" s="58" t="inlineStr">
        <is>
          <t>认 [NHẬN] · nhận biết, thừa nhận
    ↳ Chiết tự: giản thể của 認: bộ 讠 (ngôn – lời nói) + 人 (nhân – người) — qua lời mà nhận ra người
为 [VI / VỊ] · làm, là; vì, cho
    ↳ Chiết tự: giản thể của 為: bộ 丶 (chủ) + 力 — hình bàn tay dắt voi làm việc</t>
        </is>
      </c>
      <c r="U727" s="24" t="inlineStr">
        <is>
          <t>🏢 Thương mại &amp; Công sở</t>
        </is>
      </c>
      <c r="V727" s="63" t="inlineStr">
        <is>
          <t>我认为这个方案很好。</t>
        </is>
      </c>
      <c r="W727" s="64" t="inlineStr">
        <is>
          <t>Wǒ rènwéi zhège fāng'àn hěn hǎo.
Tôi cho rằng phương án này rất tốt.</t>
        </is>
      </c>
    </row>
    <row r="728" ht="69.75" customHeight="1" s="99">
      <c r="A728" t="n">
        <v>702</v>
      </c>
      <c r="B728" s="84" t="inlineStr">
        <is>
          <t>HSK3</t>
        </is>
      </c>
      <c r="C728" s="85" t="inlineStr">
        <is>
          <t>容易</t>
        </is>
      </c>
      <c r="D728" s="78" t="inlineStr">
        <is>
          <t>róngyì</t>
        </is>
      </c>
      <c r="E728" s="78" t="inlineStr">
        <is>
          <t>dễ, dễ dàng</t>
        </is>
      </c>
      <c r="H728" s="55">
        <f>IF(TRIM($G728)="","",IF(EXACT(TRIM($G728),TRIM($C728)),"✅ Đúng","❌ Sai"))</f>
        <v/>
      </c>
      <c r="I728" s="56" t="inlineStr">
        <is>
          <t>▶</t>
        </is>
      </c>
      <c r="J728" s="56" t="inlineStr">
        <is>
          <t>🔍</t>
        </is>
      </c>
      <c r="R728" s="23" t="inlineStr">
        <is>
          <t>Sun Aug 02 2026</t>
        </is>
      </c>
      <c r="T728" s="58" t="inlineStr">
        <is>
          <t>容 [DUNG] · chứa đựng, dung nạp; dáng
    ↳ Chiết tự: bộ 宀 (miên – mái nhà) + 谷 (cốc – hang lũng) — nhà rộng như thung lũng, chứa được
易 [DỊ / DỊCH] · dễ dàng; thay đổi
    ↳ Chiết tự: bộ 日 (nhật – mặt trời) + 勿 — hình con tắc kè đổi màu, nghĩa dễ đổi</t>
        </is>
      </c>
      <c r="U728" s="24" t="inlineStr">
        <is>
          <t>🎨 Tính từ &amp; Trạng thái</t>
        </is>
      </c>
      <c r="V728" s="63" t="inlineStr">
        <is>
          <t>这个字很容易写。</t>
        </is>
      </c>
      <c r="W728" s="64" t="inlineStr">
        <is>
          <t>Zhège zì hěn róngyì xiě.
Chữ này rất dễ viết.</t>
        </is>
      </c>
    </row>
    <row r="729" ht="69.75" customHeight="1" s="99">
      <c r="A729" t="n">
        <v>703</v>
      </c>
      <c r="B729" s="84" t="inlineStr">
        <is>
          <t>HSK3</t>
        </is>
      </c>
      <c r="C729" s="85" t="inlineStr">
        <is>
          <t>如果</t>
        </is>
      </c>
      <c r="D729" s="78" t="inlineStr">
        <is>
          <t>rúguǒ</t>
        </is>
      </c>
      <c r="E729" s="78" t="inlineStr">
        <is>
          <t>nếu như</t>
        </is>
      </c>
      <c r="H729" s="55">
        <f>IF(TRIM($G729)="","",IF(EXACT(TRIM($G729),TRIM($C729)),"✅ Đúng","❌ Sai"))</f>
        <v/>
      </c>
      <c r="I729" s="56" t="inlineStr">
        <is>
          <t>▶</t>
        </is>
      </c>
      <c r="J729" s="56" t="inlineStr">
        <is>
          <t>🔍</t>
        </is>
      </c>
      <c r="R729" s="23" t="inlineStr">
        <is>
          <t>Sun Aug 02 2026</t>
        </is>
      </c>
      <c r="T729" s="58" t="inlineStr">
        <is>
          <t>如 [NHƯ] · như, giống như; nếu
    ↳ Chiết tự: bộ 女 (nữ – phụ nữ) + 口 (khẩu – miệng) — làm theo đúng lời
果 [QUẢ] · quả, kết quả, quả nhiên
    ↳ Chiết tự: bộ 木 (mộc – cây) + 田 (điền – hình quả tròn) — cây kết trái trên ngọn</t>
        </is>
      </c>
      <c r="U729" s="24" t="inlineStr">
        <is>
          <t>🔗 Từ nối &amp; Trợ từ</t>
        </is>
      </c>
      <c r="V729" s="63" t="inlineStr">
        <is>
          <t>如果下雨，我就不去。</t>
        </is>
      </c>
      <c r="W729" s="64" t="inlineStr">
        <is>
          <t>Rúguǒ xià yǔ, wǒ jiù bú qù.
Nếu mưa thì tôi không đi.</t>
        </is>
      </c>
    </row>
    <row r="730" ht="34.9" customHeight="1" s="99">
      <c r="A730" t="n">
        <v>704</v>
      </c>
      <c r="B730" s="84" t="inlineStr">
        <is>
          <t>HSK3</t>
        </is>
      </c>
      <c r="C730" s="85" t="inlineStr">
        <is>
          <t>伞</t>
        </is>
      </c>
      <c r="D730" s="78" t="inlineStr">
        <is>
          <t>sǎn</t>
        </is>
      </c>
      <c r="E730" s="78" t="inlineStr">
        <is>
          <t>cái dù, cái ô</t>
        </is>
      </c>
      <c r="H730" s="55">
        <f>IF(TRIM($G730)="","",IF(EXACT(TRIM($G730),TRIM($C730)),"✅ Đúng","❌ Sai"))</f>
        <v/>
      </c>
      <c r="I730" s="56" t="inlineStr">
        <is>
          <t>▶</t>
        </is>
      </c>
      <c r="J730" s="56" t="inlineStr">
        <is>
          <t>🔍</t>
        </is>
      </c>
      <c r="R730" s="23" t="inlineStr">
        <is>
          <t>Sun Aug 02 2026</t>
        </is>
      </c>
      <c r="T730" s="58" t="inlineStr">
        <is>
          <t>伞 [TÁN] · cái dù, cái ô
    ↳ Chiết tự: giản thể của 傘: bộ 人 (nhân – mái che) + 十 — hình cây dù bung ra</t>
        </is>
      </c>
      <c r="U730" s="24" t="inlineStr">
        <is>
          <t>🏠 Nhà cửa &amp; Đồ vật</t>
        </is>
      </c>
      <c r="V730" s="63" t="inlineStr">
        <is>
          <t>下雨了，带把伞吧。</t>
        </is>
      </c>
      <c r="W730" s="64" t="inlineStr">
        <is>
          <t>Xià yǔ le, dài bǎ sǎn ba.
Mưa rồi, mang theo cái dù đi.</t>
        </is>
      </c>
    </row>
    <row r="731" ht="69.75" customHeight="1" s="99">
      <c r="A731" t="n">
        <v>705</v>
      </c>
      <c r="B731" s="84" t="inlineStr">
        <is>
          <t>HSK3</t>
        </is>
      </c>
      <c r="C731" s="85" t="inlineStr">
        <is>
          <t>声音</t>
        </is>
      </c>
      <c r="D731" s="78" t="inlineStr">
        <is>
          <t>shēngyīn</t>
        </is>
      </c>
      <c r="E731" s="78" t="inlineStr">
        <is>
          <t>âm thanh, tiếng</t>
        </is>
      </c>
      <c r="H731" s="55">
        <f>IF(TRIM($G731)="","",IF(EXACT(TRIM($G731),TRIM($C731)),"✅ Đúng","❌ Sai"))</f>
        <v/>
      </c>
      <c r="I731" s="56" t="inlineStr">
        <is>
          <t>▶</t>
        </is>
      </c>
      <c r="J731" s="56" t="inlineStr">
        <is>
          <t>🔍</t>
        </is>
      </c>
      <c r="R731" s="23" t="inlineStr">
        <is>
          <t>Sun Aug 02 2026</t>
        </is>
      </c>
      <c r="T731" s="58" t="inlineStr">
        <is>
          <t>声 [THANH] · âm thanh, tiếng
    ↳ Chiết tự: giản thể của 聲: bộ 士 (sĩ) + 尸 — phồn thể có 耳 (nhĩ – tai), tiếng vào tai
音 [ÂM] · âm thanh, tiếng nói
    ↳ Chiết tự: bộ 音 (âm) — hình cái sáo phát tiếng, thêm vạch ở miệng</t>
        </is>
      </c>
      <c r="U731" s="24" t="inlineStr">
        <is>
          <t>💬 Giao tiếp &amp; Lễ nghi</t>
        </is>
      </c>
      <c r="V731" s="63" t="inlineStr">
        <is>
          <t>她的声音很好听。</t>
        </is>
      </c>
      <c r="W731" s="64" t="inlineStr">
        <is>
          <t>Tā de shēngyīn hěn hǎotīng.
Giọng cô ấy rất hay.</t>
        </is>
      </c>
    </row>
    <row r="732" ht="58.15" customHeight="1" s="99">
      <c r="A732" t="n">
        <v>706</v>
      </c>
      <c r="B732" s="84" t="inlineStr">
        <is>
          <t>HSK3</t>
        </is>
      </c>
      <c r="C732" s="85" t="inlineStr">
        <is>
          <t>世界</t>
        </is>
      </c>
      <c r="D732" s="78" t="inlineStr">
        <is>
          <t>shìjiè</t>
        </is>
      </c>
      <c r="E732" s="78" t="inlineStr">
        <is>
          <t>thế giới</t>
        </is>
      </c>
      <c r="H732" s="55">
        <f>IF(TRIM($G732)="","",IF(EXACT(TRIM($G732),TRIM($C732)),"✅ Đúng","❌ Sai"))</f>
        <v/>
      </c>
      <c r="I732" s="56" t="inlineStr">
        <is>
          <t>▶</t>
        </is>
      </c>
      <c r="J732" s="56" t="inlineStr">
        <is>
          <t>🔍</t>
        </is>
      </c>
      <c r="R732" s="23" t="inlineStr">
        <is>
          <t>Sun Aug 02 2026</t>
        </is>
      </c>
      <c r="T732" s="58" t="inlineStr">
        <is>
          <t>世 [THẾ] · đời, thế hệ, thế giới
    ↳ Chiết tự: bộ 一 (nhất) + 廿 — ba mươi năm là một đời người
界 [GIỚI] · ranh giới, thế giới
    ↳ Chiết tự: bộ 田 (điền – ruộng) + 介 (giới – ở giữa) — vạch chia giữa các ruộng</t>
        </is>
      </c>
      <c r="U732" s="24" t="inlineStr">
        <is>
          <t>🚗 Giao thông &amp; Địa điểm</t>
        </is>
      </c>
      <c r="V732" s="63" t="inlineStr">
        <is>
          <t>我想去看世界。</t>
        </is>
      </c>
      <c r="W732" s="64" t="inlineStr">
        <is>
          <t>Wǒ xiǎng qù kàn shìjiè.
Tôi muốn đi ngắm thế giới.</t>
        </is>
      </c>
    </row>
    <row r="733" ht="34.9" customHeight="1" s="99">
      <c r="A733" t="n">
        <v>707</v>
      </c>
      <c r="B733" s="84" t="inlineStr">
        <is>
          <t>HSK3</t>
        </is>
      </c>
      <c r="C733" s="85" t="inlineStr">
        <is>
          <t>瘦</t>
        </is>
      </c>
      <c r="D733" s="78" t="inlineStr">
        <is>
          <t>shòu</t>
        </is>
      </c>
      <c r="E733" s="78" t="inlineStr">
        <is>
          <t>gầy; chật</t>
        </is>
      </c>
      <c r="H733" s="55">
        <f>IF(TRIM($G733)="","",IF(EXACT(TRIM($G733),TRIM($C733)),"✅ Đúng","❌ Sai"))</f>
        <v/>
      </c>
      <c r="I733" s="56" t="inlineStr">
        <is>
          <t>▶</t>
        </is>
      </c>
      <c r="J733" s="56" t="inlineStr">
        <is>
          <t>🔍</t>
        </is>
      </c>
      <c r="R733" s="23" t="inlineStr">
        <is>
          <t>Sun Aug 02 2026</t>
        </is>
      </c>
      <c r="T733" s="58" t="inlineStr">
        <is>
          <t>瘦 [SẤU] · gầy, ốm; chật
    ↳ Chiết tự: bộ 疒 (nạch – bệnh) + 叟 (tẩu – ông già) — người bệnh gầy như cụ già</t>
        </is>
      </c>
      <c r="U733" s="24" t="inlineStr">
        <is>
          <t>🎨 Tính từ &amp; Trạng thái</t>
        </is>
      </c>
      <c r="V733" s="63" t="inlineStr">
        <is>
          <t>他比以前瘦了。</t>
        </is>
      </c>
      <c r="W733" s="64" t="inlineStr">
        <is>
          <t>Tā bǐ yǐqián shòu le.
Anh ấy gầy hơn trước.</t>
        </is>
      </c>
    </row>
    <row r="734" ht="46.5" customHeight="1" s="99">
      <c r="A734" t="n">
        <v>708</v>
      </c>
      <c r="B734" s="84" t="inlineStr">
        <is>
          <t>HSK3</t>
        </is>
      </c>
      <c r="C734" s="85" t="inlineStr">
        <is>
          <t>叔叔</t>
        </is>
      </c>
      <c r="D734" s="78" t="inlineStr">
        <is>
          <t>shūshu</t>
        </is>
      </c>
      <c r="E734" s="78" t="inlineStr">
        <is>
          <t>chú, bác (em trai của bố)</t>
        </is>
      </c>
      <c r="H734" s="55">
        <f>IF(TRIM($G734)="","",IF(EXACT(TRIM($G734),TRIM($C734)),"✅ Đúng","❌ Sai"))</f>
        <v/>
      </c>
      <c r="I734" s="56" t="inlineStr">
        <is>
          <t>▶</t>
        </is>
      </c>
      <c r="J734" s="56" t="inlineStr">
        <is>
          <t>🔍</t>
        </is>
      </c>
      <c r="R734" s="23" t="inlineStr">
        <is>
          <t>Sun Aug 02 2026</t>
        </is>
      </c>
      <c r="T734" s="58" t="inlineStr">
        <is>
          <t>叔 [THÚC] · chú (em trai của bố)
    ↳ Chiết tự: bộ 又 (hựu – bàn tay) + 小 — người em nhỏ trong họ
叔 [THÚC] · chú (em trai của bố)
    ↳ Chiết tự: bộ 又 (hựu – bàn tay) + 小 — người em nhỏ trong họ</t>
        </is>
      </c>
      <c r="U734" s="24" t="inlineStr">
        <is>
          <t>👨‍👩‍👧 Gia đình &amp; Con người</t>
        </is>
      </c>
      <c r="V734" s="63" t="inlineStr">
        <is>
          <t>叔叔在银行工作。</t>
        </is>
      </c>
      <c r="W734" s="64" t="inlineStr">
        <is>
          <t>Shūshu zài yínháng gōngzuò.
Chú làm việc ở ngân hàng.</t>
        </is>
      </c>
    </row>
    <row r="735" ht="69.75" customHeight="1" s="99">
      <c r="A735" t="n">
        <v>709</v>
      </c>
      <c r="B735" s="84" t="inlineStr">
        <is>
          <t>HSK3</t>
        </is>
      </c>
      <c r="C735" s="85" t="inlineStr">
        <is>
          <t>舒服</t>
        </is>
      </c>
      <c r="D735" s="78" t="inlineStr">
        <is>
          <t>shūfu</t>
        </is>
      </c>
      <c r="E735" s="78" t="inlineStr">
        <is>
          <t>dễ chịu, thoải mái</t>
        </is>
      </c>
      <c r="H735" s="55">
        <f>IF(TRIM($G735)="","",IF(EXACT(TRIM($G735),TRIM($C735)),"✅ Đúng","❌ Sai"))</f>
        <v/>
      </c>
      <c r="I735" s="56" t="inlineStr">
        <is>
          <t>▶</t>
        </is>
      </c>
      <c r="J735" s="56" t="inlineStr">
        <is>
          <t>🔍</t>
        </is>
      </c>
      <c r="R735" s="23" t="inlineStr">
        <is>
          <t>Sun Aug 02 2026</t>
        </is>
      </c>
      <c r="T735" s="58" t="inlineStr">
        <is>
          <t>舒 [THƯ] · thư thái, dễ chịu
    ↳ Chiết tự: bộ 舍 (xá – nhà) + 予 (dữ – cho) — ở nhà mình, thoải mái
服 [PHỤC] · quần áo; phục tùng; uống thuốc
    ↳ Chiết tự: bộ 月 (nhục – thân người) + 卩 (tiết) + 又 (hựu – tay) — tay khoác lên thân</t>
        </is>
      </c>
      <c r="U735" s="24" t="inlineStr">
        <is>
          <t>🎨 Tính từ &amp; Trạng thái</t>
        </is>
      </c>
      <c r="V735" s="63" t="inlineStr">
        <is>
          <t>我今天不太舒服。</t>
        </is>
      </c>
      <c r="W735" s="64" t="inlineStr">
        <is>
          <t>Wǒ jīntiān bú tài shūfu.
Hôm nay tôi không được dễ chịu.</t>
        </is>
      </c>
    </row>
    <row r="736" ht="69.75" customHeight="1" s="99">
      <c r="A736" t="n">
        <v>710</v>
      </c>
      <c r="B736" s="84" t="inlineStr">
        <is>
          <t>HSK3</t>
        </is>
      </c>
      <c r="C736" s="85" t="inlineStr">
        <is>
          <t>数学</t>
        </is>
      </c>
      <c r="D736" s="78" t="inlineStr">
        <is>
          <t>shùxué</t>
        </is>
      </c>
      <c r="E736" s="78" t="inlineStr">
        <is>
          <t>môn toán</t>
        </is>
      </c>
      <c r="H736" s="55">
        <f>IF(TRIM($G736)="","",IF(EXACT(TRIM($G736),TRIM($C736)),"✅ Đúng","❌ Sai"))</f>
        <v/>
      </c>
      <c r="I736" s="56" t="inlineStr">
        <is>
          <t>▶</t>
        </is>
      </c>
      <c r="J736" s="56" t="inlineStr">
        <is>
          <t>🔍</t>
        </is>
      </c>
      <c r="R736" s="23" t="inlineStr">
        <is>
          <t>Sun Aug 02 2026</t>
        </is>
      </c>
      <c r="T736" s="58" t="inlineStr">
        <is>
          <t>数 [SỐ / SỔ] · số, con số; đếm
    ↳ Chiết tự: giản thể của 數: bộ 攵 (phộc – tay đánh) + 娄 (lâu – âm đọc) — tay gõ mà đếm
学 [HỌC] · học tập, trường học
    ↳ Chiết tự: giản thể của 學: bộ 冖 (mịch – mái che) + 子 (tử – trẻ) — trẻ được dạy dưới mái nhà</t>
        </is>
      </c>
      <c r="U736" s="24" t="inlineStr">
        <is>
          <t>🏫 Học tập &amp; Trường lớp</t>
        </is>
      </c>
      <c r="V736" s="63" t="inlineStr">
        <is>
          <t>我最喜欢数学。</t>
        </is>
      </c>
      <c r="W736" s="64" t="inlineStr">
        <is>
          <t>Wǒ zuì xǐhuan shùxué.
Tôi thích toán nhất.</t>
        </is>
      </c>
    </row>
    <row r="737" ht="58.15" customHeight="1" s="99">
      <c r="A737" t="n">
        <v>711</v>
      </c>
      <c r="B737" s="84" t="inlineStr">
        <is>
          <t>HSK3</t>
        </is>
      </c>
      <c r="C737" s="85" t="inlineStr">
        <is>
          <t>刷牙</t>
        </is>
      </c>
      <c r="D737" s="78" t="inlineStr">
        <is>
          <t>shuā yá</t>
        </is>
      </c>
      <c r="E737" s="78" t="inlineStr">
        <is>
          <t>đánh răng</t>
        </is>
      </c>
      <c r="H737" s="55">
        <f>IF(TRIM($G737)="","",IF(EXACT(TRIM($G737),TRIM($C737)),"✅ Đúng","❌ Sai"))</f>
        <v/>
      </c>
      <c r="I737" s="56" t="inlineStr">
        <is>
          <t>▶</t>
        </is>
      </c>
      <c r="J737" s="56" t="inlineStr">
        <is>
          <t>🔍</t>
        </is>
      </c>
      <c r="R737" s="23" t="inlineStr">
        <is>
          <t>Sun Aug 02 2026</t>
        </is>
      </c>
      <c r="T737" s="58" t="inlineStr">
        <is>
          <t>刷 [SOÁT] · bàn chải, cọ rửa
    ↳ Chiết tự: bộ 刂 (đao đứng – dao) + 尸 + 巾 (cân – vải) — dùng vải/dao cạo sạch
牙 [NHA] · cái răng
    ↳ Chiết tự: bộ 牙 (nha) — hình hai hàng răng khớp nhau</t>
        </is>
      </c>
      <c r="U737" s="24" t="inlineStr">
        <is>
          <t>🏃 Động từ thường ngày</t>
        </is>
      </c>
      <c r="V737" s="63" t="inlineStr">
        <is>
          <t>我每天早上刷牙。</t>
        </is>
      </c>
      <c r="W737" s="64" t="inlineStr">
        <is>
          <t>Wǒ měitiān zǎoshang shuā yá.
Sáng nào tôi cũng đánh răng.</t>
        </is>
      </c>
    </row>
    <row r="738" ht="34.9" customHeight="1" s="99">
      <c r="A738" t="n">
        <v>712</v>
      </c>
      <c r="B738" s="84" t="inlineStr">
        <is>
          <t>HSK3</t>
        </is>
      </c>
      <c r="C738" s="85" t="inlineStr">
        <is>
          <t>双</t>
        </is>
      </c>
      <c r="D738" s="78" t="inlineStr">
        <is>
          <t>shuāng</t>
        </is>
      </c>
      <c r="E738" s="78" t="inlineStr">
        <is>
          <t>đôi, cặp (lượng từ)</t>
        </is>
      </c>
      <c r="H738" s="55">
        <f>IF(TRIM($G738)="","",IF(EXACT(TRIM($G738),TRIM($C738)),"✅ Đúng","❌ Sai"))</f>
        <v/>
      </c>
      <c r="I738" s="56" t="inlineStr">
        <is>
          <t>▶</t>
        </is>
      </c>
      <c r="J738" s="56" t="inlineStr">
        <is>
          <t>🔍</t>
        </is>
      </c>
      <c r="R738" s="23" t="inlineStr">
        <is>
          <t>Sun Aug 02 2026</t>
        </is>
      </c>
      <c r="T738" s="58" t="inlineStr">
        <is>
          <t>双 [SONG] · đôi, cặp
    ↳ Chiết tự: giản thể của 雙: hai bộ 又 (hựu – bàn tay) — hai tay là một đôi</t>
        </is>
      </c>
      <c r="U738" s="24" t="inlineStr">
        <is>
          <t>🔢 Số đếm &amp; Lượng từ</t>
        </is>
      </c>
      <c r="V738" s="63" t="inlineStr">
        <is>
          <t>我买了一双皮鞋。</t>
        </is>
      </c>
      <c r="W738" s="64" t="inlineStr">
        <is>
          <t>Wǒ mǎi le yì shuāng píxié.
Tôi mua một đôi giày da.</t>
        </is>
      </c>
    </row>
    <row r="739" ht="46.5" customHeight="1" s="99">
      <c r="A739" t="n">
        <v>713</v>
      </c>
      <c r="B739" s="84" t="inlineStr">
        <is>
          <t>HSK3</t>
        </is>
      </c>
      <c r="C739" s="85" t="inlineStr">
        <is>
          <t>水平</t>
        </is>
      </c>
      <c r="D739" s="78" t="inlineStr">
        <is>
          <t>shuǐpíng</t>
        </is>
      </c>
      <c r="E739" s="78" t="inlineStr">
        <is>
          <t>trình độ, mức độ</t>
        </is>
      </c>
      <c r="H739" s="55">
        <f>IF(TRIM($G739)="","",IF(EXACT(TRIM($G739),TRIM($C739)),"✅ Đúng","❌ Sai"))</f>
        <v/>
      </c>
      <c r="I739" s="56" t="inlineStr">
        <is>
          <t>▶</t>
        </is>
      </c>
      <c r="J739" s="56" t="inlineStr">
        <is>
          <t>🔍</t>
        </is>
      </c>
      <c r="R739" s="23" t="inlineStr">
        <is>
          <t>Sun Aug 02 2026</t>
        </is>
      </c>
      <c r="T739" s="58" t="inlineStr">
        <is>
          <t>水 [THỦY] · nước
    ↳ Chiết tự: bộ 水 (thủy) — hình dòng nước chảy có nhánh
平 [BÌNH] · bằng phẳng, bình thường
    ↳ Chiết tự: bộ 干 (can) + 丷 (bát) — hình mặt nước phẳng lặng</t>
        </is>
      </c>
      <c r="U739" s="24" t="inlineStr">
        <is>
          <t>🏢 Thương mại &amp; Công sở</t>
        </is>
      </c>
      <c r="V739" s="63" t="inlineStr">
        <is>
          <t>他的汉语水平很高。</t>
        </is>
      </c>
      <c r="W739" s="64" t="inlineStr">
        <is>
          <t>Tā de Hànyǔ shuǐpíng hěn gāo.
Trình độ tiếng Hán của anh ấy rất cao.</t>
        </is>
      </c>
    </row>
    <row r="740" ht="58.15" customHeight="1" s="99">
      <c r="A740" t="n">
        <v>714</v>
      </c>
      <c r="B740" s="84" t="inlineStr">
        <is>
          <t>HSK3</t>
        </is>
      </c>
      <c r="C740" s="85" t="inlineStr">
        <is>
          <t>司机</t>
        </is>
      </c>
      <c r="D740" s="78" t="inlineStr">
        <is>
          <t>sījī</t>
        </is>
      </c>
      <c r="E740" s="78" t="inlineStr">
        <is>
          <t>tài xế</t>
        </is>
      </c>
      <c r="H740" s="55">
        <f>IF(TRIM($G740)="","",IF(EXACT(TRIM($G740),TRIM($C740)),"✅ Đúng","❌ Sai"))</f>
        <v/>
      </c>
      <c r="I740" s="56" t="inlineStr">
        <is>
          <t>▶</t>
        </is>
      </c>
      <c r="J740" s="56" t="inlineStr">
        <is>
          <t>🔍</t>
        </is>
      </c>
      <c r="R740" s="23" t="inlineStr">
        <is>
          <t>Sun Aug 02 2026</t>
        </is>
      </c>
      <c r="T740" s="58" t="inlineStr">
        <is>
          <t>司 [TY] · quản lý, cơ quan (公司 = công ty)
    ↳ Chiết tự: bộ 口 (khẩu – miệng) + 乛 — người cầm lệnh phát ngôn
机 [CƠ] · máy móc; cơ hội
    ↳ Chiết tự: giản thể của 機: bộ 木 (mộc – gỗ) + 几 (kỷ – âm đọc) — khung cửi bằng gỗ</t>
        </is>
      </c>
      <c r="U740" s="24" t="inlineStr">
        <is>
          <t>🚗 Giao thông &amp; Địa điểm</t>
        </is>
      </c>
      <c r="V740" s="63" t="inlineStr">
        <is>
          <t>司机开得很快。</t>
        </is>
      </c>
      <c r="W740" s="64" t="inlineStr">
        <is>
          <t>Sījī kāi de hěn kuài.
Tài xế lái rất nhanh.</t>
        </is>
      </c>
    </row>
    <row r="741" ht="69.75" customHeight="1" s="99">
      <c r="A741" t="n">
        <v>715</v>
      </c>
      <c r="B741" s="84" t="inlineStr">
        <is>
          <t>HSK3</t>
        </is>
      </c>
      <c r="C741" s="85" t="inlineStr">
        <is>
          <t>太阳</t>
        </is>
      </c>
      <c r="D741" s="78" t="inlineStr">
        <is>
          <t>tàiyáng</t>
        </is>
      </c>
      <c r="E741" s="78" t="inlineStr">
        <is>
          <t>mặt trời</t>
        </is>
      </c>
      <c r="H741" s="55">
        <f>IF(TRIM($G741)="","",IF(EXACT(TRIM($G741),TRIM($C741)),"✅ Đúng","❌ Sai"))</f>
        <v/>
      </c>
      <c r="I741" s="56" t="inlineStr">
        <is>
          <t>▶</t>
        </is>
      </c>
      <c r="J741" s="56" t="inlineStr">
        <is>
          <t>🔍</t>
        </is>
      </c>
      <c r="R741" s="23" t="inlineStr">
        <is>
          <t>Sun Aug 02 2026</t>
        </is>
      </c>
      <c r="T741" s="58" t="inlineStr">
        <is>
          <t>太 [THÁI] · quá, rất; cao nhất
    ↳ Chiết tự: bộ 大 (đại – lớn) + 丶 (chủ – dấu chấm) — lớn hơn cả lớn
阳 [DƯƠNG] · mặt trời, dương
    ↳ Chiết tự: giản thể của 陽: bộ 阝 (phụ – gò đất) + 日 (nhật – mặt trời) — sườn đồi phía có nắng</t>
        </is>
      </c>
      <c r="U741" s="24" t="inlineStr">
        <is>
          <t>🌤️ Thiên nhiên &amp; Thời tiết</t>
        </is>
      </c>
      <c r="V741" s="63" t="inlineStr">
        <is>
          <t>今天太阳很大。</t>
        </is>
      </c>
      <c r="W741" s="64" t="inlineStr">
        <is>
          <t>Jīntiān tàiyáng hěn dà.
Hôm nay nắng rất to.</t>
        </is>
      </c>
    </row>
    <row r="742" ht="69.75" customHeight="1" s="99">
      <c r="A742" t="n">
        <v>716</v>
      </c>
      <c r="B742" s="84" t="inlineStr">
        <is>
          <t>HSK3</t>
        </is>
      </c>
      <c r="C742" s="85" t="inlineStr">
        <is>
          <t>特别</t>
        </is>
      </c>
      <c r="D742" s="78" t="inlineStr">
        <is>
          <t>tèbié</t>
        </is>
      </c>
      <c r="E742" s="78" t="inlineStr">
        <is>
          <t>đặc biệt, rất</t>
        </is>
      </c>
      <c r="H742" s="55">
        <f>IF(TRIM($G742)="","",IF(EXACT(TRIM($G742),TRIM($C742)),"✅ Đúng","❌ Sai"))</f>
        <v/>
      </c>
      <c r="I742" s="56" t="inlineStr">
        <is>
          <t>▶</t>
        </is>
      </c>
      <c r="J742" s="56" t="inlineStr">
        <is>
          <t>🔍</t>
        </is>
      </c>
      <c r="R742" s="23" t="inlineStr">
        <is>
          <t>Sun Aug 02 2026</t>
        </is>
      </c>
      <c r="T742" s="58" t="inlineStr">
        <is>
          <t>特 [ĐẶC] · đặc biệt, riêng
    ↳ Chiết tự: bộ 牜 (ngưu – con trâu) + 寺 (tự – âm đọc) — con trâu đực riêng biệt
别 [BIỆT] · chia lìa, khác biệt; đừng
    ↳ Chiết tự: bộ 另 (lánh – khác) + 刂 (đao đứng – dao) — dùng dao tách xương ra riêng</t>
        </is>
      </c>
      <c r="U742" s="24" t="inlineStr">
        <is>
          <t>🎨 Tính từ &amp; Trạng thái</t>
        </is>
      </c>
      <c r="V742" s="63" t="inlineStr">
        <is>
          <t>这个菜特别好吃。</t>
        </is>
      </c>
      <c r="W742" s="64" t="inlineStr">
        <is>
          <t>Zhège cài tèbié hǎochī.
Món này đặc biệt ngon.</t>
        </is>
      </c>
    </row>
    <row r="743" ht="34.9" customHeight="1" s="99">
      <c r="A743" t="n">
        <v>717</v>
      </c>
      <c r="B743" s="84" t="inlineStr">
        <is>
          <t>HSK3</t>
        </is>
      </c>
      <c r="C743" s="85" t="inlineStr">
        <is>
          <t>疼</t>
        </is>
      </c>
      <c r="D743" s="78" t="inlineStr">
        <is>
          <t>téng</t>
        </is>
      </c>
      <c r="E743" s="78" t="inlineStr">
        <is>
          <t>đau, nhức</t>
        </is>
      </c>
      <c r="H743" s="55">
        <f>IF(TRIM($G743)="","",IF(EXACT(TRIM($G743),TRIM($C743)),"✅ Đúng","❌ Sai"))</f>
        <v/>
      </c>
      <c r="I743" s="56" t="inlineStr">
        <is>
          <t>▶</t>
        </is>
      </c>
      <c r="J743" s="56" t="inlineStr">
        <is>
          <t>🔍</t>
        </is>
      </c>
      <c r="R743" s="23" t="inlineStr">
        <is>
          <t>Sun Aug 02 2026</t>
        </is>
      </c>
      <c r="T743" s="58" t="inlineStr">
        <is>
          <t>疼 [ĐAU (ĐẰNG)] · đau, nhức; thương yêu
    ↳ Chiết tự: bộ 疒 (nạch – bệnh) + 冬 (đông – âm đọc) — bệnh buốt như mùa đông</t>
        </is>
      </c>
      <c r="U743" s="24" t="inlineStr">
        <is>
          <t>⚕️ Sức khỏe &amp; Cơ thể</t>
        </is>
      </c>
      <c r="V743" s="63" t="inlineStr">
        <is>
          <t>我的头很疼。</t>
        </is>
      </c>
      <c r="W743" s="64" t="inlineStr">
        <is>
          <t>Wǒ de tóu hěn téng.
Đầu tôi rất đau.</t>
        </is>
      </c>
    </row>
    <row r="744" ht="46.5" customHeight="1" s="99">
      <c r="A744" t="n">
        <v>718</v>
      </c>
      <c r="B744" s="84" t="inlineStr">
        <is>
          <t>HSK3</t>
        </is>
      </c>
      <c r="C744" s="85" t="inlineStr">
        <is>
          <t>提高</t>
        </is>
      </c>
      <c r="D744" s="78" t="inlineStr">
        <is>
          <t>tígāo</t>
        </is>
      </c>
      <c r="E744" s="78" t="inlineStr">
        <is>
          <t>nâng cao, cải thiện</t>
        </is>
      </c>
      <c r="H744" s="55">
        <f>IF(TRIM($G744)="","",IF(EXACT(TRIM($G744),TRIM($C744)),"✅ Đúng","❌ Sai"))</f>
        <v/>
      </c>
      <c r="I744" s="56" t="inlineStr">
        <is>
          <t>▶</t>
        </is>
      </c>
      <c r="J744" s="56" t="inlineStr">
        <is>
          <t>🔍</t>
        </is>
      </c>
      <c r="R744" s="23" t="inlineStr">
        <is>
          <t>Sun Aug 02 2026</t>
        </is>
      </c>
      <c r="T744" s="58" t="inlineStr">
        <is>
          <t>提 [ĐỀ] · nâng lên, đề cập
    ↳ Chiết tự: bộ 扌 (thủ – tay) + 是 (thị – âm đọc) — tay xách nâng lên
高 [CAO] · cao, cao lớn
    ↳ Chiết tự: bộ 高 (cao) — hình tòa lầu nhiều tầng</t>
        </is>
      </c>
      <c r="U744" s="24" t="inlineStr">
        <is>
          <t>🏢 Thương mại &amp; Công sở</t>
        </is>
      </c>
      <c r="V744" s="63" t="inlineStr">
        <is>
          <t>我想提高汉语水平。</t>
        </is>
      </c>
      <c r="W744" s="64" t="inlineStr">
        <is>
          <t>Wǒ xiǎng tígāo Hànyǔ shuǐpíng.
Tôi muốn nâng cao trình độ tiếng Hán.</t>
        </is>
      </c>
    </row>
    <row r="745" ht="58.15" customHeight="1" s="99">
      <c r="A745" t="n">
        <v>719</v>
      </c>
      <c r="B745" s="84" t="inlineStr">
        <is>
          <t>HSK3</t>
        </is>
      </c>
      <c r="C745" s="85" t="inlineStr">
        <is>
          <t>体育</t>
        </is>
      </c>
      <c r="D745" s="78" t="inlineStr">
        <is>
          <t>tǐyù</t>
        </is>
      </c>
      <c r="E745" s="78" t="inlineStr">
        <is>
          <t>thể dục, thể thao</t>
        </is>
      </c>
      <c r="H745" s="55">
        <f>IF(TRIM($G745)="","",IF(EXACT(TRIM($G745),TRIM($C745)),"✅ Đúng","❌ Sai"))</f>
        <v/>
      </c>
      <c r="I745" s="56" t="inlineStr">
        <is>
          <t>▶</t>
        </is>
      </c>
      <c r="J745" s="56" t="inlineStr">
        <is>
          <t>🔍</t>
        </is>
      </c>
      <c r="R745" s="23" t="inlineStr">
        <is>
          <t>Sun Aug 02 2026</t>
        </is>
      </c>
      <c r="T745" s="58" t="inlineStr">
        <is>
          <t>体 [THỂ] · thân thể, hình thể
    ↳ Chiết tự: giản thể của 體: bộ 亻 (nhân đứng – người) + 本 (bản – gốc) — cái gốc của con người
育 [DỤC] · nuôi dưỡng, giáo dục
    ↳ Chiết tự: bộ 月/肉 (nhục – thịt) + 亠 — mẹ sinh con và nuôi lớn</t>
        </is>
      </c>
      <c r="U745" s="24" t="inlineStr">
        <is>
          <t>🏫 Học tập &amp; Trường lớp</t>
        </is>
      </c>
      <c r="V745" s="63" t="inlineStr">
        <is>
          <t>我喜欢上体育课。</t>
        </is>
      </c>
      <c r="W745" s="64" t="inlineStr">
        <is>
          <t>Wǒ xǐhuan shàng tǐyù kè.
Tôi thích học tiết thể dục.</t>
        </is>
      </c>
    </row>
    <row r="746" ht="34.9" customHeight="1" s="99">
      <c r="A746" t="n">
        <v>720</v>
      </c>
      <c r="B746" s="84" t="inlineStr">
        <is>
          <t>HSK3</t>
        </is>
      </c>
      <c r="C746" s="85" t="inlineStr">
        <is>
          <t>甜</t>
        </is>
      </c>
      <c r="D746" s="78" t="inlineStr">
        <is>
          <t>tián</t>
        </is>
      </c>
      <c r="E746" s="78" t="inlineStr">
        <is>
          <t>ngọt</t>
        </is>
      </c>
      <c r="H746" s="55">
        <f>IF(TRIM($G746)="","",IF(EXACT(TRIM($G746),TRIM($C746)),"✅ Đúng","❌ Sai"))</f>
        <v/>
      </c>
      <c r="I746" s="56" t="inlineStr">
        <is>
          <t>▶</t>
        </is>
      </c>
      <c r="J746" s="56" t="inlineStr">
        <is>
          <t>🔍</t>
        </is>
      </c>
      <c r="R746" s="23" t="inlineStr">
        <is>
          <t>Sun Aug 02 2026</t>
        </is>
      </c>
      <c r="T746" s="58" t="inlineStr">
        <is>
          <t>甜 [ĐIỀM] · ngọt, ngon ngọt
    ↳ Chiết tự: bộ 舌 (thiệt – cái lưỡi) + 甘 (cam – ngọt) — lưỡi nếm thấy ngọt</t>
        </is>
      </c>
      <c r="U746" s="24" t="inlineStr">
        <is>
          <t>🍜 Ăn uống</t>
        </is>
      </c>
      <c r="V746" s="63" t="inlineStr">
        <is>
          <t>这个西瓜很甜。</t>
        </is>
      </c>
      <c r="W746" s="64" t="inlineStr">
        <is>
          <t>Zhège xīguā hěn tián.
Quả dưa hấu này rất ngọt.</t>
        </is>
      </c>
    </row>
    <row r="747" ht="34.9" customHeight="1" s="99">
      <c r="A747" t="n">
        <v>721</v>
      </c>
      <c r="B747" s="84" t="inlineStr">
        <is>
          <t>HSK3</t>
        </is>
      </c>
      <c r="C747" s="85" t="inlineStr">
        <is>
          <t>条</t>
        </is>
      </c>
      <c r="D747" s="78" t="inlineStr">
        <is>
          <t>tiáo</t>
        </is>
      </c>
      <c r="E747" s="78" t="inlineStr">
        <is>
          <t>sợi, cái (lượng từ vật dài)</t>
        </is>
      </c>
      <c r="H747" s="55">
        <f>IF(TRIM($G747)="","",IF(EXACT(TRIM($G747),TRIM($C747)),"✅ Đúng","❌ Sai"))</f>
        <v/>
      </c>
      <c r="I747" s="56" t="inlineStr">
        <is>
          <t>▶</t>
        </is>
      </c>
      <c r="J747" s="56" t="inlineStr">
        <is>
          <t>🔍</t>
        </is>
      </c>
      <c r="R747" s="23" t="inlineStr">
        <is>
          <t>Sun Aug 02 2026</t>
        </is>
      </c>
      <c r="T747" s="58" t="inlineStr">
        <is>
          <t>条 [ĐIỀU] · điều khoản; sợi, dải (lượng từ)
    ↳ Chiết tự: giản thể của 條: bộ 攸 (du) + 木 (mộc – cây) — nhánh cây nhỏ và dài</t>
        </is>
      </c>
      <c r="U747" s="24" t="inlineStr">
        <is>
          <t>🔢 Số đếm &amp; Lượng từ</t>
        </is>
      </c>
      <c r="V747" s="63" t="inlineStr">
        <is>
          <t>我买了两条裤子。</t>
        </is>
      </c>
      <c r="W747" s="64" t="inlineStr">
        <is>
          <t>Wǒ mǎi le liǎng tiáo kùzi.
Tôi mua hai chiếc quần.</t>
        </is>
      </c>
    </row>
    <row r="748" hidden="1" ht="69.75" customHeight="1" s="99">
      <c r="A748" t="n">
        <v>722</v>
      </c>
      <c r="B748" s="84" t="inlineStr">
        <is>
          <t>HSK3</t>
        </is>
      </c>
      <c r="C748" s="85" t="inlineStr">
        <is>
          <t>同事</t>
        </is>
      </c>
      <c r="D748" s="78" t="inlineStr">
        <is>
          <t>tóngshì</t>
        </is>
      </c>
      <c r="E748" s="78" t="inlineStr">
        <is>
          <t>đồng nghiệp</t>
        </is>
      </c>
      <c r="G748" s="77" t="inlineStr">
        <is>
          <t>同事</t>
        </is>
      </c>
      <c r="H748" s="55">
        <f>IF(TRIM($G748)="","",IF(EXACT(TRIM($G748),TRIM($C748)),"✅ Đúng","❌ Sai"))</f>
        <v/>
      </c>
      <c r="I748" s="56" t="inlineStr">
        <is>
          <t>▶</t>
        </is>
      </c>
      <c r="J748" s="56" t="inlineStr">
        <is>
          <t>🔍</t>
        </is>
      </c>
      <c r="R748" s="23" t="inlineStr">
        <is>
          <t>Sun Aug 02 2026</t>
        </is>
      </c>
      <c r="T748" s="58" t="inlineStr">
        <is>
          <t>同 [ĐỒNG] · giống nhau, cùng nhau
    ↳ Chiết tự: bộ 冂 (quynh – bao) + 一 (nhất) + 口 (khẩu – miệng) — nhiều miệng nói cùng một lời
事 [SỰ] · việc, sự việc, phụng sự
    ↳ Chiết tự: bộ 亅 (quyết) + 口 (khẩu – miệng) + 彐 (kệ – bàn tay) — tay cầm bút ghi lại việc</t>
        </is>
      </c>
      <c r="U748" s="24" t="inlineStr">
        <is>
          <t>🏢 Thương mại &amp; Công sở</t>
        </is>
      </c>
      <c r="V748" s="63" t="inlineStr">
        <is>
          <t>他是我的同事。</t>
        </is>
      </c>
      <c r="W748" s="64" t="inlineStr">
        <is>
          <t>Tā shì wǒ de tóngshì.
Anh ấy là đồng nghiệp của tôi.</t>
        </is>
      </c>
    </row>
    <row r="749" hidden="1" ht="69.75" customHeight="1" s="99">
      <c r="A749" t="n">
        <v>723</v>
      </c>
      <c r="B749" s="84" t="inlineStr">
        <is>
          <t>HSK3</t>
        </is>
      </c>
      <c r="C749" s="85" t="inlineStr">
        <is>
          <t>同意</t>
        </is>
      </c>
      <c r="D749" s="78" t="inlineStr">
        <is>
          <t>tóngyì</t>
        </is>
      </c>
      <c r="E749" s="78" t="inlineStr">
        <is>
          <t>đồng ý</t>
        </is>
      </c>
      <c r="G749" s="77" t="inlineStr">
        <is>
          <t>同意</t>
        </is>
      </c>
      <c r="H749" s="55">
        <f>IF(TRIM($G749)="","",IF(EXACT(TRIM($G749),TRIM($C749)),"✅ Đúng","❌ Sai"))</f>
        <v/>
      </c>
      <c r="I749" s="56" t="inlineStr">
        <is>
          <t>▶</t>
        </is>
      </c>
      <c r="J749" s="56" t="inlineStr">
        <is>
          <t>🔍</t>
        </is>
      </c>
      <c r="R749" s="23" t="inlineStr">
        <is>
          <t>Sun Aug 02 2026</t>
        </is>
      </c>
      <c r="T749" s="58" t="inlineStr">
        <is>
          <t>同 [ĐỒNG] · giống nhau, cùng nhau
    ↳ Chiết tự: bộ 冂 (quynh – bao) + 一 (nhất) + 口 (khẩu – miệng) — nhiều miệng nói cùng một lời
意 [Ý] · ý nghĩ, ý nghĩa, ý muốn
    ↳ Chiết tự: bộ 音 (âm – tiếng) + 心 (tâm – trái tim) — tiếng lòng phát ra</t>
        </is>
      </c>
      <c r="U749" s="24" t="inlineStr">
        <is>
          <t>🏢 Thương mại &amp; Công sở</t>
        </is>
      </c>
      <c r="V749" s="63" t="inlineStr">
        <is>
          <t>我同意你的意见。</t>
        </is>
      </c>
      <c r="W749" s="64" t="inlineStr">
        <is>
          <t>Wǒ tóngyì nǐ de yìjiàn.
Tôi đồng ý với ý kiến của bạn.</t>
        </is>
      </c>
    </row>
    <row r="750" hidden="1" ht="69.75" customHeight="1" s="99">
      <c r="A750" t="n">
        <v>724</v>
      </c>
      <c r="B750" s="84" t="inlineStr">
        <is>
          <t>HSK3</t>
        </is>
      </c>
      <c r="C750" s="85" t="inlineStr">
        <is>
          <t>头发</t>
        </is>
      </c>
      <c r="D750" s="78" t="inlineStr">
        <is>
          <t>tóufa</t>
        </is>
      </c>
      <c r="E750" s="78" t="inlineStr">
        <is>
          <t>tóc</t>
        </is>
      </c>
      <c r="G750" s="77" t="inlineStr">
        <is>
          <t>头发</t>
        </is>
      </c>
      <c r="H750" s="55">
        <f>IF(TRIM($G750)="","",IF(EXACT(TRIM($G750),TRIM($C750)),"✅ Đúng","❌ Sai"))</f>
        <v/>
      </c>
      <c r="I750" s="56" t="inlineStr">
        <is>
          <t>▶</t>
        </is>
      </c>
      <c r="J750" s="56" t="inlineStr">
        <is>
          <t>🔍</t>
        </is>
      </c>
      <c r="R750" s="23" t="inlineStr">
        <is>
          <t>Sun Aug 02 2026</t>
        </is>
      </c>
      <c r="T750" s="58" t="inlineStr">
        <is>
          <t>头 [ĐẦU] · cái đầu; đầu mối
    ↳ Chiết tự: giản thể của 頭: bộ 大 (đại) + 丶 — phồn thể có 页 (hiệt – cái đầu)
发 [PHÁT / PHÁP] · phát ra, gửi; tóc
    ↳ Chiết tự: giản thể của 發 (phát ra) và 髮 (tóc): bộ 又 (hựu – tay) + 弓 — tay giương cung bắn ra</t>
        </is>
      </c>
      <c r="U750" s="24" t="inlineStr">
        <is>
          <t>⚕️ Sức khỏe &amp; Cơ thể</t>
        </is>
      </c>
      <c r="V750" s="63" t="inlineStr">
        <is>
          <t>她的头发很长。</t>
        </is>
      </c>
      <c r="W750" s="64" t="inlineStr">
        <is>
          <t>Tā de tóufa hěn cháng.
Tóc cô ấy rất dài.</t>
        </is>
      </c>
    </row>
    <row r="751" ht="69.75" customHeight="1" s="99">
      <c r="A751" t="n">
        <v>725</v>
      </c>
      <c r="B751" s="84" t="inlineStr">
        <is>
          <t>HSK3</t>
        </is>
      </c>
      <c r="C751" s="85" t="inlineStr">
        <is>
          <t>突然</t>
        </is>
      </c>
      <c r="D751" s="78" t="inlineStr">
        <is>
          <t>tūrán</t>
        </is>
      </c>
      <c r="E751" s="78" t="inlineStr">
        <is>
          <t>bỗng nhiên, đột ngột</t>
        </is>
      </c>
      <c r="H751" s="55">
        <f>IF(TRIM($G751)="","",IF(EXACT(TRIM($G751),TRIM($C751)),"✅ Đúng","❌ Sai"))</f>
        <v/>
      </c>
      <c r="I751" s="56" t="inlineStr">
        <is>
          <t>▶</t>
        </is>
      </c>
      <c r="J751" s="56" t="inlineStr">
        <is>
          <t>🔍</t>
        </is>
      </c>
      <c r="R751" s="23" t="inlineStr">
        <is>
          <t>Sun Aug 02 2026</t>
        </is>
      </c>
      <c r="T751" s="58" t="inlineStr">
        <is>
          <t>突 [ĐỘT] · đột ngột, xông ra
    ↳ Chiết tự: bộ 穴 (huyệt – cái hang) + 犬 (khuyển – con chó) — chó bất ngờ lao khỏi hang
然 [NHIÊN] · như vậy, đúng thế
    ↳ Chiết tự: bộ 月 (nhục – thịt) + 犬 (khuyển – chó) + 灬 (hỏa – lửa) — nghĩa gốc là đốt thịt, mượn làm đại từ</t>
        </is>
      </c>
      <c r="U751" s="24" t="inlineStr">
        <is>
          <t>🎨 Tính từ &amp; Trạng thái</t>
        </is>
      </c>
      <c r="V751" s="63" t="inlineStr">
        <is>
          <t>他突然走了。</t>
        </is>
      </c>
      <c r="W751" s="64" t="inlineStr">
        <is>
          <t>Tā tūrán zǒu le.
Anh ấy bỗng nhiên đi mất.</t>
        </is>
      </c>
    </row>
    <row r="752" ht="34.9" customHeight="1" s="99">
      <c r="A752" t="n">
        <v>726</v>
      </c>
      <c r="B752" s="84" t="inlineStr">
        <is>
          <t>HSK3</t>
        </is>
      </c>
      <c r="C752" s="85" t="inlineStr">
        <is>
          <t>腿</t>
        </is>
      </c>
      <c r="D752" s="78" t="inlineStr">
        <is>
          <t>tuǐ</t>
        </is>
      </c>
      <c r="E752" s="78" t="inlineStr">
        <is>
          <t>cái chân</t>
        </is>
      </c>
      <c r="H752" s="55">
        <f>IF(TRIM($G752)="","",IF(EXACT(TRIM($G752),TRIM($C752)),"✅ Đúng","❌ Sai"))</f>
        <v/>
      </c>
      <c r="I752" s="56" t="inlineStr">
        <is>
          <t>▶</t>
        </is>
      </c>
      <c r="J752" s="56" t="inlineStr">
        <is>
          <t>🔍</t>
        </is>
      </c>
      <c r="R752" s="23" t="inlineStr">
        <is>
          <t>Sun Aug 02 2026</t>
        </is>
      </c>
      <c r="T752" s="58" t="inlineStr">
        <is>
          <t>腿 [THỐI] · cái chân, đùi
    ↳ Chiết tự: bộ 月/肉 (nhục – thịt) + 退 (thối – âm đọc) — phần thịt dùng để bước</t>
        </is>
      </c>
      <c r="U752" s="24" t="inlineStr">
        <is>
          <t>⚕️ Sức khỏe &amp; Cơ thể</t>
        </is>
      </c>
      <c r="V752" s="63" t="inlineStr">
        <is>
          <t>我的腿有点儿疼。</t>
        </is>
      </c>
      <c r="W752" s="64" t="inlineStr">
        <is>
          <t>Wǒ de tuǐ yǒudiǎnr téng.
Chân tôi hơi đau.</t>
        </is>
      </c>
    </row>
    <row r="753" ht="58.15" customHeight="1" s="99">
      <c r="A753" t="n">
        <v>727</v>
      </c>
      <c r="B753" s="84" t="inlineStr">
        <is>
          <t>HSK3</t>
        </is>
      </c>
      <c r="C753" s="85" t="inlineStr">
        <is>
          <t>完成</t>
        </is>
      </c>
      <c r="D753" s="78" t="inlineStr">
        <is>
          <t>wánchéng</t>
        </is>
      </c>
      <c r="E753" s="78" t="inlineStr">
        <is>
          <t>hoàn thành</t>
        </is>
      </c>
      <c r="H753" s="55">
        <f>IF(TRIM($G753)="","",IF(EXACT(TRIM($G753),TRIM($C753)),"✅ Đúng","❌ Sai"))</f>
        <v/>
      </c>
      <c r="I753" s="56" t="inlineStr">
        <is>
          <t>▶</t>
        </is>
      </c>
      <c r="J753" s="56" t="inlineStr">
        <is>
          <t>🔍</t>
        </is>
      </c>
      <c r="R753" s="23" t="inlineStr">
        <is>
          <t>Sun Aug 02 2026</t>
        </is>
      </c>
      <c r="T753" s="58" t="inlineStr">
        <is>
          <t>完 [HOÀN] · xong, hoàn thành, trọn vẹn
    ↳ Chiết tự: bộ 宀 (miên – mái nhà) + 元 (nguyên – âm đọc) — dựng nhà xong xuôi
成 [THÀNH] · thành công, hoàn thành
    ↳ Chiết tự: bộ 戈 (qua – ngọn giáo) + 丁 (đinh) — việc binh đã xong</t>
        </is>
      </c>
      <c r="U753" s="24" t="inlineStr">
        <is>
          <t>🏢 Thương mại &amp; Công sở</t>
        </is>
      </c>
      <c r="V753" s="63" t="inlineStr">
        <is>
          <t>工作已经完成了。</t>
        </is>
      </c>
      <c r="W753" s="64" t="inlineStr">
        <is>
          <t>Gōngzuò yǐjīng wánchéng le.
Công việc đã hoàn thành.</t>
        </is>
      </c>
    </row>
    <row r="754" ht="34.9" customHeight="1" s="99">
      <c r="A754" t="n">
        <v>728</v>
      </c>
      <c r="B754" s="84" t="inlineStr">
        <is>
          <t>HSK3</t>
        </is>
      </c>
      <c r="C754" s="85" t="inlineStr">
        <is>
          <t>碗</t>
        </is>
      </c>
      <c r="D754" s="78" t="inlineStr">
        <is>
          <t>wǎn</t>
        </is>
      </c>
      <c r="E754" s="78" t="inlineStr">
        <is>
          <t>cái bát</t>
        </is>
      </c>
      <c r="H754" s="55">
        <f>IF(TRIM($G754)="","",IF(EXACT(TRIM($G754),TRIM($C754)),"✅ Đúng","❌ Sai"))</f>
        <v/>
      </c>
      <c r="I754" s="56" t="inlineStr">
        <is>
          <t>▶</t>
        </is>
      </c>
      <c r="J754" s="56" t="inlineStr">
        <is>
          <t>🔍</t>
        </is>
      </c>
      <c r="R754" s="23" t="inlineStr">
        <is>
          <t>Sun Aug 02 2026</t>
        </is>
      </c>
      <c r="T754" s="58" t="inlineStr">
        <is>
          <t>碗 [OẢN] · cái bát
    ↳ Chiết tự: bộ 石 (thạch – đá) + 宛 (uyển – âm đọc) — đồ đựng bằng sành đá</t>
        </is>
      </c>
      <c r="U754" s="24" t="inlineStr">
        <is>
          <t>🍜 Ăn uống</t>
        </is>
      </c>
      <c r="V754" s="63" t="inlineStr">
        <is>
          <t>请给我一个碗。</t>
        </is>
      </c>
      <c r="W754" s="64" t="inlineStr">
        <is>
          <t>Qǐng gěi wǒ yí ge wǎn.
Cho tôi một cái bát.</t>
        </is>
      </c>
    </row>
    <row r="755" ht="34.9" customHeight="1" s="99">
      <c r="A755" t="n">
        <v>729</v>
      </c>
      <c r="B755" s="84" t="inlineStr">
        <is>
          <t>HSK3</t>
        </is>
      </c>
      <c r="C755" s="85" t="inlineStr">
        <is>
          <t>万</t>
        </is>
      </c>
      <c r="D755" s="78" t="inlineStr">
        <is>
          <t>wàn</t>
        </is>
      </c>
      <c r="E755" s="78" t="inlineStr">
        <is>
          <t>một vạn (10.000)</t>
        </is>
      </c>
      <c r="H755" s="55">
        <f>IF(TRIM($G755)="","",IF(EXACT(TRIM($G755),TRIM($C755)),"✅ Đúng","❌ Sai"))</f>
        <v/>
      </c>
      <c r="I755" s="56" t="inlineStr">
        <is>
          <t>▶</t>
        </is>
      </c>
      <c r="J755" s="56" t="inlineStr">
        <is>
          <t>🔍</t>
        </is>
      </c>
      <c r="R755" s="23" t="inlineStr">
        <is>
          <t>Sun Aug 02 2026</t>
        </is>
      </c>
      <c r="T755" s="58" t="inlineStr">
        <is>
          <t>万 [VẠN] · một vạn (10.000); vô số
    ↳ Chiết tự: giản thể của 萬: bộ 一 (nhất) + 丿 + 乙 — phồn thể vẽ con bọ cạp, mượn chỉ số lớn</t>
        </is>
      </c>
      <c r="U755" s="24" t="inlineStr">
        <is>
          <t>🔢 Số đếm &amp; Lượng từ</t>
        </is>
      </c>
      <c r="V755" s="63" t="inlineStr">
        <is>
          <t>这台电脑一万块。</t>
        </is>
      </c>
      <c r="W755" s="64" t="inlineStr">
        <is>
          <t>Zhè tái diànnǎo yí wàn kuài.
Cái máy tính này một vạn tệ.</t>
        </is>
      </c>
    </row>
    <row r="756" ht="34.9" customHeight="1" s="99">
      <c r="A756" t="n">
        <v>730</v>
      </c>
      <c r="B756" s="84" t="inlineStr">
        <is>
          <t>HSK3</t>
        </is>
      </c>
      <c r="C756" s="85" t="inlineStr">
        <is>
          <t>为</t>
        </is>
      </c>
      <c r="D756" s="78" t="inlineStr">
        <is>
          <t>wèi</t>
        </is>
      </c>
      <c r="E756" s="78" t="inlineStr">
        <is>
          <t>vì, cho</t>
        </is>
      </c>
      <c r="H756" s="55">
        <f>IF(TRIM($G756)="","",IF(EXACT(TRIM($G756),TRIM($C756)),"✅ Đúng","❌ Sai"))</f>
        <v/>
      </c>
      <c r="I756" s="56" t="inlineStr">
        <is>
          <t>▶</t>
        </is>
      </c>
      <c r="J756" s="56" t="inlineStr">
        <is>
          <t>🔍</t>
        </is>
      </c>
      <c r="R756" s="23" t="inlineStr">
        <is>
          <t>Sun Aug 02 2026</t>
        </is>
      </c>
      <c r="T756" s="58" t="inlineStr">
        <is>
          <t>为 [VI / VỊ] · làm, là; vì, cho
    ↳ Chiết tự: giản thể của 為: bộ 丶 (chủ) + 力 — hình bàn tay dắt voi làm việc</t>
        </is>
      </c>
      <c r="U756" s="24" t="inlineStr">
        <is>
          <t>🔗 Từ nối &amp; Trợ từ</t>
        </is>
      </c>
      <c r="V756" s="63" t="inlineStr">
        <is>
          <t>我为你高兴。</t>
        </is>
      </c>
      <c r="W756" s="64" t="inlineStr">
        <is>
          <t>Wǒ wèi nǐ gāoxìng.
Tôi vui vì bạn.</t>
        </is>
      </c>
    </row>
    <row r="757" ht="69.75" customHeight="1" s="99">
      <c r="A757" t="n">
        <v>731</v>
      </c>
      <c r="B757" s="84" t="inlineStr">
        <is>
          <t>HSK3</t>
        </is>
      </c>
      <c r="C757" s="85" t="inlineStr">
        <is>
          <t>为了</t>
        </is>
      </c>
      <c r="D757" s="78" t="inlineStr">
        <is>
          <t>wèile</t>
        </is>
      </c>
      <c r="E757" s="78" t="inlineStr">
        <is>
          <t>để, nhằm</t>
        </is>
      </c>
      <c r="H757" s="55">
        <f>IF(TRIM($G757)="","",IF(EXACT(TRIM($G757),TRIM($C757)),"✅ Đúng","❌ Sai"))</f>
        <v/>
      </c>
      <c r="I757" s="56" t="inlineStr">
        <is>
          <t>▶</t>
        </is>
      </c>
      <c r="J757" s="56" t="inlineStr">
        <is>
          <t>🔍</t>
        </is>
      </c>
      <c r="R757" s="23" t="inlineStr">
        <is>
          <t>Sun Aug 02 2026</t>
        </is>
      </c>
      <c r="T757" s="58" t="inlineStr">
        <is>
          <t>为 [VI / VỊ] · làm, là; vì, cho
    ↳ Chiết tự: giản thể của 為: bộ 丶 (chủ) + 力 — hình bàn tay dắt voi làm việc
了 [LIỄU] · xong, rồi (trợ từ hoàn thành)
    ↳ Chiết tự: bộ 亅 (quyết – nét móc) — hình đứa trẻ bó tã không thấy tay, việc đã trọn</t>
        </is>
      </c>
      <c r="U757" s="24" t="inlineStr">
        <is>
          <t>🔗 Từ nối &amp; Trợ từ</t>
        </is>
      </c>
      <c r="V757" s="63" t="inlineStr">
        <is>
          <t>为了工作，他搬到北京。</t>
        </is>
      </c>
      <c r="W757" s="64" t="inlineStr">
        <is>
          <t>Wèile gōngzuò, tā bān dào Běijīng.
Vì công việc, anh ấy chuyển đến Bắc Kinh.</t>
        </is>
      </c>
    </row>
    <row r="758" ht="34.9" customHeight="1" s="99">
      <c r="A758" t="n">
        <v>732</v>
      </c>
      <c r="B758" s="84" t="inlineStr">
        <is>
          <t>HSK3</t>
        </is>
      </c>
      <c r="C758" s="85" t="inlineStr">
        <is>
          <t>位</t>
        </is>
      </c>
      <c r="D758" s="78" t="inlineStr">
        <is>
          <t>wèi</t>
        </is>
      </c>
      <c r="E758" s="78" t="inlineStr">
        <is>
          <t>vị (lượng từ kính trọng); vị trí</t>
        </is>
      </c>
      <c r="H758" s="55">
        <f>IF(TRIM($G758)="","",IF(EXACT(TRIM($G758),TRIM($C758)),"✅ Đúng","❌ Sai"))</f>
        <v/>
      </c>
      <c r="I758" s="56" t="inlineStr">
        <is>
          <t>▶</t>
        </is>
      </c>
      <c r="J758" s="56" t="inlineStr">
        <is>
          <t>🔍</t>
        </is>
      </c>
      <c r="R758" s="23" t="inlineStr">
        <is>
          <t>Sun Aug 02 2026</t>
        </is>
      </c>
      <c r="T758" s="58" t="inlineStr">
        <is>
          <t>位 [VỊ] · vị trí; vị (lượng từ kính trọng)
    ↳ Chiết tự: bộ 亻 (nhân đứng – người) + 立 (lập – đứng) — chỗ người đứng</t>
        </is>
      </c>
      <c r="U758" s="24" t="inlineStr">
        <is>
          <t>🔢 Số đếm &amp; Lượng từ</t>
        </is>
      </c>
      <c r="V758" s="63" t="inlineStr">
        <is>
          <t>请问，几位？</t>
        </is>
      </c>
      <c r="W758" s="64" t="inlineStr">
        <is>
          <t>Qǐngwèn, jǐ wèi?
Xin hỏi, mấy vị?</t>
        </is>
      </c>
    </row>
    <row r="759" ht="58.15" customHeight="1" s="99">
      <c r="A759" t="n">
        <v>733</v>
      </c>
      <c r="B759" s="84" t="inlineStr">
        <is>
          <t>HSK3</t>
        </is>
      </c>
      <c r="C759" s="85" t="inlineStr">
        <is>
          <t>文化</t>
        </is>
      </c>
      <c r="D759" s="78" t="inlineStr">
        <is>
          <t>wénhuà</t>
        </is>
      </c>
      <c r="E759" s="78" t="inlineStr">
        <is>
          <t>văn hóa</t>
        </is>
      </c>
      <c r="H759" s="55">
        <f>IF(TRIM($G759)="","",IF(EXACT(TRIM($G759),TRIM($C759)),"✅ Đúng","❌ Sai"))</f>
        <v/>
      </c>
      <c r="I759" s="56" t="inlineStr">
        <is>
          <t>▶</t>
        </is>
      </c>
      <c r="J759" s="56" t="inlineStr">
        <is>
          <t>🔍</t>
        </is>
      </c>
      <c r="R759" s="23" t="inlineStr">
        <is>
          <t>Sun Aug 02 2026</t>
        </is>
      </c>
      <c r="T759" s="58" t="inlineStr">
        <is>
          <t>文 [VĂN] · chữ viết, văn chương, văn hóa
    ↳ Chiết tự: bộ 文 (văn) — hình hoa văn xăm trên ngực người
化 [HÓA] · biến hóa, hóa thành
    ↳ Chiết tự: bộ 亻 (nhân đứng – người) + 匕 (chủy) — người đổi dạng</t>
        </is>
      </c>
      <c r="U759" s="24" t="inlineStr">
        <is>
          <t>🏫 Học tập &amp; Trường lớp</t>
        </is>
      </c>
      <c r="V759" s="63" t="inlineStr">
        <is>
          <t>我对中国文化很感兴趣。</t>
        </is>
      </c>
      <c r="W759" s="64" t="inlineStr">
        <is>
          <t>Wǒ duì Zhōngguó wénhuà hěn gǎn xìngqù.
Tôi rất thích văn hóa Trung Quốc.</t>
        </is>
      </c>
    </row>
    <row r="760" ht="69.75" customHeight="1" s="99">
      <c r="A760" t="n">
        <v>734</v>
      </c>
      <c r="B760" s="84" t="inlineStr">
        <is>
          <t>HSK3</t>
        </is>
      </c>
      <c r="C760" s="85" t="inlineStr">
        <is>
          <t>习惯</t>
        </is>
      </c>
      <c r="D760" s="78" t="inlineStr">
        <is>
          <t>xíguàn</t>
        </is>
      </c>
      <c r="E760" s="78" t="inlineStr">
        <is>
          <t>thói quen; quen với</t>
        </is>
      </c>
      <c r="H760" s="55">
        <f>IF(TRIM($G760)="","",IF(EXACT(TRIM($G760),TRIM($C760)),"✅ Đúng","❌ Sai"))</f>
        <v/>
      </c>
      <c r="I760" s="56" t="inlineStr">
        <is>
          <t>▶</t>
        </is>
      </c>
      <c r="J760" s="56" t="inlineStr">
        <is>
          <t>🔍</t>
        </is>
      </c>
      <c r="R760" s="23" t="inlineStr">
        <is>
          <t>Sun Aug 02 2026</t>
        </is>
      </c>
      <c r="T760" s="58" t="inlineStr">
        <is>
          <t>习 [TẬP] · học tập, luyện, thói quen
    ↳ Chiết tự: giản thể của 習: bộ 羽 (vũ – lông cánh) + 白 (bạch) — chim non ngày ngày vỗ cánh tập bay
惯 [QUÁN] · quen, thói quen
    ↳ Chiết tự: giản thể của 慣: bộ 忄 (tâm đứng – trái tim) + 贯 (quán – xuyên suốt) — lòng đã xuyên thành nếp</t>
        </is>
      </c>
      <c r="U760" s="24" t="inlineStr">
        <is>
          <t>🏃 Động từ thường ngày</t>
        </is>
      </c>
      <c r="V760" s="63" t="inlineStr">
        <is>
          <t>我习惯早起。</t>
        </is>
      </c>
      <c r="W760" s="64" t="inlineStr">
        <is>
          <t>Wǒ xíguàn zǎo qǐ.
Tôi quen dậy sớm.</t>
        </is>
      </c>
    </row>
    <row r="761" ht="69.75" customHeight="1" s="99">
      <c r="A761" t="n">
        <v>735</v>
      </c>
      <c r="B761" s="84" t="inlineStr">
        <is>
          <t>HSK3</t>
        </is>
      </c>
      <c r="C761" s="85" t="inlineStr">
        <is>
          <t>洗澡</t>
        </is>
      </c>
      <c r="D761" s="78" t="inlineStr">
        <is>
          <t>xǐzǎo</t>
        </is>
      </c>
      <c r="E761" s="78" t="inlineStr">
        <is>
          <t>tắm</t>
        </is>
      </c>
      <c r="H761" s="55">
        <f>IF(TRIM($G761)="","",IF(EXACT(TRIM($G761),TRIM($C761)),"✅ Đúng","❌ Sai"))</f>
        <v/>
      </c>
      <c r="I761" s="56" t="inlineStr">
        <is>
          <t>▶</t>
        </is>
      </c>
      <c r="J761" s="56" t="inlineStr">
        <is>
          <t>🔍</t>
        </is>
      </c>
      <c r="R761" s="23" t="inlineStr">
        <is>
          <t>Sun Aug 02 2026</t>
        </is>
      </c>
      <c r="T761" s="58" t="inlineStr">
        <is>
          <t>洗 [TẨY] · rửa, giặt, tẩy rửa
    ↳ Chiết tự: bộ 氵 (thủy – nước) + 先 (tiên – âm đọc) — dùng nước làm sạch
澡 [TÁO] · tắm rửa
    ↳ Chiết tự: bộ 氵 (thủy – nước) + 喿 (táo – âm đọc) — dùng nước dội mình</t>
        </is>
      </c>
      <c r="U761" s="24" t="inlineStr">
        <is>
          <t>🏃 Động từ thường ngày</t>
        </is>
      </c>
      <c r="V761" s="63" t="inlineStr">
        <is>
          <t>我每天晚上洗澡。</t>
        </is>
      </c>
      <c r="W761" s="64" t="inlineStr">
        <is>
          <t>Wǒ měitiān wǎnshang xǐzǎo.
Tối nào tôi cũng tắm.</t>
        </is>
      </c>
    </row>
    <row r="762" hidden="1" ht="34.9" customHeight="1" s="99">
      <c r="A762" t="n">
        <v>736</v>
      </c>
      <c r="B762" s="84" t="inlineStr">
        <is>
          <t>HSK3</t>
        </is>
      </c>
      <c r="C762" s="85" t="inlineStr">
        <is>
          <t>夏</t>
        </is>
      </c>
      <c r="D762" s="78" t="inlineStr">
        <is>
          <t>xià</t>
        </is>
      </c>
      <c r="E762" s="78" t="inlineStr">
        <is>
          <t>mùa hè</t>
        </is>
      </c>
      <c r="G762" s="77" t="inlineStr">
        <is>
          <t>夏</t>
        </is>
      </c>
      <c r="H762" s="55">
        <f>IF(TRIM($G762)="","",IF(EXACT(TRIM($G762),TRIM($C762)),"✅ Đúng","❌ Sai"))</f>
        <v/>
      </c>
      <c r="I762" s="56" t="inlineStr">
        <is>
          <t>▶</t>
        </is>
      </c>
      <c r="J762" s="56" t="inlineStr">
        <is>
          <t>🔍</t>
        </is>
      </c>
      <c r="R762" s="23" t="inlineStr">
        <is>
          <t>Sun Aug 02 2026</t>
        </is>
      </c>
      <c r="T762" s="58" t="inlineStr">
        <is>
          <t>夏 [HẠ] · mùa hè
    ↳ Chiết tự: bộ 夂 (truy – bước chân) + 百 — hình người đội mũ lớn đi dưới nắng</t>
        </is>
      </c>
      <c r="U762" s="24" t="inlineStr">
        <is>
          <t>⏰ Thời gian &amp; Ngày tháng</t>
        </is>
      </c>
      <c r="V762" s="63" t="inlineStr">
        <is>
          <t>夏天很热。</t>
        </is>
      </c>
      <c r="W762" s="64" t="inlineStr">
        <is>
          <t>Xiàtiān hěn rè.
Mùa hè rất nóng.</t>
        </is>
      </c>
    </row>
    <row r="763" ht="69.75" customHeight="1" s="99">
      <c r="A763" t="n">
        <v>737</v>
      </c>
      <c r="B763" s="84" t="inlineStr">
        <is>
          <t>HSK3</t>
        </is>
      </c>
      <c r="C763" s="85" t="inlineStr">
        <is>
          <t>相信</t>
        </is>
      </c>
      <c r="D763" s="78" t="inlineStr">
        <is>
          <t>xiāngxìn</t>
        </is>
      </c>
      <c r="E763" s="78" t="inlineStr">
        <is>
          <t>tin, tin tưởng</t>
        </is>
      </c>
      <c r="H763" s="55">
        <f>IF(TRIM($G763)="","",IF(EXACT(TRIM($G763),TRIM($C763)),"✅ Đúng","❌ Sai"))</f>
        <v/>
      </c>
      <c r="I763" s="56" t="inlineStr">
        <is>
          <t>▶</t>
        </is>
      </c>
      <c r="J763" s="56" t="inlineStr">
        <is>
          <t>🔍</t>
        </is>
      </c>
      <c r="R763" s="23" t="inlineStr">
        <is>
          <t>Sun Aug 02 2026</t>
        </is>
      </c>
      <c r="T763" s="58" t="inlineStr">
        <is>
          <t>相 [TƯƠNG / TƯỚNG] · lẫn nhau; tướng mạo
    ↳ Chiết tự: bộ 木 (mộc – cây) + 目 (mục – mắt) — mắt ngắm cây, hai bên nhìn nhau
信 [TÍN] · tin tưởng; thư tín
    ↳ Chiết tự: bộ 亻 (nhân đứng – người) + 言 (ngôn – lời nói) — người giữ đúng lời</t>
        </is>
      </c>
      <c r="U763" s="24" t="inlineStr">
        <is>
          <t>🎨 Tính từ &amp; Trạng thái</t>
        </is>
      </c>
      <c r="V763" s="63" t="inlineStr">
        <is>
          <t>我相信你。</t>
        </is>
      </c>
      <c r="W763" s="64" t="inlineStr">
        <is>
          <t>Wǒ xiāngxìn nǐ.
Tôi tin bạn.</t>
        </is>
      </c>
    </row>
    <row r="764" ht="58.15" customHeight="1" s="99">
      <c r="A764" t="n">
        <v>738</v>
      </c>
      <c r="B764" s="84" t="inlineStr">
        <is>
          <t>HSK3</t>
        </is>
      </c>
      <c r="C764" s="85" t="inlineStr">
        <is>
          <t>香蕉</t>
        </is>
      </c>
      <c r="D764" s="78" t="inlineStr">
        <is>
          <t>xiāngjiāo</t>
        </is>
      </c>
      <c r="E764" s="78" t="inlineStr">
        <is>
          <t>quả chuối</t>
        </is>
      </c>
      <c r="H764" s="55">
        <f>IF(TRIM($G764)="","",IF(EXACT(TRIM($G764),TRIM($C764)),"✅ Đúng","❌ Sai"))</f>
        <v/>
      </c>
      <c r="I764" s="56" t="inlineStr">
        <is>
          <t>▶</t>
        </is>
      </c>
      <c r="J764" s="56" t="inlineStr">
        <is>
          <t>🔍</t>
        </is>
      </c>
      <c r="R764" s="23" t="inlineStr">
        <is>
          <t>Sun Aug 02 2026</t>
        </is>
      </c>
      <c r="T764" s="58" t="inlineStr">
        <is>
          <t>香 [HƯƠNG] · thơm, hương
    ↳ Chiết tự: bộ 禾 (hòa – cây lúa) + 日 — mùi lúa chín thơm
蕉 [TIÊU] · chuối (香蕉)
    ↳ Chiết tự: bộ 艹 (thảo – cỏ) + 焦 (tiêu – âm đọc) — loài cây thân cỏ lớn</t>
        </is>
      </c>
      <c r="U764" s="24" t="inlineStr">
        <is>
          <t>🍜 Ăn uống</t>
        </is>
      </c>
      <c r="V764" s="63" t="inlineStr">
        <is>
          <t>我买了几个香蕉。</t>
        </is>
      </c>
      <c r="W764" s="64" t="inlineStr">
        <is>
          <t>Wǒ mǎi le jǐ ge xiāngjiāo.
Tôi mua mấy quả chuối.</t>
        </is>
      </c>
    </row>
    <row r="765" hidden="1" ht="34.9" customHeight="1" s="99">
      <c r="A765" t="n">
        <v>739</v>
      </c>
      <c r="B765" s="84" t="inlineStr">
        <is>
          <t>HSK3</t>
        </is>
      </c>
      <c r="C765" s="85" t="inlineStr">
        <is>
          <t>向</t>
        </is>
      </c>
      <c r="D765" s="78" t="inlineStr">
        <is>
          <t>xiàng</t>
        </is>
      </c>
      <c r="E765" s="78" t="inlineStr">
        <is>
          <t>về phía, hướng tới</t>
        </is>
      </c>
      <c r="G765" s="77" t="inlineStr">
        <is>
          <t>向</t>
        </is>
      </c>
      <c r="H765" s="55">
        <f>IF(TRIM($G765)="","",IF(EXACT(TRIM($G765),TRIM($C765)),"✅ Đúng","❌ Sai"))</f>
        <v/>
      </c>
      <c r="I765" s="56" t="inlineStr">
        <is>
          <t>▶</t>
        </is>
      </c>
      <c r="J765" s="56" t="inlineStr">
        <is>
          <t>🔍</t>
        </is>
      </c>
      <c r="R765" s="23" t="inlineStr">
        <is>
          <t>Sun Aug 02 2026</t>
        </is>
      </c>
      <c r="T765" s="58" t="inlineStr">
        <is>
          <t>向 [HƯỚNG] · hướng về, phía
    ↳ Chiết tự: bộ 冂 (quynh) + 口 (khẩu – cửa sổ) — cửa sổ mở về một phía</t>
        </is>
      </c>
      <c r="U765" s="24" t="inlineStr">
        <is>
          <t>🧭 Phương hướng &amp; Vị trí</t>
        </is>
      </c>
      <c r="V765" s="63" t="inlineStr">
        <is>
          <t>请向前走。</t>
        </is>
      </c>
      <c r="W765" s="64" t="inlineStr">
        <is>
          <t>Qǐng xiàng qián zǒu.
Xin đi về phía trước.</t>
        </is>
      </c>
    </row>
    <row r="766" hidden="1" ht="34.9" customHeight="1" s="99">
      <c r="A766" t="n">
        <v>740</v>
      </c>
      <c r="B766" s="84" t="inlineStr">
        <is>
          <t>HSK3</t>
        </is>
      </c>
      <c r="C766" s="85" t="inlineStr">
        <is>
          <t>像</t>
        </is>
      </c>
      <c r="D766" s="78" t="inlineStr">
        <is>
          <t>xiàng</t>
        </is>
      </c>
      <c r="E766" s="78" t="inlineStr">
        <is>
          <t>giống, tựa như</t>
        </is>
      </c>
      <c r="G766" s="77" t="inlineStr">
        <is>
          <t>像</t>
        </is>
      </c>
      <c r="H766" s="55">
        <f>IF(TRIM($G766)="","",IF(EXACT(TRIM($G766),TRIM($C766)),"✅ Đúng","❌ Sai"))</f>
        <v/>
      </c>
      <c r="I766" s="56" t="inlineStr">
        <is>
          <t>▶</t>
        </is>
      </c>
      <c r="J766" s="56" t="inlineStr">
        <is>
          <t>🔍</t>
        </is>
      </c>
      <c r="R766" s="23" t="inlineStr">
        <is>
          <t>Sun Aug 02 2026</t>
        </is>
      </c>
      <c r="T766" s="58" t="inlineStr">
        <is>
          <t>像 [TƯỢNG] · giống, tựa như; hình tượng
    ↳ Chiết tự: bộ 亻 (nhân đứng – người) + 象 (tượng – con voi) — người vẽ lại hình cho giống</t>
        </is>
      </c>
      <c r="U766" s="24" t="inlineStr">
        <is>
          <t>🎨 Tính từ &amp; Trạng thái</t>
        </is>
      </c>
      <c r="V766" s="63" t="inlineStr">
        <is>
          <t>他很像他爸爸。</t>
        </is>
      </c>
      <c r="W766" s="64" t="inlineStr">
        <is>
          <t>Tā hěn xiàng tā bàba.
Cậu ấy rất giống bố.</t>
        </is>
      </c>
    </row>
    <row r="767" hidden="1" ht="46.5" customHeight="1" s="99">
      <c r="A767" t="n">
        <v>741</v>
      </c>
      <c r="B767" s="84" t="inlineStr">
        <is>
          <t>HSK3</t>
        </is>
      </c>
      <c r="C767" s="85" t="inlineStr">
        <is>
          <t>小心</t>
        </is>
      </c>
      <c r="D767" s="78" t="inlineStr">
        <is>
          <t>xiǎoxīn</t>
        </is>
      </c>
      <c r="E767" s="78" t="inlineStr">
        <is>
          <t>cẩn thận, coi chừng</t>
        </is>
      </c>
      <c r="G767" s="77" t="inlineStr">
        <is>
          <t>小心</t>
        </is>
      </c>
      <c r="H767" s="55">
        <f>IF(TRIM($G767)="","",IF(EXACT(TRIM($G767),TRIM($C767)),"✅ Đúng","❌ Sai"))</f>
        <v/>
      </c>
      <c r="I767" s="56" t="inlineStr">
        <is>
          <t>▶</t>
        </is>
      </c>
      <c r="J767" s="56" t="inlineStr">
        <is>
          <t>🔍</t>
        </is>
      </c>
      <c r="R767" s="23" t="inlineStr">
        <is>
          <t>Sun Aug 02 2026</t>
        </is>
      </c>
      <c r="T767" s="58" t="inlineStr">
        <is>
          <t>小 [TIỂU] · nhỏ bé
    ↳ Chiết tự: bộ 小 (tiểu) — ba nét tách vụn ra, ý nhỏ
心 [TÂM] · trái tim, tấm lòng
    ↳ Chiết tự: bộ 心 (tâm) — hình quả tim có màng bao</t>
        </is>
      </c>
      <c r="U767" s="24" t="inlineStr">
        <is>
          <t>🎨 Tính từ &amp; Trạng thái</t>
        </is>
      </c>
      <c r="V767" s="63" t="inlineStr">
        <is>
          <t>路上小心！</t>
        </is>
      </c>
      <c r="W767" s="64" t="inlineStr">
        <is>
          <t>Lù shang xiǎoxīn!
Đi đường cẩn thận nhé!</t>
        </is>
      </c>
    </row>
    <row r="768" ht="69.75" customHeight="1" s="99">
      <c r="A768" t="n">
        <v>742</v>
      </c>
      <c r="B768" s="84" t="inlineStr">
        <is>
          <t>HSK3</t>
        </is>
      </c>
      <c r="C768" s="85" t="inlineStr">
        <is>
          <t>校长</t>
        </is>
      </c>
      <c r="D768" s="78" t="inlineStr">
        <is>
          <t>xiàozhǎng</t>
        </is>
      </c>
      <c r="E768" s="78" t="inlineStr">
        <is>
          <t>hiệu trưởng</t>
        </is>
      </c>
      <c r="H768" s="55">
        <f>IF(TRIM($G768)="","",IF(EXACT(TRIM($G768),TRIM($C768)),"✅ Đúng","❌ Sai"))</f>
        <v/>
      </c>
      <c r="I768" s="56" t="inlineStr">
        <is>
          <t>▶</t>
        </is>
      </c>
      <c r="J768" s="56" t="inlineStr">
        <is>
          <t>🔍</t>
        </is>
      </c>
      <c r="R768" s="23" t="inlineStr">
        <is>
          <t>Sun Aug 02 2026</t>
        </is>
      </c>
      <c r="T768" s="58" t="inlineStr">
        <is>
          <t>校 [HIỆU / GIÁO] · trường học; hiệu đính
    ↳ Chiết tự: bộ 木 (mộc – gỗ) + 交 (giao – âm đọc) — nơi rào gỗ tụ tập học trò
长 [TRƯỜNG / TRƯỞNG] · dài; lớn lên; thủ trưởng
    ↳ Chiết tự: giản thể của 長: bộ 长 (trường) — hình người tóc dài chống gậy</t>
        </is>
      </c>
      <c r="U768" s="24" t="inlineStr">
        <is>
          <t>🏫 Học tập &amp; Trường lớp</t>
        </is>
      </c>
      <c r="V768" s="63" t="inlineStr">
        <is>
          <t>校长在办公室。</t>
        </is>
      </c>
      <c r="W768" s="64" t="inlineStr">
        <is>
          <t>Xiàozhǎng zài bàngōngshì.
Hiệu trưởng ở trong văn phòng.</t>
        </is>
      </c>
    </row>
    <row r="769" ht="69.75" customHeight="1" s="99">
      <c r="A769" t="n">
        <v>743</v>
      </c>
      <c r="B769" s="84" t="inlineStr">
        <is>
          <t>HSK3</t>
        </is>
      </c>
      <c r="C769" s="85" t="inlineStr">
        <is>
          <t>新闻</t>
        </is>
      </c>
      <c r="D769" s="78" t="inlineStr">
        <is>
          <t>xīnwén</t>
        </is>
      </c>
      <c r="E769" s="78" t="inlineStr">
        <is>
          <t>tin tức, bản tin</t>
        </is>
      </c>
      <c r="H769" s="55">
        <f>IF(TRIM($G769)="","",IF(EXACT(TRIM($G769),TRIM($C769)),"✅ Đúng","❌ Sai"))</f>
        <v/>
      </c>
      <c r="I769" s="56" t="inlineStr">
        <is>
          <t>▶</t>
        </is>
      </c>
      <c r="J769" s="56" t="inlineStr">
        <is>
          <t>🔍</t>
        </is>
      </c>
      <c r="R769" s="23" t="inlineStr">
        <is>
          <t>Sun Aug 02 2026</t>
        </is>
      </c>
      <c r="T769" s="58" t="inlineStr">
        <is>
          <t>新 [TÂN] · mới mẻ
    ↳ Chiết tự: bộ 亲 (thân) + 斤 (cân – cái rìu) — lấy rìu đẽo cây tươi, gỗ mới
闻 [VĂN] · nghe; tin tức
    ↳ Chiết tự: giản thể của 聞: bộ 门 (môn – cửa) + 耳 (nhĩ – tai) — áp tai vào cửa mà nghe</t>
        </is>
      </c>
      <c r="U769" s="24" t="inlineStr">
        <is>
          <t>🏢 Thương mại &amp; Công sở</t>
        </is>
      </c>
      <c r="V769" s="63" t="inlineStr">
        <is>
          <t>我每天看新闻。</t>
        </is>
      </c>
      <c r="W769" s="64" t="inlineStr">
        <is>
          <t>Wǒ měitiān kàn xīnwén.
Ngày nào tôi cũng xem tin tức.</t>
        </is>
      </c>
    </row>
    <row r="770" ht="69.75" customHeight="1" s="99">
      <c r="A770" t="n">
        <v>744</v>
      </c>
      <c r="B770" s="84" t="inlineStr">
        <is>
          <t>HSK3</t>
        </is>
      </c>
      <c r="C770" s="85" t="inlineStr">
        <is>
          <t>新鲜</t>
        </is>
      </c>
      <c r="D770" s="78" t="inlineStr">
        <is>
          <t>xīnxiān</t>
        </is>
      </c>
      <c r="E770" s="78" t="inlineStr">
        <is>
          <t>tươi, mới mẻ</t>
        </is>
      </c>
      <c r="H770" s="55">
        <f>IF(TRIM($G770)="","",IF(EXACT(TRIM($G770),TRIM($C770)),"✅ Đúng","❌ Sai"))</f>
        <v/>
      </c>
      <c r="I770" s="56" t="inlineStr">
        <is>
          <t>▶</t>
        </is>
      </c>
      <c r="J770" s="56" t="inlineStr">
        <is>
          <t>🔍</t>
        </is>
      </c>
      <c r="R770" s="23" t="inlineStr">
        <is>
          <t>Sun Aug 02 2026</t>
        </is>
      </c>
      <c r="T770" s="58" t="inlineStr">
        <is>
          <t>新 [TÂN] · mới mẻ
    ↳ Chiết tự: bộ 亲 (thân) + 斤 (cân – cái rìu) — lấy rìu đẽo cây tươi, gỗ mới
鲜 [TIÊN] · tươi mới, tươi ngon
    ↳ Chiết tự: giản thể của 鮮: bộ 鱼 (ngư – con cá) + 羊 (dương – con dê) — cá và dê tươi</t>
        </is>
      </c>
      <c r="U770" s="24" t="inlineStr">
        <is>
          <t>🎨 Tính từ &amp; Trạng thái</t>
        </is>
      </c>
      <c r="V770" s="63" t="inlineStr">
        <is>
          <t>这些水果很新鲜。</t>
        </is>
      </c>
      <c r="W770" s="64" t="inlineStr">
        <is>
          <t>Zhèxiē shuǐguǒ hěn xīnxiān.
Những trái cây này rất tươi.</t>
        </is>
      </c>
    </row>
    <row r="771" ht="93" customHeight="1" s="99">
      <c r="A771" t="n">
        <v>745</v>
      </c>
      <c r="B771" s="84" t="inlineStr">
        <is>
          <t>HSK3</t>
        </is>
      </c>
      <c r="C771" s="85" t="inlineStr">
        <is>
          <t>信用卡</t>
        </is>
      </c>
      <c r="D771" s="78" t="inlineStr">
        <is>
          <t>xìnyòngkǎ</t>
        </is>
      </c>
      <c r="E771" s="78" t="inlineStr">
        <is>
          <t>thẻ tín dụng</t>
        </is>
      </c>
      <c r="H771" s="55">
        <f>IF(TRIM($G771)="","",IF(EXACT(TRIM($G771),TRIM($C771)),"✅ Đúng","❌ Sai"))</f>
        <v/>
      </c>
      <c r="I771" s="56" t="inlineStr">
        <is>
          <t>▶</t>
        </is>
      </c>
      <c r="J771" s="56" t="inlineStr">
        <is>
          <t>🔍</t>
        </is>
      </c>
      <c r="R771" s="23" t="inlineStr">
        <is>
          <t>Sun Aug 02 2026</t>
        </is>
      </c>
      <c r="T771" s="58" t="inlineStr">
        <is>
          <t>信 [TÍN] · tin tưởng; thư tín
    ↳ Chiết tự: bộ 亻 (nhân đứng – người) + 言 (ngôn – lời nói) — người giữ đúng lời
用 [DỤNG] · dùng, sử dụng, công dụng
    ↳ Chiết tự: bộ 用 (dụng) — hình cái thùng gỗ dùng đong
卡 [CA / THIẾP] · thẻ, cạc; chặn
    ↳ Chiết tự: bộ 卜 (bốc) + 丨 (cổn) — chữ mượn âm nước ngoài, chỉ tấm thẻ</t>
        </is>
      </c>
      <c r="U771" s="24" t="inlineStr">
        <is>
          <t>💼 Công việc &amp; Mua sắm</t>
        </is>
      </c>
      <c r="V771" s="63" t="inlineStr">
        <is>
          <t>我用信用卡付款。</t>
        </is>
      </c>
      <c r="W771" s="64" t="inlineStr">
        <is>
          <t>Wǒ yòng xìnyòngkǎ fùkuǎn.
Tôi thanh toán bằng thẻ tín dụng.</t>
        </is>
      </c>
    </row>
    <row r="772" ht="93" customHeight="1" s="99">
      <c r="A772" t="n">
        <v>746</v>
      </c>
      <c r="B772" s="84" t="inlineStr">
        <is>
          <t>HSK3</t>
        </is>
      </c>
      <c r="C772" s="85" t="inlineStr">
        <is>
          <t>行李箱</t>
        </is>
      </c>
      <c r="D772" s="78" t="inlineStr">
        <is>
          <t>xínglixiāng</t>
        </is>
      </c>
      <c r="E772" s="78" t="inlineStr">
        <is>
          <t>vali hành lý</t>
        </is>
      </c>
      <c r="H772" s="55">
        <f>IF(TRIM($G772)="","",IF(EXACT(TRIM($G772),TRIM($C772)),"✅ Đúng","❌ Sai"))</f>
        <v/>
      </c>
      <c r="I772" s="56" t="inlineStr">
        <is>
          <t>▶</t>
        </is>
      </c>
      <c r="J772" s="56" t="inlineStr">
        <is>
          <t>🔍</t>
        </is>
      </c>
      <c r="R772" s="23" t="inlineStr">
        <is>
          <t>Sun Aug 02 2026</t>
        </is>
      </c>
      <c r="T772" s="58" t="inlineStr">
        <is>
          <t>行 [HÀNH / HÀNG] · đi, làm; được; hàng lối; ngân hàng
    ↳ Chiết tự: bộ 行 (hành) — hình ngã tư đường, nơi người qua lại
李 [LÝ] · cây mận; hành lý (行李)
    ↳ Chiết tự: bộ 木 (mộc – cây) + 子 (tử – quả) — cây có quả, sau chỉ đồ mang theo
箱 [TƯƠNG] · cái hộp, thùng
    ↳ Chiết tự: bộ 竹 (trúc – tre) + 相 (tương – âm đọc) — hộp đan bằng tre</t>
        </is>
      </c>
      <c r="U772" s="24" t="inlineStr">
        <is>
          <t>🚗 Giao thông &amp; Địa điểm</t>
        </is>
      </c>
      <c r="V772" s="63" t="inlineStr">
        <is>
          <t>我的行李箱很重。</t>
        </is>
      </c>
      <c r="W772" s="64" t="inlineStr">
        <is>
          <t>Wǒ de xínglixiāng hěn zhòng.
Vali của tôi rất nặng.</t>
        </is>
      </c>
    </row>
    <row r="773" ht="58.15" customHeight="1" s="99">
      <c r="A773" t="n">
        <v>747</v>
      </c>
      <c r="B773" s="84" t="inlineStr">
        <is>
          <t>HSK3</t>
        </is>
      </c>
      <c r="C773" s="85" t="inlineStr">
        <is>
          <t>熊猫</t>
        </is>
      </c>
      <c r="D773" s="78" t="inlineStr">
        <is>
          <t>xióngmāo</t>
        </is>
      </c>
      <c r="E773" s="78" t="inlineStr">
        <is>
          <t>gấu trúc</t>
        </is>
      </c>
      <c r="H773" s="55">
        <f>IF(TRIM($G773)="","",IF(EXACT(TRIM($G773),TRIM($C773)),"✅ Đúng","❌ Sai"))</f>
        <v/>
      </c>
      <c r="I773" s="56" t="inlineStr">
        <is>
          <t>▶</t>
        </is>
      </c>
      <c r="J773" s="56" t="inlineStr">
        <is>
          <t>🔍</t>
        </is>
      </c>
      <c r="R773" s="23" t="inlineStr">
        <is>
          <t>Sun Aug 02 2026</t>
        </is>
      </c>
      <c r="T773" s="58" t="inlineStr">
        <is>
          <t>熊 [HÙNG] · con gấu
    ↳ Chiết tự: bộ 灬 (hỏa) + 能 (năng – âm đọc) — loài thú to khỏe
猫 [MIÊU] · con mèo
    ↳ Chiết tự: bộ 犭 (khuyển – loài thú) + 苗 (miêu – mạ non) — con thú giữ ruộng mạ</t>
        </is>
      </c>
      <c r="U773" s="24" t="inlineStr">
        <is>
          <t>🌤️ Thiên nhiên &amp; Thời tiết</t>
        </is>
      </c>
      <c r="V773" s="63" t="inlineStr">
        <is>
          <t>熊猫是中国的国宝。</t>
        </is>
      </c>
      <c r="W773" s="64" t="inlineStr">
        <is>
          <t>Xióngmāo shì Zhōngguó de guóbǎo.
Gấu trúc là quốc bảo Trung Quốc.</t>
        </is>
      </c>
    </row>
    <row r="774" ht="69.75" customHeight="1" s="99">
      <c r="A774" t="n">
        <v>748</v>
      </c>
      <c r="B774" s="84" t="inlineStr">
        <is>
          <t>HSK3</t>
        </is>
      </c>
      <c r="C774" s="85" t="inlineStr">
        <is>
          <t>需要</t>
        </is>
      </c>
      <c r="D774" s="78" t="inlineStr">
        <is>
          <t>xūyào</t>
        </is>
      </c>
      <c r="E774" s="78" t="inlineStr">
        <is>
          <t>cần, cần phải</t>
        </is>
      </c>
      <c r="H774" s="55">
        <f>IF(TRIM($G774)="","",IF(EXACT(TRIM($G774),TRIM($C774)),"✅ Đúng","❌ Sai"))</f>
        <v/>
      </c>
      <c r="I774" s="56" t="inlineStr">
        <is>
          <t>▶</t>
        </is>
      </c>
      <c r="J774" s="56" t="inlineStr">
        <is>
          <t>🔍</t>
        </is>
      </c>
      <c r="R774" s="23" t="inlineStr">
        <is>
          <t>Sun Aug 02 2026</t>
        </is>
      </c>
      <c r="T774" s="58" t="inlineStr">
        <is>
          <t>需 [NHU] · cần, nhu cầu
    ↳ Chiết tự: bộ 雨 (vũ – mưa) + 而 (nhi – âm đọc) — trời mưa nên cần chờ, cần dùng
要 [YẾU / YÊU] · cần, muốn, quan trọng
    ↳ Chiết tự: bộ 覀 (á) + 女 (nữ – phụ nữ) — hình hai tay chống eo, nghĩa gốc là "eo", mượn chỉ điều cốt yếu</t>
        </is>
      </c>
      <c r="U774" s="24" t="inlineStr">
        <is>
          <t>🏢 Thương mại &amp; Công sở</t>
        </is>
      </c>
      <c r="V774" s="63" t="inlineStr">
        <is>
          <t>我需要你的帮助。</t>
        </is>
      </c>
      <c r="W774" s="64" t="inlineStr">
        <is>
          <t>Wǒ xūyào nǐ de bāngzhù.
Tôi cần bạn giúp.</t>
        </is>
      </c>
    </row>
    <row r="775" ht="58.15" customHeight="1" s="99">
      <c r="A775" t="n">
        <v>749</v>
      </c>
      <c r="B775" s="84" t="inlineStr">
        <is>
          <t>HSK3</t>
        </is>
      </c>
      <c r="C775" s="85" t="inlineStr">
        <is>
          <t>选择</t>
        </is>
      </c>
      <c r="D775" s="78" t="inlineStr">
        <is>
          <t>xuǎnzé</t>
        </is>
      </c>
      <c r="E775" s="78" t="inlineStr">
        <is>
          <t>lựa chọn</t>
        </is>
      </c>
      <c r="H775" s="55">
        <f>IF(TRIM($G775)="","",IF(EXACT(TRIM($G775),TRIM($C775)),"✅ Đúng","❌ Sai"))</f>
        <v/>
      </c>
      <c r="I775" s="56" t="inlineStr">
        <is>
          <t>▶</t>
        </is>
      </c>
      <c r="J775" s="56" t="inlineStr">
        <is>
          <t>🔍</t>
        </is>
      </c>
      <c r="R775" s="23" t="inlineStr">
        <is>
          <t>Sun Aug 02 2026</t>
        </is>
      </c>
      <c r="T775" s="58" t="inlineStr">
        <is>
          <t>选 [TUYỂN] · chọn lựa, tuyển
    ↳ Chiết tự: giản thể của 選: bộ 辶 (sước – bước đi) + 先 (tiên – trước) — đi tìm cái đứng trước
择 [TRẠCH] · lựa chọn
    ↳ Chiết tự: giản thể của 擇: bộ 扌 (thủ – tay) + 泽 — tay lựa ra</t>
        </is>
      </c>
      <c r="U775" s="24" t="inlineStr">
        <is>
          <t>🏢 Thương mại &amp; Công sở</t>
        </is>
      </c>
      <c r="V775" s="63" t="inlineStr">
        <is>
          <t>我们有两个选择。</t>
        </is>
      </c>
      <c r="W775" s="64" t="inlineStr">
        <is>
          <t>Wǒmen yǒu liǎng ge xuǎnzé.
Chúng ta có hai lựa chọn.</t>
        </is>
      </c>
    </row>
    <row r="776" ht="69.75" customHeight="1" s="99">
      <c r="A776" t="n">
        <v>750</v>
      </c>
      <c r="B776" s="84" t="inlineStr">
        <is>
          <t>HSK3</t>
        </is>
      </c>
      <c r="C776" s="85" t="inlineStr">
        <is>
          <t>要求</t>
        </is>
      </c>
      <c r="D776" s="78" t="inlineStr">
        <is>
          <t>yāoqiú</t>
        </is>
      </c>
      <c r="E776" s="78" t="inlineStr">
        <is>
          <t>yêu cầu</t>
        </is>
      </c>
      <c r="H776" s="55">
        <f>IF(TRIM($G776)="","",IF(EXACT(TRIM($G776),TRIM($C776)),"✅ Đúng","❌ Sai"))</f>
        <v/>
      </c>
      <c r="I776" s="56" t="inlineStr">
        <is>
          <t>▶</t>
        </is>
      </c>
      <c r="J776" s="56" t="inlineStr">
        <is>
          <t>🔍</t>
        </is>
      </c>
      <c r="R776" s="23" t="inlineStr">
        <is>
          <t>Sun Aug 02 2026</t>
        </is>
      </c>
      <c r="T776" s="58" t="inlineStr">
        <is>
          <t>要 [YẾU / YÊU] · cần, muốn, quan trọng
    ↳ Chiết tự: bộ 覀 (á) + 女 (nữ – phụ nữ) — hình hai tay chống eo, nghĩa gốc là "eo", mượn chỉ điều cốt yếu
求 [CẦU] · cầu xin, yêu cầu, tìm
    ↳ Chiết tự: bộ 水 (thủy) + 丶 — hình áo lông cầu, mượn nghĩa mong cầu</t>
        </is>
      </c>
      <c r="U776" s="24" t="inlineStr">
        <is>
          <t>🏢 Thương mại &amp; Công sở</t>
        </is>
      </c>
      <c r="V776" s="63" t="inlineStr">
        <is>
          <t>客户的要求很高。</t>
        </is>
      </c>
      <c r="W776" s="64" t="inlineStr">
        <is>
          <t>Kèhù de yāoqiú hěn gāo.
Yêu cầu của khách hàng rất cao.</t>
        </is>
      </c>
    </row>
    <row r="777" ht="69.75" customHeight="1" s="99">
      <c r="A777" t="n">
        <v>751</v>
      </c>
      <c r="B777" s="84" t="inlineStr">
        <is>
          <t>HSK3</t>
        </is>
      </c>
      <c r="C777" s="85" t="inlineStr">
        <is>
          <t>一定</t>
        </is>
      </c>
      <c r="D777" s="78" t="inlineStr">
        <is>
          <t>yīdìng</t>
        </is>
      </c>
      <c r="E777" s="78" t="inlineStr">
        <is>
          <t>nhất định, chắc chắn</t>
        </is>
      </c>
      <c r="H777" s="55">
        <f>IF(TRIM($G777)="","",IF(EXACT(TRIM($G777),TRIM($C777)),"✅ Đúng","❌ Sai"))</f>
        <v/>
      </c>
      <c r="I777" s="56" t="inlineStr">
        <is>
          <t>▶</t>
        </is>
      </c>
      <c r="J777" s="56" t="inlineStr">
        <is>
          <t>🔍</t>
        </is>
      </c>
      <c r="R777" s="23" t="inlineStr">
        <is>
          <t>Sun Aug 02 2026</t>
        </is>
      </c>
      <c r="T777" s="58" t="inlineStr">
        <is>
          <t>一 [NHẤT] · số một, thứ nhất, toàn bộ
    ↳ Chiết tự: một nét ngang 一 (nhất) — chữ chỉ sự, vạch một gạch là số 1
定 [ĐỊNH] · xác định, ổn định
    ↳ Chiết tự: bộ 宀 (miên – mái nhà) + 正 (chính – ngay) — trong nhà đã đặt đúng chỗ</t>
        </is>
      </c>
      <c r="U777" s="24" t="inlineStr">
        <is>
          <t>🎨 Tính từ &amp; Trạng thái</t>
        </is>
      </c>
      <c r="V777" s="63" t="inlineStr">
        <is>
          <t>我一定会来。</t>
        </is>
      </c>
      <c r="W777" s="64" t="inlineStr">
        <is>
          <t>Wǒ yídìng huì lái.
Tôi nhất định sẽ đến.</t>
        </is>
      </c>
    </row>
    <row r="778" ht="58.15" customHeight="1" s="99">
      <c r="A778" t="n">
        <v>752</v>
      </c>
      <c r="B778" s="84" t="inlineStr">
        <is>
          <t>HSK3</t>
        </is>
      </c>
      <c r="C778" s="85" t="inlineStr">
        <is>
          <t>一共</t>
        </is>
      </c>
      <c r="D778" s="78" t="inlineStr">
        <is>
          <t>yígòng</t>
        </is>
      </c>
      <c r="E778" s="78" t="inlineStr">
        <is>
          <t>tổng cộng</t>
        </is>
      </c>
      <c r="H778" s="55">
        <f>IF(TRIM($G778)="","",IF(EXACT(TRIM($G778),TRIM($C778)),"✅ Đúng","❌ Sai"))</f>
        <v/>
      </c>
      <c r="I778" s="56" t="inlineStr">
        <is>
          <t>▶</t>
        </is>
      </c>
      <c r="J778" s="56" t="inlineStr">
        <is>
          <t>🔍</t>
        </is>
      </c>
      <c r="R778" s="23" t="inlineStr">
        <is>
          <t>Sun Aug 02 2026</t>
        </is>
      </c>
      <c r="T778" s="58" t="inlineStr">
        <is>
          <t>一 [NHẤT] · số một, thứ nhất, toàn bộ
    ↳ Chiết tự: một nét ngang 一 (nhất) — chữ chỉ sự, vạch một gạch là số 1
共 [CỘNG] · cùng, chung, tổng cộng
    ↳ Chiết tự: bộ 廾 (củng – hai tay) + 一 — hai tay cùng nâng một vật</t>
        </is>
      </c>
      <c r="U778" s="24" t="inlineStr">
        <is>
          <t>🔢 Số đếm &amp; Lượng từ</t>
        </is>
      </c>
      <c r="V778" s="63" t="inlineStr">
        <is>
          <t>一共多少钱？</t>
        </is>
      </c>
      <c r="W778" s="64" t="inlineStr">
        <is>
          <t>Yígòng duōshao qián?
Tổng cộng bao nhiêu tiền?</t>
        </is>
      </c>
    </row>
    <row r="779" ht="58.15" customHeight="1" s="99">
      <c r="A779" t="n">
        <v>753</v>
      </c>
      <c r="B779" s="84" t="inlineStr">
        <is>
          <t>HSK3</t>
        </is>
      </c>
      <c r="C779" s="85" t="inlineStr">
        <is>
          <t>一直</t>
        </is>
      </c>
      <c r="D779" s="78" t="inlineStr">
        <is>
          <t>yìzhí</t>
        </is>
      </c>
      <c r="E779" s="78" t="inlineStr">
        <is>
          <t>luôn luôn, thẳng một mạch</t>
        </is>
      </c>
      <c r="H779" s="55">
        <f>IF(TRIM($G779)="","",IF(EXACT(TRIM($G779),TRIM($C779)),"✅ Đúng","❌ Sai"))</f>
        <v/>
      </c>
      <c r="I779" s="56" t="inlineStr">
        <is>
          <t>▶</t>
        </is>
      </c>
      <c r="J779" s="56" t="inlineStr">
        <is>
          <t>🔍</t>
        </is>
      </c>
      <c r="R779" s="23" t="inlineStr">
        <is>
          <t>Sun Aug 02 2026</t>
        </is>
      </c>
      <c r="T779" s="58" t="inlineStr">
        <is>
          <t>一 [NHẤT] · số một, thứ nhất, toàn bộ
    ↳ Chiết tự: một nét ngang 一 (nhất) — chữ chỉ sự, vạch một gạch là số 1
直 [TRỰC] · thẳng, ngay thẳng
    ↳ Chiết tự: bộ 目 (mục – mắt) + 十 + 乚 — mắt ngắm cho thẳng</t>
        </is>
      </c>
      <c r="U779" s="24" t="inlineStr">
        <is>
          <t>⏰ Thời gian &amp; Ngày tháng</t>
        </is>
      </c>
      <c r="V779" s="63" t="inlineStr">
        <is>
          <t>我一直住在这里。</t>
        </is>
      </c>
      <c r="W779" s="64" t="inlineStr">
        <is>
          <t>Wǒ yìzhí zhù zài zhèli.
Tôi luôn sống ở đây.</t>
        </is>
      </c>
    </row>
    <row r="780" ht="69.75" customHeight="1" s="99">
      <c r="A780" t="n">
        <v>754</v>
      </c>
      <c r="B780" s="84" t="inlineStr">
        <is>
          <t>HSK3</t>
        </is>
      </c>
      <c r="C780" s="85" t="inlineStr">
        <is>
          <t>以前</t>
        </is>
      </c>
      <c r="D780" s="78" t="inlineStr">
        <is>
          <t>yǐqián</t>
        </is>
      </c>
      <c r="E780" s="78" t="inlineStr">
        <is>
          <t>trước đây</t>
        </is>
      </c>
      <c r="H780" s="55">
        <f>IF(TRIM($G780)="","",IF(EXACT(TRIM($G780),TRIM($C780)),"✅ Đúng","❌ Sai"))</f>
        <v/>
      </c>
      <c r="I780" s="56" t="inlineStr">
        <is>
          <t>▶</t>
        </is>
      </c>
      <c r="J780" s="56" t="inlineStr">
        <is>
          <t>🔍</t>
        </is>
      </c>
      <c r="R780" s="23" t="inlineStr">
        <is>
          <t>Sun Aug 02 2026</t>
        </is>
      </c>
      <c r="T780" s="58" t="inlineStr">
        <is>
          <t>以 [DĨ] · lấy, dùng, bằng; để mà
    ↳ Chiết tự: bộ 人 (nhân – người) + 厶 — người dùng công cụ để làm
前 [TIỀN] · phía trước, trước đây
    ↳ Chiết tự: bộ 丷 (bát) + 月 (nguyệt/nhục) + 刂 (đao đứng) — thuyền và bàn chân tiến lên phía trước</t>
        </is>
      </c>
      <c r="U780" s="24" t="inlineStr">
        <is>
          <t>⏰ Thời gian &amp; Ngày tháng</t>
        </is>
      </c>
      <c r="V780" s="63" t="inlineStr">
        <is>
          <t>以前我不会说汉语。</t>
        </is>
      </c>
      <c r="W780" s="64" t="inlineStr">
        <is>
          <t>Yǐqián wǒ bú huì shuō Hànyǔ.
Trước đây tôi không biết nói tiếng Hán.</t>
        </is>
      </c>
    </row>
    <row r="781" ht="69.75" customHeight="1" s="99">
      <c r="A781" t="n">
        <v>755</v>
      </c>
      <c r="B781" s="84" t="inlineStr">
        <is>
          <t>HSK3</t>
        </is>
      </c>
      <c r="C781" s="85" t="inlineStr">
        <is>
          <t>一般</t>
        </is>
      </c>
      <c r="D781" s="78" t="inlineStr">
        <is>
          <t>yìbān</t>
        </is>
      </c>
      <c r="E781" s="78" t="inlineStr">
        <is>
          <t>thông thường, bình thường</t>
        </is>
      </c>
      <c r="H781" s="55">
        <f>IF(TRIM($G781)="","",IF(EXACT(TRIM($G781),TRIM($C781)),"✅ Đúng","❌ Sai"))</f>
        <v/>
      </c>
      <c r="I781" s="56" t="inlineStr">
        <is>
          <t>▶</t>
        </is>
      </c>
      <c r="J781" s="56" t="inlineStr">
        <is>
          <t>🔍</t>
        </is>
      </c>
      <c r="R781" s="23" t="inlineStr">
        <is>
          <t>Sun Aug 02 2026</t>
        </is>
      </c>
      <c r="T781" s="58" t="inlineStr">
        <is>
          <t>一 [NHẤT] · số một, thứ nhất, toàn bộ
    ↳ Chiết tự: một nét ngang 一 (nhất) — chữ chỉ sự, vạch một gạch là số 1
般 [BAN] · loại, kiểu (一般)
    ↳ Chiết tự: bộ 舟 (chu – thuyền) + 殳 (thù – cái vồ) — quay thuyền, nghĩa "cách thức"</t>
        </is>
      </c>
      <c r="U781" s="24" t="inlineStr">
        <is>
          <t>🎨 Tính từ &amp; Trạng thái</t>
        </is>
      </c>
      <c r="V781" s="63" t="inlineStr">
        <is>
          <t>我一般七点起床。</t>
        </is>
      </c>
      <c r="W781" s="64" t="inlineStr">
        <is>
          <t>Wǒ yìbān qī diǎn qǐchuáng.
Tôi thường dậy lúc bảy giờ.</t>
        </is>
      </c>
    </row>
    <row r="782" ht="69.75" customHeight="1" s="99">
      <c r="A782" t="n">
        <v>756</v>
      </c>
      <c r="B782" s="84" t="inlineStr">
        <is>
          <t>HSK3</t>
        </is>
      </c>
      <c r="C782" s="85" t="inlineStr">
        <is>
          <t>音乐</t>
        </is>
      </c>
      <c r="D782" s="78" t="inlineStr">
        <is>
          <t>yīnyuè</t>
        </is>
      </c>
      <c r="E782" s="78" t="inlineStr">
        <is>
          <t>âm nhạc</t>
        </is>
      </c>
      <c r="H782" s="55">
        <f>IF(TRIM($G782)="","",IF(EXACT(TRIM($G782),TRIM($C782)),"✅ Đúng","❌ Sai"))</f>
        <v/>
      </c>
      <c r="I782" s="56" t="inlineStr">
        <is>
          <t>▶</t>
        </is>
      </c>
      <c r="J782" s="56" t="inlineStr">
        <is>
          <t>🔍</t>
        </is>
      </c>
      <c r="R782" s="23" t="inlineStr">
        <is>
          <t>Sun Aug 02 2026</t>
        </is>
      </c>
      <c r="T782" s="58" t="inlineStr">
        <is>
          <t>音 [ÂM] · âm thanh, tiếng nói
    ↳ Chiết tự: bộ 音 (âm) — hình cái sáo phát tiếng, thêm vạch ở miệng
乐 [LẠC / NHẠC] · vui vẻ; âm nhạc
    ↳ Chiết tự: giản thể của 樂: hình giá gỗ 木 (mộc) treo chuông trống — gảy nhạc thì vui</t>
        </is>
      </c>
      <c r="U782" s="24" t="inlineStr">
        <is>
          <t>🏫 Học tập &amp; Trường lớp</t>
        </is>
      </c>
      <c r="V782" s="63" t="inlineStr">
        <is>
          <t>我喜欢听音乐。</t>
        </is>
      </c>
      <c r="W782" s="64" t="inlineStr">
        <is>
          <t>Wǒ xǐhuan tīng yīnyuè.
Tôi thích nghe nhạc.</t>
        </is>
      </c>
    </row>
    <row r="783" ht="58.15" customHeight="1" s="99">
      <c r="A783" t="n">
        <v>757</v>
      </c>
      <c r="B783" s="84" t="inlineStr">
        <is>
          <t>HSK3</t>
        </is>
      </c>
      <c r="C783" s="85" t="inlineStr">
        <is>
          <t>银行</t>
        </is>
      </c>
      <c r="D783" s="78" t="inlineStr">
        <is>
          <t>yínháng</t>
        </is>
      </c>
      <c r="E783" s="78" t="inlineStr">
        <is>
          <t>ngân hàng</t>
        </is>
      </c>
      <c r="H783" s="55">
        <f>IF(TRIM($G783)="","",IF(EXACT(TRIM($G783),TRIM($C783)),"✅ Đúng","❌ Sai"))</f>
        <v/>
      </c>
      <c r="I783" s="56" t="inlineStr">
        <is>
          <t>▶</t>
        </is>
      </c>
      <c r="J783" s="56" t="inlineStr">
        <is>
          <t>🔍</t>
        </is>
      </c>
      <c r="R783" s="23" t="inlineStr">
        <is>
          <t>Sun Aug 02 2026</t>
        </is>
      </c>
      <c r="T783" s="58" t="inlineStr">
        <is>
          <t>银 [NGÂN] · bạc; ngân hàng
    ↳ Chiết tự: giản thể của 銀: bộ 钅 (kim – kim loại) + 艮 (cấn – âm đọc) — kim loại trắng
行 [HÀNH / HÀNG] · đi, làm; được; hàng lối; ngân hàng
    ↳ Chiết tự: bộ 行 (hành) — hình ngã tư đường, nơi người qua lại</t>
        </is>
      </c>
      <c r="U783" s="24" t="inlineStr">
        <is>
          <t>🏢 Thương mại &amp; Công sở</t>
        </is>
      </c>
      <c r="V783" s="63" t="inlineStr">
        <is>
          <t>银行几点开门？</t>
        </is>
      </c>
      <c r="W783" s="64" t="inlineStr">
        <is>
          <t>Yínháng jǐ diǎn kāimén?
Ngân hàng mấy giờ mở cửa?</t>
        </is>
      </c>
    </row>
    <row r="784" ht="69.75" customHeight="1" s="99">
      <c r="A784" t="n">
        <v>758</v>
      </c>
      <c r="B784" s="84" t="inlineStr">
        <is>
          <t>HSK3</t>
        </is>
      </c>
      <c r="C784" s="85" t="inlineStr">
        <is>
          <t>应该</t>
        </is>
      </c>
      <c r="D784" s="78" t="inlineStr">
        <is>
          <t>yīnggāi</t>
        </is>
      </c>
      <c r="E784" s="78" t="inlineStr">
        <is>
          <t>nên, phải</t>
        </is>
      </c>
      <c r="H784" s="55">
        <f>IF(TRIM($G784)="","",IF(EXACT(TRIM($G784),TRIM($C784)),"✅ Đúng","❌ Sai"))</f>
        <v/>
      </c>
      <c r="I784" s="56" t="inlineStr">
        <is>
          <t>▶</t>
        </is>
      </c>
      <c r="J784" s="56" t="inlineStr">
        <is>
          <t>🔍</t>
        </is>
      </c>
      <c r="R784" s="23" t="inlineStr">
        <is>
          <t>Sun Aug 02 2026</t>
        </is>
      </c>
      <c r="T784" s="58" t="inlineStr">
        <is>
          <t>应 [ỨNG] · nên, phải; đáp ứng
    ↳ Chiết tự: giản thể của 應: bộ 广 (nghiễm – mái nhà) + 丷 — đáp lại điều phải làm
该 [CAI] · nên, phải; ấy
    ↳ Chiết tự: giản thể của 該: bộ 讠 (ngôn – lời nói) + 亥 (hợi – âm đọc) — lời quy định phải theo</t>
        </is>
      </c>
      <c r="U784" s="24" t="inlineStr">
        <is>
          <t>🔗 Từ nối &amp; Trợ từ</t>
        </is>
      </c>
      <c r="V784" s="63" t="inlineStr">
        <is>
          <t>你应该多休息。</t>
        </is>
      </c>
      <c r="W784" s="64" t="inlineStr">
        <is>
          <t>Nǐ yīnggāi duō xiūxi.
Bạn nên nghỉ nhiều hơn.</t>
        </is>
      </c>
    </row>
    <row r="785" ht="69.75" customHeight="1" s="99">
      <c r="A785" t="n">
        <v>759</v>
      </c>
      <c r="B785" s="84" t="inlineStr">
        <is>
          <t>HSK3</t>
        </is>
      </c>
      <c r="C785" s="85" t="inlineStr">
        <is>
          <t>影响</t>
        </is>
      </c>
      <c r="D785" s="78" t="inlineStr">
        <is>
          <t>yǐngxiǎng</t>
        </is>
      </c>
      <c r="E785" s="78" t="inlineStr">
        <is>
          <t>ảnh hưởng</t>
        </is>
      </c>
      <c r="H785" s="55">
        <f>IF(TRIM($G785)="","",IF(EXACT(TRIM($G785),TRIM($C785)),"✅ Đúng","❌ Sai"))</f>
        <v/>
      </c>
      <c r="I785" s="56" t="inlineStr">
        <is>
          <t>▶</t>
        </is>
      </c>
      <c r="J785" s="56" t="inlineStr">
        <is>
          <t>🔍</t>
        </is>
      </c>
      <c r="R785" s="23" t="inlineStr">
        <is>
          <t>Sun Aug 02 2026</t>
        </is>
      </c>
      <c r="T785" s="58" t="inlineStr">
        <is>
          <t>影 [ẢNH] · bóng, hình ảnh, phim
    ↳ Chiết tự: bộ 景 (cảnh – ánh sáng) + 彡 (sam – tia sáng) — vệt sáng hắt thành bóng
响 [HƯỞNG] · vang, tiếng vọng; ảnh hưởng
    ↳ Chiết tự: giản thể của 響: bộ 口 (khẩu – miệng) + 向 (hướng – phía) — tiếng dội về một phía</t>
        </is>
      </c>
      <c r="U785" s="24" t="inlineStr">
        <is>
          <t>🏢 Thương mại &amp; Công sở</t>
        </is>
      </c>
      <c r="V785" s="63" t="inlineStr">
        <is>
          <t>天气影响了我们的计划。</t>
        </is>
      </c>
      <c r="W785" s="64" t="inlineStr">
        <is>
          <t>Tiānqì yǐngxiǎng le wǒmen de jìhuà.
Thời tiết ảnh hưởng đến kế hoạch của chúng tôi.</t>
        </is>
      </c>
    </row>
    <row r="786" ht="69.75" customHeight="1" s="99">
      <c r="A786" t="n">
        <v>760</v>
      </c>
      <c r="B786" s="84" t="inlineStr">
        <is>
          <t>HSK3</t>
        </is>
      </c>
      <c r="C786" s="85" t="inlineStr">
        <is>
          <t>游戏</t>
        </is>
      </c>
      <c r="D786" s="78" t="inlineStr">
        <is>
          <t>yóuxì</t>
        </is>
      </c>
      <c r="E786" s="78" t="inlineStr">
        <is>
          <t>trò chơi, game</t>
        </is>
      </c>
      <c r="H786" s="55">
        <f>IF(TRIM($G786)="","",IF(EXACT(TRIM($G786),TRIM($C786)),"✅ Đúng","❌ Sai"))</f>
        <v/>
      </c>
      <c r="I786" s="56" t="inlineStr">
        <is>
          <t>▶</t>
        </is>
      </c>
      <c r="J786" s="56" t="inlineStr">
        <is>
          <t>🔍</t>
        </is>
      </c>
      <c r="R786" s="23" t="inlineStr">
        <is>
          <t>Sun Aug 02 2026</t>
        </is>
      </c>
      <c r="T786" s="58" t="inlineStr">
        <is>
          <t>游 [DU] · bơi lội; du ngoạn
    ↳ Chiết tự: bộ 氵 (thủy – nước) + 斿 (du – âm đọc) — đi lại trên nước
戏 [HÝ] · diễn kịch, trò chơi
    ↳ Chiết tự: giản thể của 戲: bộ 又 (hựu – bàn tay) + 戈 (qua – ngọn giáo) — múa giáo làm vui</t>
        </is>
      </c>
      <c r="U786" s="24" t="inlineStr">
        <is>
          <t>🏃 Động từ thường ngày</t>
        </is>
      </c>
      <c r="V786" s="63" t="inlineStr">
        <is>
          <t>孩子喜欢玩游戏。</t>
        </is>
      </c>
      <c r="W786" s="64" t="inlineStr">
        <is>
          <t>Háizi xǐhuan wán yóuxì.
Trẻ con thích chơi game.</t>
        </is>
      </c>
    </row>
    <row r="787" ht="23.25" customHeight="1" s="99">
      <c r="A787" t="n">
        <v>761</v>
      </c>
      <c r="B787" s="84" t="inlineStr">
        <is>
          <t>HSK3</t>
        </is>
      </c>
      <c r="C787" s="85" t="inlineStr">
        <is>
          <t>又</t>
        </is>
      </c>
      <c r="D787" s="78" t="inlineStr">
        <is>
          <t>yòu</t>
        </is>
      </c>
      <c r="E787" s="78" t="inlineStr">
        <is>
          <t>lại, lần nữa</t>
        </is>
      </c>
      <c r="H787" s="55">
        <f>IF(TRIM($G787)="","",IF(EXACT(TRIM($G787),TRIM($C787)),"✅ Đúng","❌ Sai"))</f>
        <v/>
      </c>
      <c r="I787" s="56" t="inlineStr">
        <is>
          <t>▶</t>
        </is>
      </c>
      <c r="J787" s="56" t="inlineStr">
        <is>
          <t>🔍</t>
        </is>
      </c>
      <c r="R787" s="23" t="inlineStr">
        <is>
          <t>Sun Aug 02 2026</t>
        </is>
      </c>
      <c r="T787" s="58" t="inlineStr">
        <is>
          <t>又 [HỰU] · lại, lần nữa
    ↳ Chiết tự: bộ 又 (hựu) — hình bàn tay phải, mượn nghĩa "lại"</t>
        </is>
      </c>
      <c r="U787" s="24" t="inlineStr">
        <is>
          <t>🔗 Từ nối &amp; Trợ từ</t>
        </is>
      </c>
      <c r="V787" s="63" t="inlineStr">
        <is>
          <t>他又来了。</t>
        </is>
      </c>
      <c r="W787" s="64" t="inlineStr">
        <is>
          <t>Tā yòu lái le.
Anh ấy lại đến nữa.</t>
        </is>
      </c>
    </row>
    <row r="788" ht="69.75" customHeight="1" s="99">
      <c r="A788" t="n">
        <v>762</v>
      </c>
      <c r="B788" s="84" t="inlineStr">
        <is>
          <t>HSK3</t>
        </is>
      </c>
      <c r="C788" s="85" t="inlineStr">
        <is>
          <t>遇到</t>
        </is>
      </c>
      <c r="D788" s="78" t="inlineStr">
        <is>
          <t>yùdào</t>
        </is>
      </c>
      <c r="E788" s="78" t="inlineStr">
        <is>
          <t>gặp phải, bắt gặp</t>
        </is>
      </c>
      <c r="H788" s="55">
        <f>IF(TRIM($G788)="","",IF(EXACT(TRIM($G788),TRIM($C788)),"✅ Đúng","❌ Sai"))</f>
        <v/>
      </c>
      <c r="I788" s="56" t="inlineStr">
        <is>
          <t>▶</t>
        </is>
      </c>
      <c r="J788" s="56" t="inlineStr">
        <is>
          <t>🔍</t>
        </is>
      </c>
      <c r="R788" s="23" t="inlineStr">
        <is>
          <t>Sun Aug 02 2026</t>
        </is>
      </c>
      <c r="T788" s="58" t="inlineStr">
        <is>
          <t>遇 [NGỘ] · gặp, gặp phải
    ↳ Chiết tự: bộ 辶 (sước – bước đi) + 禺 (ngu – âm đọc) — đang đi thì gặp
到 [ĐÁO] · đến, tới, chu đáo
    ↳ Chiết tự: bộ 至 (chí – tới nơi) + 刂 (đao đứng – âm đọc) — mũi tên cắm tới đích</t>
        </is>
      </c>
      <c r="U788" s="24" t="inlineStr">
        <is>
          <t>🏃 Động từ thường ngày</t>
        </is>
      </c>
      <c r="V788" s="63" t="inlineStr">
        <is>
          <t>我在路上遇到了老师。</t>
        </is>
      </c>
      <c r="W788" s="64" t="inlineStr">
        <is>
          <t>Wǒ zài lù shang yùdào le lǎoshī.
Tôi gặp thầy trên đường.</t>
        </is>
      </c>
    </row>
    <row r="789" ht="69.75" customHeight="1" s="99">
      <c r="A789" t="n">
        <v>763</v>
      </c>
      <c r="B789" s="84" t="inlineStr">
        <is>
          <t>HSK3</t>
        </is>
      </c>
      <c r="C789" s="85" t="inlineStr">
        <is>
          <t>愿意</t>
        </is>
      </c>
      <c r="D789" s="78" t="inlineStr">
        <is>
          <t>yuànyì</t>
        </is>
      </c>
      <c r="E789" s="78" t="inlineStr">
        <is>
          <t>bằng lòng, sẵn lòng</t>
        </is>
      </c>
      <c r="H789" s="55">
        <f>IF(TRIM($G789)="","",IF(EXACT(TRIM($G789),TRIM($C789)),"✅ Đúng","❌ Sai"))</f>
        <v/>
      </c>
      <c r="I789" s="56" t="inlineStr">
        <is>
          <t>▶</t>
        </is>
      </c>
      <c r="J789" s="56" t="inlineStr">
        <is>
          <t>🔍</t>
        </is>
      </c>
      <c r="R789" s="23" t="inlineStr">
        <is>
          <t>Sun Aug 02 2026</t>
        </is>
      </c>
      <c r="T789" s="58" t="inlineStr">
        <is>
          <t>愿 [NGUYỆN] · nguyện, bằng lòng
    ↳ Chiết tự: giản thể của 願: bộ 心 (tâm – trái tim) + 原 (nguyên – âm đọc) — điều lòng mong
意 [Ý] · ý nghĩ, ý nghĩa, ý muốn
    ↳ Chiết tự: bộ 音 (âm – tiếng) + 心 (tâm – trái tim) — tiếng lòng phát ra</t>
        </is>
      </c>
      <c r="U789" s="24" t="inlineStr">
        <is>
          <t>🎨 Tính từ &amp; Trạng thái</t>
        </is>
      </c>
      <c r="V789" s="63" t="inlineStr">
        <is>
          <t>我愿意帮你。</t>
        </is>
      </c>
      <c r="W789" s="64" t="inlineStr">
        <is>
          <t>Wǒ yuànyì bāng nǐ.
Tôi sẵn lòng giúp bạn.</t>
        </is>
      </c>
    </row>
    <row r="790" ht="58.15" customHeight="1" s="99">
      <c r="A790" t="n">
        <v>764</v>
      </c>
      <c r="B790" s="84" t="inlineStr">
        <is>
          <t>HSK3</t>
        </is>
      </c>
      <c r="C790" s="85" t="inlineStr">
        <is>
          <t>月亮</t>
        </is>
      </c>
      <c r="D790" s="78" t="inlineStr">
        <is>
          <t>yuèliang</t>
        </is>
      </c>
      <c r="E790" s="78" t="inlineStr">
        <is>
          <t>mặt trăng</t>
        </is>
      </c>
      <c r="H790" s="55">
        <f>IF(TRIM($G790)="","",IF(EXACT(TRIM($G790),TRIM($C790)),"✅ Đúng","❌ Sai"))</f>
        <v/>
      </c>
      <c r="I790" s="56" t="inlineStr">
        <is>
          <t>▶</t>
        </is>
      </c>
      <c r="J790" s="56" t="inlineStr">
        <is>
          <t>🔍</t>
        </is>
      </c>
      <c r="R790" s="23" t="inlineStr">
        <is>
          <t>Sun Aug 02 2026</t>
        </is>
      </c>
      <c r="T790" s="58" t="inlineStr">
        <is>
          <t>月 [NGUYỆT] · mặt trăng, tháng
    ↳ Chiết tự: bộ 月 (nguyệt) — hình vầng trăng khuyết
亮 [LƯỢNG] · sáng, sáng sủa
    ↳ Chiết tự: bộ 亠 (đầu) + 冖 + 儿 (nhân đi – người) — người đứng trên lầu cao đón ánh sáng</t>
        </is>
      </c>
      <c r="U790" s="24" t="inlineStr">
        <is>
          <t>🌤️ Thiên nhiên &amp; Thời tiết</t>
        </is>
      </c>
      <c r="V790" s="63" t="inlineStr">
        <is>
          <t>今天的月亮很圆。</t>
        </is>
      </c>
      <c r="W790" s="64" t="inlineStr">
        <is>
          <t>Jīntiān de yuèliang hěn yuán.
Mặt trăng hôm nay rất tròn.</t>
        </is>
      </c>
    </row>
    <row r="791" ht="23.25" customHeight="1" s="99">
      <c r="A791" t="n">
        <v>765</v>
      </c>
      <c r="B791" s="84" t="inlineStr">
        <is>
          <t>HSK3</t>
        </is>
      </c>
      <c r="C791" s="85" t="inlineStr">
        <is>
          <t>越</t>
        </is>
      </c>
      <c r="D791" s="78" t="inlineStr">
        <is>
          <t>yuè</t>
        </is>
      </c>
      <c r="E791" s="78" t="inlineStr">
        <is>
          <t>càng (越来越: càng lúc càng)</t>
        </is>
      </c>
      <c r="H791" s="55">
        <f>IF(TRIM($G791)="","",IF(EXACT(TRIM($G791),TRIM($C791)),"✅ Đúng","❌ Sai"))</f>
        <v/>
      </c>
      <c r="I791" s="56" t="inlineStr">
        <is>
          <t>▶</t>
        </is>
      </c>
      <c r="J791" s="56" t="inlineStr">
        <is>
          <t>🔍</t>
        </is>
      </c>
      <c r="R791" s="23" t="inlineStr">
        <is>
          <t>Sun Aug 02 2026</t>
        </is>
      </c>
      <c r="T791" s="58" t="inlineStr">
        <is>
          <t>越 [VIỆT] · vượt qua; càng
    ↳ Chiết tự: bộ 走 (tẩu – chạy) + 戉 (việt – âm đọc) — chạy vượt lên</t>
        </is>
      </c>
      <c r="U791" s="24" t="inlineStr">
        <is>
          <t>🎨 Tính từ &amp; Trạng thái</t>
        </is>
      </c>
      <c r="V791" s="63" t="inlineStr">
        <is>
          <t>天气越来越热。</t>
        </is>
      </c>
      <c r="W791" s="64" t="inlineStr">
        <is>
          <t>Tiānqì yuè lái yuè rè.
Thời tiết càng lúc càng nóng.</t>
        </is>
      </c>
    </row>
    <row r="792" ht="34.9" customHeight="1" s="99">
      <c r="A792" t="n">
        <v>766</v>
      </c>
      <c r="B792" s="84" t="inlineStr">
        <is>
          <t>HSK3</t>
        </is>
      </c>
      <c r="C792" s="85" t="inlineStr">
        <is>
          <t>澡</t>
        </is>
      </c>
      <c r="D792" s="78" t="inlineStr">
        <is>
          <t>zǎo</t>
        </is>
      </c>
      <c r="E792" s="78" t="inlineStr">
        <is>
          <t>tắm rửa</t>
        </is>
      </c>
      <c r="H792" s="55">
        <f>IF(TRIM($G792)="","",IF(EXACT(TRIM($G792),TRIM($C792)),"✅ Đúng","❌ Sai"))</f>
        <v/>
      </c>
      <c r="I792" s="56" t="inlineStr">
        <is>
          <t>▶</t>
        </is>
      </c>
      <c r="J792" s="56" t="inlineStr">
        <is>
          <t>🔍</t>
        </is>
      </c>
      <c r="R792" s="23" t="inlineStr">
        <is>
          <t>Sun Aug 02 2026</t>
        </is>
      </c>
      <c r="T792" s="58" t="inlineStr">
        <is>
          <t>澡 [TÁO] · tắm rửa
    ↳ Chiết tự: bộ 氵 (thủy – nước) + 喿 (táo – âm đọc) — dùng nước dội mình</t>
        </is>
      </c>
      <c r="U792" s="24" t="inlineStr">
        <is>
          <t>🏃 Động từ thường ngày</t>
        </is>
      </c>
      <c r="V792" s="63" t="inlineStr">
        <is>
          <t>我想洗个澡。</t>
        </is>
      </c>
      <c r="W792" s="64" t="inlineStr">
        <is>
          <t>Wǒ xiǎng xǐ ge zǎo.
Tôi muốn tắm một cái.</t>
        </is>
      </c>
    </row>
    <row r="793" ht="34.9" customHeight="1" s="99">
      <c r="A793" t="n">
        <v>767</v>
      </c>
      <c r="B793" s="84" t="inlineStr">
        <is>
          <t>HSK3</t>
        </is>
      </c>
      <c r="C793" s="85" t="inlineStr">
        <is>
          <t>张</t>
        </is>
      </c>
      <c r="D793" s="78" t="inlineStr">
        <is>
          <t>zhāng</t>
        </is>
      </c>
      <c r="E793" s="78" t="inlineStr">
        <is>
          <t>tờ, tấm (lượng từ)</t>
        </is>
      </c>
      <c r="H793" s="55">
        <f>IF(TRIM($G793)="","",IF(EXACT(TRIM($G793),TRIM($C793)),"✅ Đúng","❌ Sai"))</f>
        <v/>
      </c>
      <c r="I793" s="56" t="inlineStr">
        <is>
          <t>▶</t>
        </is>
      </c>
      <c r="J793" s="56" t="inlineStr">
        <is>
          <t>🔍</t>
        </is>
      </c>
      <c r="R793" s="23" t="inlineStr">
        <is>
          <t>Sun Aug 02 2026</t>
        </is>
      </c>
      <c r="T793" s="58" t="inlineStr">
        <is>
          <t>张 [TRƯƠNG] · giương ra; tờ, tấm
    ↳ Chiết tự: giản thể của 張: bộ 弓 (cung – cái cung) + 长 (trường – dài) — giương cung cho căng</t>
        </is>
      </c>
      <c r="U793" s="24" t="inlineStr">
        <is>
          <t>🔢 Số đếm &amp; Lượng từ</t>
        </is>
      </c>
      <c r="V793" s="63" t="inlineStr">
        <is>
          <t>请给我一张纸。</t>
        </is>
      </c>
      <c r="W793" s="64" t="inlineStr">
        <is>
          <t>Qǐng gěi wǒ yì zhāng zhǐ.
Cho tôi một tờ giấy.</t>
        </is>
      </c>
    </row>
    <row r="794" ht="58.15" customHeight="1" s="99">
      <c r="A794" t="n">
        <v>768</v>
      </c>
      <c r="B794" s="84" t="inlineStr">
        <is>
          <t>HSK3</t>
        </is>
      </c>
      <c r="C794" s="85" t="inlineStr">
        <is>
          <t>着急</t>
        </is>
      </c>
      <c r="D794" s="78" t="inlineStr">
        <is>
          <t>zháojí</t>
        </is>
      </c>
      <c r="E794" s="78" t="inlineStr">
        <is>
          <t>lo lắng, sốt ruột</t>
        </is>
      </c>
      <c r="H794" s="55">
        <f>IF(TRIM($G794)="","",IF(EXACT(TRIM($G794),TRIM($C794)),"✅ Đúng","❌ Sai"))</f>
        <v/>
      </c>
      <c r="I794" s="56" t="inlineStr">
        <is>
          <t>▶</t>
        </is>
      </c>
      <c r="J794" s="56" t="inlineStr">
        <is>
          <t>🔍</t>
        </is>
      </c>
      <c r="R794" s="23" t="inlineStr">
        <is>
          <t>Sun Aug 02 2026</t>
        </is>
      </c>
      <c r="T794" s="58" t="inlineStr">
        <is>
          <t>着 [TRƯỚC / TRẢ] · trợ từ tiếp diễn; mặc, dính
    ↳ Chiết tự: bộ 羊 (dương) + 目 (mục – con mắt) — mắt dõi theo, trạng thái đang diễn ra
急 [CẤP] · gấp, sốt ruột
    ↳ Chiết tự: bộ 心 (tâm – trái tim) + 刍 — lòng như bị bó, nóng ruột</t>
        </is>
      </c>
      <c r="U794" s="24" t="inlineStr">
        <is>
          <t>🎨 Tính từ &amp; Trạng thái</t>
        </is>
      </c>
      <c r="V794" s="63" t="inlineStr">
        <is>
          <t>别着急，还有时间。</t>
        </is>
      </c>
      <c r="W794" s="64" t="inlineStr">
        <is>
          <t>Bié zháojí, hái yǒu shíjiān.
Đừng sốt ruột, vẫn còn thời gian.</t>
        </is>
      </c>
    </row>
    <row r="795" ht="58.15" customHeight="1" s="99">
      <c r="A795" t="n">
        <v>769</v>
      </c>
      <c r="B795" s="84" t="inlineStr">
        <is>
          <t>HSK3</t>
        </is>
      </c>
      <c r="C795" s="85" t="inlineStr">
        <is>
          <t>照顾</t>
        </is>
      </c>
      <c r="D795" s="78" t="inlineStr">
        <is>
          <t>zhàogù</t>
        </is>
      </c>
      <c r="E795" s="78" t="inlineStr">
        <is>
          <t>chăm sóc, trông coi</t>
        </is>
      </c>
      <c r="H795" s="55">
        <f>IF(TRIM($G795)="","",IF(EXACT(TRIM($G795),TRIM($C795)),"✅ Đúng","❌ Sai"))</f>
        <v/>
      </c>
      <c r="I795" s="56" t="inlineStr">
        <is>
          <t>▶</t>
        </is>
      </c>
      <c r="J795" s="56" t="inlineStr">
        <is>
          <t>🔍</t>
        </is>
      </c>
      <c r="R795" s="23" t="inlineStr">
        <is>
          <t>Sun Aug 02 2026</t>
        </is>
      </c>
      <c r="T795" s="58" t="inlineStr">
        <is>
          <t>照 [CHIẾU] · chiếu sáng; chụp ảnh
    ↳ Chiết tự: bộ 灬 (hỏa – lửa) + 昭 (chiêu – sáng) — ánh lửa soi rọi
顾 [CỐ] · trông nom, chiếu cố
    ↳ Chiết tự: giản thể của 顧: bộ 页 (hiệt – cái đầu) + 厄 — ngoái đầu lại trông</t>
        </is>
      </c>
      <c r="U795" s="24" t="inlineStr">
        <is>
          <t>🏃 Động từ thường ngày</t>
        </is>
      </c>
      <c r="V795" s="63" t="inlineStr">
        <is>
          <t>谢谢你照顾我。</t>
        </is>
      </c>
      <c r="W795" s="64" t="inlineStr">
        <is>
          <t>Xièxie nǐ zhàogù wǒ.
Cảm ơn bạn đã chăm sóc tôi.</t>
        </is>
      </c>
    </row>
    <row r="796" ht="46.5" customHeight="1" s="99">
      <c r="A796" t="n">
        <v>770</v>
      </c>
      <c r="B796" s="84" t="inlineStr">
        <is>
          <t>HSK3</t>
        </is>
      </c>
      <c r="C796" s="85" t="inlineStr">
        <is>
          <t>照片</t>
        </is>
      </c>
      <c r="D796" s="78" t="inlineStr">
        <is>
          <t>zhàopiàn</t>
        </is>
      </c>
      <c r="E796" s="78" t="inlineStr">
        <is>
          <t>bức ảnh</t>
        </is>
      </c>
      <c r="H796" s="55">
        <f>IF(TRIM($G796)="","",IF(EXACT(TRIM($G796),TRIM($C796)),"✅ Đúng","❌ Sai"))</f>
        <v/>
      </c>
      <c r="I796" s="56" t="inlineStr">
        <is>
          <t>▶</t>
        </is>
      </c>
      <c r="J796" s="56" t="inlineStr">
        <is>
          <t>🔍</t>
        </is>
      </c>
      <c r="R796" s="23" t="inlineStr">
        <is>
          <t>Sun Aug 02 2026</t>
        </is>
      </c>
      <c r="T796" s="58" t="inlineStr">
        <is>
          <t>照 [CHIẾU] · chiếu sáng; chụp ảnh
    ↳ Chiết tự: bộ 灬 (hỏa – lửa) + 昭 (chiêu – sáng) — ánh lửa soi rọi
片 [PHIẾN] · mảnh, tấm; phim ảnh
    ↳ Chiết tự: bộ 片 (phiến) — hình nửa thân cây bị chẻ ra</t>
        </is>
      </c>
      <c r="U796" s="24" t="inlineStr">
        <is>
          <t>🏠 Nhà cửa &amp; Đồ vật</t>
        </is>
      </c>
      <c r="V796" s="63" t="inlineStr">
        <is>
          <t>这张照片很好看。</t>
        </is>
      </c>
      <c r="W796" s="64" t="inlineStr">
        <is>
          <t>Zhè zhāng zhàopiàn hěn hǎokàn.
Bức ảnh này rất đẹp.</t>
        </is>
      </c>
    </row>
    <row r="797" ht="93" customHeight="1" s="99">
      <c r="A797" t="n">
        <v>771</v>
      </c>
      <c r="B797" s="84" t="inlineStr">
        <is>
          <t>HSK3</t>
        </is>
      </c>
      <c r="C797" s="85" t="inlineStr">
        <is>
          <t>照相机</t>
        </is>
      </c>
      <c r="D797" s="78" t="inlineStr">
        <is>
          <t>zhàoxiàngjī</t>
        </is>
      </c>
      <c r="E797" s="78" t="inlineStr">
        <is>
          <t>máy ảnh</t>
        </is>
      </c>
      <c r="H797" s="55">
        <f>IF(TRIM($G797)="","",IF(EXACT(TRIM($G797),TRIM($C797)),"✅ Đúng","❌ Sai"))</f>
        <v/>
      </c>
      <c r="I797" s="56" t="inlineStr">
        <is>
          <t>▶</t>
        </is>
      </c>
      <c r="J797" s="56" t="inlineStr">
        <is>
          <t>🔍</t>
        </is>
      </c>
      <c r="R797" s="23" t="inlineStr">
        <is>
          <t>Sun Aug 02 2026</t>
        </is>
      </c>
      <c r="T797" s="58" t="inlineStr">
        <is>
          <t>照 [CHIẾU] · chiếu sáng; chụp ảnh
    ↳ Chiết tự: bộ 灬 (hỏa – lửa) + 昭 (chiêu – sáng) — ánh lửa soi rọi
相 [TƯƠNG / TƯỚNG] · lẫn nhau; tướng mạo
    ↳ Chiết tự: bộ 木 (mộc – cây) + 目 (mục – mắt) — mắt ngắm cây, hai bên nhìn nhau
机 [CƠ] · máy móc; cơ hội
    ↳ Chiết tự: giản thể của 機: bộ 木 (mộc – gỗ) + 几 (kỷ – âm đọc) — khung cửi bằng gỗ</t>
        </is>
      </c>
      <c r="U797" s="24" t="inlineStr">
        <is>
          <t>🏠 Nhà cửa &amp; Đồ vật</t>
        </is>
      </c>
      <c r="V797" s="63" t="inlineStr">
        <is>
          <t>我带了照相机。</t>
        </is>
      </c>
      <c r="W797" s="64" t="inlineStr">
        <is>
          <t>Wǒ dài le zhàoxiàngjī.
Tôi mang theo máy ảnh.</t>
        </is>
      </c>
    </row>
    <row r="798" ht="34.9" customHeight="1" s="99">
      <c r="A798" t="n">
        <v>772</v>
      </c>
      <c r="B798" s="84" t="inlineStr">
        <is>
          <t>HSK3</t>
        </is>
      </c>
      <c r="C798" s="85" t="inlineStr">
        <is>
          <t>只</t>
        </is>
      </c>
      <c r="D798" s="78" t="inlineStr">
        <is>
          <t>zhǐ</t>
        </is>
      </c>
      <c r="E798" s="78" t="inlineStr">
        <is>
          <t>chỉ, chỉ có</t>
        </is>
      </c>
      <c r="H798" s="55">
        <f>IF(TRIM($G798)="","",IF(EXACT(TRIM($G798),TRIM($C798)),"✅ Đúng","❌ Sai"))</f>
        <v/>
      </c>
      <c r="I798" s="56" t="inlineStr">
        <is>
          <t>▶</t>
        </is>
      </c>
      <c r="J798" s="56" t="inlineStr">
        <is>
          <t>🔍</t>
        </is>
      </c>
      <c r="R798" s="23" t="inlineStr">
        <is>
          <t>Sun Aug 02 2026</t>
        </is>
      </c>
      <c r="T798" s="58" t="inlineStr">
        <is>
          <t>只 [CHỈ / CHÍCH] · chỉ, chỉ có; con (lượng từ)
    ↳ Chiết tự: bộ 口 (khẩu – miệng) + 八 (bát) — hơi thoát ra, nghĩa "chỉ có"</t>
        </is>
      </c>
      <c r="U798" s="24" t="inlineStr">
        <is>
          <t>🔗 Từ nối &amp; Trợ từ</t>
        </is>
      </c>
      <c r="V798" s="63" t="inlineStr">
        <is>
          <t>我只有一个哥哥。</t>
        </is>
      </c>
      <c r="W798" s="64" t="inlineStr">
        <is>
          <t>Wǒ zhǐ yǒu yí ge gēge.
Tôi chỉ có một anh trai.</t>
        </is>
      </c>
    </row>
    <row r="799" ht="58.15" customHeight="1" s="99">
      <c r="A799" t="n">
        <v>773</v>
      </c>
      <c r="B799" s="84" t="inlineStr">
        <is>
          <t>HSK3</t>
        </is>
      </c>
      <c r="C799" s="85" t="inlineStr">
        <is>
          <t>终于</t>
        </is>
      </c>
      <c r="D799" s="78" t="inlineStr">
        <is>
          <t>zhōngyú</t>
        </is>
      </c>
      <c r="E799" s="78" t="inlineStr">
        <is>
          <t>cuối cùng thì</t>
        </is>
      </c>
      <c r="H799" s="55">
        <f>IF(TRIM($G799)="","",IF(EXACT(TRIM($G799),TRIM($C799)),"✅ Đúng","❌ Sai"))</f>
        <v/>
      </c>
      <c r="I799" s="56" t="inlineStr">
        <is>
          <t>▶</t>
        </is>
      </c>
      <c r="J799" s="56" t="inlineStr">
        <is>
          <t>🔍</t>
        </is>
      </c>
      <c r="R799" s="23" t="inlineStr">
        <is>
          <t>Sun Aug 02 2026</t>
        </is>
      </c>
      <c r="T799" s="58" t="inlineStr">
        <is>
          <t>终 [CHUNG] · cuối cùng, kết thúc
    ↳ Chiết tự: giản thể của 終: bộ 纟 (mịch – sợi tơ) + 冬 (đông – âm đọc) — đầu mút cuối của sợi tơ
于 [VU] · ở, tại, đối với
    ↳ Chiết tự: bộ 二 (nhị) + 亅 (quyết) — giới từ chỉ nơi, hướng</t>
        </is>
      </c>
      <c r="U799" s="24" t="inlineStr">
        <is>
          <t>⏰ Thời gian &amp; Ngày tháng</t>
        </is>
      </c>
      <c r="V799" s="63" t="inlineStr">
        <is>
          <t>我终于找到了。</t>
        </is>
      </c>
      <c r="W799" s="64" t="inlineStr">
        <is>
          <t>Wǒ zhōngyú zhǎodào le.
Cuối cùng tôi cũng tìm được.</t>
        </is>
      </c>
    </row>
    <row r="800" ht="34.9" customHeight="1" s="99">
      <c r="A800" t="n">
        <v>774</v>
      </c>
      <c r="B800" s="84" t="inlineStr">
        <is>
          <t>HSK3</t>
        </is>
      </c>
      <c r="C800" s="85" t="inlineStr">
        <is>
          <t>种</t>
        </is>
      </c>
      <c r="D800" s="78" t="inlineStr">
        <is>
          <t>zhǒng</t>
        </is>
      </c>
      <c r="E800" s="78" t="inlineStr">
        <is>
          <t>loại, giống (lượng từ)</t>
        </is>
      </c>
      <c r="H800" s="55">
        <f>IF(TRIM($G800)="","",IF(EXACT(TRIM($G800),TRIM($C800)),"✅ Đúng","❌ Sai"))</f>
        <v/>
      </c>
      <c r="I800" s="56" t="inlineStr">
        <is>
          <t>▶</t>
        </is>
      </c>
      <c r="J800" s="56" t="inlineStr">
        <is>
          <t>🔍</t>
        </is>
      </c>
      <c r="R800" s="23" t="inlineStr">
        <is>
          <t>Sun Aug 02 2026</t>
        </is>
      </c>
      <c r="T800" s="58" t="inlineStr">
        <is>
          <t>种 [CHỦNG] · hạt giống, loại
    ↳ Chiết tự: giản thể của 種: bộ 禾 (hòa – cây lúa) + 中 (trung – âm đọc) — hạt lúa để gieo</t>
        </is>
      </c>
      <c r="U800" s="24" t="inlineStr">
        <is>
          <t>🔢 Số đếm &amp; Lượng từ</t>
        </is>
      </c>
      <c r="V800" s="63" t="inlineStr">
        <is>
          <t>这种水果很甜。</t>
        </is>
      </c>
      <c r="W800" s="64" t="inlineStr">
        <is>
          <t>Zhè zhǒng shuǐguǒ hěn tián.
Loại trái cây này rất ngọt.</t>
        </is>
      </c>
    </row>
    <row r="801" hidden="1" ht="69.75" customHeight="1" s="99">
      <c r="A801" t="n">
        <v>775</v>
      </c>
      <c r="B801" s="84" t="inlineStr">
        <is>
          <t>HSK3</t>
        </is>
      </c>
      <c r="C801" s="85" t="inlineStr">
        <is>
          <t>周末</t>
        </is>
      </c>
      <c r="D801" s="78" t="inlineStr">
        <is>
          <t>zhōumò</t>
        </is>
      </c>
      <c r="E801" s="78" t="inlineStr">
        <is>
          <t>cuối tuần</t>
        </is>
      </c>
      <c r="G801" s="77" t="inlineStr">
        <is>
          <t>周末</t>
        </is>
      </c>
      <c r="H801" s="55">
        <f>IF(TRIM($G801)="","",IF(EXACT(TRIM($G801),TRIM($C801)),"✅ Đúng","❌ Sai"))</f>
        <v/>
      </c>
      <c r="I801" s="56" t="inlineStr">
        <is>
          <t>▶</t>
        </is>
      </c>
      <c r="J801" s="56" t="inlineStr">
        <is>
          <t>🔍</t>
        </is>
      </c>
      <c r="R801" s="23" t="inlineStr">
        <is>
          <t>Sun Aug 02 2026</t>
        </is>
      </c>
      <c r="T801" s="58" t="inlineStr">
        <is>
          <t>周 [CHU] · vòng quanh; tuần
    ↳ Chiết tự: bộ 冂 (quynh) + 土 + 口 — hình ruộng chia đều khắp, nghĩa vòng khắp
末 [MẠT] · cuối, ngọn
    ↳ Chiết tự: bộ 木 (mộc – cây) + 一 (nhất) trên ngọn — phần chót của cây</t>
        </is>
      </c>
      <c r="U801" s="24" t="inlineStr">
        <is>
          <t>⏰ Thời gian &amp; Ngày tháng</t>
        </is>
      </c>
      <c r="V801" s="63" t="inlineStr">
        <is>
          <t>周末你有空吗？</t>
        </is>
      </c>
      <c r="W801" s="64" t="inlineStr">
        <is>
          <t>Zhōumò nǐ yǒu kòng ma?
Cuối tuần bạn có rảnh không?</t>
        </is>
      </c>
    </row>
    <row r="802" ht="69.75" customHeight="1" s="99">
      <c r="A802" t="n">
        <v>776</v>
      </c>
      <c r="B802" s="84" t="inlineStr">
        <is>
          <t>HSK3</t>
        </is>
      </c>
      <c r="C802" s="85" t="inlineStr">
        <is>
          <t>主要</t>
        </is>
      </c>
      <c r="D802" s="78" t="inlineStr">
        <is>
          <t>zhǔyào</t>
        </is>
      </c>
      <c r="E802" s="78" t="inlineStr">
        <is>
          <t>chủ yếu, chính</t>
        </is>
      </c>
      <c r="H802" s="55">
        <f>IF(TRIM($G802)="","",IF(EXACT(TRIM($G802),TRIM($C802)),"✅ Đúng","❌ Sai"))</f>
        <v/>
      </c>
      <c r="I802" s="56" t="inlineStr">
        <is>
          <t>▶</t>
        </is>
      </c>
      <c r="J802" s="56" t="inlineStr">
        <is>
          <t>🔍</t>
        </is>
      </c>
      <c r="R802" s="23" t="inlineStr">
        <is>
          <t>Sun Aug 02 2026</t>
        </is>
      </c>
      <c r="T802" s="58" t="inlineStr">
        <is>
          <t>主 [CHỦ] · chủ, chính, làm chủ
    ↳ Chiết tự: bộ 丶 (chủ – ngọn lửa) + 王 — hình ngọn đèn chính giữa nhà
要 [YẾU / YÊU] · cần, muốn, quan trọng
    ↳ Chiết tự: bộ 覀 (á) + 女 (nữ – phụ nữ) — hình hai tay chống eo, nghĩa gốc là "eo", mượn chỉ điều cốt yếu</t>
        </is>
      </c>
      <c r="U802" s="24" t="inlineStr">
        <is>
          <t>🎨 Tính từ &amp; Trạng thái</t>
        </is>
      </c>
      <c r="V802" s="63" t="inlineStr">
        <is>
          <t>我们主要做出口。</t>
        </is>
      </c>
      <c r="W802" s="64" t="inlineStr">
        <is>
          <t>Wǒmen zhǔyào zuò chūkǒu.
Chúng tôi chủ yếu làm xuất khẩu.</t>
        </is>
      </c>
    </row>
    <row r="803" ht="69.75" customHeight="1" s="99">
      <c r="A803" t="n">
        <v>777</v>
      </c>
      <c r="B803" s="84" t="inlineStr">
        <is>
          <t>HSK3</t>
        </is>
      </c>
      <c r="C803" s="85" t="inlineStr">
        <is>
          <t>注意</t>
        </is>
      </c>
      <c r="D803" s="78" t="inlineStr">
        <is>
          <t>zhùyì</t>
        </is>
      </c>
      <c r="E803" s="78" t="inlineStr">
        <is>
          <t>chú ý, để ý</t>
        </is>
      </c>
      <c r="H803" s="55">
        <f>IF(TRIM($G803)="","",IF(EXACT(TRIM($G803),TRIM($C803)),"✅ Đúng","❌ Sai"))</f>
        <v/>
      </c>
      <c r="I803" s="56" t="inlineStr">
        <is>
          <t>▶</t>
        </is>
      </c>
      <c r="J803" s="56" t="inlineStr">
        <is>
          <t>🔍</t>
        </is>
      </c>
      <c r="R803" s="23" t="inlineStr">
        <is>
          <t>Sun Aug 02 2026</t>
        </is>
      </c>
      <c r="T803" s="58" t="inlineStr">
        <is>
          <t>注 [CHÚ] · rót vào; chú ý, ghi chú
    ↳ Chiết tự: bộ 氵 (thủy – nước) + 主 (chủ – âm đọc) — dồn nước vào một chỗ
意 [Ý] · ý nghĩ, ý nghĩa, ý muốn
    ↳ Chiết tự: bộ 音 (âm – tiếng) + 心 (tâm – trái tim) — tiếng lòng phát ra</t>
        </is>
      </c>
      <c r="U803" s="24" t="inlineStr">
        <is>
          <t>🏃 Động từ thường ngày</t>
        </is>
      </c>
      <c r="V803" s="63" t="inlineStr">
        <is>
          <t>请注意安全。</t>
        </is>
      </c>
      <c r="W803" s="64" t="inlineStr">
        <is>
          <t>Qǐng zhùyì ānquán.
Xin chú ý an toàn.</t>
        </is>
      </c>
    </row>
    <row r="804" ht="58.15" customHeight="1" s="99">
      <c r="A804" t="n">
        <v>778</v>
      </c>
      <c r="B804" s="84" t="inlineStr">
        <is>
          <t>HSK3</t>
        </is>
      </c>
      <c r="C804" s="85" t="inlineStr">
        <is>
          <t>自己</t>
        </is>
      </c>
      <c r="D804" s="78" t="inlineStr">
        <is>
          <t>zìjǐ</t>
        </is>
      </c>
      <c r="E804" s="78" t="inlineStr">
        <is>
          <t>tự mình, bản thân</t>
        </is>
      </c>
      <c r="H804" s="55">
        <f>IF(TRIM($G804)="","",IF(EXACT(TRIM($G804),TRIM($C804)),"✅ Đúng","❌ Sai"))</f>
        <v/>
      </c>
      <c r="I804" s="56" t="inlineStr">
        <is>
          <t>▶</t>
        </is>
      </c>
      <c r="J804" s="56" t="inlineStr">
        <is>
          <t>🔍</t>
        </is>
      </c>
      <c r="R804" s="23" t="inlineStr">
        <is>
          <t>Sun Aug 02 2026</t>
        </is>
      </c>
      <c r="T804" s="58" t="inlineStr">
        <is>
          <t>自 [TỰ] · tự mình; từ
    ↳ Chiết tự: bộ 自 (tự) — hình cái mũi, người Hoa chỉ vào mũi để nói "tôi"
己 [KỶ] · mình, bản thân
    ↳ Chiết tự: bộ 己 (kỷ) — hình sợi dây thắt nút để ghi nhớ việc mình</t>
        </is>
      </c>
      <c r="U804" s="24" t="inlineStr">
        <is>
          <t>🗣️ Đại từ &amp; Nghi vấn</t>
        </is>
      </c>
      <c r="V804" s="63" t="inlineStr">
        <is>
          <t>我自己去就行。</t>
        </is>
      </c>
      <c r="W804" s="64" t="inlineStr">
        <is>
          <t>Wǒ zìjǐ qù jiù xíng.
Tôi tự đi là được.</t>
        </is>
      </c>
    </row>
    <row r="805" ht="69.75" customHeight="1" s="99">
      <c r="A805" t="n">
        <v>779</v>
      </c>
      <c r="B805" s="84" t="inlineStr">
        <is>
          <t>HSK3</t>
        </is>
      </c>
      <c r="C805" s="85" t="inlineStr">
        <is>
          <t>总是</t>
        </is>
      </c>
      <c r="D805" s="78" t="inlineStr">
        <is>
          <t>zǒngshì</t>
        </is>
      </c>
      <c r="E805" s="78" t="inlineStr">
        <is>
          <t>luôn luôn, cứ</t>
        </is>
      </c>
      <c r="H805" s="55">
        <f>IF(TRIM($G805)="","",IF(EXACT(TRIM($G805),TRIM($C805)),"✅ Đúng","❌ Sai"))</f>
        <v/>
      </c>
      <c r="I805" s="56" t="inlineStr">
        <is>
          <t>▶</t>
        </is>
      </c>
      <c r="J805" s="56" t="inlineStr">
        <is>
          <t>🔍</t>
        </is>
      </c>
      <c r="R805" s="23" t="inlineStr">
        <is>
          <t>Sun Aug 02 2026</t>
        </is>
      </c>
      <c r="T805" s="58" t="inlineStr">
        <is>
          <t>总 [TỔNG] · tổng cộng; luôn luôn
    ↳ Chiết tự: giản thể của 總: bộ 心 (tâm) + 丷 + 口 — gom hết vào một mối
是 [THỊ] · là, đúng, phải
    ↳ Chiết tự: bộ 日 (nhật – mặt trời) + 正 (chính – ngay thẳng) — mặt trời đi đúng đường, không sai</t>
        </is>
      </c>
      <c r="U805" s="24" t="inlineStr">
        <is>
          <t>⏰ Thời gian &amp; Ngày tháng</t>
        </is>
      </c>
      <c r="V805" s="63" t="inlineStr">
        <is>
          <t>他总是迟到。</t>
        </is>
      </c>
      <c r="W805" s="64" t="inlineStr">
        <is>
          <t>Tā zǒngshì chídào.
Anh ấy luôn đến muộn.</t>
        </is>
      </c>
    </row>
    <row r="806" ht="23.25" customHeight="1" s="99">
      <c r="A806" t="n">
        <v>780</v>
      </c>
      <c r="B806" s="84" t="inlineStr">
        <is>
          <t>HSK3</t>
        </is>
      </c>
      <c r="C806" s="85" t="inlineStr">
        <is>
          <t>嘴</t>
        </is>
      </c>
      <c r="D806" s="78" t="inlineStr">
        <is>
          <t>zuǐ</t>
        </is>
      </c>
      <c r="E806" s="78" t="inlineStr">
        <is>
          <t>cái miệng</t>
        </is>
      </c>
      <c r="H806" s="55">
        <f>IF(TRIM($G806)="","",IF(EXACT(TRIM($G806),TRIM($C806)),"✅ Đúng","❌ Sai"))</f>
        <v/>
      </c>
      <c r="I806" s="56" t="inlineStr">
        <is>
          <t>▶</t>
        </is>
      </c>
      <c r="J806" s="56" t="inlineStr">
        <is>
          <t>🔍</t>
        </is>
      </c>
      <c r="R806" s="23" t="inlineStr">
        <is>
          <t>Sun Aug 02 2026</t>
        </is>
      </c>
      <c r="T806" s="58" t="inlineStr">
        <is>
          <t>嘴 [TỦY] · cái miệng, mỏ
    ↳ Chiết tự: bộ 口 (khẩu – miệng) + 觜 (tuy – âm đọc) — cửa miệng</t>
        </is>
      </c>
      <c r="U806" s="24" t="inlineStr">
        <is>
          <t>⚕️ Sức khỏe &amp; Cơ thể</t>
        </is>
      </c>
      <c r="V806" s="63" t="inlineStr">
        <is>
          <t>孩子的嘴很小。</t>
        </is>
      </c>
      <c r="W806" s="64" t="inlineStr">
        <is>
          <t>Háizi de zuǐ hěn xiǎo.
Miệng đứa trẻ rất nhỏ.</t>
        </is>
      </c>
    </row>
    <row r="807" hidden="1" ht="58.15" customHeight="1" s="99">
      <c r="A807" t="n">
        <v>781</v>
      </c>
      <c r="B807" s="84" t="inlineStr">
        <is>
          <t>HSK3</t>
        </is>
      </c>
      <c r="C807" s="85" t="inlineStr">
        <is>
          <t>最近</t>
        </is>
      </c>
      <c r="D807" s="78" t="inlineStr">
        <is>
          <t>zuìjìn</t>
        </is>
      </c>
      <c r="E807" s="78" t="inlineStr">
        <is>
          <t>gần đây, dạo này</t>
        </is>
      </c>
      <c r="G807" s="77" t="inlineStr">
        <is>
          <t>最近</t>
        </is>
      </c>
      <c r="H807" s="55">
        <f>IF(TRIM($G807)="","",IF(EXACT(TRIM($G807),TRIM($C807)),"✅ Đúng","❌ Sai"))</f>
        <v/>
      </c>
      <c r="I807" s="56" t="inlineStr">
        <is>
          <t>▶</t>
        </is>
      </c>
      <c r="J807" s="56" t="inlineStr">
        <is>
          <t>🔍</t>
        </is>
      </c>
      <c r="R807" s="23" t="inlineStr">
        <is>
          <t>Sun Aug 02 2026</t>
        </is>
      </c>
      <c r="T807" s="58" t="inlineStr">
        <is>
          <t>最 [TỐI] · nhất, hơn cả
    ↳ Chiết tự: bộ 曰 (viết) + 取 (thủ – lấy) — chọn lấy cái đứng đầu
近 [CẬN] · gần
    ↳ Chiết tự: bộ 辶 (sước – bước đi) + 斤 (cân – âm đọc) — đi vài bước là tới</t>
        </is>
      </c>
      <c r="U807" s="24" t="inlineStr">
        <is>
          <t>⏰ Thời gian &amp; Ngày tháng</t>
        </is>
      </c>
      <c r="V807" s="63" t="inlineStr">
        <is>
          <t>你最近怎么样？</t>
        </is>
      </c>
      <c r="W807" s="64" t="inlineStr">
        <is>
          <t>Nǐ zuìjìn zěnmeyàng?
Dạo này bạn thế nào?</t>
        </is>
      </c>
    </row>
    <row r="808" ht="69.75" customHeight="1" s="99">
      <c r="A808" t="n">
        <v>782</v>
      </c>
      <c r="B808" s="84" t="inlineStr">
        <is>
          <t>HSK3</t>
        </is>
      </c>
      <c r="C808" s="85" t="inlineStr">
        <is>
          <t>作业</t>
        </is>
      </c>
      <c r="D808" s="78" t="inlineStr">
        <is>
          <t>zuòyè</t>
        </is>
      </c>
      <c r="E808" s="78" t="inlineStr">
        <is>
          <t>bài tập về nhà</t>
        </is>
      </c>
      <c r="H808" s="55">
        <f>IF(TRIM($G808)="","",IF(EXACT(TRIM($G808),TRIM($C808)),"✅ Đúng","❌ Sai"))</f>
        <v/>
      </c>
      <c r="I808" s="56" t="inlineStr">
        <is>
          <t>▶</t>
        </is>
      </c>
      <c r="J808" s="56" t="inlineStr">
        <is>
          <t>🔍</t>
        </is>
      </c>
      <c r="R808" s="23" t="inlineStr">
        <is>
          <t>Sun Aug 02 2026</t>
        </is>
      </c>
      <c r="T808" s="58" t="inlineStr">
        <is>
          <t>作 [TÁC] · làm, chế tác, tác phẩm
    ↳ Chiết tự: bộ 亻 (nhân đứng – người) + 乍 (sạ – âm đọc) — người khởi sự tạo ra
业 [NGHIỆP] · nghề nghiệp, sự nghiệp
    ↳ Chiết tự: giản thể của 業: bộ 一 (nhất) + 业 — hình giá gỗ treo nhạc khí, nghĩa việc làm</t>
        </is>
      </c>
      <c r="U808" s="24" t="inlineStr">
        <is>
          <t>🏫 Học tập &amp; Trường lớp</t>
        </is>
      </c>
      <c r="V808" s="63" t="inlineStr">
        <is>
          <t>我在写作业。</t>
        </is>
      </c>
      <c r="W808" s="64" t="inlineStr">
        <is>
          <t>Wǒ zài xiě zuòyè.
Tôi đang làm bài tập.</t>
        </is>
      </c>
    </row>
    <row r="809" ht="34.9" customHeight="1" s="99">
      <c r="A809" t="n">
        <v>783</v>
      </c>
      <c r="B809" s="84" t="inlineStr">
        <is>
          <t>HSK3</t>
        </is>
      </c>
      <c r="C809" s="85" t="inlineStr">
        <is>
          <t>座</t>
        </is>
      </c>
      <c r="D809" s="78" t="inlineStr">
        <is>
          <t>zuò</t>
        </is>
      </c>
      <c r="E809" s="78" t="inlineStr">
        <is>
          <t>chỗ ngồi, toà (lượng từ)</t>
        </is>
      </c>
      <c r="H809" s="55">
        <f>IF(TRIM($G809)="","",IF(EXACT(TRIM($G809),TRIM($C809)),"✅ Đúng","❌ Sai"))</f>
        <v/>
      </c>
      <c r="I809" s="56" t="inlineStr">
        <is>
          <t>▶</t>
        </is>
      </c>
      <c r="J809" s="56" t="inlineStr">
        <is>
          <t>🔍</t>
        </is>
      </c>
      <c r="R809" s="23" t="inlineStr">
        <is>
          <t>Sun Aug 02 2026</t>
        </is>
      </c>
      <c r="T809" s="58" t="inlineStr">
        <is>
          <t>座 [TỌA] · chỗ ngồi, toà (lượng từ)
    ↳ Chiết tự: bộ 广 (nghiễm – mái nhà) + 坐 (tọa – ngồi) — chỗ ngồi dưới mái</t>
        </is>
      </c>
      <c r="U809" s="24" t="inlineStr">
        <is>
          <t>🔢 Số đếm &amp; Lượng từ</t>
        </is>
      </c>
      <c r="V809" s="63" t="inlineStr">
        <is>
          <t>这座楼很高。</t>
        </is>
      </c>
      <c r="W809" s="64" t="inlineStr">
        <is>
          <t>Zhè zuò lóu hěn gāo.
Tòa nhà này rất cao.</t>
        </is>
      </c>
    </row>
    <row r="810" ht="69.75" customHeight="1" s="99">
      <c r="A810" t="n">
        <v>784</v>
      </c>
      <c r="B810" s="84" t="inlineStr">
        <is>
          <t>HSK3</t>
        </is>
      </c>
      <c r="C810" s="85" t="inlineStr">
        <is>
          <t>座位</t>
        </is>
      </c>
      <c r="D810" s="78" t="inlineStr">
        <is>
          <t>zuòwèi</t>
        </is>
      </c>
      <c r="E810" s="78" t="inlineStr">
        <is>
          <t>chỗ ngồi, ghế</t>
        </is>
      </c>
      <c r="H810" s="55">
        <f>IF(TRIM($G810)="","",IF(EXACT(TRIM($G810),TRIM($C810)),"✅ Đúng","❌ Sai"))</f>
        <v/>
      </c>
      <c r="I810" s="56" t="inlineStr">
        <is>
          <t>▶</t>
        </is>
      </c>
      <c r="J810" s="56" t="inlineStr">
        <is>
          <t>🔍</t>
        </is>
      </c>
      <c r="R810" s="23" t="inlineStr">
        <is>
          <t>Sun Aug 02 2026</t>
        </is>
      </c>
      <c r="T810" s="58" t="inlineStr">
        <is>
          <t>座 [TỌA] · chỗ ngồi, toà (lượng từ)
    ↳ Chiết tự: bộ 广 (nghiễm – mái nhà) + 坐 (tọa – ngồi) — chỗ ngồi dưới mái
位 [VỊ] · vị trí; vị (lượng từ kính trọng)
    ↳ Chiết tự: bộ 亻 (nhân đứng – người) + 立 (lập – đứng) — chỗ người đứng</t>
        </is>
      </c>
      <c r="U810" s="24" t="inlineStr">
        <is>
          <t>🚗 Giao thông &amp; Địa điểm</t>
        </is>
      </c>
      <c r="V810" s="63" t="inlineStr">
        <is>
          <t>这个座位有人吗？</t>
        </is>
      </c>
      <c r="W810" s="64" t="inlineStr">
        <is>
          <t>Zhège zuòwèi yǒu rén ma?
Chỗ này có người ngồi chưa?</t>
        </is>
      </c>
    </row>
    <row r="811" hidden="1" ht="69.75" customHeight="1" s="99">
      <c r="A811" t="n">
        <v>785</v>
      </c>
      <c r="B811" s="86" t="inlineStr">
        <is>
          <t>THƯƠNG MẠI</t>
        </is>
      </c>
      <c r="C811" s="85" t="inlineStr">
        <is>
          <t>企业</t>
        </is>
      </c>
      <c r="D811" s="78" t="inlineStr">
        <is>
          <t>qǐyè</t>
        </is>
      </c>
      <c r="E811" s="78" t="inlineStr">
        <is>
          <t>doanh nghiệp</t>
        </is>
      </c>
      <c r="G811" s="77" t="inlineStr">
        <is>
          <t>企业</t>
        </is>
      </c>
      <c r="H811" s="55">
        <f>IF(TRIM($G811)="","",IF(EXACT(TRIM($G811),TRIM($C811)),"✅ Đúng","❌ Sai"))</f>
        <v/>
      </c>
      <c r="I811" s="56" t="inlineStr">
        <is>
          <t>▶</t>
        </is>
      </c>
      <c r="J811" s="56" t="inlineStr">
        <is>
          <t>🔍</t>
        </is>
      </c>
      <c r="R811" s="23" t="inlineStr">
        <is>
          <t>Sun Aug 02 2026</t>
        </is>
      </c>
      <c r="T811" s="58" t="inlineStr">
        <is>
          <t>企 [XÍ] · mưu tính, doanh nghiệp
    ↳ Chiết tự: bộ 人 (nhân – người) + 止 (chỉ – bàn chân) — người kiễng chân ngóng xa, nghĩa "mưu việc lớn"
业 [NGHIỆP] · nghề nghiệp, sự nghiệp
    ↳ Chiết tự: giản thể của 業: bộ 一 (nhất) + 业 — hình giá gỗ treo nhạc khí, nghĩa việc làm</t>
        </is>
      </c>
      <c r="U811" s="24" t="inlineStr">
        <is>
          <t>🏢 Thương mại &amp; Công sở</t>
        </is>
      </c>
      <c r="V811" s="63" t="inlineStr">
        <is>
          <t>这是一家大企业。</t>
        </is>
      </c>
      <c r="W811" s="64" t="inlineStr">
        <is>
          <t>Zhè shì yì jiā dà qǐyè.
Đây là một doanh nghiệp lớn.</t>
        </is>
      </c>
    </row>
    <row r="812" hidden="1" ht="58.15" customHeight="1" s="99">
      <c r="A812" t="n">
        <v>786</v>
      </c>
      <c r="B812" s="86" t="inlineStr">
        <is>
          <t>THƯƠNG MẠI</t>
        </is>
      </c>
      <c r="C812" s="85" t="inlineStr">
        <is>
          <t>工厂</t>
        </is>
      </c>
      <c r="D812" s="78" t="inlineStr">
        <is>
          <t>gōngchǎng</t>
        </is>
      </c>
      <c r="E812" s="78" t="inlineStr">
        <is>
          <t>nhà máy, xưởng</t>
        </is>
      </c>
      <c r="G812" s="77" t="inlineStr">
        <is>
          <t>工厂</t>
        </is>
      </c>
      <c r="H812" s="55">
        <f>IF(TRIM($G812)="","",IF(EXACT(TRIM($G812),TRIM($C812)),"✅ Đúng","❌ Sai"))</f>
        <v/>
      </c>
      <c r="I812" s="56" t="inlineStr">
        <is>
          <t>▶</t>
        </is>
      </c>
      <c r="J812" s="56" t="inlineStr">
        <is>
          <t>🔍</t>
        </is>
      </c>
      <c r="R812" s="23" t="inlineStr">
        <is>
          <t>Sun Aug 02 2026</t>
        </is>
      </c>
      <c r="T812" s="58" t="inlineStr">
        <is>
          <t>工 [CÔNG] · công việc, thợ, khéo
    ↳ Chiết tự: bộ 工 (công) — hình cái thước/đục của người thợ
厂 [XƯỞNG] · nhà xưởng, nhà máy
    ↳ Chiết tự: giản thể của 廠: bộ 厂 (hán – vách núi/mái che) — mái nhà lớn để làm việc</t>
        </is>
      </c>
      <c r="U812" s="24" t="inlineStr">
        <is>
          <t>🏢 Thương mại &amp; Công sở</t>
        </is>
      </c>
      <c r="V812" s="63" t="inlineStr">
        <is>
          <t>工厂在城市外边。</t>
        </is>
      </c>
      <c r="W812" s="64" t="inlineStr">
        <is>
          <t>Gōngchǎng zài chéngshì wàibian.
Nhà máy ở ngoại thành.</t>
        </is>
      </c>
    </row>
    <row r="813" hidden="1" ht="104.65" customHeight="1" s="99">
      <c r="A813" t="n">
        <v>787</v>
      </c>
      <c r="B813" s="86" t="inlineStr">
        <is>
          <t>THƯƠNG MẠI</t>
        </is>
      </c>
      <c r="C813" s="85" t="inlineStr">
        <is>
          <t>办公室</t>
        </is>
      </c>
      <c r="D813" s="78" t="inlineStr">
        <is>
          <t>bàngōngshì</t>
        </is>
      </c>
      <c r="E813" s="78" t="inlineStr">
        <is>
          <t>văn phòng</t>
        </is>
      </c>
      <c r="G813" s="77" t="inlineStr">
        <is>
          <t>办公室</t>
        </is>
      </c>
      <c r="H813" s="55">
        <f>IF(TRIM($G813)="","",IF(EXACT(TRIM($G813),TRIM($C813)),"✅ Đúng","❌ Sai"))</f>
        <v/>
      </c>
      <c r="I813" s="56" t="inlineStr">
        <is>
          <t>▶</t>
        </is>
      </c>
      <c r="J813" s="56" t="inlineStr">
        <is>
          <t>🔍</t>
        </is>
      </c>
      <c r="R813" s="23" t="inlineStr">
        <is>
          <t>Sun Aug 02 2026</t>
        </is>
      </c>
      <c r="T813" s="58" t="inlineStr">
        <is>
          <t>办 [BẠN] · làm, xử lý, lo việc
    ↳ Chiết tự: giản thể của 辦: bộ 力 (lực – sức) + hai chấm — dùng sức mà lo xong việc
公 [CÔNG] · chung, công cộng; ông
    ↳ Chiết tự: bộ 八 (bát – chia) + 厶 (tư – riêng tư) — chia bỏ cái riêng thì thành cái chung
室 [THẤT] · căn phòng
    ↳ Chiết tự: bộ 宀 (miên – mái nhà) + 至 (chí – tới nơi) — nơi trong nhà để đi tới</t>
        </is>
      </c>
      <c r="U813" s="24" t="inlineStr">
        <is>
          <t>🏢 Thương mại &amp; Công sở</t>
        </is>
      </c>
      <c r="V813" s="63" t="inlineStr">
        <is>
          <t>经理在办公室。</t>
        </is>
      </c>
      <c r="W813" s="64" t="inlineStr">
        <is>
          <t>Jīnglǐ zài bàngōngshì.
Giám đốc ở trong văn phòng.</t>
        </is>
      </c>
    </row>
    <row r="814" hidden="1" ht="104.65" customHeight="1" s="99">
      <c r="A814" t="n">
        <v>788</v>
      </c>
      <c r="B814" s="86" t="inlineStr">
        <is>
          <t>THƯƠNG MẠI</t>
        </is>
      </c>
      <c r="C814" s="85" t="inlineStr">
        <is>
          <t>总经理</t>
        </is>
      </c>
      <c r="D814" s="78" t="inlineStr">
        <is>
          <t>zǒngjīnglǐ</t>
        </is>
      </c>
      <c r="E814" s="78" t="inlineStr">
        <is>
          <t>tổng giám đốc</t>
        </is>
      </c>
      <c r="G814" s="77" t="inlineStr">
        <is>
          <t>总经理</t>
        </is>
      </c>
      <c r="H814" s="55">
        <f>IF(TRIM($G814)="","",IF(EXACT(TRIM($G814),TRIM($C814)),"✅ Đúng","❌ Sai"))</f>
        <v/>
      </c>
      <c r="I814" s="56" t="inlineStr">
        <is>
          <t>▶</t>
        </is>
      </c>
      <c r="J814" s="56" t="inlineStr">
        <is>
          <t>🔍</t>
        </is>
      </c>
      <c r="R814" s="23" t="inlineStr">
        <is>
          <t>Sun Aug 02 2026</t>
        </is>
      </c>
      <c r="T814" s="58" t="inlineStr">
        <is>
          <t>总 [TỔNG] · tổng cộng; luôn luôn
    ↳ Chiết tự: giản thể của 總: bộ 心 (tâm) + 丷 + 口 — gom hết vào một mối
经 [KINH] · trải qua, đã; kinh điển; sợi dọc
    ↳ Chiết tự: giản thể của 經: bộ 纟 (mịch – sợi tơ) + 巠 (kinh – âm đọc) — sợi dọc của tấm vải, cái xuyên suốt
理 [LÝ] · lý lẽ; sửa sang, quản lý
    ↳ Chiết tự: bộ 王/玉 (ngọc) + 里 (lý – âm đọc) — mài ngọc theo thớ, nghĩa lẽ phải</t>
        </is>
      </c>
      <c r="U814" s="24" t="inlineStr">
        <is>
          <t>🏢 Thương mại &amp; Công sở</t>
        </is>
      </c>
      <c r="V814" s="63" t="inlineStr">
        <is>
          <t>总经理明天回国。</t>
        </is>
      </c>
      <c r="W814" s="64" t="inlineStr">
        <is>
          <t>Zǒngjīnglǐ míngtiān huí guó.
Tổng giám đốc mai về nước.</t>
        </is>
      </c>
    </row>
    <row r="815" hidden="1" ht="104.65" customHeight="1" s="99">
      <c r="A815" t="n">
        <v>789</v>
      </c>
      <c r="B815" s="86" t="inlineStr">
        <is>
          <t>THƯƠNG MẠI</t>
        </is>
      </c>
      <c r="C815" s="85" t="inlineStr">
        <is>
          <t>董事长</t>
        </is>
      </c>
      <c r="D815" s="78" t="inlineStr">
        <is>
          <t>dǒngshìzhǎng</t>
        </is>
      </c>
      <c r="E815" s="78" t="inlineStr">
        <is>
          <t>chủ tịch hội đồng quản trị</t>
        </is>
      </c>
      <c r="G815" s="77" t="inlineStr">
        <is>
          <t>董事长</t>
        </is>
      </c>
      <c r="H815" s="55">
        <f>IF(TRIM($G815)="","",IF(EXACT(TRIM($G815),TRIM($C815)),"✅ Đúng","❌ Sai"))</f>
        <v/>
      </c>
      <c r="I815" s="56" t="inlineStr">
        <is>
          <t>▶</t>
        </is>
      </c>
      <c r="J815" s="56" t="inlineStr">
        <is>
          <t>🔍</t>
        </is>
      </c>
      <c r="R815" s="23" t="inlineStr">
        <is>
          <t>Sun Aug 02 2026</t>
        </is>
      </c>
      <c r="T815" s="58" t="inlineStr">
        <is>
          <t>董 [ĐỔNG] · trông coi, giám sát
    ↳ Chiết tự: bộ 艹 (thảo – cỏ) + 重 (trọng – nặng, âm đọc) — người coi việc trọng
事 [SỰ] · việc, sự việc, phụng sự
    ↳ Chiết tự: bộ 亅 (quyết) + 口 (khẩu – miệng) + 彐 (kệ – bàn tay) — tay cầm bút ghi lại việc
长 [TRƯỜNG / TRƯỞNG] · dài; lớn lên; thủ trưởng
    ↳ Chiết tự: giản thể của 長: bộ 长 (trường) — hình người tóc dài chống gậy</t>
        </is>
      </c>
      <c r="U815" s="24" t="inlineStr">
        <is>
          <t>🏢 Thương mại &amp; Công sở</t>
        </is>
      </c>
      <c r="V815" s="63" t="inlineStr">
        <is>
          <t>董事长要来参加会议。</t>
        </is>
      </c>
      <c r="W815" s="64" t="inlineStr">
        <is>
          <t>Dǒngshìzhǎng yào lái cānjiā huìyì.
Chủ tịch sẽ đến tham dự hội nghị.</t>
        </is>
      </c>
    </row>
    <row r="816" hidden="1" ht="46.5" customHeight="1" s="99">
      <c r="A816" t="n">
        <v>790</v>
      </c>
      <c r="B816" s="86" t="inlineStr">
        <is>
          <t>THƯƠNG MẠI</t>
        </is>
      </c>
      <c r="C816" s="85" t="inlineStr">
        <is>
          <t>老板</t>
        </is>
      </c>
      <c r="D816" s="78" t="inlineStr">
        <is>
          <t>lǎobǎn</t>
        </is>
      </c>
      <c r="E816" s="78" t="inlineStr">
        <is>
          <t>ông chủ, giám đốc</t>
        </is>
      </c>
      <c r="G816" s="77" t="inlineStr">
        <is>
          <t>老板</t>
        </is>
      </c>
      <c r="H816" s="55">
        <f>IF(TRIM($G816)="","",IF(EXACT(TRIM($G816),TRIM($C816)),"✅ Đúng","❌ Sai"))</f>
        <v/>
      </c>
      <c r="I816" s="56" t="inlineStr">
        <is>
          <t>▶</t>
        </is>
      </c>
      <c r="J816" s="56" t="inlineStr">
        <is>
          <t>🔍</t>
        </is>
      </c>
      <c r="R816" s="23" t="inlineStr">
        <is>
          <t>Sun Aug 02 2026</t>
        </is>
      </c>
      <c r="T816" s="58" t="inlineStr">
        <is>
          <t>老 [LÃO] · già; cũ; luôn luôn; tiền tố tôn xưng
    ↳ Chiết tự: bộ 老 (lão) — hình cụ già tóc dài chống gậy
板 [BẢN] · tấm ván, bảng
    ↳ Chiết tự: bộ 木 (mộc – gỗ) + 反 (phản – âm đọc) — tấm gỗ phẳng</t>
        </is>
      </c>
      <c r="U816" s="24" t="inlineStr">
        <is>
          <t>🏢 Thương mại &amp; Công sở</t>
        </is>
      </c>
      <c r="V816" s="63" t="inlineStr">
        <is>
          <t>老板同意了这个方案。</t>
        </is>
      </c>
      <c r="W816" s="64" t="inlineStr">
        <is>
          <t>Lǎobǎn tóngyì le zhège fāng'àn.
Ông chủ đã đồng ý phương án này.</t>
        </is>
      </c>
    </row>
    <row r="817" hidden="1" ht="58.15" customHeight="1" s="99">
      <c r="A817" t="n">
        <v>791</v>
      </c>
      <c r="B817" s="86" t="inlineStr">
        <is>
          <t>THƯƠNG MẠI</t>
        </is>
      </c>
      <c r="C817" s="85" t="inlineStr">
        <is>
          <t>员工</t>
        </is>
      </c>
      <c r="D817" s="78" t="inlineStr">
        <is>
          <t>yuángōng</t>
        </is>
      </c>
      <c r="E817" s="78" t="inlineStr">
        <is>
          <t>nhân viên</t>
        </is>
      </c>
      <c r="G817" s="77" t="inlineStr">
        <is>
          <t>员工</t>
        </is>
      </c>
      <c r="H817" s="55">
        <f>IF(TRIM($G817)="","",IF(EXACT(TRIM($G817),TRIM($C817)),"✅ Đúng","❌ Sai"))</f>
        <v/>
      </c>
      <c r="I817" s="56" t="inlineStr">
        <is>
          <t>▶</t>
        </is>
      </c>
      <c r="J817" s="56" t="inlineStr">
        <is>
          <t>🔍</t>
        </is>
      </c>
      <c r="R817" s="23" t="inlineStr">
        <is>
          <t>Sun Aug 02 2026</t>
        </is>
      </c>
      <c r="T817" s="58" t="inlineStr">
        <is>
          <t>员 [VIÊN] · nhân viên, thành viên
    ↳ Chiết tự: giản thể của 員: bộ 口 (khẩu – miệng) + 贝 (bối – tiền) — người trong một tổ chức
工 [CÔNG] · công việc, thợ, khéo
    ↳ Chiết tự: bộ 工 (công) — hình cái thước/đục của người thợ</t>
        </is>
      </c>
      <c r="U817" s="24" t="inlineStr">
        <is>
          <t>🏢 Thương mại &amp; Công sở</t>
        </is>
      </c>
      <c r="V817" s="63" t="inlineStr">
        <is>
          <t>我们公司有五十个员工。</t>
        </is>
      </c>
      <c r="W817" s="64" t="inlineStr">
        <is>
          <t>Wǒmen gōngsī yǒu wǔshí ge yuángōng.
Công ty chúng tôi có năm mươi nhân viên.</t>
        </is>
      </c>
    </row>
    <row r="818" ht="69.75" customHeight="1" s="99">
      <c r="A818" t="n">
        <v>792</v>
      </c>
      <c r="B818" s="86" t="inlineStr">
        <is>
          <t>THƯƠNG MẠI</t>
        </is>
      </c>
      <c r="C818" s="85" t="inlineStr">
        <is>
          <t>职员</t>
        </is>
      </c>
      <c r="D818" s="78" t="inlineStr">
        <is>
          <t>zhíyuán</t>
        </is>
      </c>
      <c r="E818" s="78" t="inlineStr">
        <is>
          <t>nhân viên (văn phòng)</t>
        </is>
      </c>
      <c r="H818" s="55">
        <f>IF(TRIM($G818)="","",IF(EXACT(TRIM($G818),TRIM($C818)),"✅ Đúng","❌ Sai"))</f>
        <v/>
      </c>
      <c r="I818" s="56" t="inlineStr">
        <is>
          <t>▶</t>
        </is>
      </c>
      <c r="J818" s="56" t="inlineStr">
        <is>
          <t>🔍</t>
        </is>
      </c>
      <c r="R818" s="23" t="inlineStr">
        <is>
          <t>Sun Aug 02 2026</t>
        </is>
      </c>
      <c r="T818" s="58" t="inlineStr">
        <is>
          <t>职 [CHỨC] · chức vụ, chức trách
    ↳ Chiết tự: giản thể của 職: bộ 耳 (nhĩ – tai) + 只 (chỉ – âm đọc) — tai nghe lệnh mà giữ phận
员 [VIÊN] · nhân viên, thành viên
    ↳ Chiết tự: giản thể của 員: bộ 口 (khẩu – miệng) + 贝 (bối – tiền) — người trong một tổ chức</t>
        </is>
      </c>
      <c r="U818" s="24" t="inlineStr">
        <is>
          <t>🏢 Thương mại &amp; Công sở</t>
        </is>
      </c>
      <c r="V818" s="63" t="inlineStr">
        <is>
          <t>她是新来的职员。</t>
        </is>
      </c>
      <c r="W818" s="64" t="inlineStr">
        <is>
          <t>Tā shì xīn lái de zhíyuán.
Cô ấy là nhân viên mới.</t>
        </is>
      </c>
    </row>
    <row r="819" ht="58.15" customHeight="1" s="99">
      <c r="A819" t="n">
        <v>793</v>
      </c>
      <c r="B819" s="86" t="inlineStr">
        <is>
          <t>THƯƠNG MẠI</t>
        </is>
      </c>
      <c r="C819" s="85" t="inlineStr">
        <is>
          <t>秘书</t>
        </is>
      </c>
      <c r="D819" s="78" t="inlineStr">
        <is>
          <t>mìshū</t>
        </is>
      </c>
      <c r="E819" s="78" t="inlineStr">
        <is>
          <t>thư ký</t>
        </is>
      </c>
      <c r="H819" s="55">
        <f>IF(TRIM($G819)="","",IF(EXACT(TRIM($G819),TRIM($C819)),"✅ Đúng","❌ Sai"))</f>
        <v/>
      </c>
      <c r="I819" s="56" t="inlineStr">
        <is>
          <t>▶</t>
        </is>
      </c>
      <c r="J819" s="56" t="inlineStr">
        <is>
          <t>🔍</t>
        </is>
      </c>
      <c r="R819" s="23" t="inlineStr">
        <is>
          <t>Sun Aug 02 2026</t>
        </is>
      </c>
      <c r="T819" s="58" t="inlineStr">
        <is>
          <t>秘 [BÍ] · bí mật, kín
    ↳ Chiết tự: bộ 禾 (hòa – lúa) + 必 (tất – âm đọc) — điều giữ kín
书 [THƯ] · sách, viết, thư từ
    ↳ Chiết tự: giản thể của 書: bộ 聿 (duật – cây bút) + 曰 (viết – nói) — cầm bút chép lời thành sách</t>
        </is>
      </c>
      <c r="U819" s="24" t="inlineStr">
        <is>
          <t>🏢 Thương mại &amp; Công sở</t>
        </is>
      </c>
      <c r="V819" s="63" t="inlineStr">
        <is>
          <t>请让秘书安排时间。</t>
        </is>
      </c>
      <c r="W819" s="64" t="inlineStr">
        <is>
          <t>Qǐng ràng mìshū ānpái shíjiān.
Xin để thư ký sắp xếp thời gian.</t>
        </is>
      </c>
    </row>
    <row r="820" hidden="1" ht="58.15" customHeight="1" s="99">
      <c r="A820" t="n">
        <v>794</v>
      </c>
      <c r="B820" s="86" t="inlineStr">
        <is>
          <t>THƯƠNG MẠI</t>
        </is>
      </c>
      <c r="C820" s="85" t="inlineStr">
        <is>
          <t>部门</t>
        </is>
      </c>
      <c r="D820" s="78" t="inlineStr">
        <is>
          <t>bùmén</t>
        </is>
      </c>
      <c r="E820" s="78" t="inlineStr">
        <is>
          <t>bộ phận, phòng ban</t>
        </is>
      </c>
      <c r="G820" s="77" t="inlineStr">
        <is>
          <t>部门</t>
        </is>
      </c>
      <c r="H820" s="55">
        <f>IF(TRIM($G820)="","",IF(EXACT(TRIM($G820),TRIM($C820)),"✅ Đúng","❌ Sai"))</f>
        <v/>
      </c>
      <c r="I820" s="56" t="inlineStr">
        <is>
          <t>▶</t>
        </is>
      </c>
      <c r="J820" s="56" t="inlineStr">
        <is>
          <t>🔍</t>
        </is>
      </c>
      <c r="R820" s="23" t="inlineStr">
        <is>
          <t>Sun Aug 02 2026</t>
        </is>
      </c>
      <c r="T820" s="58" t="inlineStr">
        <is>
          <t>部 [BỘ] · bộ phận, ban ngành
    ↳ Chiết tự: bộ 阝 (ấp – làng) + 咅 (phẫu – âm đọc) — một khu vực trong tổng thể
门 [MÔN] · cửa; môn loại; nhà, phái
    ↳ Chiết tự: giản thể của 門: bộ 门 (môn) — hình hai cánh cửa</t>
        </is>
      </c>
      <c r="U820" s="24" t="inlineStr">
        <is>
          <t>🏢 Thương mại &amp; Công sở</t>
        </is>
      </c>
      <c r="V820" s="63" t="inlineStr">
        <is>
          <t>你在哪个部门工作？</t>
        </is>
      </c>
      <c r="W820" s="64" t="inlineStr">
        <is>
          <t>Nǐ zài nǎge bùmén gōngzuò?
Bạn làm ở bộ phận nào?</t>
        </is>
      </c>
    </row>
    <row r="821" hidden="1" ht="104.65" customHeight="1" s="99">
      <c r="A821" t="n">
        <v>795</v>
      </c>
      <c r="B821" s="86" t="inlineStr">
        <is>
          <t>THƯƠNG MẠI</t>
        </is>
      </c>
      <c r="C821" s="85" t="inlineStr">
        <is>
          <t>人事部</t>
        </is>
      </c>
      <c r="D821" s="78" t="inlineStr">
        <is>
          <t>rénshìbù</t>
        </is>
      </c>
      <c r="E821" s="78" t="inlineStr">
        <is>
          <t>phòng nhân sự</t>
        </is>
      </c>
      <c r="G821" s="77" t="inlineStr">
        <is>
          <t>人事部</t>
        </is>
      </c>
      <c r="H821" s="55">
        <f>IF(TRIM($G821)="","",IF(EXACT(TRIM($G821),TRIM($C821)),"✅ Đúng","❌ Sai"))</f>
        <v/>
      </c>
      <c r="I821" s="56" t="inlineStr">
        <is>
          <t>▶</t>
        </is>
      </c>
      <c r="J821" s="56" t="inlineStr">
        <is>
          <t>🔍</t>
        </is>
      </c>
      <c r="R821" s="23" t="inlineStr">
        <is>
          <t>Sun Aug 02 2026</t>
        </is>
      </c>
      <c r="T821" s="58" t="inlineStr">
        <is>
          <t>人 [NHÂN] · người, con người
    ↳ Chiết tự: bộ 人 (nhân) — hình người đứng nghiêng, dang hai chân
事 [SỰ] · việc, sự việc, phụng sự
    ↳ Chiết tự: bộ 亅 (quyết) + 口 (khẩu – miệng) + 彐 (kệ – bàn tay) — tay cầm bút ghi lại việc
部 [BỘ] · bộ phận, ban ngành
    ↳ Chiết tự: bộ 阝 (ấp – làng) + 咅 (phẫu – âm đọc) — một khu vực trong tổng thể</t>
        </is>
      </c>
      <c r="U821" s="24" t="inlineStr">
        <is>
          <t>🏢 Thương mại &amp; Công sở</t>
        </is>
      </c>
      <c r="V821" s="63" t="inlineStr">
        <is>
          <t>请把简历交给人事部。</t>
        </is>
      </c>
      <c r="W821" s="64" t="inlineStr">
        <is>
          <t>Qǐng bǎ jiǎnlì jiāo gěi rénshìbù.
Xin gửi CV cho phòng nhân sự.</t>
        </is>
      </c>
    </row>
    <row r="822" hidden="1" ht="104.65" customHeight="1" s="99">
      <c r="A822" t="n">
        <v>796</v>
      </c>
      <c r="B822" s="86" t="inlineStr">
        <is>
          <t>THƯƠNG MẠI</t>
        </is>
      </c>
      <c r="C822" s="85" t="inlineStr">
        <is>
          <t>财务部</t>
        </is>
      </c>
      <c r="D822" s="78" t="inlineStr">
        <is>
          <t>cáiwùbù</t>
        </is>
      </c>
      <c r="E822" s="78" t="inlineStr">
        <is>
          <t>phòng tài chính</t>
        </is>
      </c>
      <c r="G822" s="77" t="inlineStr">
        <is>
          <t>财务部</t>
        </is>
      </c>
      <c r="H822" s="55">
        <f>IF(TRIM($G822)="","",IF(EXACT(TRIM($G822),TRIM($C822)),"✅ Đúng","❌ Sai"))</f>
        <v/>
      </c>
      <c r="I822" s="56" t="inlineStr">
        <is>
          <t>▶</t>
        </is>
      </c>
      <c r="J822" s="56" t="inlineStr">
        <is>
          <t>🔍</t>
        </is>
      </c>
      <c r="R822" s="23" t="inlineStr">
        <is>
          <t>Sun Aug 02 2026</t>
        </is>
      </c>
      <c r="T822" s="58" t="inlineStr">
        <is>
          <t>财 [TÀI] · tài sản, của cải
    ↳ Chiết tự: giản thể của 財: bộ 贝 (bối – vỏ sò/tiền) + 才 (tài – âm đọc) — tiền của
务 [VỤ] · công việc, nhiệm vụ
    ↳ Chiết tự: giản thể của 務: bộ 夂 (truy) + 力 (lực – sức) — dốc sức làm việc
部 [BỘ] · bộ phận, ban ngành
    ↳ Chiết tự: bộ 阝 (ấp – làng) + 咅 (phẫu – âm đọc) — một khu vực trong tổng thể</t>
        </is>
      </c>
      <c r="U822" s="24" t="inlineStr">
        <is>
          <t>🏢 Thương mại &amp; Công sở</t>
        </is>
      </c>
      <c r="V822" s="63" t="inlineStr">
        <is>
          <t>财务部在三层。</t>
        </is>
      </c>
      <c r="W822" s="64" t="inlineStr">
        <is>
          <t>Cáiwùbù zài sān céng.
Phòng tài chính ở tầng ba.</t>
        </is>
      </c>
    </row>
    <row r="823" hidden="1" ht="104.65" customHeight="1" s="99">
      <c r="A823" t="n">
        <v>797</v>
      </c>
      <c r="B823" s="86" t="inlineStr">
        <is>
          <t>THƯƠNG MẠI</t>
        </is>
      </c>
      <c r="C823" s="85" t="inlineStr">
        <is>
          <t>销售部</t>
        </is>
      </c>
      <c r="D823" s="78" t="inlineStr">
        <is>
          <t>xiāoshòubù</t>
        </is>
      </c>
      <c r="E823" s="78" t="inlineStr">
        <is>
          <t>phòng kinh doanh</t>
        </is>
      </c>
      <c r="G823" s="77" t="inlineStr">
        <is>
          <t>销售部</t>
        </is>
      </c>
      <c r="H823" s="55">
        <f>IF(TRIM($G823)="","",IF(EXACT(TRIM($G823),TRIM($C823)),"✅ Đúng","❌ Sai"))</f>
        <v/>
      </c>
      <c r="I823" s="56" t="inlineStr">
        <is>
          <t>▶</t>
        </is>
      </c>
      <c r="J823" s="56" t="inlineStr">
        <is>
          <t>🔍</t>
        </is>
      </c>
      <c r="R823" s="23" t="inlineStr">
        <is>
          <t>Sun Aug 02 2026</t>
        </is>
      </c>
      <c r="T823" s="58" t="inlineStr">
        <is>
          <t>销 [TIÊU] · tiêu thụ, bán ra
    ↳ Chiết tự: giản thể của 銷: bộ 钅 (kim – kim loại) + 肖 (tiêu – âm đọc) — nung kim loại cho tan → tiêu thụ
售 [THỤ] · bán
    ↳ Chiết tự: bộ 口 (khẩu – miệng) + 隹 (chuy – chim) — rao miệng để bán
部 [BỘ] · bộ phận, ban ngành
    ↳ Chiết tự: bộ 阝 (ấp – làng) + 咅 (phẫu – âm đọc) — một khu vực trong tổng thể</t>
        </is>
      </c>
      <c r="U823" s="24" t="inlineStr">
        <is>
          <t>🏢 Thương mại &amp; Công sở</t>
        </is>
      </c>
      <c r="V823" s="63" t="inlineStr">
        <is>
          <t>他在销售部工作。</t>
        </is>
      </c>
      <c r="W823" s="64" t="inlineStr">
        <is>
          <t>Tā zài xiāoshòubù gōngzuò.
Anh ấy làm ở phòng kinh doanh.</t>
        </is>
      </c>
    </row>
    <row r="824" ht="69.75" customHeight="1" s="99">
      <c r="A824" t="n">
        <v>798</v>
      </c>
      <c r="B824" s="86" t="inlineStr">
        <is>
          <t>THƯƠNG MẠI</t>
        </is>
      </c>
      <c r="C824" s="85" t="inlineStr">
        <is>
          <t>职位</t>
        </is>
      </c>
      <c r="D824" s="78" t="inlineStr">
        <is>
          <t>zhíwèi</t>
        </is>
      </c>
      <c r="E824" s="78" t="inlineStr">
        <is>
          <t>chức vụ, vị trí</t>
        </is>
      </c>
      <c r="H824" s="55">
        <f>IF(TRIM($G824)="","",IF(EXACT(TRIM($G824),TRIM($C824)),"✅ Đúng","❌ Sai"))</f>
        <v/>
      </c>
      <c r="I824" s="56" t="inlineStr">
        <is>
          <t>▶</t>
        </is>
      </c>
      <c r="J824" s="56" t="inlineStr">
        <is>
          <t>🔍</t>
        </is>
      </c>
      <c r="R824" s="23" t="inlineStr">
        <is>
          <t>Sun Aug 02 2026</t>
        </is>
      </c>
      <c r="T824" s="58" t="inlineStr">
        <is>
          <t>职 [CHỨC] · chức vụ, chức trách
    ↳ Chiết tự: giản thể của 職: bộ 耳 (nhĩ – tai) + 只 (chỉ – âm đọc) — tai nghe lệnh mà giữ phận
位 [VỊ] · vị trí; vị (lượng từ kính trọng)
    ↳ Chiết tự: bộ 亻 (nhân đứng – người) + 立 (lập – đứng) — chỗ người đứng</t>
        </is>
      </c>
      <c r="U824" s="24" t="inlineStr">
        <is>
          <t>🏢 Thương mại &amp; Công sở</t>
        </is>
      </c>
      <c r="V824" s="63" t="inlineStr">
        <is>
          <t>这个职位需要三年经验。</t>
        </is>
      </c>
      <c r="W824" s="64" t="inlineStr">
        <is>
          <t>Zhège zhíwèi xūyào sān nián jīngyàn.
Vị trí này cần ba năm kinh nghiệm.</t>
        </is>
      </c>
    </row>
    <row r="825" ht="69.75" customHeight="1" s="99">
      <c r="A825" t="n">
        <v>799</v>
      </c>
      <c r="B825" s="86" t="inlineStr">
        <is>
          <t>THƯƠNG MẠI</t>
        </is>
      </c>
      <c r="C825" s="85" t="inlineStr">
        <is>
          <t>简历</t>
        </is>
      </c>
      <c r="D825" s="78" t="inlineStr">
        <is>
          <t>jiǎnlì</t>
        </is>
      </c>
      <c r="E825" s="78" t="inlineStr">
        <is>
          <t>sơ yếu lý lịch, CV</t>
        </is>
      </c>
      <c r="H825" s="55">
        <f>IF(TRIM($G825)="","",IF(EXACT(TRIM($G825),TRIM($C825)),"✅ Đúng","❌ Sai"))</f>
        <v/>
      </c>
      <c r="I825" s="56" t="inlineStr">
        <is>
          <t>▶</t>
        </is>
      </c>
      <c r="J825" s="56" t="inlineStr">
        <is>
          <t>🔍</t>
        </is>
      </c>
      <c r="R825" s="23" t="inlineStr">
        <is>
          <t>Sun Aug 02 2026</t>
        </is>
      </c>
      <c r="T825" s="58" t="inlineStr">
        <is>
          <t>简 [GIẢN] · đơn giản, giản lược
    ↳ Chiết tự: giản thể của 簡: bộ 竹 (trúc – tre) + 间 (gian – âm đọc) — thẻ tre chép vắn gọn
历 [LỊCH] · trải qua, lịch sử
    ↳ Chiết tự: giản thể của 歷: bộ 厂 (hán – vách đá) + 力 (lực – sức) — bước đã trải qua</t>
        </is>
      </c>
      <c r="U825" s="24" t="inlineStr">
        <is>
          <t>🏢 Thương mại &amp; Công sở</t>
        </is>
      </c>
      <c r="V825" s="63" t="inlineStr">
        <is>
          <t>请发一份简历给我。</t>
        </is>
      </c>
      <c r="W825" s="64" t="inlineStr">
        <is>
          <t>Qǐng fā yí fèn jiǎnlì gěi wǒ.
Xin gửi cho tôi một bản CV.</t>
        </is>
      </c>
    </row>
    <row r="826" ht="69.75" customHeight="1" s="99">
      <c r="A826" t="n">
        <v>800</v>
      </c>
      <c r="B826" s="86" t="inlineStr">
        <is>
          <t>THƯƠNG MẠI</t>
        </is>
      </c>
      <c r="C826" s="85" t="inlineStr">
        <is>
          <t>面试</t>
        </is>
      </c>
      <c r="D826" s="78" t="inlineStr">
        <is>
          <t>miànshì</t>
        </is>
      </c>
      <c r="E826" s="78" t="inlineStr">
        <is>
          <t>phỏng vấn</t>
        </is>
      </c>
      <c r="H826" s="55">
        <f>IF(TRIM($G826)="","",IF(EXACT(TRIM($G826),TRIM($C826)),"✅ Đúng","❌ Sai"))</f>
        <v/>
      </c>
      <c r="I826" s="56" t="inlineStr">
        <is>
          <t>▶</t>
        </is>
      </c>
      <c r="J826" s="56" t="inlineStr">
        <is>
          <t>🔍</t>
        </is>
      </c>
      <c r="R826" s="23" t="inlineStr">
        <is>
          <t>Sun Aug 02 2026</t>
        </is>
      </c>
      <c r="T826" s="58" t="inlineStr">
        <is>
          <t>面 [DIỆN] · mặt, bề mặt, phía; sợi mì
    ↳ Chiết tự: bộ 面 (diện) — hình khuôn mặt có con mắt; giản thể gộp cả 麵 (mì)
试 [THÍ] · thử; thi cử
    ↳ Chiết tự: giản thể của 試: bộ 讠 (ngôn – lời nói) + 式 (thức – khuôn phép) — hỏi thử theo khuôn phép</t>
        </is>
      </c>
      <c r="U826" s="24" t="inlineStr">
        <is>
          <t>🏢 Thương mại &amp; Công sở</t>
        </is>
      </c>
      <c r="V826" s="63" t="inlineStr">
        <is>
          <t>我明天去面试。</t>
        </is>
      </c>
      <c r="W826" s="64" t="inlineStr">
        <is>
          <t>Wǒ míngtiān qù miànshì.
Mai tôi đi phỏng vấn.</t>
        </is>
      </c>
    </row>
    <row r="827" ht="69.75" customHeight="1" s="99">
      <c r="A827" t="n">
        <v>801</v>
      </c>
      <c r="B827" s="86" t="inlineStr">
        <is>
          <t>THƯƠNG MẠI</t>
        </is>
      </c>
      <c r="C827" s="85" t="inlineStr">
        <is>
          <t>招聘</t>
        </is>
      </c>
      <c r="D827" s="78" t="inlineStr">
        <is>
          <t>zhāopìn</t>
        </is>
      </c>
      <c r="E827" s="78" t="inlineStr">
        <is>
          <t>tuyển dụng</t>
        </is>
      </c>
      <c r="H827" s="55">
        <f>IF(TRIM($G827)="","",IF(EXACT(TRIM($G827),TRIM($C827)),"✅ Đúng","❌ Sai"))</f>
        <v/>
      </c>
      <c r="I827" s="56" t="inlineStr">
        <is>
          <t>▶</t>
        </is>
      </c>
      <c r="J827" s="56" t="inlineStr">
        <is>
          <t>🔍</t>
        </is>
      </c>
      <c r="R827" s="23" t="inlineStr">
        <is>
          <t>Sun Aug 02 2026</t>
        </is>
      </c>
      <c r="T827" s="58" t="inlineStr">
        <is>
          <t>招 [CHIÊU] · vẫy gọi, chiêu mộ
    ↳ Chiết tự: bộ 扌 (thủ – tay) + 召 (chiệu – gọi) — tay vẫy gọi người đến
聘 [SÍNH] · mời, tuyển dụng
    ↳ Chiết tự: bộ 耳 (nhĩ – tai) + 甹 (biền – âm đọc) — nghe tiếng mà mời về</t>
        </is>
      </c>
      <c r="U827" s="24" t="inlineStr">
        <is>
          <t>🏢 Thương mại &amp; Công sở</t>
        </is>
      </c>
      <c r="V827" s="63" t="inlineStr">
        <is>
          <t>我们公司在招聘会计。</t>
        </is>
      </c>
      <c r="W827" s="64" t="inlineStr">
        <is>
          <t>Wǒmen gōngsī zài zhāopìn kuàijì.
Công ty chúng tôi đang tuyển kế toán.</t>
        </is>
      </c>
    </row>
    <row r="828" ht="69.75" customHeight="1" s="99">
      <c r="A828" t="n">
        <v>802</v>
      </c>
      <c r="B828" s="86" t="inlineStr">
        <is>
          <t>THƯƠNG MẠI</t>
        </is>
      </c>
      <c r="C828" s="85" t="inlineStr">
        <is>
          <t>应聘</t>
        </is>
      </c>
      <c r="D828" s="78" t="inlineStr">
        <is>
          <t>yìngpìn</t>
        </is>
      </c>
      <c r="E828" s="78" t="inlineStr">
        <is>
          <t>ứng tuyển</t>
        </is>
      </c>
      <c r="H828" s="55">
        <f>IF(TRIM($G828)="","",IF(EXACT(TRIM($G828),TRIM($C828)),"✅ Đúng","❌ Sai"))</f>
        <v/>
      </c>
      <c r="I828" s="56" t="inlineStr">
        <is>
          <t>▶</t>
        </is>
      </c>
      <c r="J828" s="56" t="inlineStr">
        <is>
          <t>🔍</t>
        </is>
      </c>
      <c r="R828" s="23" t="inlineStr">
        <is>
          <t>Sun Aug 02 2026</t>
        </is>
      </c>
      <c r="T828" s="58" t="inlineStr">
        <is>
          <t>应 [ỨNG] · nên, phải; đáp ứng
    ↳ Chiết tự: giản thể của 應: bộ 广 (nghiễm – mái nhà) + 丷 — đáp lại điều phải làm
聘 [SÍNH] · mời, tuyển dụng
    ↳ Chiết tự: bộ 耳 (nhĩ – tai) + 甹 (biền – âm đọc) — nghe tiếng mà mời về</t>
        </is>
      </c>
      <c r="U828" s="24" t="inlineStr">
        <is>
          <t>🏢 Thương mại &amp; Công sở</t>
        </is>
      </c>
      <c r="V828" s="63" t="inlineStr">
        <is>
          <t>我想应聘这个职位。</t>
        </is>
      </c>
      <c r="W828" s="64" t="inlineStr">
        <is>
          <t>Wǒ xiǎng yìngpìn zhège zhíwèi.
Tôi muốn ứng tuyển vị trí này.</t>
        </is>
      </c>
    </row>
    <row r="829" hidden="1" ht="69.75" customHeight="1" s="99">
      <c r="A829" t="n">
        <v>803</v>
      </c>
      <c r="B829" s="86" t="inlineStr">
        <is>
          <t>THƯƠNG MẠI</t>
        </is>
      </c>
      <c r="C829" s="85" t="inlineStr">
        <is>
          <t>合同</t>
        </is>
      </c>
      <c r="D829" s="78" t="inlineStr">
        <is>
          <t>hétong</t>
        </is>
      </c>
      <c r="E829" s="78" t="inlineStr">
        <is>
          <t>hợp đồng</t>
        </is>
      </c>
      <c r="G829" s="77" t="inlineStr">
        <is>
          <t>合同</t>
        </is>
      </c>
      <c r="H829" s="55">
        <f>IF(TRIM($G829)="","",IF(EXACT(TRIM($G829),TRIM($C829)),"✅ Đúng","❌ Sai"))</f>
        <v/>
      </c>
      <c r="I829" s="56" t="inlineStr">
        <is>
          <t>▶</t>
        </is>
      </c>
      <c r="J829" s="56" t="inlineStr">
        <is>
          <t>🔍</t>
        </is>
      </c>
      <c r="R829" s="23" t="inlineStr">
        <is>
          <t>Sun Aug 02 2026</t>
        </is>
      </c>
      <c r="T829" s="58" t="inlineStr">
        <is>
          <t>合 [HỢP] · hợp lại, phù hợp
    ↳ Chiết tự: bộ 人 (nhân) + 一 + 口 (khẩu – miệng) — hình cái nắp khớp vào miệng bình
同 [ĐỒNG] · giống nhau, cùng nhau
    ↳ Chiết tự: bộ 冂 (quynh – bao) + 一 (nhất) + 口 (khẩu – miệng) — nhiều miệng nói cùng một lời</t>
        </is>
      </c>
      <c r="U829" s="24" t="inlineStr">
        <is>
          <t>🏢 Thương mại &amp; Công sở</t>
        </is>
      </c>
      <c r="V829" s="63" t="inlineStr">
        <is>
          <t>我们明天签合同。</t>
        </is>
      </c>
      <c r="W829" s="64" t="inlineStr">
        <is>
          <t>Wǒmen míngtiān qiān hétong.
Mai chúng ta ký hợp đồng.</t>
        </is>
      </c>
    </row>
    <row r="830" hidden="1" ht="104.65" customHeight="1" s="99">
      <c r="A830" t="n">
        <v>804</v>
      </c>
      <c r="B830" s="86" t="inlineStr">
        <is>
          <t>THƯƠNG MẠI</t>
        </is>
      </c>
      <c r="C830" s="85" t="inlineStr">
        <is>
          <t>签合同</t>
        </is>
      </c>
      <c r="D830" s="78" t="inlineStr">
        <is>
          <t>qiān hétong</t>
        </is>
      </c>
      <c r="E830" s="78" t="inlineStr">
        <is>
          <t>ký hợp đồng</t>
        </is>
      </c>
      <c r="G830" s="77" t="inlineStr">
        <is>
          <t>签合同</t>
        </is>
      </c>
      <c r="H830" s="55">
        <f>IF(TRIM($G830)="","",IF(EXACT(TRIM($G830),TRIM($C830)),"✅ Đúng","❌ Sai"))</f>
        <v/>
      </c>
      <c r="I830" s="56" t="inlineStr">
        <is>
          <t>▶</t>
        </is>
      </c>
      <c r="J830" s="56" t="inlineStr">
        <is>
          <t>🔍</t>
        </is>
      </c>
      <c r="R830" s="23" t="inlineStr">
        <is>
          <t>Sun Aug 02 2026</t>
        </is>
      </c>
      <c r="T830" s="58" t="inlineStr">
        <is>
          <t>签 [THIÊM] · ký tên; thẻ tre
    ↳ Chiết tự: giản thể của 簽: bộ 竹 (trúc – tre) + 佥 (thiêm – âm đọc) — thẻ tre ghi tên
合 [HỢP] · hợp lại, phù hợp
    ↳ Chiết tự: bộ 人 (nhân) + 一 + 口 (khẩu – miệng) — hình cái nắp khớp vào miệng bình
同 [ĐỒNG] · giống nhau, cùng nhau
    ↳ Chiết tự: bộ 冂 (quynh – bao) + 一 (nhất) + 口 (khẩu – miệng) — nhiều miệng nói cùng một lời</t>
        </is>
      </c>
      <c r="U830" s="24" t="inlineStr">
        <is>
          <t>🏢 Thương mại &amp; Công sở</t>
        </is>
      </c>
      <c r="V830" s="63" t="inlineStr">
        <is>
          <t>请在这里签合同。</t>
        </is>
      </c>
      <c r="W830" s="64" t="inlineStr">
        <is>
          <t>Qǐng zài zhèli qiān hétong.
Xin ký hợp đồng ở đây.</t>
        </is>
      </c>
    </row>
    <row r="831" hidden="1" ht="69.75" customHeight="1" s="99">
      <c r="A831" t="n">
        <v>805</v>
      </c>
      <c r="B831" s="86" t="inlineStr">
        <is>
          <t>THƯƠNG MẠI</t>
        </is>
      </c>
      <c r="C831" s="85" t="inlineStr">
        <is>
          <t>签字</t>
        </is>
      </c>
      <c r="D831" s="78" t="inlineStr">
        <is>
          <t>qiānzì</t>
        </is>
      </c>
      <c r="E831" s="78" t="inlineStr">
        <is>
          <t>ký tên</t>
        </is>
      </c>
      <c r="G831" s="77" t="inlineStr">
        <is>
          <t>签字</t>
        </is>
      </c>
      <c r="H831" s="55">
        <f>IF(TRIM($G831)="","",IF(EXACT(TRIM($G831),TRIM($C831)),"✅ Đúng","❌ Sai"))</f>
        <v/>
      </c>
      <c r="I831" s="56" t="inlineStr">
        <is>
          <t>▶</t>
        </is>
      </c>
      <c r="J831" s="56" t="inlineStr">
        <is>
          <t>🔍</t>
        </is>
      </c>
      <c r="R831" s="23" t="inlineStr">
        <is>
          <t>Sun Aug 02 2026</t>
        </is>
      </c>
      <c r="T831" s="58" t="inlineStr">
        <is>
          <t>签 [THIÊM] · ký tên; thẻ tre
    ↳ Chiết tự: giản thể của 簽: bộ 竹 (trúc – tre) + 佥 (thiêm – âm đọc) — thẻ tre ghi tên
字 [TỰ] · chữ viết
    ↳ Chiết tự: bộ 宀 (miên – mái nhà) + 子 (tử – con) — trẻ trong nhà sinh sôi như chữ nảy nở</t>
        </is>
      </c>
      <c r="U831" s="24" t="inlineStr">
        <is>
          <t>🏢 Thương mại &amp; Công sở</t>
        </is>
      </c>
      <c r="V831" s="63" t="inlineStr">
        <is>
          <t>请在合同上签字。</t>
        </is>
      </c>
      <c r="W831" s="64" t="inlineStr">
        <is>
          <t>Qǐng zài hétong shang qiānzì.
Xin ký tên vào hợp đồng.</t>
        </is>
      </c>
    </row>
    <row r="832" hidden="1" ht="69.75" customHeight="1" s="99">
      <c r="A832" t="n">
        <v>806</v>
      </c>
      <c r="B832" s="86" t="inlineStr">
        <is>
          <t>THƯƠNG MẠI</t>
        </is>
      </c>
      <c r="C832" s="85" t="inlineStr">
        <is>
          <t>盖章</t>
        </is>
      </c>
      <c r="D832" s="78" t="inlineStr">
        <is>
          <t>gài zhāng</t>
        </is>
      </c>
      <c r="E832" s="78" t="inlineStr">
        <is>
          <t>đóng dấu</t>
        </is>
      </c>
      <c r="G832" s="77" t="inlineStr">
        <is>
          <t>盖章</t>
        </is>
      </c>
      <c r="H832" s="55">
        <f>IF(TRIM($G832)="","",IF(EXACT(TRIM($G832),TRIM($C832)),"✅ Đúng","❌ Sai"))</f>
        <v/>
      </c>
      <c r="I832" s="56" t="inlineStr">
        <is>
          <t>▶</t>
        </is>
      </c>
      <c r="J832" s="56" t="inlineStr">
        <is>
          <t>🔍</t>
        </is>
      </c>
      <c r="R832" s="23" t="inlineStr">
        <is>
          <t>Sun Aug 02 2026</t>
        </is>
      </c>
      <c r="T832" s="58" t="inlineStr">
        <is>
          <t>盖 [CÁI] · nắp; đóng (dấu), che
    ↳ Chiết tự: giản thể của 蓋: bộ 皿 (mãnh – đồ đựng) + 羊 — vật che lên trên
章 [CHƯƠNG] · con dấu; chương, điều
    ↳ Chiết tự: bộ 立 (lập) + 早 — nghĩa gốc là bài nhạc trọn khúc, phái sinh "dấu triện"</t>
        </is>
      </c>
      <c r="U832" s="24" t="inlineStr">
        <is>
          <t>🏢 Thương mại &amp; Công sở</t>
        </is>
      </c>
      <c r="V832" s="63" t="inlineStr">
        <is>
          <t>请在合同上盖章。</t>
        </is>
      </c>
      <c r="W832" s="64" t="inlineStr">
        <is>
          <t>Qǐng zài hétong shang gài zhāng.
Xin đóng dấu vào hợp đồng.</t>
        </is>
      </c>
    </row>
    <row r="833" hidden="1" ht="58.15" customHeight="1" s="99">
      <c r="A833" t="n">
        <v>807</v>
      </c>
      <c r="B833" s="86" t="inlineStr">
        <is>
          <t>THƯƠNG MẠI</t>
        </is>
      </c>
      <c r="C833" s="85" t="inlineStr">
        <is>
          <t>工资</t>
        </is>
      </c>
      <c r="D833" s="78" t="inlineStr">
        <is>
          <t>gōngzī</t>
        </is>
      </c>
      <c r="E833" s="78" t="inlineStr">
        <is>
          <t>tiền lương</t>
        </is>
      </c>
      <c r="G833" s="77" t="inlineStr">
        <is>
          <t>工资</t>
        </is>
      </c>
      <c r="H833" s="55">
        <f>IF(TRIM($G833)="","",IF(EXACT(TRIM($G833),TRIM($C833)),"✅ Đúng","❌ Sai"))</f>
        <v/>
      </c>
      <c r="I833" s="56" t="inlineStr">
        <is>
          <t>▶</t>
        </is>
      </c>
      <c r="J833" s="56" t="inlineStr">
        <is>
          <t>🔍</t>
        </is>
      </c>
      <c r="R833" s="23" t="inlineStr">
        <is>
          <t>Sun Aug 02 2026</t>
        </is>
      </c>
      <c r="T833" s="58" t="inlineStr">
        <is>
          <t>工 [CÔNG] · công việc, thợ, khéo
    ↳ Chiết tự: bộ 工 (công) — hình cái thước/đục của người thợ
资 [TƯ] · vốn, tư bản
    ↳ Chiết tự: giản thể của 資: bộ 贝 (bối – tiền của) + 次 (thứ – âm đọc) — tiền vốn</t>
        </is>
      </c>
      <c r="U833" s="24" t="inlineStr">
        <is>
          <t>🏢 Thương mại &amp; Công sở</t>
        </is>
      </c>
      <c r="V833" s="63" t="inlineStr">
        <is>
          <t>这里的工资比较高。</t>
        </is>
      </c>
      <c r="W833" s="64" t="inlineStr">
        <is>
          <t>Zhèli de gōngzī bǐjiào gāo.
Lương ở đây khá cao.</t>
        </is>
      </c>
    </row>
    <row r="834" ht="58.15" customHeight="1" s="99">
      <c r="A834" t="n">
        <v>808</v>
      </c>
      <c r="B834" s="86" t="inlineStr">
        <is>
          <t>THƯƠNG MẠI</t>
        </is>
      </c>
      <c r="C834" s="85" t="inlineStr">
        <is>
          <t>奖金</t>
        </is>
      </c>
      <c r="D834" s="78" t="inlineStr">
        <is>
          <t>jiǎngjīn</t>
        </is>
      </c>
      <c r="E834" s="78" t="inlineStr">
        <is>
          <t>tiền thưởng</t>
        </is>
      </c>
      <c r="H834" s="55">
        <f>IF(TRIM($G834)="","",IF(EXACT(TRIM($G834),TRIM($C834)),"✅ Đúng","❌ Sai"))</f>
        <v/>
      </c>
      <c r="I834" s="56" t="inlineStr">
        <is>
          <t>▶</t>
        </is>
      </c>
      <c r="J834" s="56" t="inlineStr">
        <is>
          <t>🔍</t>
        </is>
      </c>
      <c r="R834" s="23" t="inlineStr">
        <is>
          <t>Sun Aug 02 2026</t>
        </is>
      </c>
      <c r="T834" s="58" t="inlineStr">
        <is>
          <t>奖 [TƯỞNG] · thưởng, giải thưởng
    ↳ Chiết tự: giản thể của 獎: bộ 大 (đại) + 将 (tương – âm đọc) — khen thưởng người có công
金 [KIM] · vàng, kim loại; tiền
    ↳ Chiết tự: bộ 金 (kim) — hình quặng kim loại vùi dưới đất</t>
        </is>
      </c>
      <c r="U834" s="24" t="inlineStr">
        <is>
          <t>🏢 Thương mại &amp; Công sở</t>
        </is>
      </c>
      <c r="V834" s="63" t="inlineStr">
        <is>
          <t>今年的奖金很多。</t>
        </is>
      </c>
      <c r="W834" s="64" t="inlineStr">
        <is>
          <t>Jīnnián de jiǎngjīn hěn duō.
Tiền thưởng năm nay rất nhiều.</t>
        </is>
      </c>
    </row>
    <row r="835" ht="69.75" customHeight="1" s="99">
      <c r="A835" t="n">
        <v>809</v>
      </c>
      <c r="B835" s="86" t="inlineStr">
        <is>
          <t>THƯƠNG MẠI</t>
        </is>
      </c>
      <c r="C835" s="85" t="inlineStr">
        <is>
          <t>加班</t>
        </is>
      </c>
      <c r="D835" s="78" t="inlineStr">
        <is>
          <t>jiābān</t>
        </is>
      </c>
      <c r="E835" s="78" t="inlineStr">
        <is>
          <t>làm thêm giờ</t>
        </is>
      </c>
      <c r="H835" s="55">
        <f>IF(TRIM($G835)="","",IF(EXACT(TRIM($G835),TRIM($C835)),"✅ Đúng","❌ Sai"))</f>
        <v/>
      </c>
      <c r="I835" s="56" t="inlineStr">
        <is>
          <t>▶</t>
        </is>
      </c>
      <c r="J835" s="56" t="inlineStr">
        <is>
          <t>🔍</t>
        </is>
      </c>
      <c r="R835" s="23" t="inlineStr">
        <is>
          <t>Sun Aug 02 2026</t>
        </is>
      </c>
      <c r="T835" s="58" t="inlineStr">
        <is>
          <t>加 [GIA] · thêm vào, cộng
    ↳ Chiết tự: bộ 力 (lực – sức) + 口 (khẩu – miệng) — thêm sức, thêm lời
班 [BAN] · lớp học, tổ, ca làm
    ↳ Chiết tự: bộ 玨 (hai viên ngọc) + 刂 (đao đứng – dao) — chia ngọc thành từng phần</t>
        </is>
      </c>
      <c r="U835" s="24" t="inlineStr">
        <is>
          <t>🏢 Thương mại &amp; Công sở</t>
        </is>
      </c>
      <c r="V835" s="63" t="inlineStr">
        <is>
          <t>今天晚上我要加班。</t>
        </is>
      </c>
      <c r="W835" s="64" t="inlineStr">
        <is>
          <t>Jīntiān wǎnshang wǒ yào jiābān.
Tối nay tôi phải làm thêm giờ.</t>
        </is>
      </c>
    </row>
    <row r="836" ht="69.75" customHeight="1" s="99">
      <c r="A836" t="n">
        <v>810</v>
      </c>
      <c r="B836" s="86" t="inlineStr">
        <is>
          <t>THƯƠNG MẠI</t>
        </is>
      </c>
      <c r="C836" s="85" t="inlineStr">
        <is>
          <t>出差</t>
        </is>
      </c>
      <c r="D836" s="78" t="inlineStr">
        <is>
          <t>chūchāi</t>
        </is>
      </c>
      <c r="E836" s="78" t="inlineStr">
        <is>
          <t>đi công tác</t>
        </is>
      </c>
      <c r="H836" s="55">
        <f>IF(TRIM($G836)="","",IF(EXACT(TRIM($G836),TRIM($C836)),"✅ Đúng","❌ Sai"))</f>
        <v/>
      </c>
      <c r="I836" s="56" t="inlineStr">
        <is>
          <t>▶</t>
        </is>
      </c>
      <c r="J836" s="56" t="inlineStr">
        <is>
          <t>🔍</t>
        </is>
      </c>
      <c r="R836" s="23" t="inlineStr">
        <is>
          <t>Sun Aug 02 2026</t>
        </is>
      </c>
      <c r="T836" s="58" t="inlineStr">
        <is>
          <t>出 [XUẤT] · ra, đi ra, xuất phát
    ↳ Chiết tự: bộ 凵 (khảm – cái hố) + 屮 (triệt – mầm) — bàn chân bước ra khỏi hang
差 [SAI / SÁI] · kém, chênh lệch, sai biệt
    ↳ Chiết tự: bộ 羊 (dương – con dê) + 工 (công) — làm không đều thì sinh sai lệch</t>
        </is>
      </c>
      <c r="U836" s="24" t="inlineStr">
        <is>
          <t>🏢 Thương mại &amp; Công sở</t>
        </is>
      </c>
      <c r="V836" s="63" t="inlineStr">
        <is>
          <t>经理去上海出差了。</t>
        </is>
      </c>
      <c r="W836" s="64" t="inlineStr">
        <is>
          <t>Jīnglǐ qù Shànghǎi chūchāi le.
Giám đốc đi công tác Thượng Hải rồi.</t>
        </is>
      </c>
    </row>
    <row r="837" ht="69.75" customHeight="1" s="99">
      <c r="A837" t="n">
        <v>811</v>
      </c>
      <c r="B837" s="86" t="inlineStr">
        <is>
          <t>THƯƠNG MẠI</t>
        </is>
      </c>
      <c r="C837" s="85" t="inlineStr">
        <is>
          <t>辞职</t>
        </is>
      </c>
      <c r="D837" s="78" t="inlineStr">
        <is>
          <t>cízhí</t>
        </is>
      </c>
      <c r="E837" s="78" t="inlineStr">
        <is>
          <t>từ chức, xin thôi việc</t>
        </is>
      </c>
      <c r="H837" s="55">
        <f>IF(TRIM($G837)="","",IF(EXACT(TRIM($G837),TRIM($C837)),"✅ Đúng","❌ Sai"))</f>
        <v/>
      </c>
      <c r="I837" s="56" t="inlineStr">
        <is>
          <t>▶</t>
        </is>
      </c>
      <c r="J837" s="56" t="inlineStr">
        <is>
          <t>🔍</t>
        </is>
      </c>
      <c r="R837" s="23" t="inlineStr">
        <is>
          <t>Sun Aug 02 2026</t>
        </is>
      </c>
      <c r="T837" s="58" t="inlineStr">
        <is>
          <t>辞 [TỪ] · từ chối, từ biệt; lời
    ↳ Chiết tự: giản thể của 辭: bộ 辛 (tân – tội hình) + 舌 (thiệt – lưỡi) — dùng lời mà xin thôi
职 [CHỨC] · chức vụ, chức trách
    ↳ Chiết tự: giản thể của 職: bộ 耳 (nhĩ – tai) + 只 (chỉ – âm đọc) — tai nghe lệnh mà giữ phận</t>
        </is>
      </c>
      <c r="U837" s="24" t="inlineStr">
        <is>
          <t>🏢 Thương mại &amp; Công sở</t>
        </is>
      </c>
      <c r="V837" s="63" t="inlineStr">
        <is>
          <t>他上个月辞职了。</t>
        </is>
      </c>
      <c r="W837" s="64" t="inlineStr">
        <is>
          <t>Tā shàng ge yuè cízhí le.
Tháng trước anh ấy đã từ chức.</t>
        </is>
      </c>
    </row>
    <row r="838" ht="69.75" customHeight="1" s="99">
      <c r="A838" t="n">
        <v>812</v>
      </c>
      <c r="B838" s="86" t="inlineStr">
        <is>
          <t>THƯƠNG MẠI</t>
        </is>
      </c>
      <c r="C838" s="85" t="inlineStr">
        <is>
          <t>升职</t>
        </is>
      </c>
      <c r="D838" s="78" t="inlineStr">
        <is>
          <t>shēngzhí</t>
        </is>
      </c>
      <c r="E838" s="78" t="inlineStr">
        <is>
          <t>thăng chức</t>
        </is>
      </c>
      <c r="H838" s="55">
        <f>IF(TRIM($G838)="","",IF(EXACT(TRIM($G838),TRIM($C838)),"✅ Đúng","❌ Sai"))</f>
        <v/>
      </c>
      <c r="I838" s="56" t="inlineStr">
        <is>
          <t>▶</t>
        </is>
      </c>
      <c r="J838" s="56" t="inlineStr">
        <is>
          <t>🔍</t>
        </is>
      </c>
      <c r="R838" s="23" t="inlineStr">
        <is>
          <t>Sun Aug 02 2026</t>
        </is>
      </c>
      <c r="T838" s="58" t="inlineStr">
        <is>
          <t>升 [THĂNG] · lên, thăng tiến; lít
    ↳ Chiết tự: bộ 十 (thập) + 丿 — hình cái đấu đong, phái sinh nghĩa "dâng lên"
职 [CHỨC] · chức vụ, chức trách
    ↳ Chiết tự: giản thể của 職: bộ 耳 (nhĩ – tai) + 只 (chỉ – âm đọc) — tai nghe lệnh mà giữ phận</t>
        </is>
      </c>
      <c r="U838" s="24" t="inlineStr">
        <is>
          <t>🏢 Thương mại &amp; Công sở</t>
        </is>
      </c>
      <c r="V838" s="63" t="inlineStr">
        <is>
          <t>他今年升职了。</t>
        </is>
      </c>
      <c r="W838" s="64" t="inlineStr">
        <is>
          <t>Tā jīnnián shēngzhí le.
Năm nay anh ấy được thăng chức.</t>
        </is>
      </c>
    </row>
    <row r="839" ht="69.75" customHeight="1" s="99">
      <c r="A839" t="n">
        <v>813</v>
      </c>
      <c r="B839" s="86" t="inlineStr">
        <is>
          <t>THƯƠNG MẠI</t>
        </is>
      </c>
      <c r="C839" s="85" t="inlineStr">
        <is>
          <t>培训</t>
        </is>
      </c>
      <c r="D839" s="78" t="inlineStr">
        <is>
          <t>péixùn</t>
        </is>
      </c>
      <c r="E839" s="78" t="inlineStr">
        <is>
          <t>đào tạo, tập huấn</t>
        </is>
      </c>
      <c r="H839" s="55">
        <f>IF(TRIM($G839)="","",IF(EXACT(TRIM($G839),TRIM($C839)),"✅ Đúng","❌ Sai"))</f>
        <v/>
      </c>
      <c r="I839" s="56" t="inlineStr">
        <is>
          <t>▶</t>
        </is>
      </c>
      <c r="J839" s="56" t="inlineStr">
        <is>
          <t>🔍</t>
        </is>
      </c>
      <c r="R839" s="23" t="inlineStr">
        <is>
          <t>Sun Aug 02 2026</t>
        </is>
      </c>
      <c r="T839" s="58" t="inlineStr">
        <is>
          <t>培 [BỒI] · bồi dưỡng, đắp thêm
    ↳ Chiết tự: bộ 土 (thổ – đất) + 咅 (phẫu – âm đọc) — đắp đất vun gốc cây
训 [HUẤN] · dạy, huấn luyện
    ↳ Chiết tự: giản thể của 訓: bộ 讠 (ngôn – lời nói) + 川 (xuyên – dòng sông) — lời dạy chảy đều như sông</t>
        </is>
      </c>
      <c r="U839" s="24" t="inlineStr">
        <is>
          <t>🏢 Thương mại &amp; Công sở</t>
        </is>
      </c>
      <c r="V839" s="63" t="inlineStr">
        <is>
          <t>公司下周有培训。</t>
        </is>
      </c>
      <c r="W839" s="64" t="inlineStr">
        <is>
          <t>Gōngsī xià zhōu yǒu péixùn.
Tuần sau công ty có đào tạo.</t>
        </is>
      </c>
    </row>
    <row r="840" ht="104.65" customHeight="1" s="99">
      <c r="A840" t="n">
        <v>814</v>
      </c>
      <c r="B840" s="86" t="inlineStr">
        <is>
          <t>THƯƠNG MẠI</t>
        </is>
      </c>
      <c r="C840" s="85" t="inlineStr">
        <is>
          <t>会议室</t>
        </is>
      </c>
      <c r="D840" s="78" t="inlineStr">
        <is>
          <t>huìyìshì</t>
        </is>
      </c>
      <c r="E840" s="78" t="inlineStr">
        <is>
          <t>phòng họp</t>
        </is>
      </c>
      <c r="H840" s="55">
        <f>IF(TRIM($G840)="","",IF(EXACT(TRIM($G840),TRIM($C840)),"✅ Đúng","❌ Sai"))</f>
        <v/>
      </c>
      <c r="I840" s="56" t="inlineStr">
        <is>
          <t>▶</t>
        </is>
      </c>
      <c r="J840" s="56" t="inlineStr">
        <is>
          <t>🔍</t>
        </is>
      </c>
      <c r="R840" s="23" t="inlineStr">
        <is>
          <t>Sun Aug 02 2026</t>
        </is>
      </c>
      <c r="T840" s="58" t="inlineStr">
        <is>
          <t>会 [HỘI] · biết làm; họp, hội
    ↳ Chiết tự: giản thể của 會: bộ 人 (nhân – người) + 云 (vân – mây) — người tụ như mây thì thành hội, hội đủ thì biết
议 [NGHỊ] · bàn luận, nghị sự
    ↳ Chiết tự: giản thể của 議: bộ 讠 (ngôn – lời nói) + 义 (nghĩa) — dùng lời bàn cho hợp nghĩa
室 [THẤT] · căn phòng
    ↳ Chiết tự: bộ 宀 (miên – mái nhà) + 至 (chí – tới nơi) — nơi trong nhà để đi tới</t>
        </is>
      </c>
      <c r="U840" s="24" t="inlineStr">
        <is>
          <t>🏢 Thương mại &amp; Công sở</t>
        </is>
      </c>
      <c r="V840" s="63" t="inlineStr">
        <is>
          <t>会议室在二层。</t>
        </is>
      </c>
      <c r="W840" s="64" t="inlineStr">
        <is>
          <t>Huìyìshì zài èr céng.
Phòng họp ở tầng hai.</t>
        </is>
      </c>
    </row>
    <row r="841" ht="69.75" customHeight="1" s="99">
      <c r="A841" t="n">
        <v>815</v>
      </c>
      <c r="B841" s="86" t="inlineStr">
        <is>
          <t>THƯƠNG MẠI</t>
        </is>
      </c>
      <c r="C841" s="85" t="inlineStr">
        <is>
          <t>报告</t>
        </is>
      </c>
      <c r="D841" s="78" t="inlineStr">
        <is>
          <t>bàogào</t>
        </is>
      </c>
      <c r="E841" s="78" t="inlineStr">
        <is>
          <t>báo cáo</t>
        </is>
      </c>
      <c r="H841" s="55">
        <f>IF(TRIM($G841)="","",IF(EXACT(TRIM($G841),TRIM($C841)),"✅ Đúng","❌ Sai"))</f>
        <v/>
      </c>
      <c r="I841" s="56" t="inlineStr">
        <is>
          <t>▶</t>
        </is>
      </c>
      <c r="J841" s="56" t="inlineStr">
        <is>
          <t>🔍</t>
        </is>
      </c>
      <c r="R841" s="23" t="inlineStr">
        <is>
          <t>Sun Aug 02 2026</t>
        </is>
      </c>
      <c r="T841" s="58" t="inlineStr">
        <is>
          <t>报 [BÁO] · báo cáo, tin báo; tờ báo
    ↳ Chiết tự: giản thể của 報: bộ 扌 (thủ đứng – bàn tay) + 卩 + 又 (hựu – tay) — tay chuyển tin đi
告 [CÁO] · báo cho biết, tố cáo
    ↳ Chiết tự: bộ 牛 (ngưu – trâu) + 口 (khẩu – miệng) — dâng trâu tế và khấn báo</t>
        </is>
      </c>
      <c r="U841" s="24" t="inlineStr">
        <is>
          <t>🏢 Thương mại &amp; Công sở</t>
        </is>
      </c>
      <c r="V841" s="63" t="inlineStr">
        <is>
          <t>请把报告发给我。</t>
        </is>
      </c>
      <c r="W841" s="64" t="inlineStr">
        <is>
          <t>Qǐng bǎ bàogào fā gěi wǒ.
Xin gửi báo cáo cho tôi.</t>
        </is>
      </c>
    </row>
    <row r="842" ht="69.75" customHeight="1" s="99">
      <c r="A842" t="n">
        <v>816</v>
      </c>
      <c r="B842" s="86" t="inlineStr">
        <is>
          <t>THƯƠNG MẠI</t>
        </is>
      </c>
      <c r="C842" s="85" t="inlineStr">
        <is>
          <t>计划</t>
        </is>
      </c>
      <c r="D842" s="78" t="inlineStr">
        <is>
          <t>jìhuà</t>
        </is>
      </c>
      <c r="E842" s="78" t="inlineStr">
        <is>
          <t>kế hoạch</t>
        </is>
      </c>
      <c r="H842" s="55">
        <f>IF(TRIM($G842)="","",IF(EXACT(TRIM($G842),TRIM($C842)),"✅ Đúng","❌ Sai"))</f>
        <v/>
      </c>
      <c r="I842" s="56" t="inlineStr">
        <is>
          <t>▶</t>
        </is>
      </c>
      <c r="J842" s="56" t="inlineStr">
        <is>
          <t>🔍</t>
        </is>
      </c>
      <c r="R842" s="23" t="inlineStr">
        <is>
          <t>Sun Aug 02 2026</t>
        </is>
      </c>
      <c r="T842" s="58" t="inlineStr">
        <is>
          <t>计 [KẾ] · tính toán, kế hoạch
    ↳ Chiết tự: giản thể của 計: bộ 讠 (ngôn – lời nói) + 十 (thập – mười) — nói ra con số mà tính
划 [HOẠCH / HOA] · vạch ra, hoạch định
    ↳ Chiết tự: giản thể của 劃: bộ 刂 (đao đứng – dao) + 戈 (qua – giáo) — lấy dao vạch đường</t>
        </is>
      </c>
      <c r="U842" s="24" t="inlineStr">
        <is>
          <t>🏢 Thương mại &amp; Công sở</t>
        </is>
      </c>
      <c r="V842" s="63" t="inlineStr">
        <is>
          <t>这是明年的计划。</t>
        </is>
      </c>
      <c r="W842" s="64" t="inlineStr">
        <is>
          <t>Zhè shì míngnián de jìhuà.
Đây là kế hoạch năm sau.</t>
        </is>
      </c>
    </row>
    <row r="843" ht="58.15" customHeight="1" s="99">
      <c r="A843" t="n">
        <v>817</v>
      </c>
      <c r="B843" s="86" t="inlineStr">
        <is>
          <t>THƯƠNG MẠI</t>
        </is>
      </c>
      <c r="C843" s="85" t="inlineStr">
        <is>
          <t>方案</t>
        </is>
      </c>
      <c r="D843" s="78" t="inlineStr">
        <is>
          <t>fāng'àn</t>
        </is>
      </c>
      <c r="E843" s="78" t="inlineStr">
        <is>
          <t>phương án</t>
        </is>
      </c>
      <c r="H843" s="55">
        <f>IF(TRIM($G843)="","",IF(EXACT(TRIM($G843),TRIM($C843)),"✅ Đúng","❌ Sai"))</f>
        <v/>
      </c>
      <c r="I843" s="56" t="inlineStr">
        <is>
          <t>▶</t>
        </is>
      </c>
      <c r="J843" s="56" t="inlineStr">
        <is>
          <t>🔍</t>
        </is>
      </c>
      <c r="R843" s="23" t="inlineStr">
        <is>
          <t>Sun Aug 02 2026</t>
        </is>
      </c>
      <c r="T843" s="58" t="inlineStr">
        <is>
          <t>方 [PHƯƠNG] · phương hướng; vuông; cách thức
    ↳ Chiết tự: bộ 方 (phương) — hình lưỡi cày rẽ hai bên
案 [ÁN] · phương án, hồ sơ; cái bàn
    ↳ Chiết tự: bộ 木 (mộc – gỗ) + 安 (an – âm đọc) — bàn gỗ để đặt văn thư</t>
        </is>
      </c>
      <c r="U843" s="24" t="inlineStr">
        <is>
          <t>🏢 Thương mại &amp; Công sở</t>
        </is>
      </c>
      <c r="V843" s="63" t="inlineStr">
        <is>
          <t>我们同意这个方案。</t>
        </is>
      </c>
      <c r="W843" s="64" t="inlineStr">
        <is>
          <t>Wǒmen tóngyì zhège fāng'àn.
Chúng tôi đồng ý phương án này.</t>
        </is>
      </c>
    </row>
    <row r="844" ht="58.15" customHeight="1" s="99">
      <c r="A844" t="n">
        <v>818</v>
      </c>
      <c r="B844" s="86" t="inlineStr">
        <is>
          <t>THƯƠNG MẠI</t>
        </is>
      </c>
      <c r="C844" s="85" t="inlineStr">
        <is>
          <t>项目</t>
        </is>
      </c>
      <c r="D844" s="78" t="inlineStr">
        <is>
          <t>xiàngmù</t>
        </is>
      </c>
      <c r="E844" s="78" t="inlineStr">
        <is>
          <t>dự án</t>
        </is>
      </c>
      <c r="H844" s="55">
        <f>IF(TRIM($G844)="","",IF(EXACT(TRIM($G844),TRIM($C844)),"✅ Đúng","❌ Sai"))</f>
        <v/>
      </c>
      <c r="I844" s="56" t="inlineStr">
        <is>
          <t>▶</t>
        </is>
      </c>
      <c r="J844" s="56" t="inlineStr">
        <is>
          <t>🔍</t>
        </is>
      </c>
      <c r="R844" s="23" t="inlineStr">
        <is>
          <t>Sun Aug 02 2026</t>
        </is>
      </c>
      <c r="T844" s="58" t="inlineStr">
        <is>
          <t>项 [HẠNG] · hạng mục, khoản
    ↳ Chiết tự: giản thể của 項: bộ 页 (hiệt – cái đầu) + 工 (công – âm đọc) — vốn chỉ cổ, phái sinh "từng khoản"
目 [MỤC] · con mắt; mục lục, tiết mục
    ↳ Chiết tự: bộ 目 (mục) — hình con mắt dựng đứng</t>
        </is>
      </c>
      <c r="U844" s="24" t="inlineStr">
        <is>
          <t>🏢 Thương mại &amp; Công sở</t>
        </is>
      </c>
      <c r="V844" s="63" t="inlineStr">
        <is>
          <t>这个项目很重要。</t>
        </is>
      </c>
      <c r="W844" s="64" t="inlineStr">
        <is>
          <t>Zhège xiàngmù hěn zhòngyào.
Dự án này rất quan trọng.</t>
        </is>
      </c>
    </row>
    <row r="845" ht="69.75" customHeight="1" s="99">
      <c r="A845" t="n">
        <v>819</v>
      </c>
      <c r="B845" s="86" t="inlineStr">
        <is>
          <t>THƯƠNG MẠI</t>
        </is>
      </c>
      <c r="C845" s="85" t="inlineStr">
        <is>
          <t>任务</t>
        </is>
      </c>
      <c r="D845" s="78" t="inlineStr">
        <is>
          <t>rènwù</t>
        </is>
      </c>
      <c r="E845" s="78" t="inlineStr">
        <is>
          <t>nhiệm vụ</t>
        </is>
      </c>
      <c r="H845" s="55">
        <f>IF(TRIM($G845)="","",IF(EXACT(TRIM($G845),TRIM($C845)),"✅ Đúng","❌ Sai"))</f>
        <v/>
      </c>
      <c r="I845" s="56" t="inlineStr">
        <is>
          <t>▶</t>
        </is>
      </c>
      <c r="J845" s="56" t="inlineStr">
        <is>
          <t>🔍</t>
        </is>
      </c>
      <c r="R845" s="23" t="inlineStr">
        <is>
          <t>Sun Aug 02 2026</t>
        </is>
      </c>
      <c r="T845" s="58" t="inlineStr">
        <is>
          <t>任 [NHIỆM] · nhiệm vụ, đảm nhiệm
    ↳ Chiết tự: bộ 亻 (nhân đứng – người) + 壬 (nhâm – âm đọc) — người gánh trách nhiệm
务 [VỤ] · công việc, nhiệm vụ
    ↳ Chiết tự: giản thể của 務: bộ 夂 (truy) + 力 (lực – sức) — dốc sức làm việc</t>
        </is>
      </c>
      <c r="U845" s="24" t="inlineStr">
        <is>
          <t>🏢 Thương mại &amp; Công sở</t>
        </is>
      </c>
      <c r="V845" s="63" t="inlineStr">
        <is>
          <t>这个任务很难完成。</t>
        </is>
      </c>
      <c r="W845" s="64" t="inlineStr">
        <is>
          <t>Zhège rènwù hěn nán wánchéng.
Nhiệm vụ này rất khó hoàn thành.</t>
        </is>
      </c>
    </row>
    <row r="846" ht="69.75" customHeight="1" s="99">
      <c r="A846" t="n">
        <v>820</v>
      </c>
      <c r="B846" s="86" t="inlineStr">
        <is>
          <t>THƯƠNG MẠI</t>
        </is>
      </c>
      <c r="C846" s="85" t="inlineStr">
        <is>
          <t>效率</t>
        </is>
      </c>
      <c r="D846" s="78" t="inlineStr">
        <is>
          <t>xiàolǜ</t>
        </is>
      </c>
      <c r="E846" s="78" t="inlineStr">
        <is>
          <t>hiệu suất, hiệu quả</t>
        </is>
      </c>
      <c r="H846" s="55">
        <f>IF(TRIM($G846)="","",IF(EXACT(TRIM($G846),TRIM($C846)),"✅ Đúng","❌ Sai"))</f>
        <v/>
      </c>
      <c r="I846" s="56" t="inlineStr">
        <is>
          <t>▶</t>
        </is>
      </c>
      <c r="J846" s="56" t="inlineStr">
        <is>
          <t>🔍</t>
        </is>
      </c>
      <c r="R846" s="23" t="inlineStr">
        <is>
          <t>Sun Aug 02 2026</t>
        </is>
      </c>
      <c r="T846" s="58" t="inlineStr">
        <is>
          <t>效 [HIỆU] · hiệu quả, hiệu lực
    ↳ Chiết tự: bộ 攵 (phộc – tay đánh) + 交 (giao – âm đọc) — làm theo mà có kết quả
率 [SUẤT / LŨY] · tỷ lệ, suất
    ↳ Chiết tự: bộ 玄 (huyền) + 十 (thập) — hình sợi dây xoắn có mối, chỉ tỷ lệ</t>
        </is>
      </c>
      <c r="U846" s="24" t="inlineStr">
        <is>
          <t>🏢 Thương mại &amp; Công sở</t>
        </is>
      </c>
      <c r="V846" s="63" t="inlineStr">
        <is>
          <t>我们要提高效率。</t>
        </is>
      </c>
      <c r="W846" s="64" t="inlineStr">
        <is>
          <t>Wǒmen yào tígāo xiàolǜ.
Chúng ta phải nâng cao hiệu suất.</t>
        </is>
      </c>
    </row>
    <row r="847" ht="69.75" customHeight="1" s="99">
      <c r="A847" t="n">
        <v>821</v>
      </c>
      <c r="B847" s="86" t="inlineStr">
        <is>
          <t>THƯƠNG MẠI</t>
        </is>
      </c>
      <c r="C847" s="85" t="inlineStr">
        <is>
          <t>业绩</t>
        </is>
      </c>
      <c r="D847" s="78" t="inlineStr">
        <is>
          <t>yèjì</t>
        </is>
      </c>
      <c r="E847" s="78" t="inlineStr">
        <is>
          <t>kết quả kinh doanh, thành tích</t>
        </is>
      </c>
      <c r="H847" s="55">
        <f>IF(TRIM($G847)="","",IF(EXACT(TRIM($G847),TRIM($C847)),"✅ Đúng","❌ Sai"))</f>
        <v/>
      </c>
      <c r="I847" s="56" t="inlineStr">
        <is>
          <t>▶</t>
        </is>
      </c>
      <c r="J847" s="56" t="inlineStr">
        <is>
          <t>🔍</t>
        </is>
      </c>
      <c r="R847" s="23" t="inlineStr">
        <is>
          <t>Sun Aug 02 2026</t>
        </is>
      </c>
      <c r="T847" s="58" t="inlineStr">
        <is>
          <t>业 [NGHIỆP] · nghề nghiệp, sự nghiệp
    ↳ Chiết tự: giản thể của 業: bộ 一 (nhất) + 业 — hình giá gỗ treo nhạc khí, nghĩa việc làm
绩 [TÍCH] · thành tích, công trạng
    ↳ Chiết tự: giản thể của 績: bộ 纟 (mịch – sợi tơ) + 责 (trách – âm đọc) — kết quả xe tơ dệt được</t>
        </is>
      </c>
      <c r="U847" s="24" t="inlineStr">
        <is>
          <t>🏢 Thương mại &amp; Công sở</t>
        </is>
      </c>
      <c r="V847" s="63" t="inlineStr">
        <is>
          <t>今年的业绩很好。</t>
        </is>
      </c>
      <c r="W847" s="64" t="inlineStr">
        <is>
          <t>Jīnnián de yèjì hěn hǎo.
Kết quả kinh doanh năm nay rất tốt.</t>
        </is>
      </c>
    </row>
    <row r="848" ht="58.15" customHeight="1" s="99">
      <c r="A848" t="n">
        <v>822</v>
      </c>
      <c r="B848" s="86" t="inlineStr">
        <is>
          <t>THƯƠNG MẠI</t>
        </is>
      </c>
      <c r="C848" s="85" t="inlineStr">
        <is>
          <t>市场</t>
        </is>
      </c>
      <c r="D848" s="78" t="inlineStr">
        <is>
          <t>shìchǎng</t>
        </is>
      </c>
      <c r="E848" s="78" t="inlineStr">
        <is>
          <t>thị trường</t>
        </is>
      </c>
      <c r="H848" s="55">
        <f>IF(TRIM($G848)="","",IF(EXACT(TRIM($G848),TRIM($C848)),"✅ Đúng","❌ Sai"))</f>
        <v/>
      </c>
      <c r="I848" s="56" t="inlineStr">
        <is>
          <t>▶</t>
        </is>
      </c>
      <c r="J848" s="56" t="inlineStr">
        <is>
          <t>🔍</t>
        </is>
      </c>
      <c r="R848" s="23" t="inlineStr">
        <is>
          <t>Sun Aug 02 2026</t>
        </is>
      </c>
      <c r="T848" s="58" t="inlineStr">
        <is>
          <t>市 [THỊ] · chợ, thành phố
    ↳ Chiết tự: bộ 巾 (cân – vải) + 亠 (đầu) — nơi treo vải bày bán
场 [TRƯỜNG] · sân bãi, nơi rộng
    ↳ Chiết tự: giản thể của 場: bộ 土 (thổ – đất) + 昜 (dương – nắng) — khoảng đất trống phơi nắng</t>
        </is>
      </c>
      <c r="U848" s="24" t="inlineStr">
        <is>
          <t>🏢 Thương mại &amp; Công sở</t>
        </is>
      </c>
      <c r="V848" s="63" t="inlineStr">
        <is>
          <t>中国市场很大。</t>
        </is>
      </c>
      <c r="W848" s="64" t="inlineStr">
        <is>
          <t>Zhōngguó shìchǎng hěn dà.
Thị trường Trung Quốc rất lớn.</t>
        </is>
      </c>
    </row>
    <row r="849" ht="127.9" customHeight="1" s="99">
      <c r="A849" t="n">
        <v>823</v>
      </c>
      <c r="B849" s="86" t="inlineStr">
        <is>
          <t>THƯƠNG MẠI</t>
        </is>
      </c>
      <c r="C849" s="85" t="inlineStr">
        <is>
          <t>市场调查</t>
        </is>
      </c>
      <c r="D849" s="78" t="inlineStr">
        <is>
          <t>shìchǎng diàochá</t>
        </is>
      </c>
      <c r="E849" s="78" t="inlineStr">
        <is>
          <t>nghiên cứu thị trường</t>
        </is>
      </c>
      <c r="H849" s="55">
        <f>IF(TRIM($G849)="","",IF(EXACT(TRIM($G849),TRIM($C849)),"✅ Đúng","❌ Sai"))</f>
        <v/>
      </c>
      <c r="I849" s="56" t="inlineStr">
        <is>
          <t>▶</t>
        </is>
      </c>
      <c r="J849" s="56" t="inlineStr">
        <is>
          <t>🔍</t>
        </is>
      </c>
      <c r="R849" s="23" t="inlineStr">
        <is>
          <t>Sun Aug 02 2026</t>
        </is>
      </c>
      <c r="T849" s="58" t="inlineStr">
        <is>
          <t>市 [THỊ] · chợ, thành phố
    ↳ Chiết tự: bộ 巾 (cân – vải) + 亠 (đầu) — nơi treo vải bày bán
场 [TRƯỜNG] · sân bãi, nơi rộng
    ↳ Chiết tự: giản thể của 場: bộ 土 (thổ – đất) + 昜 (dương – nắng) — khoảng đất trống phơi nắng
调 [ĐIỀU / ĐIỆU] · điều chỉnh, pha; giọng điệu
    ↳ Chiết tự: giản thể của 調: bộ 讠 (ngôn – lời nói) + 周 (chu – âm đọc) — nói cho hài hòa
查 [TRA] · tra cứu, điều tra
    ↳ Chiết tự: bộ 木 (mộc – cây) + 旦 (đán) — vốn hình bè gỗ, nghĩa xem xét</t>
        </is>
      </c>
      <c r="U849" s="24" t="inlineStr">
        <is>
          <t>🏢 Thương mại &amp; Công sở</t>
        </is>
      </c>
      <c r="V849" s="63" t="inlineStr">
        <is>
          <t>我们先做市场调查。</t>
        </is>
      </c>
      <c r="W849" s="64" t="inlineStr">
        <is>
          <t>Wǒmen xiān zuò shìchǎng diàochá.
Chúng ta khảo sát thị trường trước.</t>
        </is>
      </c>
    </row>
    <row r="850" ht="58.15" customHeight="1" s="99">
      <c r="A850" t="n">
        <v>824</v>
      </c>
      <c r="B850" s="86" t="inlineStr">
        <is>
          <t>THƯƠNG MẠI</t>
        </is>
      </c>
      <c r="C850" s="85" t="inlineStr">
        <is>
          <t>客户</t>
        </is>
      </c>
      <c r="D850" s="78" t="inlineStr">
        <is>
          <t>kèhù</t>
        </is>
      </c>
      <c r="E850" s="78" t="inlineStr">
        <is>
          <t>khách hàng</t>
        </is>
      </c>
      <c r="H850" s="55">
        <f>IF(TRIM($G850)="","",IF(EXACT(TRIM($G850),TRIM($C850)),"✅ Đúng","❌ Sai"))</f>
        <v/>
      </c>
      <c r="I850" s="56" t="inlineStr">
        <is>
          <t>▶</t>
        </is>
      </c>
      <c r="J850" s="56" t="inlineStr">
        <is>
          <t>🔍</t>
        </is>
      </c>
      <c r="R850" s="23" t="inlineStr">
        <is>
          <t>Sun Aug 02 2026</t>
        </is>
      </c>
      <c r="T850" s="58" t="inlineStr">
        <is>
          <t>客 [KHÁCH] · khách, người ngoài
    ↳ Chiết tự: bộ 宀 (miên – mái nhà) + 各 (các – âm đọc) — người từ ngoài ghé vào nhà
户 [HỘ] · hộ, cửa; tài khoản
    ↳ Chiết tự: bộ 户 (hộ) — hình một cánh cửa, chỉ một nhà</t>
        </is>
      </c>
      <c r="U850" s="24" t="inlineStr">
        <is>
          <t>🏢 Thương mại &amp; Công sở</t>
        </is>
      </c>
      <c r="V850" s="63" t="inlineStr">
        <is>
          <t>这是我们的老客户。</t>
        </is>
      </c>
      <c r="W850" s="64" t="inlineStr">
        <is>
          <t>Zhè shì wǒmen de lǎo kèhù.
Đây là khách hàng lâu năm của chúng tôi.</t>
        </is>
      </c>
    </row>
    <row r="851" ht="104.65" customHeight="1" s="99">
      <c r="A851" t="n">
        <v>825</v>
      </c>
      <c r="B851" s="86" t="inlineStr">
        <is>
          <t>THƯƠNG MẠI</t>
        </is>
      </c>
      <c r="C851" s="85" t="inlineStr">
        <is>
          <t>供应商</t>
        </is>
      </c>
      <c r="D851" s="78" t="inlineStr">
        <is>
          <t>gōngyìngshāng</t>
        </is>
      </c>
      <c r="E851" s="78" t="inlineStr">
        <is>
          <t>nhà cung cấp</t>
        </is>
      </c>
      <c r="H851" s="55">
        <f>IF(TRIM($G851)="","",IF(EXACT(TRIM($G851),TRIM($C851)),"✅ Đúng","❌ Sai"))</f>
        <v/>
      </c>
      <c r="I851" s="56" t="inlineStr">
        <is>
          <t>▶</t>
        </is>
      </c>
      <c r="J851" s="56" t="inlineStr">
        <is>
          <t>🔍</t>
        </is>
      </c>
      <c r="R851" s="23" t="inlineStr">
        <is>
          <t>Sun Aug 02 2026</t>
        </is>
      </c>
      <c r="T851" s="58" t="inlineStr">
        <is>
          <t>供 [CUNG] · cung cấp, cung ứng
    ↳ Chiết tự: bộ 亻 (nhân đứng – người) + 共 (cộng – âm đọc) — người đưa đồ cho dùng
应 [ỨNG] · nên, phải; đáp ứng
    ↳ Chiết tự: giản thể của 應: bộ 广 (nghiễm – mái nhà) + 丷 — đáp lại điều phải làm
商 [THƯƠNG] · buôn bán; bàn bạc
    ↳ Chiết tự: bộ 亠 (đầu) + 冂 (quynh) + 口 (khẩu) — hình lều chợ, nơi bàn giá cả</t>
        </is>
      </c>
      <c r="U851" s="24" t="inlineStr">
        <is>
          <t>🏢 Thương mại &amp; Công sở</t>
        </is>
      </c>
      <c r="V851" s="63" t="inlineStr">
        <is>
          <t>我们在找新的供应商。</t>
        </is>
      </c>
      <c r="W851" s="64" t="inlineStr">
        <is>
          <t>Wǒmen zài zhǎo xīn de gōngyìngshāng.
Chúng tôi đang tìm nhà cung cấp mới.</t>
        </is>
      </c>
    </row>
    <row r="852" ht="69.75" customHeight="1" s="99">
      <c r="A852" t="n">
        <v>826</v>
      </c>
      <c r="B852" s="86" t="inlineStr">
        <is>
          <t>THƯƠNG MẠI</t>
        </is>
      </c>
      <c r="C852" s="85" t="inlineStr">
        <is>
          <t>合作</t>
        </is>
      </c>
      <c r="D852" s="78" t="inlineStr">
        <is>
          <t>hézuò</t>
        </is>
      </c>
      <c r="E852" s="78" t="inlineStr">
        <is>
          <t>hợp tác</t>
        </is>
      </c>
      <c r="H852" s="55">
        <f>IF(TRIM($G852)="","",IF(EXACT(TRIM($G852),TRIM($C852)),"✅ Đúng","❌ Sai"))</f>
        <v/>
      </c>
      <c r="I852" s="56" t="inlineStr">
        <is>
          <t>▶</t>
        </is>
      </c>
      <c r="J852" s="56" t="inlineStr">
        <is>
          <t>🔍</t>
        </is>
      </c>
      <c r="R852" s="23" t="inlineStr">
        <is>
          <t>Sun Aug 02 2026</t>
        </is>
      </c>
      <c r="T852" s="58" t="inlineStr">
        <is>
          <t>合 [HỢP] · hợp lại, phù hợp
    ↳ Chiết tự: bộ 人 (nhân) + 一 + 口 (khẩu – miệng) — hình cái nắp khớp vào miệng bình
作 [TÁC] · làm, chế tác, tác phẩm
    ↳ Chiết tự: bộ 亻 (nhân đứng – người) + 乍 (sạ – âm đọc) — người khởi sự tạo ra</t>
        </is>
      </c>
      <c r="U852" s="24" t="inlineStr">
        <is>
          <t>🏢 Thương mại &amp; Công sở</t>
        </is>
      </c>
      <c r="V852" s="63" t="inlineStr">
        <is>
          <t>希望我们合作愉快。</t>
        </is>
      </c>
      <c r="W852" s="64" t="inlineStr">
        <is>
          <t>Xīwàng wǒmen hézuò yúkuài.
Mong hợp tác vui vẻ.</t>
        </is>
      </c>
    </row>
    <row r="853" ht="69.75" customHeight="1" s="99">
      <c r="A853" t="n">
        <v>827</v>
      </c>
      <c r="B853" s="86" t="inlineStr">
        <is>
          <t>THƯƠNG MẠI</t>
        </is>
      </c>
      <c r="C853" s="85" t="inlineStr">
        <is>
          <t>谈判</t>
        </is>
      </c>
      <c r="D853" s="78" t="inlineStr">
        <is>
          <t>tánpàn</t>
        </is>
      </c>
      <c r="E853" s="78" t="inlineStr">
        <is>
          <t>đàm phán</t>
        </is>
      </c>
      <c r="H853" s="55">
        <f>IF(TRIM($G853)="","",IF(EXACT(TRIM($G853),TRIM($C853)),"✅ Đúng","❌ Sai"))</f>
        <v/>
      </c>
      <c r="I853" s="56" t="inlineStr">
        <is>
          <t>▶</t>
        </is>
      </c>
      <c r="J853" s="56" t="inlineStr">
        <is>
          <t>🔍</t>
        </is>
      </c>
      <c r="R853" s="23" t="inlineStr">
        <is>
          <t>Sun Aug 02 2026</t>
        </is>
      </c>
      <c r="T853" s="58" t="inlineStr">
        <is>
          <t>谈 [ĐÀM] · bàn bạc, trò chuyện
    ↳ Chiết tự: giản thể của 談: bộ 讠 (ngôn – lời nói) + 炎 (viêm – âm đọc) — lời qua lời lại sôi nổi
判 [PHÁN] · phân xử, phán quyết
    ↳ Chiết tự: bộ 刂 (đao đứng – dao) + 半 (bán – nửa) — chẻ đôi mà phân định</t>
        </is>
      </c>
      <c r="U853" s="24" t="inlineStr">
        <is>
          <t>🏢 Thương mại &amp; Công sở</t>
        </is>
      </c>
      <c r="V853" s="63" t="inlineStr">
        <is>
          <t>明天我们和客户谈判。</t>
        </is>
      </c>
      <c r="W853" s="64" t="inlineStr">
        <is>
          <t>Míngtiān wǒmen hé kèhù tánpàn.
Mai chúng ta đàm phán với khách hàng.</t>
        </is>
      </c>
    </row>
    <row r="854" ht="69.75" customHeight="1" s="99">
      <c r="A854" t="n">
        <v>828</v>
      </c>
      <c r="B854" s="86" t="inlineStr">
        <is>
          <t>THƯƠNG MẠI</t>
        </is>
      </c>
      <c r="C854" s="85" t="inlineStr">
        <is>
          <t>报价</t>
        </is>
      </c>
      <c r="D854" s="78" t="inlineStr">
        <is>
          <t>bàojià</t>
        </is>
      </c>
      <c r="E854" s="78" t="inlineStr">
        <is>
          <t>báo giá</t>
        </is>
      </c>
      <c r="H854" s="55">
        <f>IF(TRIM($G854)="","",IF(EXACT(TRIM($G854),TRIM($C854)),"✅ Đúng","❌ Sai"))</f>
        <v/>
      </c>
      <c r="I854" s="56" t="inlineStr">
        <is>
          <t>▶</t>
        </is>
      </c>
      <c r="J854" s="56" t="inlineStr">
        <is>
          <t>🔍</t>
        </is>
      </c>
      <c r="R854" s="23" t="inlineStr">
        <is>
          <t>Sun Aug 02 2026</t>
        </is>
      </c>
      <c r="T854" s="58" t="inlineStr">
        <is>
          <t>报 [BÁO] · báo cáo, tin báo; tờ báo
    ↳ Chiết tự: giản thể của 報: bộ 扌 (thủ đứng – bàn tay) + 卩 + 又 (hựu – tay) — tay chuyển tin đi
价 [GIÁ] · giá cả, giá trị
    ↳ Chiết tự: giản thể của 價: bộ 亻 (nhân đứng – người) + 介 (giới – trung gian) — người trung gian định giá</t>
        </is>
      </c>
      <c r="U854" s="24" t="inlineStr">
        <is>
          <t>🏢 Thương mại &amp; Công sở</t>
        </is>
      </c>
      <c r="V854" s="63" t="inlineStr">
        <is>
          <t>请给我们报价。</t>
        </is>
      </c>
      <c r="W854" s="64" t="inlineStr">
        <is>
          <t>Qǐng gěi wǒmen bàojià.
Xin báo giá cho chúng tôi.</t>
        </is>
      </c>
    </row>
    <row r="855" ht="58.15" customHeight="1" s="99">
      <c r="A855" t="n">
        <v>829</v>
      </c>
      <c r="B855" s="86" t="inlineStr">
        <is>
          <t>THƯƠNG MẠI</t>
        </is>
      </c>
      <c r="C855" s="85" t="inlineStr">
        <is>
          <t>价格</t>
        </is>
      </c>
      <c r="D855" s="78" t="inlineStr">
        <is>
          <t>jiàgé</t>
        </is>
      </c>
      <c r="E855" s="78" t="inlineStr">
        <is>
          <t>giá cả</t>
        </is>
      </c>
      <c r="H855" s="55">
        <f>IF(TRIM($G855)="","",IF(EXACT(TRIM($G855),TRIM($C855)),"✅ Đúng","❌ Sai"))</f>
        <v/>
      </c>
      <c r="I855" s="56" t="inlineStr">
        <is>
          <t>▶</t>
        </is>
      </c>
      <c r="J855" s="56" t="inlineStr">
        <is>
          <t>🔍</t>
        </is>
      </c>
      <c r="R855" s="23" t="inlineStr">
        <is>
          <t>Sun Aug 02 2026</t>
        </is>
      </c>
      <c r="T855" s="58" t="inlineStr">
        <is>
          <t>价 [GIÁ] · giá cả, giá trị
    ↳ Chiết tự: giản thể của 價: bộ 亻 (nhân đứng – người) + 介 (giới – trung gian) — người trung gian định giá
格 [CÁCH] · quy cách, ô, khung
    ↳ Chiết tự: bộ 木 (mộc – gỗ) + 各 (các – âm đọc) — khung gỗ chia ô</t>
        </is>
      </c>
      <c r="U855" s="24" t="inlineStr">
        <is>
          <t>🏢 Thương mại &amp; Công sở</t>
        </is>
      </c>
      <c r="V855" s="63" t="inlineStr">
        <is>
          <t>这个价格太高了。</t>
        </is>
      </c>
      <c r="W855" s="64" t="inlineStr">
        <is>
          <t>Zhège jiàgé tài gāo le.
Giá này quá cao.</t>
        </is>
      </c>
    </row>
    <row r="856" hidden="1" ht="69.75" customHeight="1" s="99">
      <c r="A856" t="n">
        <v>830</v>
      </c>
      <c r="B856" s="86" t="inlineStr">
        <is>
          <t>THƯƠNG MẠI</t>
        </is>
      </c>
      <c r="C856" s="85" t="inlineStr">
        <is>
          <t>折扣</t>
        </is>
      </c>
      <c r="D856" s="78" t="inlineStr">
        <is>
          <t>zhékòu</t>
        </is>
      </c>
      <c r="E856" s="78" t="inlineStr">
        <is>
          <t>chiết khấu, giảm giá</t>
        </is>
      </c>
      <c r="G856" s="77" t="inlineStr">
        <is>
          <t>折扣</t>
        </is>
      </c>
      <c r="H856" s="55">
        <f>IF(TRIM($G856)="","",IF(EXACT(TRIM($G856),TRIM($C856)),"✅ Đúng","❌ Sai"))</f>
        <v/>
      </c>
      <c r="I856" s="56" t="inlineStr">
        <is>
          <t>▶</t>
        </is>
      </c>
      <c r="J856" s="56" t="inlineStr">
        <is>
          <t>🔍</t>
        </is>
      </c>
      <c r="R856" s="23" t="inlineStr">
        <is>
          <t>Sun Aug 02 2026</t>
        </is>
      </c>
      <c r="T856" s="58" t="inlineStr">
        <is>
          <t>折 [CHIẾT] · gấp, bẻ; chiết khấu
    ↳ Chiết tự: bộ 扌 (thủ – tay) + 斤 (cân – cái búa) — tay dùng búa chặt gãy
扣 [KHẤU] · trừ, gài, khấu
    ↳ Chiết tự: bộ 扌 (thủ – tay) + 口 (khẩu – miệng) — tay gài lại, giữ bớt</t>
        </is>
      </c>
      <c r="U856" s="24" t="inlineStr">
        <is>
          <t>🏢 Thương mại &amp; Công sở</t>
        </is>
      </c>
      <c r="V856" s="63" t="inlineStr">
        <is>
          <t>能给我们折扣吗？</t>
        </is>
      </c>
      <c r="W856" s="64" t="inlineStr">
        <is>
          <t>Néng gěi wǒmen zhékòu ma?
Có thể giảm giá cho chúng tôi không?</t>
        </is>
      </c>
    </row>
    <row r="857" hidden="1" ht="69.75" customHeight="1" s="99">
      <c r="A857" t="n">
        <v>831</v>
      </c>
      <c r="B857" s="86" t="inlineStr">
        <is>
          <t>THƯƠNG MẠI</t>
        </is>
      </c>
      <c r="C857" s="85" t="inlineStr">
        <is>
          <t>订单</t>
        </is>
      </c>
      <c r="D857" s="78" t="inlineStr">
        <is>
          <t>dìngdān</t>
        </is>
      </c>
      <c r="E857" s="78" t="inlineStr">
        <is>
          <t>đơn hàng</t>
        </is>
      </c>
      <c r="G857" s="77" t="inlineStr">
        <is>
          <t>订单</t>
        </is>
      </c>
      <c r="H857" s="55">
        <f>IF(TRIM($G857)="","",IF(EXACT(TRIM($G857),TRIM($C857)),"✅ Đúng","❌ Sai"))</f>
        <v/>
      </c>
      <c r="I857" s="56" t="inlineStr">
        <is>
          <t>▶</t>
        </is>
      </c>
      <c r="J857" s="56" t="inlineStr">
        <is>
          <t>🔍</t>
        </is>
      </c>
      <c r="R857" s="23" t="inlineStr">
        <is>
          <t>Sun Aug 02 2026</t>
        </is>
      </c>
      <c r="T857" s="58" t="inlineStr">
        <is>
          <t>订 [ĐỊNH] · đặt (hàng), đính ước
    ↳ Chiết tự: giản thể của 訂: bộ 讠 (ngôn – lời nói) + 丁 (đinh – âm đọc) — lời hứa đóng chốt
单 [ĐƠN] · đơn lẻ, đơn giản; tờ đơn
    ↳ Chiết tự: giản thể của 單: bộ 丷 (bát) + 田 (điền) + 十 (thập) — chỉ một cái, không đôi</t>
        </is>
      </c>
      <c r="U857" s="24" t="inlineStr">
        <is>
          <t>🏢 Thương mại &amp; Công sở</t>
        </is>
      </c>
      <c r="V857" s="63" t="inlineStr">
        <is>
          <t>我们收到了新订单。</t>
        </is>
      </c>
      <c r="W857" s="64" t="inlineStr">
        <is>
          <t>Wǒmen shōudào le xīn dìngdān.
Chúng tôi đã nhận được đơn hàng mới.</t>
        </is>
      </c>
    </row>
    <row r="858" hidden="1" ht="104.65" customHeight="1" s="99">
      <c r="A858" t="n">
        <v>832</v>
      </c>
      <c r="B858" s="86" t="inlineStr">
        <is>
          <t>THƯƠNG MẠI</t>
        </is>
      </c>
      <c r="C858" s="85" t="inlineStr">
        <is>
          <t>下订单</t>
        </is>
      </c>
      <c r="D858" s="78" t="inlineStr">
        <is>
          <t>xià dìngdān</t>
        </is>
      </c>
      <c r="E858" s="78" t="inlineStr">
        <is>
          <t>đặt đơn hàng</t>
        </is>
      </c>
      <c r="G858" s="77" t="inlineStr">
        <is>
          <t>下订单</t>
        </is>
      </c>
      <c r="H858" s="55">
        <f>IF(TRIM($G858)="","",IF(EXACT(TRIM($G858),TRIM($C858)),"✅ Đúng","❌ Sai"))</f>
        <v/>
      </c>
      <c r="I858" s="56" t="inlineStr">
        <is>
          <t>▶</t>
        </is>
      </c>
      <c r="J858" s="56" t="inlineStr">
        <is>
          <t>🔍</t>
        </is>
      </c>
      <c r="R858" s="23" t="inlineStr">
        <is>
          <t>Sun Aug 02 2026</t>
        </is>
      </c>
      <c r="T858" s="58" t="inlineStr">
        <is>
          <t>下 [HẠ] · ở dưới, xuống, kém hơn
    ↳ Chiết tự: bộ 一 (nhất – mặt đất) + vạch chỉ hướng xuống — chữ chỉ sự
订 [ĐỊNH] · đặt (hàng), đính ước
    ↳ Chiết tự: giản thể của 訂: bộ 讠 (ngôn – lời nói) + 丁 (đinh – âm đọc) — lời hứa đóng chốt
单 [ĐƠN] · đơn lẻ, đơn giản; tờ đơn
    ↳ Chiết tự: giản thể của 單: bộ 丷 (bát) + 田 (điền) + 十 (thập) — chỉ một cái, không đôi</t>
        </is>
      </c>
      <c r="U858" s="24" t="inlineStr">
        <is>
          <t>🏢 Thương mại &amp; Công sở</t>
        </is>
      </c>
      <c r="V858" s="63" t="inlineStr">
        <is>
          <t>客户已经下订单了。</t>
        </is>
      </c>
      <c r="W858" s="64" t="inlineStr">
        <is>
          <t>Kèhù yǐjīng xià dìngdān le.
Khách hàng đã đặt đơn rồi.</t>
        </is>
      </c>
    </row>
    <row r="859" hidden="1" ht="69.75" customHeight="1" s="99">
      <c r="A859" t="n">
        <v>833</v>
      </c>
      <c r="B859" s="86" t="inlineStr">
        <is>
          <t>THƯƠNG MẠI</t>
        </is>
      </c>
      <c r="C859" s="85" t="inlineStr">
        <is>
          <t>发货</t>
        </is>
      </c>
      <c r="D859" s="78" t="inlineStr">
        <is>
          <t>fāhuò</t>
        </is>
      </c>
      <c r="E859" s="78" t="inlineStr">
        <is>
          <t>xuất hàng, giao hàng</t>
        </is>
      </c>
      <c r="G859" s="77" t="inlineStr">
        <is>
          <t>发货</t>
        </is>
      </c>
      <c r="H859" s="55">
        <f>IF(TRIM($G859)="","",IF(EXACT(TRIM($G859),TRIM($C859)),"✅ Đúng","❌ Sai"))</f>
        <v/>
      </c>
      <c r="I859" s="56" t="inlineStr">
        <is>
          <t>▶</t>
        </is>
      </c>
      <c r="J859" s="56" t="inlineStr">
        <is>
          <t>🔍</t>
        </is>
      </c>
      <c r="R859" s="23" t="inlineStr">
        <is>
          <t>Sun Aug 02 2026</t>
        </is>
      </c>
      <c r="T859" s="58" t="inlineStr">
        <is>
          <t>发 [PHÁT / PHÁP] · phát ra, gửi; tóc
    ↳ Chiết tự: giản thể của 發 (phát ra) và 髮 (tóc): bộ 又 (hựu – tay) + 弓 — tay giương cung bắn ra
货 [HÀNG] · hàng hóa
    ↳ Chiết tự: giản thể của 貨: bộ 贝 (bối – tiền của) + 化 (hóa – âm đọc) — vật đổi ra tiền</t>
        </is>
      </c>
      <c r="U859" s="24" t="inlineStr">
        <is>
          <t>🏢 Thương mại &amp; Công sở</t>
        </is>
      </c>
      <c r="V859" s="63" t="inlineStr">
        <is>
          <t>我们明天发货。</t>
        </is>
      </c>
      <c r="W859" s="64" t="inlineStr">
        <is>
          <t>Wǒmen míngtiān fāhuò.
Mai chúng tôi xuất hàng.</t>
        </is>
      </c>
    </row>
    <row r="860" hidden="1" ht="69.75" customHeight="1" s="99">
      <c r="A860" t="n">
        <v>834</v>
      </c>
      <c r="B860" s="86" t="inlineStr">
        <is>
          <t>THƯƠNG MẠI</t>
        </is>
      </c>
      <c r="C860" s="85" t="inlineStr">
        <is>
          <t>交货</t>
        </is>
      </c>
      <c r="D860" s="78" t="inlineStr">
        <is>
          <t>jiāohuò</t>
        </is>
      </c>
      <c r="E860" s="78" t="inlineStr">
        <is>
          <t>giao hàng</t>
        </is>
      </c>
      <c r="G860" s="77" t="inlineStr">
        <is>
          <t>交货</t>
        </is>
      </c>
      <c r="H860" s="55">
        <f>IF(TRIM($G860)="","",IF(EXACT(TRIM($G860),TRIM($C860)),"✅ Đúng","❌ Sai"))</f>
        <v/>
      </c>
      <c r="I860" s="56" t="inlineStr">
        <is>
          <t>▶</t>
        </is>
      </c>
      <c r="J860" s="56" t="inlineStr">
        <is>
          <t>🔍</t>
        </is>
      </c>
      <c r="R860" s="23" t="inlineStr">
        <is>
          <t>Sun Aug 02 2026</t>
        </is>
      </c>
      <c r="T860" s="58" t="inlineStr">
        <is>
          <t>交 [GIAO] · giao, giao nhau
    ↳ Chiết tự: bộ 亠 (đầu) + 父 — hình người bắt chéo hai chân, nghĩa "giao nhau"
货 [HÀNG] · hàng hóa
    ↳ Chiết tự: giản thể của 貨: bộ 贝 (bối – tiền của) + 化 (hóa – âm đọc) — vật đổi ra tiền</t>
        </is>
      </c>
      <c r="U860" s="24" t="inlineStr">
        <is>
          <t>🏢 Thương mại &amp; Công sở</t>
        </is>
      </c>
      <c r="V860" s="63" t="inlineStr">
        <is>
          <t>交货时间是下个月。</t>
        </is>
      </c>
      <c r="W860" s="64" t="inlineStr">
        <is>
          <t>Jiāohuò shíjiān shì xià ge yuè.
Thời gian giao hàng là tháng sau.</t>
        </is>
      </c>
    </row>
    <row r="861" ht="58.15" customHeight="1" s="99">
      <c r="A861" t="n">
        <v>835</v>
      </c>
      <c r="B861" s="86" t="inlineStr">
        <is>
          <t>THƯƠNG MẠI</t>
        </is>
      </c>
      <c r="C861" s="85" t="inlineStr">
        <is>
          <t>库存</t>
        </is>
      </c>
      <c r="D861" s="78" t="inlineStr">
        <is>
          <t>kùcún</t>
        </is>
      </c>
      <c r="E861" s="78" t="inlineStr">
        <is>
          <t>hàng tồn kho</t>
        </is>
      </c>
      <c r="H861" s="55">
        <f>IF(TRIM($G861)="","",IF(EXACT(TRIM($G861),TRIM($C861)),"✅ Đúng","❌ Sai"))</f>
        <v/>
      </c>
      <c r="I861" s="56" t="inlineStr">
        <is>
          <t>▶</t>
        </is>
      </c>
      <c r="J861" s="56" t="inlineStr">
        <is>
          <t>🔍</t>
        </is>
      </c>
      <c r="R861" s="23" t="inlineStr">
        <is>
          <t>Sun Aug 02 2026</t>
        </is>
      </c>
      <c r="T861" s="58" t="inlineStr">
        <is>
          <t>库 [KHỐ] · kho, nhà chứa
    ↳ Chiết tự: giản thể của 庫: bộ 广 (nghiễm – mái che) + 车 (xa – xe) — mái che để xe, nhà kho
存 [TỒN] · còn, lưu giữ
    ↳ Chiết tự: bộ 子 (tử – con) + 才 (tài) — mầm con còn giữ được</t>
        </is>
      </c>
      <c r="U861" s="24" t="inlineStr">
        <is>
          <t>🏢 Thương mại &amp; Công sở</t>
        </is>
      </c>
      <c r="V861" s="63" t="inlineStr">
        <is>
          <t>库存不够了。</t>
        </is>
      </c>
      <c r="W861" s="64" t="inlineStr">
        <is>
          <t>Kùcún bú gòu le.
Hàng tồn kho không đủ rồi.</t>
        </is>
      </c>
    </row>
    <row r="862" ht="69.75" customHeight="1" s="99">
      <c r="A862" t="n">
        <v>836</v>
      </c>
      <c r="B862" s="86" t="inlineStr">
        <is>
          <t>THƯƠNG MẠI</t>
        </is>
      </c>
      <c r="C862" s="85" t="inlineStr">
        <is>
          <t>样品</t>
        </is>
      </c>
      <c r="D862" s="78" t="inlineStr">
        <is>
          <t>yàngpǐn</t>
        </is>
      </c>
      <c r="E862" s="78" t="inlineStr">
        <is>
          <t>hàng mẫu</t>
        </is>
      </c>
      <c r="H862" s="55">
        <f>IF(TRIM($G862)="","",IF(EXACT(TRIM($G862),TRIM($C862)),"✅ Đúng","❌ Sai"))</f>
        <v/>
      </c>
      <c r="I862" s="56" t="inlineStr">
        <is>
          <t>▶</t>
        </is>
      </c>
      <c r="J862" s="56" t="inlineStr">
        <is>
          <t>🔍</t>
        </is>
      </c>
      <c r="R862" s="23" t="inlineStr">
        <is>
          <t>Sun Aug 02 2026</t>
        </is>
      </c>
      <c r="T862" s="58" t="inlineStr">
        <is>
          <t>样 [DẠNG] · kiểu dáng, mẫu mực
    ↳ Chiết tự: giản thể của 樣: bộ 木 (mộc – gỗ) + 羊 (dương – âm đọc) — khuôn mẫu bằng gỗ
品 [PHẨM] · phẩm chất, món hàng
    ↳ Chiết tự: ba bộ 口 (khẩu – miệng/vật) — nhiều vật xếp cùng để phân loại</t>
        </is>
      </c>
      <c r="U862" s="24" t="inlineStr">
        <is>
          <t>🏢 Thương mại &amp; Công sở</t>
        </is>
      </c>
      <c r="V862" s="63" t="inlineStr">
        <is>
          <t>请先寄样品给我们。</t>
        </is>
      </c>
      <c r="W862" s="64" t="inlineStr">
        <is>
          <t>Qǐng xiān jì yàngpǐn gěi wǒmen.
Xin gửi hàng mẫu cho chúng tôi trước.</t>
        </is>
      </c>
    </row>
    <row r="863" ht="58.15" customHeight="1" s="99">
      <c r="A863" t="n">
        <v>837</v>
      </c>
      <c r="B863" s="86" t="inlineStr">
        <is>
          <t>THƯƠNG MẠI</t>
        </is>
      </c>
      <c r="C863" s="85" t="inlineStr">
        <is>
          <t>质量</t>
        </is>
      </c>
      <c r="D863" s="78" t="inlineStr">
        <is>
          <t>zhìliàng</t>
        </is>
      </c>
      <c r="E863" s="78" t="inlineStr">
        <is>
          <t>chất lượng</t>
        </is>
      </c>
      <c r="H863" s="55">
        <f>IF(TRIM($G863)="","",IF(EXACT(TRIM($G863),TRIM($C863)),"✅ Đúng","❌ Sai"))</f>
        <v/>
      </c>
      <c r="I863" s="56" t="inlineStr">
        <is>
          <t>▶</t>
        </is>
      </c>
      <c r="J863" s="56" t="inlineStr">
        <is>
          <t>🔍</t>
        </is>
      </c>
      <c r="R863" s="23" t="inlineStr">
        <is>
          <t>Sun Aug 02 2026</t>
        </is>
      </c>
      <c r="T863" s="58" t="inlineStr">
        <is>
          <t>质 [CHẤT] · chất lượng, bản chất
    ↳ Chiết tự: giản thể của 質: bộ 贝 (bối – tiền của) + 斦 — cân đo giá trị thực
量 [LƯỢNG] · số lượng, đo lường
    ↳ Chiết tự: bộ 日 + 里 (lý) — hình cái đấu đong, nghĩa đo đếm</t>
        </is>
      </c>
      <c r="U863" s="24" t="inlineStr">
        <is>
          <t>🏢 Thương mại &amp; Công sở</t>
        </is>
      </c>
      <c r="V863" s="63" t="inlineStr">
        <is>
          <t>产品质量很重要。</t>
        </is>
      </c>
      <c r="W863" s="64" t="inlineStr">
        <is>
          <t>Chǎnpǐn zhìliàng hěn zhòngyào.
Chất lượng sản phẩm rất quan trọng.</t>
        </is>
      </c>
    </row>
    <row r="864" hidden="1" ht="58.15" customHeight="1" s="99">
      <c r="A864" t="n">
        <v>838</v>
      </c>
      <c r="B864" s="86" t="inlineStr">
        <is>
          <t>THƯƠNG MẠI</t>
        </is>
      </c>
      <c r="C864" s="85" t="inlineStr">
        <is>
          <t>数量</t>
        </is>
      </c>
      <c r="D864" s="78" t="inlineStr">
        <is>
          <t>shùliàng</t>
        </is>
      </c>
      <c r="E864" s="78" t="inlineStr">
        <is>
          <t>số lượng</t>
        </is>
      </c>
      <c r="G864" s="77" t="inlineStr">
        <is>
          <t>数量</t>
        </is>
      </c>
      <c r="H864" s="55">
        <f>IF(TRIM($G864)="","",IF(EXACT(TRIM($G864),TRIM($C864)),"✅ Đúng","❌ Sai"))</f>
        <v/>
      </c>
      <c r="I864" s="56" t="inlineStr">
        <is>
          <t>▶</t>
        </is>
      </c>
      <c r="J864" s="56" t="inlineStr">
        <is>
          <t>🔍</t>
        </is>
      </c>
      <c r="R864" s="23" t="inlineStr">
        <is>
          <t>Sun Aug 02 2026</t>
        </is>
      </c>
      <c r="T864" s="58" t="inlineStr">
        <is>
          <t>数 [SỐ / SỔ] · số, con số; đếm
    ↳ Chiết tự: giản thể của 數: bộ 攵 (phộc – tay đánh) + 娄 (lâu – âm đọc) — tay gõ mà đếm
量 [LƯỢNG] · số lượng, đo lường
    ↳ Chiết tự: bộ 日 + 里 (lý) — hình cái đấu đong, nghĩa đo đếm</t>
        </is>
      </c>
      <c r="U864" s="24" t="inlineStr">
        <is>
          <t>🏢 Thương mại &amp; Công sở</t>
        </is>
      </c>
      <c r="V864" s="63" t="inlineStr">
        <is>
          <t>请确认订单的数量。</t>
        </is>
      </c>
      <c r="W864" s="64" t="inlineStr">
        <is>
          <t>Qǐng quèrèn dìngdān de shùliàng.
Xin xác nhận số lượng đơn hàng.</t>
        </is>
      </c>
    </row>
    <row r="865" ht="69.75" customHeight="1" s="99">
      <c r="A865" t="n">
        <v>839</v>
      </c>
      <c r="B865" s="86" t="inlineStr">
        <is>
          <t>THƯƠNG MẠI</t>
        </is>
      </c>
      <c r="C865" s="85" t="inlineStr">
        <is>
          <t>包装</t>
        </is>
      </c>
      <c r="D865" s="78" t="inlineStr">
        <is>
          <t>bāozhuāng</t>
        </is>
      </c>
      <c r="E865" s="78" t="inlineStr">
        <is>
          <t>đóng gói, bao bì</t>
        </is>
      </c>
      <c r="H865" s="55">
        <f>IF(TRIM($G865)="","",IF(EXACT(TRIM($G865),TRIM($C865)),"✅ Đúng","❌ Sai"))</f>
        <v/>
      </c>
      <c r="I865" s="56" t="inlineStr">
        <is>
          <t>▶</t>
        </is>
      </c>
      <c r="J865" s="56" t="inlineStr">
        <is>
          <t>🔍</t>
        </is>
      </c>
      <c r="R865" s="23" t="inlineStr">
        <is>
          <t>Sun Aug 02 2026</t>
        </is>
      </c>
      <c r="T865" s="58" t="inlineStr">
        <is>
          <t>包 [BAO] · bao bọc, gói; cái túi
    ↳ Chiết tự: bộ 勹 (bao – ôm bọc) + 巳 (tị – thai nhi) — bụng mẹ bọc lấy thai
装 [TRANG] · đóng gói, trang bị
    ↳ Chiết tự: giản thể của 裝: bộ 衣 (y – áo) + 壮 (tráng – âm đọc) — mặc/gói lại cho gọn</t>
        </is>
      </c>
      <c r="U865" s="24" t="inlineStr">
        <is>
          <t>🏢 Thương mại &amp; Công sở</t>
        </is>
      </c>
      <c r="V865" s="63" t="inlineStr">
        <is>
          <t>包装要结实一点儿。</t>
        </is>
      </c>
      <c r="W865" s="64" t="inlineStr">
        <is>
          <t>Bāozhuāng yào jiēshi yìdiǎnr.
Bao bì cần chắc chắn hơn.</t>
        </is>
      </c>
    </row>
    <row r="866" ht="58.15" customHeight="1" s="99">
      <c r="A866" t="n">
        <v>840</v>
      </c>
      <c r="B866" s="86" t="inlineStr">
        <is>
          <t>THƯƠNG MẠI</t>
        </is>
      </c>
      <c r="C866" s="85" t="inlineStr">
        <is>
          <t>物流</t>
        </is>
      </c>
      <c r="D866" s="78" t="inlineStr">
        <is>
          <t>wùliú</t>
        </is>
      </c>
      <c r="E866" s="78" t="inlineStr">
        <is>
          <t>logistics, hậu cần</t>
        </is>
      </c>
      <c r="H866" s="55">
        <f>IF(TRIM($G866)="","",IF(EXACT(TRIM($G866),TRIM($C866)),"✅ Đúng","❌ Sai"))</f>
        <v/>
      </c>
      <c r="I866" s="56" t="inlineStr">
        <is>
          <t>▶</t>
        </is>
      </c>
      <c r="J866" s="56" t="inlineStr">
        <is>
          <t>🔍</t>
        </is>
      </c>
      <c r="R866" s="23" t="inlineStr">
        <is>
          <t>Sun Aug 02 2026</t>
        </is>
      </c>
      <c r="T866" s="58" t="inlineStr">
        <is>
          <t>物 [VẬT] · đồ vật, sự vật
    ↳ Chiết tự: bộ 牜 (ngưu – con trâu) + 勿 (vật – âm đọc) — của cải thời xưa tính bằng trâu
流 [LƯU] · dòng chảy, lưu thông
    ↳ Chiết tự: bộ 氵 (thủy – nước) + 㐬 — nước chảy thành dòng</t>
        </is>
      </c>
      <c r="U866" s="24" t="inlineStr">
        <is>
          <t>🏢 Thương mại &amp; Công sở</t>
        </is>
      </c>
      <c r="V866" s="63" t="inlineStr">
        <is>
          <t>物流成本上升了。</t>
        </is>
      </c>
      <c r="W866" s="64" t="inlineStr">
        <is>
          <t>Wùliú chéngběn shàngshēng le.
Chi phí logistics đã tăng.</t>
        </is>
      </c>
    </row>
    <row r="867" hidden="1" ht="69.75" customHeight="1" s="99">
      <c r="A867" t="n">
        <v>841</v>
      </c>
      <c r="B867" s="86" t="inlineStr">
        <is>
          <t>THƯƠNG MẠI</t>
        </is>
      </c>
      <c r="C867" s="85" t="inlineStr">
        <is>
          <t>运输</t>
        </is>
      </c>
      <c r="D867" s="78" t="inlineStr">
        <is>
          <t>yùnshū</t>
        </is>
      </c>
      <c r="E867" s="78" t="inlineStr">
        <is>
          <t>vận chuyển</t>
        </is>
      </c>
      <c r="G867" s="77" t="inlineStr">
        <is>
          <t>运输</t>
        </is>
      </c>
      <c r="H867" s="55">
        <f>IF(TRIM($G867)="","",IF(EXACT(TRIM($G867),TRIM($C867)),"✅ Đúng","❌ Sai"))</f>
        <v/>
      </c>
      <c r="I867" s="56" t="inlineStr">
        <is>
          <t>▶</t>
        </is>
      </c>
      <c r="J867" s="56" t="inlineStr">
        <is>
          <t>🔍</t>
        </is>
      </c>
      <c r="R867" s="23" t="inlineStr">
        <is>
          <t>Sun Aug 02 2026</t>
        </is>
      </c>
      <c r="T867" s="58" t="inlineStr">
        <is>
          <t>运 [VẬN] · vận chuyển; vận động; vận may
    ↳ Chiết tự: giản thể của 運: bộ 辶 (sước – bước đi) + 云 (vân – mây) — chuyển dời như mây trôi
输 [THÂU / THÂU VẬN] · vận chuyển, chuyển đi
    ↳ Chiết tự: giản thể của 輸: bộ 车 (xa – xe) + 俞 (du – âm đọc) — dùng xe chở đi</t>
        </is>
      </c>
      <c r="U867" s="24" t="inlineStr">
        <is>
          <t>🏢 Thương mại &amp; Công sở</t>
        </is>
      </c>
      <c r="V867" s="63" t="inlineStr">
        <is>
          <t>运输时间要五天。</t>
        </is>
      </c>
      <c r="W867" s="64" t="inlineStr">
        <is>
          <t>Yùnshū shíjiān yào wǔ tiān.
Thời gian vận chuyển cần năm ngày.</t>
        </is>
      </c>
    </row>
    <row r="868" hidden="1" ht="69.75" customHeight="1" s="99">
      <c r="A868" t="n">
        <v>842</v>
      </c>
      <c r="B868" s="86" t="inlineStr">
        <is>
          <t>THƯƠNG MẠI</t>
        </is>
      </c>
      <c r="C868" s="85" t="inlineStr">
        <is>
          <t>海运</t>
        </is>
      </c>
      <c r="D868" s="78" t="inlineStr">
        <is>
          <t>hǎiyùn</t>
        </is>
      </c>
      <c r="E868" s="78" t="inlineStr">
        <is>
          <t>vận tải đường biển</t>
        </is>
      </c>
      <c r="G868" s="77" t="inlineStr">
        <is>
          <t>海运</t>
        </is>
      </c>
      <c r="H868" s="55">
        <f>IF(TRIM($G868)="","",IF(EXACT(TRIM($G868),TRIM($C868)),"✅ Đúng","❌ Sai"))</f>
        <v/>
      </c>
      <c r="I868" s="56" t="inlineStr">
        <is>
          <t>▶</t>
        </is>
      </c>
      <c r="J868" s="56" t="inlineStr">
        <is>
          <t>🔍</t>
        </is>
      </c>
      <c r="R868" s="23" t="inlineStr">
        <is>
          <t>Sun Aug 02 2026</t>
        </is>
      </c>
      <c r="T868" s="58" t="inlineStr">
        <is>
          <t>海 [HẢI] · biển
    ↳ Chiết tự: bộ 氵 (thủy – nước) + 每 (mỗi – âm đọc) — vùng nước lớn
运 [VẬN] · vận chuyển; vận động; vận may
    ↳ Chiết tự: giản thể của 運: bộ 辶 (sước – bước đi) + 云 (vân – mây) — chuyển dời như mây trôi</t>
        </is>
      </c>
      <c r="U868" s="24" t="inlineStr">
        <is>
          <t>🏢 Thương mại &amp; Công sở</t>
        </is>
      </c>
      <c r="V868" s="63" t="inlineStr">
        <is>
          <t>海运比空运便宜。</t>
        </is>
      </c>
      <c r="W868" s="64" t="inlineStr">
        <is>
          <t>Hǎiyùn bǐ kōngyùn piányi.
Đường biển rẻ hơn đường không.</t>
        </is>
      </c>
    </row>
    <row r="869" hidden="1" ht="69.75" customHeight="1" s="99">
      <c r="A869" t="n">
        <v>843</v>
      </c>
      <c r="B869" s="86" t="inlineStr">
        <is>
          <t>THƯƠNG MẠI</t>
        </is>
      </c>
      <c r="C869" s="85" t="inlineStr">
        <is>
          <t>空运</t>
        </is>
      </c>
      <c r="D869" s="78" t="inlineStr">
        <is>
          <t>kōngyùn</t>
        </is>
      </c>
      <c r="E869" s="78" t="inlineStr">
        <is>
          <t>vận tải hàng không</t>
        </is>
      </c>
      <c r="G869" s="77" t="inlineStr">
        <is>
          <t>空运</t>
        </is>
      </c>
      <c r="H869" s="55">
        <f>IF(TRIM($G869)="","",IF(EXACT(TRIM($G869),TRIM($C869)),"✅ Đúng","❌ Sai"))</f>
        <v/>
      </c>
      <c r="I869" s="56" t="inlineStr">
        <is>
          <t>▶</t>
        </is>
      </c>
      <c r="J869" s="56" t="inlineStr">
        <is>
          <t>🔍</t>
        </is>
      </c>
      <c r="R869" s="23" t="inlineStr">
        <is>
          <t>Sun Aug 02 2026</t>
        </is>
      </c>
      <c r="T869" s="58" t="inlineStr">
        <is>
          <t>空 [KHÔNG / KHỐNG] · trống rỗng; khoảng trống
    ↳ Chiết tự: bộ 穴 (huyệt – cái hang) + 工 (công – âm đọc) — hang rỗng không
运 [VẬN] · vận chuyển; vận động; vận may
    ↳ Chiết tự: giản thể của 運: bộ 辶 (sước – bước đi) + 云 (vân – mây) — chuyển dời như mây trôi</t>
        </is>
      </c>
      <c r="U869" s="24" t="inlineStr">
        <is>
          <t>🏢 Thương mại &amp; Công sở</t>
        </is>
      </c>
      <c r="V869" s="63" t="inlineStr">
        <is>
          <t>我们选择空运。</t>
        </is>
      </c>
      <c r="W869" s="64" t="inlineStr">
        <is>
          <t>Wǒmen xuǎnzé kōngyùn.
Chúng tôi chọn vận tải hàng không.</t>
        </is>
      </c>
    </row>
    <row r="870" ht="93" customHeight="1" s="99">
      <c r="A870" t="n">
        <v>844</v>
      </c>
      <c r="B870" s="86" t="inlineStr">
        <is>
          <t>THƯƠNG MẠI</t>
        </is>
      </c>
      <c r="C870" s="85" t="inlineStr">
        <is>
          <t>集装箱</t>
        </is>
      </c>
      <c r="D870" s="78" t="inlineStr">
        <is>
          <t>jízhuāngxiāng</t>
        </is>
      </c>
      <c r="E870" s="78" t="inlineStr">
        <is>
          <t>container</t>
        </is>
      </c>
      <c r="H870" s="55">
        <f>IF(TRIM($G870)="","",IF(EXACT(TRIM($G870),TRIM($C870)),"✅ Đúng","❌ Sai"))</f>
        <v/>
      </c>
      <c r="I870" s="56" t="inlineStr">
        <is>
          <t>▶</t>
        </is>
      </c>
      <c r="J870" s="56" t="inlineStr">
        <is>
          <t>🔍</t>
        </is>
      </c>
      <c r="R870" s="23" t="inlineStr">
        <is>
          <t>Sun Aug 02 2026</t>
        </is>
      </c>
      <c r="T870" s="58" t="inlineStr">
        <is>
          <t>集 [TẬP] · tập hợp, thu góp
    ↳ Chiết tự: bộ 隹 (chuy – chim) + 木 (mộc – cây) — chim tụ trên cây
装 [TRANG] · đóng gói, trang bị
    ↳ Chiết tự: giản thể của 裝: bộ 衣 (y – áo) + 壮 (tráng – âm đọc) — mặc/gói lại cho gọn
箱 [TƯƠNG] · cái hộp, thùng
    ↳ Chiết tự: bộ 竹 (trúc – tre) + 相 (tương – âm đọc) — hộp đan bằng tre</t>
        </is>
      </c>
      <c r="U870" s="24" t="inlineStr">
        <is>
          <t>🏢 Thương mại &amp; Công sở</t>
        </is>
      </c>
      <c r="V870" s="63" t="inlineStr">
        <is>
          <t>货物装在集装箱里。</t>
        </is>
      </c>
      <c r="W870" s="64" t="inlineStr">
        <is>
          <t>Huòwù zhuāng zài jízhuāngxiāng li.
Hàng được đóng trong container.</t>
        </is>
      </c>
    </row>
    <row r="871" hidden="1" ht="69.75" customHeight="1" s="99">
      <c r="A871" t="n">
        <v>845</v>
      </c>
      <c r="B871" s="86" t="inlineStr">
        <is>
          <t>THƯƠNG MẠI</t>
        </is>
      </c>
      <c r="C871" s="85" t="inlineStr">
        <is>
          <t>报关</t>
        </is>
      </c>
      <c r="D871" s="78" t="inlineStr">
        <is>
          <t>bàoguān</t>
        </is>
      </c>
      <c r="E871" s="78" t="inlineStr">
        <is>
          <t>khai báo hải quan</t>
        </is>
      </c>
      <c r="G871" s="77" t="inlineStr">
        <is>
          <t>报关</t>
        </is>
      </c>
      <c r="H871" s="55">
        <f>IF(TRIM($G871)="","",IF(EXACT(TRIM($G871),TRIM($C871)),"✅ Đúng","❌ Sai"))</f>
        <v/>
      </c>
      <c r="I871" s="56" t="inlineStr">
        <is>
          <t>▶</t>
        </is>
      </c>
      <c r="J871" s="56" t="inlineStr">
        <is>
          <t>🔍</t>
        </is>
      </c>
      <c r="R871" s="23" t="inlineStr">
        <is>
          <t>Sun Aug 02 2026</t>
        </is>
      </c>
      <c r="T871" s="58" t="inlineStr">
        <is>
          <t>报 [BÁO] · báo cáo, tin báo; tờ báo
    ↳ Chiết tự: giản thể của 報: bộ 扌 (thủ đứng – bàn tay) + 卩 + 又 (hựu – tay) — tay chuyển tin đi
关 [QUAN] · đóng lại; liên quan; cửa ải
    ↳ Chiết tự: giản thể của 關: bộ 丷 (bát) + 天 (thiên) — hình then ngang cài cửa</t>
        </is>
      </c>
      <c r="U871" s="24" t="inlineStr">
        <is>
          <t>🏢 Thương mại &amp; Công sở</t>
        </is>
      </c>
      <c r="V871" s="63" t="inlineStr">
        <is>
          <t>货物今天报关。</t>
        </is>
      </c>
      <c r="W871" s="64" t="inlineStr">
        <is>
          <t>Huòwù jīntiān bàoguān.
Hàng hôm nay khai hải quan.</t>
        </is>
      </c>
    </row>
    <row r="872" hidden="1" ht="69.75" customHeight="1" s="99">
      <c r="A872" t="n">
        <v>846</v>
      </c>
      <c r="B872" s="86" t="inlineStr">
        <is>
          <t>THƯƠNG MẠI</t>
        </is>
      </c>
      <c r="C872" s="85" t="inlineStr">
        <is>
          <t>海关</t>
        </is>
      </c>
      <c r="D872" s="78" t="inlineStr">
        <is>
          <t>hǎiguān</t>
        </is>
      </c>
      <c r="E872" s="78" t="inlineStr">
        <is>
          <t>hải quan</t>
        </is>
      </c>
      <c r="G872" s="77" t="inlineStr">
        <is>
          <t>海关</t>
        </is>
      </c>
      <c r="H872" s="55">
        <f>IF(TRIM($G872)="","",IF(EXACT(TRIM($G872),TRIM($C872)),"✅ Đúng","❌ Sai"))</f>
        <v/>
      </c>
      <c r="I872" s="56" t="inlineStr">
        <is>
          <t>▶</t>
        </is>
      </c>
      <c r="J872" s="56" t="inlineStr">
        <is>
          <t>🔍</t>
        </is>
      </c>
      <c r="R872" s="23" t="inlineStr">
        <is>
          <t>Sun Aug 02 2026</t>
        </is>
      </c>
      <c r="T872" s="58" t="inlineStr">
        <is>
          <t>海 [HẢI] · biển
    ↳ Chiết tự: bộ 氵 (thủy – nước) + 每 (mỗi – âm đọc) — vùng nước lớn
关 [QUAN] · đóng lại; liên quan; cửa ải
    ↳ Chiết tự: giản thể của 關: bộ 丷 (bát) + 天 (thiên) — hình then ngang cài cửa</t>
        </is>
      </c>
      <c r="U872" s="24" t="inlineStr">
        <is>
          <t>🏢 Thương mại &amp; Công sở</t>
        </is>
      </c>
      <c r="V872" s="63" t="inlineStr">
        <is>
          <t>海关正在检查货物。</t>
        </is>
      </c>
      <c r="W872" s="64" t="inlineStr">
        <is>
          <t>Hǎiguān zhèngzài jiǎnchá huòwù.
Hải quan đang kiểm tra hàng.</t>
        </is>
      </c>
    </row>
    <row r="873" hidden="1" ht="69.75" customHeight="1" s="99">
      <c r="A873" t="n">
        <v>847</v>
      </c>
      <c r="B873" s="86" t="inlineStr">
        <is>
          <t>THƯƠNG MẠI</t>
        </is>
      </c>
      <c r="C873" s="85" t="inlineStr">
        <is>
          <t>关税</t>
        </is>
      </c>
      <c r="D873" s="78" t="inlineStr">
        <is>
          <t>guānshuì</t>
        </is>
      </c>
      <c r="E873" s="78" t="inlineStr">
        <is>
          <t>thuế quan</t>
        </is>
      </c>
      <c r="G873" s="77" t="inlineStr">
        <is>
          <t>关税</t>
        </is>
      </c>
      <c r="H873" s="55">
        <f>IF(TRIM($G873)="","",IF(EXACT(TRIM($G873),TRIM($C873)),"✅ Đúng","❌ Sai"))</f>
        <v/>
      </c>
      <c r="I873" s="56" t="inlineStr">
        <is>
          <t>▶</t>
        </is>
      </c>
      <c r="J873" s="56" t="inlineStr">
        <is>
          <t>🔍</t>
        </is>
      </c>
      <c r="R873" s="23" t="inlineStr">
        <is>
          <t>Sun Aug 02 2026</t>
        </is>
      </c>
      <c r="T873" s="58" t="inlineStr">
        <is>
          <t>关 [QUAN] · đóng lại; liên quan; cửa ải
    ↳ Chiết tự: giản thể của 關: bộ 丷 (bát) + 天 (thiên) — hình then ngang cài cửa
税 [THUẾ] · thuế
    ↳ Chiết tự: bộ 禾 (hòa – lúa) + 兑 (đoài – âm đọc) — phần lúa nộp cho nhà nước</t>
        </is>
      </c>
      <c r="U873" s="24" t="inlineStr">
        <is>
          <t>🏢 Thương mại &amp; Công sở</t>
        </is>
      </c>
      <c r="V873" s="63" t="inlineStr">
        <is>
          <t>关税是百分之十。</t>
        </is>
      </c>
      <c r="W873" s="64" t="inlineStr">
        <is>
          <t>Guānshuì shì bǎi fēn zhī shí.
Thuế quan là mười phần trăm.</t>
        </is>
      </c>
    </row>
    <row r="874" hidden="1" ht="58.15" customHeight="1" s="99">
      <c r="A874" t="n">
        <v>848</v>
      </c>
      <c r="B874" s="86" t="inlineStr">
        <is>
          <t>THƯƠNG MẠI</t>
        </is>
      </c>
      <c r="C874" s="85" t="inlineStr">
        <is>
          <t>出口</t>
        </is>
      </c>
      <c r="D874" s="78" t="inlineStr">
        <is>
          <t>chūkǒu</t>
        </is>
      </c>
      <c r="E874" s="78" t="inlineStr">
        <is>
          <t>xuất khẩu</t>
        </is>
      </c>
      <c r="G874" s="77" t="inlineStr">
        <is>
          <t>出口</t>
        </is>
      </c>
      <c r="H874" s="55">
        <f>IF(TRIM($G874)="","",IF(EXACT(TRIM($G874),TRIM($C874)),"✅ Đúng","❌ Sai"))</f>
        <v/>
      </c>
      <c r="I874" s="56" t="inlineStr">
        <is>
          <t>▶</t>
        </is>
      </c>
      <c r="J874" s="56" t="inlineStr">
        <is>
          <t>🔍</t>
        </is>
      </c>
      <c r="R874" s="23" t="inlineStr">
        <is>
          <t>Sun Aug 02 2026</t>
        </is>
      </c>
      <c r="T874" s="58" t="inlineStr">
        <is>
          <t>出 [XUẤT] · ra, đi ra, xuất phát
    ↳ Chiết tự: bộ 凵 (khảm – cái hố) + 屮 (triệt – mầm) — bàn chân bước ra khỏi hang
口 [KHẨU] · cái miệng; cửa, nhân khẩu
    ↳ Chiết tự: bộ 口 (khẩu) — hình cái miệng mở</t>
        </is>
      </c>
      <c r="U874" s="24" t="inlineStr">
        <is>
          <t>🏢 Thương mại &amp; Công sở</t>
        </is>
      </c>
      <c r="V874" s="63" t="inlineStr">
        <is>
          <t>我们主要出口到欧洲。</t>
        </is>
      </c>
      <c r="W874" s="64" t="inlineStr">
        <is>
          <t>Wǒmen zhǔyào chūkǒu dào Ōuzhōu.
Chúng tôi chủ yếu xuất khẩu sang châu Âu.</t>
        </is>
      </c>
    </row>
    <row r="875" hidden="1" ht="58.15" customHeight="1" s="99">
      <c r="A875" t="n">
        <v>849</v>
      </c>
      <c r="B875" s="86" t="inlineStr">
        <is>
          <t>THƯƠNG MẠI</t>
        </is>
      </c>
      <c r="C875" s="85" t="inlineStr">
        <is>
          <t>进口</t>
        </is>
      </c>
      <c r="D875" s="78" t="inlineStr">
        <is>
          <t>jìnkǒu</t>
        </is>
      </c>
      <c r="E875" s="78" t="inlineStr">
        <is>
          <t>nhập khẩu</t>
        </is>
      </c>
      <c r="G875" s="77" t="inlineStr">
        <is>
          <t>进口</t>
        </is>
      </c>
      <c r="H875" s="55">
        <f>IF(TRIM($G875)="","",IF(EXACT(TRIM($G875),TRIM($C875)),"✅ Đúng","❌ Sai"))</f>
        <v/>
      </c>
      <c r="I875" s="56" t="inlineStr">
        <is>
          <t>▶</t>
        </is>
      </c>
      <c r="J875" s="56" t="inlineStr">
        <is>
          <t>🔍</t>
        </is>
      </c>
      <c r="R875" s="23" t="inlineStr">
        <is>
          <t>Sun Aug 02 2026</t>
        </is>
      </c>
      <c r="T875" s="58" t="inlineStr">
        <is>
          <t>进 [TIẾN] · đi vào, tiến lên
    ↳ Chiết tự: giản thể của 進: bộ 辶 (sước – bước đi) + 井 (tỉnh – âm đọc) — bước vào bên trong
口 [KHẨU] · cái miệng; cửa, nhân khẩu
    ↳ Chiết tự: bộ 口 (khẩu) — hình cái miệng mở</t>
        </is>
      </c>
      <c r="U875" s="24" t="inlineStr">
        <is>
          <t>🏢 Thương mại &amp; Công sở</t>
        </is>
      </c>
      <c r="V875" s="63" t="inlineStr">
        <is>
          <t>这些产品是进口的。</t>
        </is>
      </c>
      <c r="W875" s="64" t="inlineStr">
        <is>
          <t>Zhèxiē chǎnpǐn shì jìnkǒu de.
Những sản phẩm này là hàng nhập khẩu.</t>
        </is>
      </c>
    </row>
    <row r="876" hidden="1" ht="69.75" customHeight="1" s="99">
      <c r="A876" t="n">
        <v>850</v>
      </c>
      <c r="B876" s="86" t="inlineStr">
        <is>
          <t>THƯƠNG MẠI</t>
        </is>
      </c>
      <c r="C876" s="85" t="inlineStr">
        <is>
          <t>贸易</t>
        </is>
      </c>
      <c r="D876" s="78" t="inlineStr">
        <is>
          <t>màoyì</t>
        </is>
      </c>
      <c r="E876" s="78" t="inlineStr">
        <is>
          <t>mậu dịch, thương mại</t>
        </is>
      </c>
      <c r="G876" s="77" t="inlineStr">
        <is>
          <t>贸易</t>
        </is>
      </c>
      <c r="H876" s="55">
        <f>IF(TRIM($G876)="","",IF(EXACT(TRIM($G876),TRIM($C876)),"✅ Đúng","❌ Sai"))</f>
        <v/>
      </c>
      <c r="I876" s="56" t="inlineStr">
        <is>
          <t>▶</t>
        </is>
      </c>
      <c r="J876" s="56" t="inlineStr">
        <is>
          <t>🔍</t>
        </is>
      </c>
      <c r="R876" s="23" t="inlineStr">
        <is>
          <t>Sun Aug 02 2026</t>
        </is>
      </c>
      <c r="T876" s="58" t="inlineStr">
        <is>
          <t>贸 [MẬU] · mậu dịch, trao đổi
    ↳ Chiết tự: giản thể của 貿: bộ 贝 (bối – tiền của) + 卯 (mão – âm đọc) — đổi chác bằng tiền
易 [DỊ / DỊCH] · dễ dàng; thay đổi
    ↳ Chiết tự: bộ 日 (nhật – mặt trời) + 勿 — hình con tắc kè đổi màu, nghĩa dễ đổi</t>
        </is>
      </c>
      <c r="U876" s="24" t="inlineStr">
        <is>
          <t>🏢 Thương mại &amp; Công sở</t>
        </is>
      </c>
      <c r="V876" s="63" t="inlineStr">
        <is>
          <t>中越贸易发展很快。</t>
        </is>
      </c>
      <c r="W876" s="64" t="inlineStr">
        <is>
          <t>Zhōng-Yuè màoyì fāzhǎn hěn kuài.
Thương mại Trung–Việt phát triển rất nhanh.</t>
        </is>
      </c>
    </row>
    <row r="877" hidden="1" ht="139.5" customHeight="1" s="99">
      <c r="A877" t="n">
        <v>851</v>
      </c>
      <c r="B877" s="86" t="inlineStr">
        <is>
          <t>THƯƠNG MẠI</t>
        </is>
      </c>
      <c r="C877" s="85" t="inlineStr">
        <is>
          <t>国际贸易</t>
        </is>
      </c>
      <c r="D877" s="78" t="inlineStr">
        <is>
          <t>guójì màoyì</t>
        </is>
      </c>
      <c r="E877" s="78" t="inlineStr">
        <is>
          <t>thương mại quốc tế</t>
        </is>
      </c>
      <c r="G877" s="77" t="inlineStr">
        <is>
          <t>国际贸易</t>
        </is>
      </c>
      <c r="H877" s="55">
        <f>IF(TRIM($G877)="","",IF(EXACT(TRIM($G877),TRIM($C877)),"✅ Đúng","❌ Sai"))</f>
        <v/>
      </c>
      <c r="I877" s="56" t="inlineStr">
        <is>
          <t>▶</t>
        </is>
      </c>
      <c r="J877" s="56" t="inlineStr">
        <is>
          <t>🔍</t>
        </is>
      </c>
      <c r="R877" s="23" t="inlineStr">
        <is>
          <t>Sun Aug 02 2026</t>
        </is>
      </c>
      <c r="T877" s="58" t="inlineStr">
        <is>
          <t>国 [QUỐC] · nước, quốc gia
    ↳ Chiết tự: giản thể của 國: bộ 囗 (vi – biên giới) bao lấy 玉 (ngọc) — lãnh thổ chứa của quý
际 [TẾ] · bờ, ranh giới, quốc tế
    ↳ Chiết tự: giản thể của 際: bộ 阝 (phụ – gò đất) + 祭 (tế – âm đọc) — chỗ hai bờ giáp nhau
贸 [MẬU] · mậu dịch, trao đổi
    ↳ Chiết tự: giản thể của 貿: bộ 贝 (bối – tiền của) + 卯 (mão – âm đọc) — đổi chác bằng tiền
易 [DỊ / DỊCH] · dễ dàng; thay đổi
    ↳ Chiết tự: bộ 日 (nhật – mặt trời) + 勿 — hình con tắc kè đổi màu, nghĩa dễ đổi</t>
        </is>
      </c>
      <c r="U877" s="24" t="inlineStr">
        <is>
          <t>🏢 Thương mại &amp; Công sở</t>
        </is>
      </c>
      <c r="V877" s="63" t="inlineStr">
        <is>
          <t>我学的是国际贸易。</t>
        </is>
      </c>
      <c r="W877" s="64" t="inlineStr">
        <is>
          <t>Wǒ xué de shì guójì màoyì.
Tôi học ngành thương mại quốc tế.</t>
        </is>
      </c>
    </row>
    <row r="878" hidden="1" ht="69.75" customHeight="1" s="99">
      <c r="A878" t="n">
        <v>852</v>
      </c>
      <c r="B878" s="86" t="inlineStr">
        <is>
          <t>THƯƠNG MẠI</t>
        </is>
      </c>
      <c r="C878" s="85" t="inlineStr">
        <is>
          <t>外贸</t>
        </is>
      </c>
      <c r="D878" s="78" t="inlineStr">
        <is>
          <t>wàimào</t>
        </is>
      </c>
      <c r="E878" s="78" t="inlineStr">
        <is>
          <t>ngoại thương</t>
        </is>
      </c>
      <c r="G878" s="77" t="inlineStr">
        <is>
          <t>外贸</t>
        </is>
      </c>
      <c r="H878" s="55">
        <f>IF(TRIM($G878)="","",IF(EXACT(TRIM($G878),TRIM($C878)),"✅ Đúng","❌ Sai"))</f>
        <v/>
      </c>
      <c r="I878" s="56" t="inlineStr">
        <is>
          <t>▶</t>
        </is>
      </c>
      <c r="J878" s="56" t="inlineStr">
        <is>
          <t>🔍</t>
        </is>
      </c>
      <c r="R878" s="23" t="inlineStr">
        <is>
          <t>Sun Aug 02 2026</t>
        </is>
      </c>
      <c r="T878" s="58" t="inlineStr">
        <is>
          <t>外 [NGOẠI] · bên ngoài, nước ngoài
    ↳ Chiết tự: bộ 夕 (tịch – đêm) + 卜 (bốc – bói) — bói vào ban đêm là trái lệ, ở ngoài lệ thường
贸 [MẬU] · mậu dịch, trao đổi
    ↳ Chiết tự: giản thể của 貿: bộ 贝 (bối – tiền của) + 卯 (mão – âm đọc) — đổi chác bằng tiền</t>
        </is>
      </c>
      <c r="U878" s="24" t="inlineStr">
        <is>
          <t>🏢 Thương mại &amp; Công sở</t>
        </is>
      </c>
      <c r="V878" s="63" t="inlineStr">
        <is>
          <t>他在一家外贸公司工作。</t>
        </is>
      </c>
      <c r="W878" s="64" t="inlineStr">
        <is>
          <t>Tā zài yì jiā wàimào gōngsī gōngzuò.
Anh ấy làm ở một công ty ngoại thương.</t>
        </is>
      </c>
    </row>
    <row r="879" hidden="1" ht="93" customHeight="1" s="99">
      <c r="A879" t="n">
        <v>853</v>
      </c>
      <c r="B879" s="86" t="inlineStr">
        <is>
          <t>THƯƠNG MẠI</t>
        </is>
      </c>
      <c r="C879" s="85" t="inlineStr">
        <is>
          <t>进出口</t>
        </is>
      </c>
      <c r="D879" s="78" t="inlineStr">
        <is>
          <t>jìnchūkǒu</t>
        </is>
      </c>
      <c r="E879" s="78" t="inlineStr">
        <is>
          <t>xuất nhập khẩu</t>
        </is>
      </c>
      <c r="G879" s="77" t="inlineStr">
        <is>
          <t>进出口</t>
        </is>
      </c>
      <c r="H879" s="55">
        <f>IF(TRIM($G879)="","",IF(EXACT(TRIM($G879),TRIM($C879)),"✅ Đúng","❌ Sai"))</f>
        <v/>
      </c>
      <c r="I879" s="56" t="inlineStr">
        <is>
          <t>▶</t>
        </is>
      </c>
      <c r="J879" s="56" t="inlineStr">
        <is>
          <t>🔍</t>
        </is>
      </c>
      <c r="R879" s="23" t="inlineStr">
        <is>
          <t>Sun Aug 02 2026</t>
        </is>
      </c>
      <c r="T879" s="58" t="inlineStr">
        <is>
          <t>进 [TIẾN] · đi vào, tiến lên
    ↳ Chiết tự: giản thể của 進: bộ 辶 (sước – bước đi) + 井 (tỉnh – âm đọc) — bước vào bên trong
出 [XUẤT] · ra, đi ra, xuất phát
    ↳ Chiết tự: bộ 凵 (khảm – cái hố) + 屮 (triệt – mầm) — bàn chân bước ra khỏi hang
口 [KHẨU] · cái miệng; cửa, nhân khẩu
    ↳ Chiết tự: bộ 口 (khẩu) — hình cái miệng mở</t>
        </is>
      </c>
      <c r="U879" s="24" t="inlineStr">
        <is>
          <t>🏢 Thương mại &amp; Công sở</t>
        </is>
      </c>
      <c r="V879" s="63" t="inlineStr">
        <is>
          <t>我们做进出口生意。</t>
        </is>
      </c>
      <c r="W879" s="64" t="inlineStr">
        <is>
          <t>Wǒmen zuò jìnchūkǒu shēngyi.
Chúng tôi làm kinh doanh xuất nhập khẩu.</t>
        </is>
      </c>
    </row>
    <row r="880" ht="69.75" customHeight="1" s="99">
      <c r="A880" t="n">
        <v>854</v>
      </c>
      <c r="B880" s="86" t="inlineStr">
        <is>
          <t>THƯƠNG MẠI</t>
        </is>
      </c>
      <c r="C880" s="85" t="inlineStr">
        <is>
          <t>汇率</t>
        </is>
      </c>
      <c r="D880" s="78" t="inlineStr">
        <is>
          <t>huìlǜ</t>
        </is>
      </c>
      <c r="E880" s="78" t="inlineStr">
        <is>
          <t>tỷ giá hối đoái</t>
        </is>
      </c>
      <c r="H880" s="55">
        <f>IF(TRIM($G880)="","",IF(EXACT(TRIM($G880),TRIM($C880)),"✅ Đúng","❌ Sai"))</f>
        <v/>
      </c>
      <c r="I880" s="56" t="inlineStr">
        <is>
          <t>▶</t>
        </is>
      </c>
      <c r="J880" s="56" t="inlineStr">
        <is>
          <t>🔍</t>
        </is>
      </c>
      <c r="R880" s="23" t="inlineStr">
        <is>
          <t>Sun Aug 02 2026</t>
        </is>
      </c>
      <c r="T880" s="58" t="inlineStr">
        <is>
          <t>汇 [HỐI] · hối đoái, gom lại
    ↳ Chiết tự: giản thể của 匯: bộ 氵 (thủy – nước) + 匚 (phương – hộp) — nước gom về một chỗ
率 [SUẤT / LŨY] · tỷ lệ, suất
    ↳ Chiết tự: bộ 玄 (huyền) + 十 (thập) — hình sợi dây xoắn có mối, chỉ tỷ lệ</t>
        </is>
      </c>
      <c r="U880" s="24" t="inlineStr">
        <is>
          <t>🏢 Thương mại &amp; Công sở</t>
        </is>
      </c>
      <c r="V880" s="63" t="inlineStr">
        <is>
          <t>今天的汇率是多少？</t>
        </is>
      </c>
      <c r="W880" s="64" t="inlineStr">
        <is>
          <t>Jīntiān de huìlǜ shì duōshao?
Tỷ giá hôm nay là bao nhiêu?</t>
        </is>
      </c>
    </row>
    <row r="881" ht="69.75" customHeight="1" s="99">
      <c r="A881" t="n">
        <v>855</v>
      </c>
      <c r="B881" s="86" t="inlineStr">
        <is>
          <t>THƯƠNG MẠI</t>
        </is>
      </c>
      <c r="C881" s="85" t="inlineStr">
        <is>
          <t>外汇</t>
        </is>
      </c>
      <c r="D881" s="78" t="inlineStr">
        <is>
          <t>wàihuì</t>
        </is>
      </c>
      <c r="E881" s="78" t="inlineStr">
        <is>
          <t>ngoại hối</t>
        </is>
      </c>
      <c r="H881" s="55">
        <f>IF(TRIM($G881)="","",IF(EXACT(TRIM($G881),TRIM($C881)),"✅ Đúng","❌ Sai"))</f>
        <v/>
      </c>
      <c r="I881" s="56" t="inlineStr">
        <is>
          <t>▶</t>
        </is>
      </c>
      <c r="J881" s="56" t="inlineStr">
        <is>
          <t>🔍</t>
        </is>
      </c>
      <c r="R881" s="23" t="inlineStr">
        <is>
          <t>Sun Aug 02 2026</t>
        </is>
      </c>
      <c r="T881" s="58" t="inlineStr">
        <is>
          <t>外 [NGOẠI] · bên ngoài, nước ngoài
    ↳ Chiết tự: bộ 夕 (tịch – đêm) + 卜 (bốc – bói) — bói vào ban đêm là trái lệ, ở ngoài lệ thường
汇 [HỐI] · hối đoái, gom lại
    ↳ Chiết tự: giản thể của 匯: bộ 氵 (thủy – nước) + 匚 (phương – hộp) — nước gom về một chỗ</t>
        </is>
      </c>
      <c r="U881" s="24" t="inlineStr">
        <is>
          <t>🏢 Thương mại &amp; Công sở</t>
        </is>
      </c>
      <c r="V881" s="63" t="inlineStr">
        <is>
          <t>公司需要外汇结算。</t>
        </is>
      </c>
      <c r="W881" s="64" t="inlineStr">
        <is>
          <t>Gōngsī xūyào wàihuì jiésuàn.
Công ty cần thanh toán bằng ngoại hối.</t>
        </is>
      </c>
    </row>
    <row r="882" ht="93" customHeight="1" s="99">
      <c r="A882" t="n">
        <v>856</v>
      </c>
      <c r="B882" s="86" t="inlineStr">
        <is>
          <t>THƯƠNG MẠI</t>
        </is>
      </c>
      <c r="C882" s="85" t="inlineStr">
        <is>
          <t>人民币</t>
        </is>
      </c>
      <c r="D882" s="78" t="inlineStr">
        <is>
          <t>rénmínbì</t>
        </is>
      </c>
      <c r="E882" s="78" t="inlineStr">
        <is>
          <t>nhân dân tệ</t>
        </is>
      </c>
      <c r="H882" s="55">
        <f>IF(TRIM($G882)="","",IF(EXACT(TRIM($G882),TRIM($C882)),"✅ Đúng","❌ Sai"))</f>
        <v/>
      </c>
      <c r="I882" s="56" t="inlineStr">
        <is>
          <t>▶</t>
        </is>
      </c>
      <c r="J882" s="56" t="inlineStr">
        <is>
          <t>🔍</t>
        </is>
      </c>
      <c r="R882" s="23" t="inlineStr">
        <is>
          <t>Sun Aug 02 2026</t>
        </is>
      </c>
      <c r="T882" s="58" t="inlineStr">
        <is>
          <t>人 [NHÂN] · người, con người
    ↳ Chiết tự: bộ 人 (nhân) — hình người đứng nghiêng, dang hai chân
民 [DÂN] · dân, nhân dân
    ↳ Chiết tự: bộ 氏 (thị) — hình mầm cây mọc dày, chỉ đám đông
币 [TỆ] · tiền tệ
    ↳ Chiết tự: giản thể của 幣: bộ 巾 (cân – vải) + 丿 — vải lụa từng dùng làm tiền</t>
        </is>
      </c>
      <c r="U882" s="24" t="inlineStr">
        <is>
          <t>🏢 Thương mại &amp; Công sở</t>
        </is>
      </c>
      <c r="V882" s="63" t="inlineStr">
        <is>
          <t>请用人民币付款。</t>
        </is>
      </c>
      <c r="W882" s="64" t="inlineStr">
        <is>
          <t>Qǐng yòng rénmínbì fùkuǎn.
Xin thanh toán bằng nhân dân tệ.</t>
        </is>
      </c>
    </row>
    <row r="883" hidden="1" ht="69.75" customHeight="1" s="99">
      <c r="A883" t="n">
        <v>857</v>
      </c>
      <c r="B883" s="86" t="inlineStr">
        <is>
          <t>THƯƠNG MẠI</t>
        </is>
      </c>
      <c r="C883" s="85" t="inlineStr">
        <is>
          <t>美元</t>
        </is>
      </c>
      <c r="D883" s="78" t="inlineStr">
        <is>
          <t>měiyuán</t>
        </is>
      </c>
      <c r="E883" s="78" t="inlineStr">
        <is>
          <t>đô la Mỹ</t>
        </is>
      </c>
      <c r="G883" s="77" t="inlineStr">
        <is>
          <t>美元</t>
        </is>
      </c>
      <c r="H883" s="55">
        <f>IF(TRIM($G883)="","",IF(EXACT(TRIM($G883),TRIM($C883)),"✅ Đúng","❌ Sai"))</f>
        <v/>
      </c>
      <c r="I883" s="56" t="inlineStr">
        <is>
          <t>▶</t>
        </is>
      </c>
      <c r="J883" s="56" t="inlineStr">
        <is>
          <t>🔍</t>
        </is>
      </c>
      <c r="R883" s="23" t="inlineStr">
        <is>
          <t>Sun Aug 02 2026</t>
        </is>
      </c>
      <c r="T883" s="58" t="inlineStr">
        <is>
          <t>美 [MỸ] · đẹp; nước Mỹ
    ↳ Chiết tự: bộ 羊 (dương – con dê) + 大 (đại – lớn) — con dê lớn béo là đẹp
元 [NGUYÊN] · đầu tiên, gốc; đồng (tiền)
    ↳ Chiết tự: bộ 二 (nhị) + 儿 (nhân đi – người) — cái đầu con người, nghĩa gốc là "khởi đầu"</t>
        </is>
      </c>
      <c r="U883" s="24" t="inlineStr">
        <is>
          <t>🏢 Thương mại &amp; Công sở</t>
        </is>
      </c>
      <c r="V883" s="63" t="inlineStr">
        <is>
          <t>价格是一千美元。</t>
        </is>
      </c>
      <c r="W883" s="64" t="inlineStr">
        <is>
          <t>Jiàgé shì yì qiān měiyuán.
Giá là một nghìn đô la Mỹ.</t>
        </is>
      </c>
    </row>
    <row r="884" hidden="1" ht="58.15" customHeight="1" s="99">
      <c r="A884" t="n">
        <v>858</v>
      </c>
      <c r="B884" s="86" t="inlineStr">
        <is>
          <t>THƯƠNG MẠI</t>
        </is>
      </c>
      <c r="C884" s="85" t="inlineStr">
        <is>
          <t>付款</t>
        </is>
      </c>
      <c r="D884" s="78" t="inlineStr">
        <is>
          <t>fùkuǎn</t>
        </is>
      </c>
      <c r="E884" s="78" t="inlineStr">
        <is>
          <t>thanh toán, trả tiền</t>
        </is>
      </c>
      <c r="G884" s="77" t="inlineStr">
        <is>
          <t>付款</t>
        </is>
      </c>
      <c r="H884" s="55">
        <f>IF(TRIM($G884)="","",IF(EXACT(TRIM($G884),TRIM($C884)),"✅ Đúng","❌ Sai"))</f>
        <v/>
      </c>
      <c r="I884" s="56" t="inlineStr">
        <is>
          <t>▶</t>
        </is>
      </c>
      <c r="J884" s="56" t="inlineStr">
        <is>
          <t>🔍</t>
        </is>
      </c>
      <c r="R884" s="23" t="inlineStr">
        <is>
          <t>Sun Aug 02 2026</t>
        </is>
      </c>
      <c r="T884" s="58" t="inlineStr">
        <is>
          <t>付 [PHÓ] · trả, giao cho
    ↳ Chiết tự: bộ 亻 (nhân đứng – người) + 寸 (thốn – bàn tay) — tay đưa cho người
款 [KHOẢN] · khoản tiền; điều khoản
    ↳ Chiết tự: bộ 欠 (khiếm – há miệng) + 士 — mục tiền được nêu ra</t>
        </is>
      </c>
      <c r="U884" s="24" t="inlineStr">
        <is>
          <t>🏢 Thương mại &amp; Công sở</t>
        </is>
      </c>
      <c r="V884" s="63" t="inlineStr">
        <is>
          <t>请在三天内付款。</t>
        </is>
      </c>
      <c r="W884" s="64" t="inlineStr">
        <is>
          <t>Qǐng zài sān tiān nèi fùkuǎn.
Xin thanh toán trong ba ngày.</t>
        </is>
      </c>
    </row>
    <row r="885" hidden="1" ht="69.75" customHeight="1" s="99">
      <c r="A885" t="n">
        <v>859</v>
      </c>
      <c r="B885" s="86" t="inlineStr">
        <is>
          <t>THƯƠNG MẠI</t>
        </is>
      </c>
      <c r="C885" s="85" t="inlineStr">
        <is>
          <t>转账</t>
        </is>
      </c>
      <c r="D885" s="78" t="inlineStr">
        <is>
          <t>zhuǎnzhàng</t>
        </is>
      </c>
      <c r="E885" s="78" t="inlineStr">
        <is>
          <t>chuyển khoản</t>
        </is>
      </c>
      <c r="G885" s="77" t="inlineStr">
        <is>
          <t>转账</t>
        </is>
      </c>
      <c r="H885" s="55">
        <f>IF(TRIM($G885)="","",IF(EXACT(TRIM($G885),TRIM($C885)),"✅ Đúng","❌ Sai"))</f>
        <v/>
      </c>
      <c r="I885" s="56" t="inlineStr">
        <is>
          <t>▶</t>
        </is>
      </c>
      <c r="J885" s="56" t="inlineStr">
        <is>
          <t>🔍</t>
        </is>
      </c>
      <c r="R885" s="23" t="inlineStr">
        <is>
          <t>Sun Aug 02 2026</t>
        </is>
      </c>
      <c r="T885" s="58" t="inlineStr">
        <is>
          <t>转 [CHUYỂN] · chuyển, quay
    ↳ Chiết tự: giản thể của 轉: bộ 车 (xa – xe) + 专 (chuyên – âm đọc) — bánh xe quay chuyển
账 [TRƯƠNG] · tài khoản, sổ nợ
    ↳ Chiết tự: giản thể của 賬: bộ 贝 (bối – tiền của) + 长 (trường – âm đọc) — sổ ghi tiền</t>
        </is>
      </c>
      <c r="U885" s="24" t="inlineStr">
        <is>
          <t>🏢 Thương mại &amp; Công sở</t>
        </is>
      </c>
      <c r="V885" s="63" t="inlineStr">
        <is>
          <t>我已经转账了。</t>
        </is>
      </c>
      <c r="W885" s="64" t="inlineStr">
        <is>
          <t>Wǒ yǐjīng zhuǎnzhàng le.
Tôi đã chuyển khoản rồi.</t>
        </is>
      </c>
    </row>
    <row r="886" hidden="1" ht="69.75" customHeight="1" s="99">
      <c r="A886" t="n">
        <v>860</v>
      </c>
      <c r="B886" s="86" t="inlineStr">
        <is>
          <t>THƯƠNG MẠI</t>
        </is>
      </c>
      <c r="C886" s="85" t="inlineStr">
        <is>
          <t>发票</t>
        </is>
      </c>
      <c r="D886" s="78" t="inlineStr">
        <is>
          <t>fāpiào</t>
        </is>
      </c>
      <c r="E886" s="78" t="inlineStr">
        <is>
          <t>hóa đơn</t>
        </is>
      </c>
      <c r="G886" s="77" t="inlineStr">
        <is>
          <t>发票</t>
        </is>
      </c>
      <c r="H886" s="55">
        <f>IF(TRIM($G886)="","",IF(EXACT(TRIM($G886),TRIM($C886)),"✅ Đúng","❌ Sai"))</f>
        <v/>
      </c>
      <c r="I886" s="56" t="inlineStr">
        <is>
          <t>▶</t>
        </is>
      </c>
      <c r="J886" s="56" t="inlineStr">
        <is>
          <t>🔍</t>
        </is>
      </c>
      <c r="R886" s="23" t="inlineStr">
        <is>
          <t>Sun Aug 02 2026</t>
        </is>
      </c>
      <c r="T886" s="58" t="inlineStr">
        <is>
          <t>发 [PHÁT / PHÁP] · phát ra, gửi; tóc
    ↳ Chiết tự: giản thể của 發 (phát ra) và 髮 (tóc): bộ 又 (hựu – tay) + 弓 — tay giương cung bắn ra
票 [PHIẾU] · vé, phiếu, tờ
    ↳ Chiết tự: bộ 覀 (á – che đậy) + 示 (thị – bàn thờ) — mảnh giấy làm bằng chứng</t>
        </is>
      </c>
      <c r="U886" s="24" t="inlineStr">
        <is>
          <t>🏢 Thương mại &amp; Công sở</t>
        </is>
      </c>
      <c r="V886" s="63" t="inlineStr">
        <is>
          <t>请给我开发票。</t>
        </is>
      </c>
      <c r="W886" s="64" t="inlineStr">
        <is>
          <t>Qǐng gěi wǒ kāi fāpiào.
Xin xuất hóa đơn cho tôi.</t>
        </is>
      </c>
    </row>
    <row r="887" hidden="1" ht="58.15" customHeight="1" s="99">
      <c r="A887" t="n">
        <v>861</v>
      </c>
      <c r="B887" s="86" t="inlineStr">
        <is>
          <t>THƯƠNG MẠI</t>
        </is>
      </c>
      <c r="C887" s="85" t="inlineStr">
        <is>
          <t>收据</t>
        </is>
      </c>
      <c r="D887" s="78" t="inlineStr">
        <is>
          <t>shōujù</t>
        </is>
      </c>
      <c r="E887" s="78" t="inlineStr">
        <is>
          <t>biên lai</t>
        </is>
      </c>
      <c r="G887" s="77" t="inlineStr">
        <is>
          <t>收据</t>
        </is>
      </c>
      <c r="H887" s="55">
        <f>IF(TRIM($G887)="","",IF(EXACT(TRIM($G887),TRIM($C887)),"✅ Đúng","❌ Sai"))</f>
        <v/>
      </c>
      <c r="I887" s="56" t="inlineStr">
        <is>
          <t>▶</t>
        </is>
      </c>
      <c r="J887" s="56" t="inlineStr">
        <is>
          <t>🔍</t>
        </is>
      </c>
      <c r="R887" s="23" t="inlineStr">
        <is>
          <t>Sun Aug 02 2026</t>
        </is>
      </c>
      <c r="T887" s="58" t="inlineStr">
        <is>
          <t>收 [THU] · thu vào, nhận
    ↳ Chiết tự: bộ 攵 (phộc – tay đánh) + 丩 — tay gom lấy về
据 [CỨ] · căn cứ, dựa vào
    ↳ Chiết tự: giản thể của 據: bộ 扌 (thủ – tay) + 居 (cư – âm đọc) — tay nắm lấy chỗ tựa</t>
        </is>
      </c>
      <c r="U887" s="24" t="inlineStr">
        <is>
          <t>🏢 Thương mại &amp; Công sở</t>
        </is>
      </c>
      <c r="V887" s="63" t="inlineStr">
        <is>
          <t>请保存好收据。</t>
        </is>
      </c>
      <c r="W887" s="64" t="inlineStr">
        <is>
          <t>Qǐng bǎocún hǎo shōujù.
Xin giữ biên lai cẩn thận.</t>
        </is>
      </c>
    </row>
    <row r="888" ht="69.75" customHeight="1" s="99">
      <c r="A888" t="n">
        <v>862</v>
      </c>
      <c r="B888" s="86" t="inlineStr">
        <is>
          <t>THƯƠNG MẠI</t>
        </is>
      </c>
      <c r="C888" s="85" t="inlineStr">
        <is>
          <t>预算</t>
        </is>
      </c>
      <c r="D888" s="78" t="inlineStr">
        <is>
          <t>yùsuàn</t>
        </is>
      </c>
      <c r="E888" s="78" t="inlineStr">
        <is>
          <t>dự toán, ngân sách</t>
        </is>
      </c>
      <c r="H888" s="55">
        <f>IF(TRIM($G888)="","",IF(EXACT(TRIM($G888),TRIM($C888)),"✅ Đúng","❌ Sai"))</f>
        <v/>
      </c>
      <c r="I888" s="56" t="inlineStr">
        <is>
          <t>▶</t>
        </is>
      </c>
      <c r="J888" s="56" t="inlineStr">
        <is>
          <t>🔍</t>
        </is>
      </c>
      <c r="R888" s="23" t="inlineStr">
        <is>
          <t>Sun Aug 02 2026</t>
        </is>
      </c>
      <c r="T888" s="58" t="inlineStr">
        <is>
          <t>预 [DỰ] · dự trước, dự tính
    ↳ Chiết tự: giản thể của 預: bộ 页 (hiệt – cái đầu) + 予 (dữ – âm đọc) — nghĩ trước trong đầu
算 [TOÁN] · tính toán, tính đến
    ↳ Chiết tự: bộ 竹 (trúc – tre) + 目 (mục – mắt) + 廾 (củng – hai tay) — tay xếp thẻ tre mà tính</t>
        </is>
      </c>
      <c r="U888" s="24" t="inlineStr">
        <is>
          <t>🏢 Thương mại &amp; Công sở</t>
        </is>
      </c>
      <c r="V888" s="63" t="inlineStr">
        <is>
          <t>这个项目的预算不多。</t>
        </is>
      </c>
      <c r="W888" s="64" t="inlineStr">
        <is>
          <t>Zhège xiàngmù de yùsuàn bù duō.
Ngân sách dự án này không nhiều.</t>
        </is>
      </c>
    </row>
    <row r="889" ht="58.15" customHeight="1" s="99">
      <c r="A889" t="n">
        <v>863</v>
      </c>
      <c r="B889" s="86" t="inlineStr">
        <is>
          <t>THƯƠNG MẠI</t>
        </is>
      </c>
      <c r="C889" s="85" t="inlineStr">
        <is>
          <t>成本</t>
        </is>
      </c>
      <c r="D889" s="78" t="inlineStr">
        <is>
          <t>chéngběn</t>
        </is>
      </c>
      <c r="E889" s="78" t="inlineStr">
        <is>
          <t>chi phí, giá thành</t>
        </is>
      </c>
      <c r="H889" s="55">
        <f>IF(TRIM($G889)="","",IF(EXACT(TRIM($G889),TRIM($C889)),"✅ Đúng","❌ Sai"))</f>
        <v/>
      </c>
      <c r="I889" s="56" t="inlineStr">
        <is>
          <t>▶</t>
        </is>
      </c>
      <c r="J889" s="56" t="inlineStr">
        <is>
          <t>🔍</t>
        </is>
      </c>
      <c r="R889" s="23" t="inlineStr">
        <is>
          <t>Sun Aug 02 2026</t>
        </is>
      </c>
      <c r="T889" s="58" t="inlineStr">
        <is>
          <t>成 [THÀNH] · thành công, hoàn thành
    ↳ Chiết tự: bộ 戈 (qua – ngọn giáo) + 丁 (đinh) — việc binh đã xong
本 [BẢN] · gốc rễ, vốn có; quyển (lượng từ)
    ↳ Chiết tự: bộ 木 (mộc – cây) + 一 (nhất) đánh dấu phần gốc — chữ chỉ sự</t>
        </is>
      </c>
      <c r="U889" s="24" t="inlineStr">
        <is>
          <t>🏢 Thương mại &amp; Công sở</t>
        </is>
      </c>
      <c r="V889" s="63" t="inlineStr">
        <is>
          <t>我们要降低成本。</t>
        </is>
      </c>
      <c r="W889" s="64" t="inlineStr">
        <is>
          <t>Wǒmen yào jiàngdī chéngběn.
Chúng ta phải hạ chi phí.</t>
        </is>
      </c>
    </row>
    <row r="890" ht="69.75" customHeight="1" s="99">
      <c r="A890" t="n">
        <v>864</v>
      </c>
      <c r="B890" s="86" t="inlineStr">
        <is>
          <t>THƯƠNG MẠI</t>
        </is>
      </c>
      <c r="C890" s="85" t="inlineStr">
        <is>
          <t>利润</t>
        </is>
      </c>
      <c r="D890" s="78" t="inlineStr">
        <is>
          <t>lìrùn</t>
        </is>
      </c>
      <c r="E890" s="78" t="inlineStr">
        <is>
          <t>lợi nhuận</t>
        </is>
      </c>
      <c r="H890" s="55">
        <f>IF(TRIM($G890)="","",IF(EXACT(TRIM($G890),TRIM($C890)),"✅ Đúng","❌ Sai"))</f>
        <v/>
      </c>
      <c r="I890" s="56" t="inlineStr">
        <is>
          <t>▶</t>
        </is>
      </c>
      <c r="J890" s="56" t="inlineStr">
        <is>
          <t>🔍</t>
        </is>
      </c>
      <c r="R890" s="23" t="inlineStr">
        <is>
          <t>Sun Aug 02 2026</t>
        </is>
      </c>
      <c r="T890" s="58" t="inlineStr">
        <is>
          <t>利 [LỢI] · lợi ích, lãi
    ↳ Chiết tự: bộ 刂 (đao đứng – dao) + 禾 (hòa – lúa) — dùng dao cắt lúa, thu được lợi
润 [NHUẬN] · nhuận, thấm ướt; lãi
    ↳ Chiết tự: giản thể của 潤: bộ 氵 (thủy – nước) + 闰 (nhuận – âm đọc) — nước thấm thêm, phần dôi ra</t>
        </is>
      </c>
      <c r="U890" s="24" t="inlineStr">
        <is>
          <t>🏢 Thương mại &amp; Công sở</t>
        </is>
      </c>
      <c r="V890" s="63" t="inlineStr">
        <is>
          <t>今年的利润增加了。</t>
        </is>
      </c>
      <c r="W890" s="64" t="inlineStr">
        <is>
          <t>Jīnnián de lìrùn zēngjiā le.
Lợi nhuận năm nay đã tăng.</t>
        </is>
      </c>
    </row>
    <row r="891" ht="46.5" customHeight="1" s="99">
      <c r="A891" t="n">
        <v>865</v>
      </c>
      <c r="B891" s="86" t="inlineStr">
        <is>
          <t>THƯƠNG MẠI</t>
        </is>
      </c>
      <c r="C891" s="85" t="inlineStr">
        <is>
          <t>收入</t>
        </is>
      </c>
      <c r="D891" s="78" t="inlineStr">
        <is>
          <t>shōurù</t>
        </is>
      </c>
      <c r="E891" s="78" t="inlineStr">
        <is>
          <t>thu nhập, doanh thu</t>
        </is>
      </c>
      <c r="H891" s="55">
        <f>IF(TRIM($G891)="","",IF(EXACT(TRIM($G891),TRIM($C891)),"✅ Đúng","❌ Sai"))</f>
        <v/>
      </c>
      <c r="I891" s="56" t="inlineStr">
        <is>
          <t>▶</t>
        </is>
      </c>
      <c r="J891" s="56" t="inlineStr">
        <is>
          <t>🔍</t>
        </is>
      </c>
      <c r="R891" s="23" t="inlineStr">
        <is>
          <t>Sun Aug 02 2026</t>
        </is>
      </c>
      <c r="T891" s="58" t="inlineStr">
        <is>
          <t>收 [THU] · thu vào, nhận
    ↳ Chiết tự: bộ 攵 (phộc – tay đánh) + 丩 — tay gom lấy về
入 [NHẬP] · vào, nhập vào
    ↳ Chiết tự: bộ 入 (nhập) — hình mũi nhọn cắm vào</t>
        </is>
      </c>
      <c r="U891" s="24" t="inlineStr">
        <is>
          <t>🏢 Thương mại &amp; Công sở</t>
        </is>
      </c>
      <c r="V891" s="63" t="inlineStr">
        <is>
          <t>公司的收入很稳定。</t>
        </is>
      </c>
      <c r="W891" s="64" t="inlineStr">
        <is>
          <t>Gōngsī de shōurù hěn wěndìng.
Doanh thu công ty rất ổn định.</t>
        </is>
      </c>
    </row>
    <row r="892" hidden="1" ht="69.75" customHeight="1" s="99">
      <c r="A892" t="n">
        <v>866</v>
      </c>
      <c r="B892" s="86" t="inlineStr">
        <is>
          <t>THƯƠNG MẠI</t>
        </is>
      </c>
      <c r="C892" s="85" t="inlineStr">
        <is>
          <t>支出</t>
        </is>
      </c>
      <c r="D892" s="78" t="inlineStr">
        <is>
          <t>zhīchū</t>
        </is>
      </c>
      <c r="E892" s="78" t="inlineStr">
        <is>
          <t>chi ra, chi phí</t>
        </is>
      </c>
      <c r="G892" s="77" t="inlineStr">
        <is>
          <t>支出</t>
        </is>
      </c>
      <c r="H892" s="55">
        <f>IF(TRIM($G892)="","",IF(EXACT(TRIM($G892),TRIM($C892)),"✅ Đúng","❌ Sai"))</f>
        <v/>
      </c>
      <c r="I892" s="56" t="inlineStr">
        <is>
          <t>▶</t>
        </is>
      </c>
      <c r="J892" s="56" t="inlineStr">
        <is>
          <t>🔍</t>
        </is>
      </c>
      <c r="R892" s="23" t="inlineStr">
        <is>
          <t>Sun Aug 02 2026</t>
        </is>
      </c>
      <c r="T892" s="58" t="inlineStr">
        <is>
          <t>支 [CHI] · chi ra; nhánh, cây
    ↳ Chiết tự: bộ 又 (hựu – bàn tay) + 十 — tay ngắt một cành, nghĩa "chia ra"
出 [XUẤT] · ra, đi ra, xuất phát
    ↳ Chiết tự: bộ 凵 (khảm – cái hố) + 屮 (triệt – mầm) — bàn chân bước ra khỏi hang</t>
        </is>
      </c>
      <c r="U892" s="24" t="inlineStr">
        <is>
          <t>🏢 Thương mại &amp; Công sở</t>
        </is>
      </c>
      <c r="V892" s="63" t="inlineStr">
        <is>
          <t>这个月的支出太多了。</t>
        </is>
      </c>
      <c r="W892" s="64" t="inlineStr">
        <is>
          <t>Zhège yuè de zhīchū tài duō le.
Chi phí tháng này quá nhiều.</t>
        </is>
      </c>
    </row>
    <row r="893" ht="58.15" customHeight="1" s="99">
      <c r="A893" t="n">
        <v>867</v>
      </c>
      <c r="B893" s="86" t="inlineStr">
        <is>
          <t>THƯƠNG MẠI</t>
        </is>
      </c>
      <c r="C893" s="85" t="inlineStr">
        <is>
          <t>投资</t>
        </is>
      </c>
      <c r="D893" s="78" t="inlineStr">
        <is>
          <t>tóuzī</t>
        </is>
      </c>
      <c r="E893" s="78" t="inlineStr">
        <is>
          <t>đầu tư</t>
        </is>
      </c>
      <c r="H893" s="55">
        <f>IF(TRIM($G893)="","",IF(EXACT(TRIM($G893),TRIM($C893)),"✅ Đúng","❌ Sai"))</f>
        <v/>
      </c>
      <c r="I893" s="56" t="inlineStr">
        <is>
          <t>▶</t>
        </is>
      </c>
      <c r="J893" s="56" t="inlineStr">
        <is>
          <t>🔍</t>
        </is>
      </c>
      <c r="R893" s="23" t="inlineStr">
        <is>
          <t>Sun Aug 02 2026</t>
        </is>
      </c>
      <c r="T893" s="58" t="inlineStr">
        <is>
          <t>投 [ĐẦU] · ném, đầu tư
    ↳ Chiết tự: bộ 扌 (thủ – tay) + 殳 (thù – cái vồ) — tay ném ra
资 [TƯ] · vốn, tư bản
    ↳ Chiết tự: giản thể của 資: bộ 贝 (bối – tiền của) + 次 (thứ – âm đọc) — tiền vốn</t>
        </is>
      </c>
      <c r="U893" s="24" t="inlineStr">
        <is>
          <t>🏢 Thương mại &amp; Công sở</t>
        </is>
      </c>
      <c r="V893" s="63" t="inlineStr">
        <is>
          <t>他想投资这个项目。</t>
        </is>
      </c>
      <c r="W893" s="64" t="inlineStr">
        <is>
          <t>Tā xiǎng tóuzī zhège xiàngmù.
Anh ấy muốn đầu tư vào dự án này.</t>
        </is>
      </c>
    </row>
    <row r="894" hidden="1" ht="69.75" customHeight="1" s="99">
      <c r="A894" t="n">
        <v>868</v>
      </c>
      <c r="B894" s="86" t="inlineStr">
        <is>
          <t>THƯƠNG MẠI</t>
        </is>
      </c>
      <c r="C894" s="85" t="inlineStr">
        <is>
          <t>股份</t>
        </is>
      </c>
      <c r="D894" s="78" t="inlineStr">
        <is>
          <t>gǔfèn</t>
        </is>
      </c>
      <c r="E894" s="78" t="inlineStr">
        <is>
          <t>cổ phần</t>
        </is>
      </c>
      <c r="G894" s="77" t="inlineStr">
        <is>
          <t>股份</t>
        </is>
      </c>
      <c r="H894" s="55">
        <f>IF(TRIM($G894)="","",IF(EXACT(TRIM($G894),TRIM($C894)),"✅ Đúng","❌ Sai"))</f>
        <v/>
      </c>
      <c r="I894" s="56" t="inlineStr">
        <is>
          <t>▶</t>
        </is>
      </c>
      <c r="J894" s="56" t="inlineStr">
        <is>
          <t>🔍</t>
        </is>
      </c>
      <c r="R894" s="23" t="inlineStr">
        <is>
          <t>Sun Aug 02 2026</t>
        </is>
      </c>
      <c r="T894" s="58" t="inlineStr">
        <is>
          <t>股 [CỔ] · cổ phần; bắp vế
    ↳ Chiết tự: bộ 月 (nhục – thịt) + 殳 (thù – âm đọc) — bắp vế, phái sinh "một phần"
份 [PHẦN] · phần, suất
    ↳ Chiết tự: bộ 亻 (nhân đứng – người) + 分 (phân – chia) — phần chia cho mỗi người</t>
        </is>
      </c>
      <c r="U894" s="24" t="inlineStr">
        <is>
          <t>🏢 Thương mại &amp; Công sở</t>
        </is>
      </c>
      <c r="V894" s="63" t="inlineStr">
        <is>
          <t>他有公司的股份。</t>
        </is>
      </c>
      <c r="W894" s="64" t="inlineStr">
        <is>
          <t>Tā yǒu gōngsī de gǔfèn.
Anh ấy có cổ phần của công ty.</t>
        </is>
      </c>
    </row>
    <row r="895" hidden="1" ht="69.75" customHeight="1" s="99">
      <c r="A895" t="n">
        <v>869</v>
      </c>
      <c r="B895" s="86" t="inlineStr">
        <is>
          <t>THƯƠNG MẠI</t>
        </is>
      </c>
      <c r="C895" s="85" t="inlineStr">
        <is>
          <t>股票</t>
        </is>
      </c>
      <c r="D895" s="78" t="inlineStr">
        <is>
          <t>gǔpiào</t>
        </is>
      </c>
      <c r="E895" s="78" t="inlineStr">
        <is>
          <t>cổ phiếu</t>
        </is>
      </c>
      <c r="G895" s="77" t="inlineStr">
        <is>
          <t>股票</t>
        </is>
      </c>
      <c r="H895" s="55">
        <f>IF(TRIM($G895)="","",IF(EXACT(TRIM($G895),TRIM($C895)),"✅ Đúng","❌ Sai"))</f>
        <v/>
      </c>
      <c r="I895" s="56" t="inlineStr">
        <is>
          <t>▶</t>
        </is>
      </c>
      <c r="J895" s="56" t="inlineStr">
        <is>
          <t>🔍</t>
        </is>
      </c>
      <c r="R895" s="23" t="inlineStr">
        <is>
          <t>Sun Aug 02 2026</t>
        </is>
      </c>
      <c r="T895" s="58" t="inlineStr">
        <is>
          <t>股 [CỔ] · cổ phần; bắp vế
    ↳ Chiết tự: bộ 月 (nhục – thịt) + 殳 (thù – âm đọc) — bắp vế, phái sinh "một phần"
票 [PHIẾU] · vé, phiếu, tờ
    ↳ Chiết tự: bộ 覀 (á – che đậy) + 示 (thị – bàn thờ) — mảnh giấy làm bằng chứng</t>
        </is>
      </c>
      <c r="U895" s="24" t="inlineStr">
        <is>
          <t>🏢 Thương mại &amp; Công sở</t>
        </is>
      </c>
      <c r="V895" s="63" t="inlineStr">
        <is>
          <t>他买了很多股票。</t>
        </is>
      </c>
      <c r="W895" s="64" t="inlineStr">
        <is>
          <t>Tā mǎi le hěn duō gǔpiào.
Anh ấy mua rất nhiều cổ phiếu.</t>
        </is>
      </c>
    </row>
    <row r="896" hidden="1" ht="58.15" customHeight="1" s="99">
      <c r="A896" t="n">
        <v>870</v>
      </c>
      <c r="B896" s="86" t="inlineStr">
        <is>
          <t>THƯƠNG MẠI</t>
        </is>
      </c>
      <c r="C896" s="85" t="inlineStr">
        <is>
          <t>贷款</t>
        </is>
      </c>
      <c r="D896" s="78" t="inlineStr">
        <is>
          <t>dàikuǎn</t>
        </is>
      </c>
      <c r="E896" s="78" t="inlineStr">
        <is>
          <t>vay vốn, khoản vay</t>
        </is>
      </c>
      <c r="G896" s="77" t="inlineStr">
        <is>
          <t>贷款</t>
        </is>
      </c>
      <c r="H896" s="55">
        <f>IF(TRIM($G896)="","",IF(EXACT(TRIM($G896),TRIM($C896)),"✅ Đúng","❌ Sai"))</f>
        <v/>
      </c>
      <c r="I896" s="56" t="inlineStr">
        <is>
          <t>▶</t>
        </is>
      </c>
      <c r="J896" s="56" t="inlineStr">
        <is>
          <t>🔍</t>
        </is>
      </c>
      <c r="R896" s="23" t="inlineStr">
        <is>
          <t>Sun Aug 02 2026</t>
        </is>
      </c>
      <c r="T896" s="58" t="inlineStr">
        <is>
          <t>贷 [THÁI / THẢI] · cho vay, khoản vay
    ↳ Chiết tự: giản thể của 貸: bộ 贝 (bối – tiền của) + 代 (đại – âm đọc) — đưa tiền cho người dùng thay
款 [KHOẢN] · khoản tiền; điều khoản
    ↳ Chiết tự: bộ 欠 (khiếm – há miệng) + 士 — mục tiền được nêu ra</t>
        </is>
      </c>
      <c r="U896" s="24" t="inlineStr">
        <is>
          <t>🏢 Thương mại &amp; Công sở</t>
        </is>
      </c>
      <c r="V896" s="63" t="inlineStr">
        <is>
          <t>我们向银行贷款。</t>
        </is>
      </c>
      <c r="W896" s="64" t="inlineStr">
        <is>
          <t>Wǒmen xiàng yínháng dàikuǎn.
Chúng tôi vay vốn ngân hàng.</t>
        </is>
      </c>
    </row>
    <row r="897" hidden="1" ht="69.75" customHeight="1" s="99">
      <c r="A897" t="n">
        <v>871</v>
      </c>
      <c r="B897" s="86" t="inlineStr">
        <is>
          <t>THƯƠNG MẠI</t>
        </is>
      </c>
      <c r="C897" s="85" t="inlineStr">
        <is>
          <t>利息</t>
        </is>
      </c>
      <c r="D897" s="78" t="inlineStr">
        <is>
          <t>lìxī</t>
        </is>
      </c>
      <c r="E897" s="78" t="inlineStr">
        <is>
          <t>tiền lãi</t>
        </is>
      </c>
      <c r="G897" s="77" t="inlineStr">
        <is>
          <t>利息</t>
        </is>
      </c>
      <c r="H897" s="55">
        <f>IF(TRIM($G897)="","",IF(EXACT(TRIM($G897),TRIM($C897)),"✅ Đúng","❌ Sai"))</f>
        <v/>
      </c>
      <c r="I897" s="56" t="inlineStr">
        <is>
          <t>▶</t>
        </is>
      </c>
      <c r="J897" s="56" t="inlineStr">
        <is>
          <t>🔍</t>
        </is>
      </c>
      <c r="R897" s="23" t="inlineStr">
        <is>
          <t>Sun Aug 02 2026</t>
        </is>
      </c>
      <c r="T897" s="58" t="inlineStr">
        <is>
          <t>利 [LỢI] · lợi ích, lãi
    ↳ Chiết tự: bộ 刂 (đao đứng – dao) + 禾 (hòa – lúa) — dùng dao cắt lúa, thu được lợi
息 [TỨC] · nghỉ ngơi; hơi thở; tin tức
    ↳ Chiết tự: bộ 自 (tự – cái mũi) + 心 (tâm – trái tim) — mũi thở, tim đập, ngơi nghỉ</t>
        </is>
      </c>
      <c r="U897" s="24" t="inlineStr">
        <is>
          <t>🏢 Thương mại &amp; Công sở</t>
        </is>
      </c>
      <c r="V897" s="63" t="inlineStr">
        <is>
          <t>银行的利息很低。</t>
        </is>
      </c>
      <c r="W897" s="64" t="inlineStr">
        <is>
          <t>Yínháng de lìxī hěn dī.
Lãi suất ngân hàng rất thấp.</t>
        </is>
      </c>
    </row>
    <row r="898" hidden="1" ht="69.75" customHeight="1" s="99">
      <c r="A898" t="n">
        <v>872</v>
      </c>
      <c r="B898" s="86" t="inlineStr">
        <is>
          <t>THƯƠNG MẠI</t>
        </is>
      </c>
      <c r="C898" s="85" t="inlineStr">
        <is>
          <t>保险</t>
        </is>
      </c>
      <c r="D898" s="78" t="inlineStr">
        <is>
          <t>bǎoxiǎn</t>
        </is>
      </c>
      <c r="E898" s="78" t="inlineStr">
        <is>
          <t>bảo hiểm</t>
        </is>
      </c>
      <c r="G898" s="77" t="inlineStr">
        <is>
          <t>保险</t>
        </is>
      </c>
      <c r="H898" s="55">
        <f>IF(TRIM($G898)="","",IF(EXACT(TRIM($G898),TRIM($C898)),"✅ Đúng","❌ Sai"))</f>
        <v/>
      </c>
      <c r="I898" s="56" t="inlineStr">
        <is>
          <t>▶</t>
        </is>
      </c>
      <c r="J898" s="56" t="inlineStr">
        <is>
          <t>🔍</t>
        </is>
      </c>
      <c r="R898" s="23" t="inlineStr">
        <is>
          <t>Sun Aug 02 2026</t>
        </is>
      </c>
      <c r="T898" s="58" t="inlineStr">
        <is>
          <t>保 [BẢO] · bảo vệ, giữ gìn
    ↳ Chiết tự: bộ 亻 (nhân đứng – người) + 呆 — người cõng con che chở
险 [HIỂM] · hiểm nguy, rủi ro
    ↳ Chiết tự: giản thể của 險: bộ 阝 (phụ – gò đất) + 佥 (thiêm – âm đọc) — vách núi dốc, nguy hiểm</t>
        </is>
      </c>
      <c r="U898" s="24" t="inlineStr">
        <is>
          <t>🏢 Thương mại &amp; Công sở</t>
        </is>
      </c>
      <c r="V898" s="63" t="inlineStr">
        <is>
          <t>货物有保险。</t>
        </is>
      </c>
      <c r="W898" s="64" t="inlineStr">
        <is>
          <t>Huòwù yǒu bǎoxiǎn.
Hàng hóa có bảo hiểm.</t>
        </is>
      </c>
    </row>
    <row r="899" hidden="1" ht="69.75" customHeight="1" s="99">
      <c r="A899" t="n">
        <v>873</v>
      </c>
      <c r="B899" s="86" t="inlineStr">
        <is>
          <t>THƯƠNG MẠI</t>
        </is>
      </c>
      <c r="C899" s="85" t="inlineStr">
        <is>
          <t>风险</t>
        </is>
      </c>
      <c r="D899" s="78" t="inlineStr">
        <is>
          <t>fēngxiǎn</t>
        </is>
      </c>
      <c r="E899" s="78" t="inlineStr">
        <is>
          <t>rủi ro</t>
        </is>
      </c>
      <c r="G899" s="77" t="inlineStr">
        <is>
          <t>风险</t>
        </is>
      </c>
      <c r="H899" s="55">
        <f>IF(TRIM($G899)="","",IF(EXACT(TRIM($G899),TRIM($C899)),"✅ Đúng","❌ Sai"))</f>
        <v/>
      </c>
      <c r="I899" s="56" t="inlineStr">
        <is>
          <t>▶</t>
        </is>
      </c>
      <c r="J899" s="56" t="inlineStr">
        <is>
          <t>🔍</t>
        </is>
      </c>
      <c r="R899" s="23" t="inlineStr">
        <is>
          <t>Sun Aug 02 2026</t>
        </is>
      </c>
      <c r="T899" s="58" t="inlineStr">
        <is>
          <t>风 [PHONG] · gió; phong cách
    ↳ Chiết tự: giản thể của 風: bộ 几 (kỷ) + 虫 (trùng) — luồng khí cuốn sinh ra sâu bọ
险 [HIỂM] · hiểm nguy, rủi ro
    ↳ Chiết tự: giản thể của 險: bộ 阝 (phụ – gò đất) + 佥 (thiêm – âm đọc) — vách núi dốc, nguy hiểm</t>
        </is>
      </c>
      <c r="U899" s="24" t="inlineStr">
        <is>
          <t>🏢 Thương mại &amp; Công sở</t>
        </is>
      </c>
      <c r="V899" s="63" t="inlineStr">
        <is>
          <t>这个投资风险很大。</t>
        </is>
      </c>
      <c r="W899" s="64" t="inlineStr">
        <is>
          <t>Zhège tóuzī fēngxiǎn hěn dà.
Khoản đầu tư này rủi ro rất lớn.</t>
        </is>
      </c>
    </row>
    <row r="900" hidden="1" ht="34.9" customHeight="1" s="99">
      <c r="A900" t="n">
        <v>874</v>
      </c>
      <c r="B900" s="86" t="inlineStr">
        <is>
          <t>THƯƠNG MẠI</t>
        </is>
      </c>
      <c r="C900" s="85" t="inlineStr">
        <is>
          <t>税</t>
        </is>
      </c>
      <c r="D900" s="78" t="inlineStr">
        <is>
          <t>shuì</t>
        </is>
      </c>
      <c r="E900" s="78" t="inlineStr">
        <is>
          <t>thuế</t>
        </is>
      </c>
      <c r="G900" s="77" t="inlineStr">
        <is>
          <t>税</t>
        </is>
      </c>
      <c r="H900" s="55">
        <f>IF(TRIM($G900)="","",IF(EXACT(TRIM($G900),TRIM($C900)),"✅ Đúng","❌ Sai"))</f>
        <v/>
      </c>
      <c r="I900" s="56" t="inlineStr">
        <is>
          <t>▶</t>
        </is>
      </c>
      <c r="J900" s="56" t="inlineStr">
        <is>
          <t>🔍</t>
        </is>
      </c>
      <c r="R900" s="23" t="inlineStr">
        <is>
          <t>Sun Aug 02 2026</t>
        </is>
      </c>
      <c r="T900" s="58" t="inlineStr">
        <is>
          <t>税 [THUẾ] · thuế
    ↳ Chiết tự: bộ 禾 (hòa – lúa) + 兑 (đoài – âm đọc) — phần lúa nộp cho nhà nước</t>
        </is>
      </c>
      <c r="U900" s="24" t="inlineStr">
        <is>
          <t>🏢 Thương mại &amp; Công sở</t>
        </is>
      </c>
      <c r="V900" s="63" t="inlineStr">
        <is>
          <t>我们要交税。</t>
        </is>
      </c>
      <c r="W900" s="64" t="inlineStr">
        <is>
          <t>Wǒmen yào jiāo shuì.
Chúng ta phải nộp thuế.</t>
        </is>
      </c>
    </row>
    <row r="901" ht="58.15" customHeight="1" s="99">
      <c r="A901" t="n">
        <v>875</v>
      </c>
      <c r="B901" s="86" t="inlineStr">
        <is>
          <t>THƯƠNG MẠI</t>
        </is>
      </c>
      <c r="C901" s="85" t="inlineStr">
        <is>
          <t>账户</t>
        </is>
      </c>
      <c r="D901" s="78" t="inlineStr">
        <is>
          <t>zhànghù</t>
        </is>
      </c>
      <c r="E901" s="78" t="inlineStr">
        <is>
          <t>tài khoản</t>
        </is>
      </c>
      <c r="H901" s="55">
        <f>IF(TRIM($G901)="","",IF(EXACT(TRIM($G901),TRIM($C901)),"✅ Đúng","❌ Sai"))</f>
        <v/>
      </c>
      <c r="I901" s="56" t="inlineStr">
        <is>
          <t>▶</t>
        </is>
      </c>
      <c r="J901" s="56" t="inlineStr">
        <is>
          <t>🔍</t>
        </is>
      </c>
      <c r="R901" s="23" t="inlineStr">
        <is>
          <t>Sun Aug 02 2026</t>
        </is>
      </c>
      <c r="T901" s="58" t="inlineStr">
        <is>
          <t>账 [TRƯƠNG] · tài khoản, sổ nợ
    ↳ Chiết tự: giản thể của 賬: bộ 贝 (bối – tiền của) + 长 (trường – âm đọc) — sổ ghi tiền
户 [HỘ] · hộ, cửa; tài khoản
    ↳ Chiết tự: bộ 户 (hộ) — hình một cánh cửa, chỉ một nhà</t>
        </is>
      </c>
      <c r="U901" s="24" t="inlineStr">
        <is>
          <t>🏢 Thương mại &amp; Công sở</t>
        </is>
      </c>
      <c r="V901" s="63" t="inlineStr">
        <is>
          <t>请把钱打到这个账户。</t>
        </is>
      </c>
      <c r="W901" s="64" t="inlineStr">
        <is>
          <t>Qǐng bǎ qián dǎ dào zhège zhànghù.
Xin chuyển tiền vào tài khoản này.</t>
        </is>
      </c>
    </row>
    <row r="902" hidden="1" ht="69.75" customHeight="1" s="99">
      <c r="A902" t="n">
        <v>876</v>
      </c>
      <c r="B902" s="86" t="inlineStr">
        <is>
          <t>THƯƠNG MẠI</t>
        </is>
      </c>
      <c r="C902" s="85" t="inlineStr">
        <is>
          <t>广告</t>
        </is>
      </c>
      <c r="D902" s="78" t="inlineStr">
        <is>
          <t>guǎnggào</t>
        </is>
      </c>
      <c r="E902" s="78" t="inlineStr">
        <is>
          <t>quảng cáo</t>
        </is>
      </c>
      <c r="G902" s="77" t="inlineStr">
        <is>
          <t>广告</t>
        </is>
      </c>
      <c r="H902" s="55">
        <f>IF(TRIM($G902)="","",IF(EXACT(TRIM($G902),TRIM($C902)),"✅ Đúng","❌ Sai"))</f>
        <v/>
      </c>
      <c r="I902" s="56" t="inlineStr">
        <is>
          <t>▶</t>
        </is>
      </c>
      <c r="J902" s="56" t="inlineStr">
        <is>
          <t>🔍</t>
        </is>
      </c>
      <c r="R902" s="23" t="inlineStr">
        <is>
          <t>Sun Aug 02 2026</t>
        </is>
      </c>
      <c r="T902" s="58" t="inlineStr">
        <is>
          <t>广 [QUẢNG] · rộng, quảng bá
    ↳ Chiết tự: giản thể của 廣: bộ 广 (nghiễm – mái che rộng) — nhà không vách, rộng thênh thang
告 [CÁO] · báo cho biết, tố cáo
    ↳ Chiết tự: bộ 牛 (ngưu – trâu) + 口 (khẩu – miệng) — dâng trâu tế và khấn báo</t>
        </is>
      </c>
      <c r="U902" s="24" t="inlineStr">
        <is>
          <t>🏢 Thương mại &amp; Công sở</t>
        </is>
      </c>
      <c r="V902" s="63" t="inlineStr">
        <is>
          <t>这个广告很有意思。</t>
        </is>
      </c>
      <c r="W902" s="64" t="inlineStr">
        <is>
          <t>Zhège guǎnggào hěn yǒu yìsi.
Quảng cáo này rất thú vị.</t>
        </is>
      </c>
    </row>
    <row r="903" hidden="1" ht="69.75" customHeight="1" s="99">
      <c r="A903" t="n">
        <v>877</v>
      </c>
      <c r="B903" s="86" t="inlineStr">
        <is>
          <t>THƯƠNG MẠI</t>
        </is>
      </c>
      <c r="C903" s="85" t="inlineStr">
        <is>
          <t>品牌</t>
        </is>
      </c>
      <c r="D903" s="78" t="inlineStr">
        <is>
          <t>pǐnpái</t>
        </is>
      </c>
      <c r="E903" s="78" t="inlineStr">
        <is>
          <t>thương hiệu</t>
        </is>
      </c>
      <c r="G903" s="77" t="inlineStr">
        <is>
          <t>品牌</t>
        </is>
      </c>
      <c r="H903" s="55">
        <f>IF(TRIM($G903)="","",IF(EXACT(TRIM($G903),TRIM($C903)),"✅ Đúng","❌ Sai"))</f>
        <v/>
      </c>
      <c r="I903" s="56" t="inlineStr">
        <is>
          <t>▶</t>
        </is>
      </c>
      <c r="J903" s="56" t="inlineStr">
        <is>
          <t>🔍</t>
        </is>
      </c>
      <c r="R903" s="23" t="inlineStr">
        <is>
          <t>Sun Aug 02 2026</t>
        </is>
      </c>
      <c r="T903" s="58" t="inlineStr">
        <is>
          <t>品 [PHẨM] · phẩm chất, món hàng
    ↳ Chiết tự: ba bộ 口 (khẩu – miệng/vật) — nhiều vật xếp cùng để phân loại
牌 [BÀI] · biển, thẻ, thương hiệu
    ↳ Chiết tự: bộ 片 (phiến – mảnh gỗ) + 卑 (ty – âm đọc) — mảnh gỗ treo ghi chữ</t>
        </is>
      </c>
      <c r="U903" s="24" t="inlineStr">
        <is>
          <t>🏢 Thương mại &amp; Công sở</t>
        </is>
      </c>
      <c r="V903" s="63" t="inlineStr">
        <is>
          <t>这是一个有名的品牌。</t>
        </is>
      </c>
      <c r="W903" s="64" t="inlineStr">
        <is>
          <t>Zhè shì yí ge yǒumíng de pǐnpái.
Đây là một thương hiệu nổi tiếng.</t>
        </is>
      </c>
    </row>
    <row r="904" hidden="1" ht="58.15" customHeight="1" s="99">
      <c r="A904" t="n">
        <v>878</v>
      </c>
      <c r="B904" s="86" t="inlineStr">
        <is>
          <t>THƯƠNG MẠI</t>
        </is>
      </c>
      <c r="C904" s="85" t="inlineStr">
        <is>
          <t>产品</t>
        </is>
      </c>
      <c r="D904" s="78" t="inlineStr">
        <is>
          <t>chǎnpǐn</t>
        </is>
      </c>
      <c r="E904" s="78" t="inlineStr">
        <is>
          <t>sản phẩm</t>
        </is>
      </c>
      <c r="G904" s="77" t="inlineStr">
        <is>
          <t>产品</t>
        </is>
      </c>
      <c r="H904" s="55">
        <f>IF(TRIM($G904)="","",IF(EXACT(TRIM($G904),TRIM($C904)),"✅ Đúng","❌ Sai"))</f>
        <v/>
      </c>
      <c r="I904" s="56" t="inlineStr">
        <is>
          <t>▶</t>
        </is>
      </c>
      <c r="J904" s="56" t="inlineStr">
        <is>
          <t>🔍</t>
        </is>
      </c>
      <c r="R904" s="23" t="inlineStr">
        <is>
          <t>Sun Aug 02 2026</t>
        </is>
      </c>
      <c r="T904" s="58" t="inlineStr">
        <is>
          <t>产 [SẢN] · sinh ra, sản xuất
    ↳ Chiết tự: giản thể của 產: bộ 立 (lập) + 厂 (hán) — sinh ra, làm ra
品 [PHẨM] · phẩm chất, món hàng
    ↳ Chiết tự: ba bộ 口 (khẩu – miệng/vật) — nhiều vật xếp cùng để phân loại</t>
        </is>
      </c>
      <c r="U904" s="24" t="inlineStr">
        <is>
          <t>🏢 Thương mại &amp; Công sở</t>
        </is>
      </c>
      <c r="V904" s="63" t="inlineStr">
        <is>
          <t>我们的产品质量很好。</t>
        </is>
      </c>
      <c r="W904" s="64" t="inlineStr">
        <is>
          <t>Wǒmen de chǎnpǐn zhìliàng hěn hǎo.
Chất lượng sản phẩm của chúng tôi rất tốt.</t>
        </is>
      </c>
    </row>
    <row r="905" hidden="1" ht="46.5" customHeight="1" s="99">
      <c r="A905" t="n">
        <v>879</v>
      </c>
      <c r="B905" s="86" t="inlineStr">
        <is>
          <t>THƯƠNG MẠI</t>
        </is>
      </c>
      <c r="C905" s="85" t="inlineStr">
        <is>
          <t>生产</t>
        </is>
      </c>
      <c r="D905" s="78" t="inlineStr">
        <is>
          <t>shēngchǎn</t>
        </is>
      </c>
      <c r="E905" s="78" t="inlineStr">
        <is>
          <t>sản xuất</t>
        </is>
      </c>
      <c r="G905" s="77" t="inlineStr">
        <is>
          <t>生产</t>
        </is>
      </c>
      <c r="H905" s="55">
        <f>IF(TRIM($G905)="","",IF(EXACT(TRIM($G905),TRIM($C905)),"✅ Đúng","❌ Sai"))</f>
        <v/>
      </c>
      <c r="I905" s="56" t="inlineStr">
        <is>
          <t>▶</t>
        </is>
      </c>
      <c r="J905" s="56" t="inlineStr">
        <is>
          <t>🔍</t>
        </is>
      </c>
      <c r="R905" s="23" t="inlineStr">
        <is>
          <t>Sun Aug 02 2026</t>
        </is>
      </c>
      <c r="T905" s="58" t="inlineStr">
        <is>
          <t>生 [SINH] · sinh ra, sống; học trò; sống (chưa chín)
    ↳ Chiết tự: bộ 生 (sinh) — hình mầm cây nhú lên khỏi mặt đất
产 [SẢN] · sinh ra, sản xuất
    ↳ Chiết tự: giản thể của 產: bộ 立 (lập) + 厂 (hán) — sinh ra, làm ra</t>
        </is>
      </c>
      <c r="U905" s="24" t="inlineStr">
        <is>
          <t>🏢 Thương mại &amp; Công sở</t>
        </is>
      </c>
      <c r="V905" s="63" t="inlineStr">
        <is>
          <t>工厂正在生产。</t>
        </is>
      </c>
      <c r="W905" s="64" t="inlineStr">
        <is>
          <t>Gōngchǎng zhèngzài shēngchǎn.
Nhà máy đang sản xuất.</t>
        </is>
      </c>
    </row>
    <row r="906" hidden="1" ht="69.75" customHeight="1" s="99">
      <c r="A906" t="n">
        <v>880</v>
      </c>
      <c r="B906" s="86" t="inlineStr">
        <is>
          <t>THƯƠNG MẠI</t>
        </is>
      </c>
      <c r="C906" s="85" t="inlineStr">
        <is>
          <t>服务</t>
        </is>
      </c>
      <c r="D906" s="78" t="inlineStr">
        <is>
          <t>fúwù</t>
        </is>
      </c>
      <c r="E906" s="78" t="inlineStr">
        <is>
          <t>dịch vụ, phục vụ</t>
        </is>
      </c>
      <c r="G906" s="77" t="inlineStr">
        <is>
          <t>服务</t>
        </is>
      </c>
      <c r="H906" s="55">
        <f>IF(TRIM($G906)="","",IF(EXACT(TRIM($G906),TRIM($C906)),"✅ Đúng","❌ Sai"))</f>
        <v/>
      </c>
      <c r="I906" s="56" t="inlineStr">
        <is>
          <t>▶</t>
        </is>
      </c>
      <c r="J906" s="56" t="inlineStr">
        <is>
          <t>🔍</t>
        </is>
      </c>
      <c r="R906" s="23" t="inlineStr">
        <is>
          <t>Sun Aug 02 2026</t>
        </is>
      </c>
      <c r="T906" s="58" t="inlineStr">
        <is>
          <t>服 [PHỤC] · quần áo; phục tùng; uống thuốc
    ↳ Chiết tự: bộ 月 (nhục – thân người) + 卩 (tiết) + 又 (hựu – tay) — tay khoác lên thân
务 [VỤ] · công việc, nhiệm vụ
    ↳ Chiết tự: giản thể của 務: bộ 夂 (truy) + 力 (lực – sức) — dốc sức làm việc</t>
        </is>
      </c>
      <c r="U906" s="24" t="inlineStr">
        <is>
          <t>🏢 Thương mại &amp; Công sở</t>
        </is>
      </c>
      <c r="V906" s="63" t="inlineStr">
        <is>
          <t>他们的服务很好。</t>
        </is>
      </c>
      <c r="W906" s="64" t="inlineStr">
        <is>
          <t>Tāmen de fúwù hěn hǎo.
Dịch vụ của họ rất tốt.</t>
        </is>
      </c>
    </row>
    <row r="907" hidden="1" ht="69.75" customHeight="1" s="99">
      <c r="A907" t="n">
        <v>881</v>
      </c>
      <c r="B907" s="86" t="inlineStr">
        <is>
          <t>THƯƠNG MẠI</t>
        </is>
      </c>
      <c r="C907" s="85" t="inlineStr">
        <is>
          <t>竞争</t>
        </is>
      </c>
      <c r="D907" s="78" t="inlineStr">
        <is>
          <t>jìngzhēng</t>
        </is>
      </c>
      <c r="E907" s="78" t="inlineStr">
        <is>
          <t>cạnh tranh</t>
        </is>
      </c>
      <c r="G907" s="77" t="inlineStr">
        <is>
          <t>竞争</t>
        </is>
      </c>
      <c r="H907" s="55">
        <f>IF(TRIM($G907)="","",IF(EXACT(TRIM($G907),TRIM($C907)),"✅ Đúng","❌ Sai"))</f>
        <v/>
      </c>
      <c r="I907" s="56" t="inlineStr">
        <is>
          <t>▶</t>
        </is>
      </c>
      <c r="J907" s="56" t="inlineStr">
        <is>
          <t>🔍</t>
        </is>
      </c>
      <c r="R907" s="23" t="inlineStr">
        <is>
          <t>Sun Aug 02 2026</t>
        </is>
      </c>
      <c r="T907" s="58" t="inlineStr">
        <is>
          <t>竞 [CẠNH] · tranh đua
    ↳ Chiết tự: giản thể của 競: hai bộ 兄 (huynh) — hai người đua nhau
争 [TRANH] · tranh giành
    ↳ Chiết tự: bộ 爫 (trảo – bàn tay) + 亅 (quyết) — hai tay giành một vật</t>
        </is>
      </c>
      <c r="U907" s="24" t="inlineStr">
        <is>
          <t>🏢 Thương mại &amp; Công sở</t>
        </is>
      </c>
      <c r="V907" s="63" t="inlineStr">
        <is>
          <t>市场竞争很激烈。</t>
        </is>
      </c>
      <c r="W907" s="64" t="inlineStr">
        <is>
          <t>Shìchǎng jìngzhēng hěn jīliè.
Cạnh tranh thị trường rất khốc liệt.</t>
        </is>
      </c>
    </row>
    <row r="908" ht="69.75" customHeight="1" s="99">
      <c r="A908" t="n">
        <v>882</v>
      </c>
      <c r="B908" s="86" t="inlineStr">
        <is>
          <t>THƯƠNG MẠI</t>
        </is>
      </c>
      <c r="C908" s="85" t="inlineStr">
        <is>
          <t>合资</t>
        </is>
      </c>
      <c r="D908" s="78" t="inlineStr">
        <is>
          <t>hézī</t>
        </is>
      </c>
      <c r="E908" s="78" t="inlineStr">
        <is>
          <t>liên doanh</t>
        </is>
      </c>
      <c r="H908" s="55">
        <f>IF(TRIM($G908)="","",IF(EXACT(TRIM($G908),TRIM($C908)),"✅ Đúng","❌ Sai"))</f>
        <v/>
      </c>
      <c r="I908" s="56" t="inlineStr">
        <is>
          <t>▶</t>
        </is>
      </c>
      <c r="J908" s="56" t="inlineStr">
        <is>
          <t>🔍</t>
        </is>
      </c>
      <c r="R908" s="23" t="inlineStr">
        <is>
          <t>Sun Aug 02 2026</t>
        </is>
      </c>
      <c r="T908" s="58" t="inlineStr">
        <is>
          <t>合 [HỢP] · hợp lại, phù hợp
    ↳ Chiết tự: bộ 人 (nhân) + 一 + 口 (khẩu – miệng) — hình cái nắp khớp vào miệng bình
资 [TƯ] · vốn, tư bản
    ↳ Chiết tự: giản thể của 資: bộ 贝 (bối – tiền của) + 次 (thứ – âm đọc) — tiền vốn</t>
        </is>
      </c>
      <c r="U908" s="24" t="inlineStr">
        <is>
          <t>🏢 Thương mại &amp; Công sở</t>
        </is>
      </c>
      <c r="V908" s="63" t="inlineStr">
        <is>
          <t>这是一家合资公司。</t>
        </is>
      </c>
      <c r="W908" s="64" t="inlineStr">
        <is>
          <t>Zhè shì yì jiā hézī gōngsī.
Đây là một công ty liên doanh.</t>
        </is>
      </c>
    </row>
    <row r="909" hidden="1" ht="69.75" customHeight="1" s="99">
      <c r="A909" t="n">
        <v>883</v>
      </c>
      <c r="B909" s="86" t="inlineStr">
        <is>
          <t>THƯƠNG MẠI</t>
        </is>
      </c>
      <c r="C909" s="85" t="inlineStr">
        <is>
          <t>代理</t>
        </is>
      </c>
      <c r="D909" s="78" t="inlineStr">
        <is>
          <t>dàilǐ</t>
        </is>
      </c>
      <c r="E909" s="78" t="inlineStr">
        <is>
          <t>đại lý, đại diện</t>
        </is>
      </c>
      <c r="G909" s="77" t="inlineStr">
        <is>
          <t>代理</t>
        </is>
      </c>
      <c r="H909" s="55">
        <f>IF(TRIM($G909)="","",IF(EXACT(TRIM($G909),TRIM($C909)),"✅ Đúng","❌ Sai"))</f>
        <v/>
      </c>
      <c r="I909" s="56" t="inlineStr">
        <is>
          <t>▶</t>
        </is>
      </c>
      <c r="J909" s="56" t="inlineStr">
        <is>
          <t>🔍</t>
        </is>
      </c>
      <c r="R909" s="23" t="inlineStr">
        <is>
          <t>Sun Aug 02 2026</t>
        </is>
      </c>
      <c r="T909" s="58" t="inlineStr">
        <is>
          <t>代 [ĐẠI] · thay thế, thời đại
    ↳ Chiết tự: bộ 亻 (nhân đứng – người) + 弋 (dặc – âm đọc) — người thay người khác
理 [LÝ] · lý lẽ; sửa sang, quản lý
    ↳ Chiết tự: bộ 王/玉 (ngọc) + 里 (lý – âm đọc) — mài ngọc theo thớ, nghĩa lẽ phải</t>
        </is>
      </c>
      <c r="U909" s="24" t="inlineStr">
        <is>
          <t>🏢 Thương mại &amp; Công sở</t>
        </is>
      </c>
      <c r="V909" s="63" t="inlineStr">
        <is>
          <t>我们是他们的代理。</t>
        </is>
      </c>
      <c r="W909" s="64" t="inlineStr">
        <is>
          <t>Wǒmen shì tāmen de dàilǐ.
Chúng tôi là đại lý của họ.</t>
        </is>
      </c>
    </row>
    <row r="910" hidden="1" ht="69.75" customHeight="1" s="99">
      <c r="A910" t="n">
        <v>884</v>
      </c>
      <c r="B910" s="86" t="inlineStr">
        <is>
          <t>THƯƠNG MẠI</t>
        </is>
      </c>
      <c r="C910" s="85" t="inlineStr">
        <is>
          <t>批发</t>
        </is>
      </c>
      <c r="D910" s="78" t="inlineStr">
        <is>
          <t>pīfā</t>
        </is>
      </c>
      <c r="E910" s="78" t="inlineStr">
        <is>
          <t>bán buôn</t>
        </is>
      </c>
      <c r="G910" s="77" t="inlineStr">
        <is>
          <t>批发</t>
        </is>
      </c>
      <c r="H910" s="55">
        <f>IF(TRIM($G910)="","",IF(EXACT(TRIM($G910),TRIM($C910)),"✅ Đúng","❌ Sai"))</f>
        <v/>
      </c>
      <c r="I910" s="56" t="inlineStr">
        <is>
          <t>▶</t>
        </is>
      </c>
      <c r="J910" s="56" t="inlineStr">
        <is>
          <t>🔍</t>
        </is>
      </c>
      <c r="R910" s="23" t="inlineStr">
        <is>
          <t>Sun Aug 02 2026</t>
        </is>
      </c>
      <c r="T910" s="58" t="inlineStr">
        <is>
          <t>批 [PHÊ] · phê chuẩn; lô, đợt
    ↳ Chiết tự: bộ 扌 (thủ – tay) + 比 (tỷ – so sánh) — tay so sánh rồi phê
发 [PHÁT / PHÁP] · phát ra, gửi; tóc
    ↳ Chiết tự: giản thể của 發 (phát ra) và 髮 (tóc): bộ 又 (hựu – tay) + 弓 — tay giương cung bắn ra</t>
        </is>
      </c>
      <c r="U910" s="24" t="inlineStr">
        <is>
          <t>🏢 Thương mại &amp; Công sở</t>
        </is>
      </c>
      <c r="V910" s="63" t="inlineStr">
        <is>
          <t>这里的价格是批发价。</t>
        </is>
      </c>
      <c r="W910" s="64" t="inlineStr">
        <is>
          <t>Zhèli de jiàgé shì pīfā jià.
Giá ở đây là giá bán buôn.</t>
        </is>
      </c>
    </row>
    <row r="911" hidden="1" ht="58.15" customHeight="1" s="99">
      <c r="A911" t="n">
        <v>885</v>
      </c>
      <c r="B911" s="86" t="inlineStr">
        <is>
          <t>THƯƠNG MẠI</t>
        </is>
      </c>
      <c r="C911" s="85" t="inlineStr">
        <is>
          <t>零售</t>
        </is>
      </c>
      <c r="D911" s="78" t="inlineStr">
        <is>
          <t>língshòu</t>
        </is>
      </c>
      <c r="E911" s="78" t="inlineStr">
        <is>
          <t>bán lẻ</t>
        </is>
      </c>
      <c r="G911" s="77" t="inlineStr">
        <is>
          <t>零售</t>
        </is>
      </c>
      <c r="H911" s="55">
        <f>IF(TRIM($G911)="","",IF(EXACT(TRIM($G911),TRIM($C911)),"✅ Đúng","❌ Sai"))</f>
        <v/>
      </c>
      <c r="I911" s="56" t="inlineStr">
        <is>
          <t>▶</t>
        </is>
      </c>
      <c r="J911" s="56" t="inlineStr">
        <is>
          <t>🔍</t>
        </is>
      </c>
      <c r="R911" s="23" t="inlineStr">
        <is>
          <t>Sun Aug 02 2026</t>
        </is>
      </c>
      <c r="T911" s="58" t="inlineStr">
        <is>
          <t>零 [LINH] · số không; lẻ, vụn
    ↳ Chiết tự: bộ 雨 (vũ – mưa) + 令 (lệnh – âm đọc) — giọt mưa lẻ tẻ
售 [THỤ] · bán
    ↳ Chiết tự: bộ 口 (khẩu – miệng) + 隹 (chuy – chim) — rao miệng để bán</t>
        </is>
      </c>
      <c r="U911" s="24" t="inlineStr">
        <is>
          <t>🏢 Thương mại &amp; Công sở</t>
        </is>
      </c>
      <c r="V911" s="63" t="inlineStr">
        <is>
          <t>零售价比批发价高。</t>
        </is>
      </c>
      <c r="W911" s="64" t="inlineStr">
        <is>
          <t>Língshòu jià bǐ pīfā jià gāo.
Giá bán lẻ cao hơn giá bán buôn.</t>
        </is>
      </c>
    </row>
    <row r="912" hidden="1" ht="58.15" customHeight="1" s="99">
      <c r="A912" t="n">
        <v>886</v>
      </c>
      <c r="B912" s="86" t="inlineStr">
        <is>
          <t>THƯƠNG MẠI</t>
        </is>
      </c>
      <c r="C912" s="85" t="inlineStr">
        <is>
          <t>名片</t>
        </is>
      </c>
      <c r="D912" s="78" t="inlineStr">
        <is>
          <t>míngpiàn</t>
        </is>
      </c>
      <c r="E912" s="78" t="inlineStr">
        <is>
          <t>danh thiếp</t>
        </is>
      </c>
      <c r="G912" s="77" t="inlineStr">
        <is>
          <t>名片</t>
        </is>
      </c>
      <c r="H912" s="55">
        <f>IF(TRIM($G912)="","",IF(EXACT(TRIM($G912),TRIM($C912)),"✅ Đúng","❌ Sai"))</f>
        <v/>
      </c>
      <c r="I912" s="56" t="inlineStr">
        <is>
          <t>▶</t>
        </is>
      </c>
      <c r="J912" s="56" t="inlineStr">
        <is>
          <t>🔍</t>
        </is>
      </c>
      <c r="R912" s="23" t="inlineStr">
        <is>
          <t>Sun Aug 02 2026</t>
        </is>
      </c>
      <c r="T912" s="58" t="inlineStr">
        <is>
          <t>名 [DANH] · tên gọi, danh tiếng
    ↳ Chiết tự: bộ 夕 (tịch – buổi tối) + 口 (khẩu – miệng) — trời tối không nhìn rõ, phải xưng tên
片 [PHIẾN] · mảnh, tấm; phim ảnh
    ↳ Chiết tự: bộ 片 (phiến) — hình nửa thân cây bị chẻ ra</t>
        </is>
      </c>
      <c r="U912" s="24" t="inlineStr">
        <is>
          <t>🏢 Thương mại &amp; Công sở</t>
        </is>
      </c>
      <c r="V912" s="63" t="inlineStr">
        <is>
          <t>这是我的名片。</t>
        </is>
      </c>
      <c r="W912" s="64" t="inlineStr">
        <is>
          <t>Zhè shì wǒ de míngpiàn.
Đây là danh thiếp của tôi.</t>
        </is>
      </c>
    </row>
    <row r="913" hidden="1" ht="69.75" customHeight="1" s="99">
      <c r="A913" t="n">
        <v>887</v>
      </c>
      <c r="B913" s="86" t="inlineStr">
        <is>
          <t>THƯƠNG MẠI</t>
        </is>
      </c>
      <c r="C913" s="85" t="inlineStr">
        <is>
          <t>邮件</t>
        </is>
      </c>
      <c r="D913" s="78" t="inlineStr">
        <is>
          <t>yóujiàn</t>
        </is>
      </c>
      <c r="E913" s="78" t="inlineStr">
        <is>
          <t>thư, email</t>
        </is>
      </c>
      <c r="G913" s="77" t="inlineStr">
        <is>
          <t>邮件</t>
        </is>
      </c>
      <c r="H913" s="55">
        <f>IF(TRIM($G913)="","",IF(EXACT(TRIM($G913),TRIM($C913)),"✅ Đúng","❌ Sai"))</f>
        <v/>
      </c>
      <c r="I913" s="56" t="inlineStr">
        <is>
          <t>▶</t>
        </is>
      </c>
      <c r="J913" s="56" t="inlineStr">
        <is>
          <t>🔍</t>
        </is>
      </c>
      <c r="R913" s="23" t="inlineStr">
        <is>
          <t>Sun Aug 02 2026</t>
        </is>
      </c>
      <c r="T913" s="58" t="inlineStr">
        <is>
          <t>邮 [BƯU] · bưu chính, gửi thư
    ↳ Chiết tự: giản thể của 郵: bộ 由 (do) + 阝 (ấp – làng) — trạm chuyển thư giữa các làng
件 [KIỆN] · cái, chiếc (lượng từ vật/việc)
    ↳ Chiết tự: bộ 亻 (nhân đứng – người) + 牛 (ngưu – con trâu) — người xẻ trâu thành từng phần</t>
        </is>
      </c>
      <c r="U913" s="24" t="inlineStr">
        <is>
          <t>🏢 Thương mại &amp; Công sở</t>
        </is>
      </c>
      <c r="V913" s="63" t="inlineStr">
        <is>
          <t>我给你发了一封邮件。</t>
        </is>
      </c>
      <c r="W913" s="64" t="inlineStr">
        <is>
          <t>Wǒ gěi nǐ fā le yì fēng yóujiàn.
Tôi đã gửi bạn một email.</t>
        </is>
      </c>
    </row>
    <row r="914" hidden="1" ht="69.75" customHeight="1" s="99">
      <c r="A914" t="n">
        <v>888</v>
      </c>
      <c r="B914" s="86" t="inlineStr">
        <is>
          <t>THƯƠNG MẠI</t>
        </is>
      </c>
      <c r="C914" s="85" t="inlineStr">
        <is>
          <t>附件</t>
        </is>
      </c>
      <c r="D914" s="78" t="inlineStr">
        <is>
          <t>fùjiàn</t>
        </is>
      </c>
      <c r="E914" s="78" t="inlineStr">
        <is>
          <t>tệp đính kèm</t>
        </is>
      </c>
      <c r="G914" s="77" t="inlineStr">
        <is>
          <t>附件</t>
        </is>
      </c>
      <c r="H914" s="55">
        <f>IF(TRIM($G914)="","",IF(EXACT(TRIM($G914),TRIM($C914)),"✅ Đúng","❌ Sai"))</f>
        <v/>
      </c>
      <c r="I914" s="56" t="inlineStr">
        <is>
          <t>▶</t>
        </is>
      </c>
      <c r="J914" s="56" t="inlineStr">
        <is>
          <t>🔍</t>
        </is>
      </c>
      <c r="R914" s="23" t="inlineStr">
        <is>
          <t>Sun Aug 02 2026</t>
        </is>
      </c>
      <c r="T914" s="58" t="inlineStr">
        <is>
          <t>附 [PHỤ] · gần kề, kèm theo
    ↳ Chiết tự: bộ 阝 (phụ – gò đất) + 付 (phó – trao) — đắp thêm vào bên cạnh
件 [KIỆN] · cái, chiếc (lượng từ vật/việc)
    ↳ Chiết tự: bộ 亻 (nhân đứng – người) + 牛 (ngưu – con trâu) — người xẻ trâu thành từng phần</t>
        </is>
      </c>
      <c r="U914" s="24" t="inlineStr">
        <is>
          <t>🏢 Thương mại &amp; Công sở</t>
        </is>
      </c>
      <c r="V914" s="63" t="inlineStr">
        <is>
          <t>请看邮件的附件。</t>
        </is>
      </c>
      <c r="W914" s="64" t="inlineStr">
        <is>
          <t>Qǐng kàn yóujiàn de fùjiàn.
Xin xem tệp đính kèm trong email.</t>
        </is>
      </c>
    </row>
    <row r="915" hidden="1" ht="69.75" customHeight="1" s="99">
      <c r="A915" t="n">
        <v>889</v>
      </c>
      <c r="B915" s="86" t="inlineStr">
        <is>
          <t>THƯƠNG MẠI</t>
        </is>
      </c>
      <c r="C915" s="85" t="inlineStr">
        <is>
          <t>通知</t>
        </is>
      </c>
      <c r="D915" s="78" t="inlineStr">
        <is>
          <t>tōngzhī</t>
        </is>
      </c>
      <c r="E915" s="78" t="inlineStr">
        <is>
          <t>thông báo</t>
        </is>
      </c>
      <c r="G915" s="77" t="inlineStr">
        <is>
          <t>通知</t>
        </is>
      </c>
      <c r="H915" s="55">
        <f>IF(TRIM($G915)="","",IF(EXACT(TRIM($G915),TRIM($C915)),"✅ Đúng","❌ Sai"))</f>
        <v/>
      </c>
      <c r="I915" s="56" t="inlineStr">
        <is>
          <t>▶</t>
        </is>
      </c>
      <c r="J915" s="56" t="inlineStr">
        <is>
          <t>🔍</t>
        </is>
      </c>
      <c r="R915" s="23" t="inlineStr">
        <is>
          <t>Sun Aug 02 2026</t>
        </is>
      </c>
      <c r="T915" s="58" t="inlineStr">
        <is>
          <t>通 [THÔNG] · thông suốt, thông thường
    ↳ Chiết tự: bộ 辶 (sước – bước đi) + 甬 (dũng – âm đọc) — đường đi suốt không tắc
知 [TRI] · biết, hiểu biết
    ↳ Chiết tự: bộ 矢 (thỉ – mũi tên) + 口 (khẩu – miệng) — lời nói bật ra nhanh như tên vì đã hiểu</t>
        </is>
      </c>
      <c r="U915" s="24" t="inlineStr">
        <is>
          <t>🏢 Thương mại &amp; Công sở</t>
        </is>
      </c>
      <c r="V915" s="63" t="inlineStr">
        <is>
          <t>请通知大家开会。</t>
        </is>
      </c>
      <c r="W915" s="64" t="inlineStr">
        <is>
          <t>Qǐng tōngzhī dàjiā kāihuì.
Xin thông báo mọi người họp.</t>
        </is>
      </c>
    </row>
    <row r="916" ht="69.75" customHeight="1" s="99">
      <c r="A916" t="n">
        <v>890</v>
      </c>
      <c r="B916" s="86" t="inlineStr">
        <is>
          <t>THƯƠNG MẠI</t>
        </is>
      </c>
      <c r="C916" s="85" t="inlineStr">
        <is>
          <t>申请</t>
        </is>
      </c>
      <c r="D916" s="78" t="inlineStr">
        <is>
          <t>shēnqǐng</t>
        </is>
      </c>
      <c r="E916" s="78" t="inlineStr">
        <is>
          <t>đơn xin, xin phép</t>
        </is>
      </c>
      <c r="H916" s="55">
        <f>IF(TRIM($G916)="","",IF(EXACT(TRIM($G916),TRIM($C916)),"✅ Đúng","❌ Sai"))</f>
        <v/>
      </c>
      <c r="I916" s="56" t="inlineStr">
        <is>
          <t>▶</t>
        </is>
      </c>
      <c r="J916" s="56" t="inlineStr">
        <is>
          <t>🔍</t>
        </is>
      </c>
      <c r="R916" s="23" t="inlineStr">
        <is>
          <t>Sun Aug 02 2026</t>
        </is>
      </c>
      <c r="T916" s="58" t="inlineStr">
        <is>
          <t>申 [THÂN] · trình bày, xin
    ↳ Chiết tự: bộ 田 (điền) + 丨 (cổn) — hình tia chớp vươn dài, nghĩa "bày tỏ"
请 [THỈNH] · mời, xin, thỉnh cầu
    ↳ Chiết tự: giản thể của 請: bộ 讠 (ngôn – lời nói) + 青 (thanh – trong xanh) — lời nói nhã nhặn</t>
        </is>
      </c>
      <c r="U916" s="24" t="inlineStr">
        <is>
          <t>🏢 Thương mại &amp; Công sở</t>
        </is>
      </c>
      <c r="V916" s="63" t="inlineStr">
        <is>
          <t>我要申请签证。</t>
        </is>
      </c>
      <c r="W916" s="64" t="inlineStr">
        <is>
          <t>Wǒ yào shēnqǐng qiānzhèng.
Tôi phải xin thị thực.</t>
        </is>
      </c>
    </row>
    <row r="917" hidden="1" ht="69.75" customHeight="1" s="99">
      <c r="A917" t="n">
        <v>891</v>
      </c>
      <c r="B917" s="86" t="inlineStr">
        <is>
          <t>THƯƠNG MẠI</t>
        </is>
      </c>
      <c r="C917" s="85" t="inlineStr">
        <is>
          <t>批准</t>
        </is>
      </c>
      <c r="D917" s="78" t="inlineStr">
        <is>
          <t>pīzhǔn</t>
        </is>
      </c>
      <c r="E917" s="78" t="inlineStr">
        <is>
          <t>phê chuẩn, chấp thuận</t>
        </is>
      </c>
      <c r="G917" s="77" t="inlineStr">
        <is>
          <t>批准</t>
        </is>
      </c>
      <c r="H917" s="55">
        <f>IF(TRIM($G917)="","",IF(EXACT(TRIM($G917),TRIM($C917)),"✅ Đúng","❌ Sai"))</f>
        <v/>
      </c>
      <c r="I917" s="56" t="inlineStr">
        <is>
          <t>▶</t>
        </is>
      </c>
      <c r="J917" s="56" t="inlineStr">
        <is>
          <t>🔍</t>
        </is>
      </c>
      <c r="R917" s="23" t="inlineStr">
        <is>
          <t>Sun Aug 02 2026</t>
        </is>
      </c>
      <c r="T917" s="58" t="inlineStr">
        <is>
          <t>批 [PHÊ] · phê chuẩn; lô, đợt
    ↳ Chiết tự: bộ 扌 (thủ – tay) + 比 (tỷ – so sánh) — tay so sánh rồi phê
准 [CHUẨN] · chuẩn xác; cho phép; chuẩn bị
    ↳ Chiết tự: giản thể của 準: bộ 冫 (băng – nước phẳng) + 隹 (chuy – chim đuôi ngắn) — mặt nước phẳng làm mực chuẩn</t>
        </is>
      </c>
      <c r="U917" s="24" t="inlineStr">
        <is>
          <t>🏢 Thương mại &amp; Công sở</t>
        </is>
      </c>
      <c r="V917" s="63" t="inlineStr">
        <is>
          <t>经理批准了我的申请。</t>
        </is>
      </c>
      <c r="W917" s="64" t="inlineStr">
        <is>
          <t>Jīnglǐ pīzhǔn le wǒ de shēnqǐng.
Giám đốc đã phê duyệt đơn của tôi.</t>
        </is>
      </c>
    </row>
    <row r="918" hidden="1" ht="69.75" customHeight="1" s="99">
      <c r="A918" t="n">
        <v>892</v>
      </c>
      <c r="B918" s="86" t="inlineStr">
        <is>
          <t>THƯƠNG MẠI</t>
        </is>
      </c>
      <c r="C918" s="85" t="inlineStr">
        <is>
          <t>负责</t>
        </is>
      </c>
      <c r="D918" s="78" t="inlineStr">
        <is>
          <t>fùzé</t>
        </is>
      </c>
      <c r="E918" s="78" t="inlineStr">
        <is>
          <t>chịu trách nhiệm</t>
        </is>
      </c>
      <c r="G918" s="77" t="inlineStr">
        <is>
          <t>负责</t>
        </is>
      </c>
      <c r="H918" s="55">
        <f>IF(TRIM($G918)="","",IF(EXACT(TRIM($G918),TRIM($C918)),"✅ Đúng","❌ Sai"))</f>
        <v/>
      </c>
      <c r="I918" s="56" t="inlineStr">
        <is>
          <t>▶</t>
        </is>
      </c>
      <c r="J918" s="56" t="inlineStr">
        <is>
          <t>🔍</t>
        </is>
      </c>
      <c r="R918" s="23" t="inlineStr">
        <is>
          <t>Sun Aug 02 2026</t>
        </is>
      </c>
      <c r="T918" s="58" t="inlineStr">
        <is>
          <t>负 [PHỤ] · gánh, chịu; âm (số)
    ↳ Chiết tự: giản thể của 負: bộ 贝 (bối – tiền của) + 刀 — người mang của trên lưng
责 [TRÁCH] · trách nhiệm, đòi hỏi
    ↳ Chiết tự: giản thể của 責: bộ 贝 (bối – tiền của) + 主 — đòi nợ, buộc phải làm</t>
        </is>
      </c>
      <c r="U918" s="24" t="inlineStr">
        <is>
          <t>🏢 Thương mại &amp; Công sở</t>
        </is>
      </c>
      <c r="V918" s="63" t="inlineStr">
        <is>
          <t>这个项目由我负责。</t>
        </is>
      </c>
      <c r="W918" s="64" t="inlineStr">
        <is>
          <t>Zhège xiàngmù yóu wǒ fùzé.
Dự án này do tôi phụ trách.</t>
        </is>
      </c>
    </row>
    <row r="919" hidden="1" ht="69.75" customHeight="1" s="99">
      <c r="A919" t="n">
        <v>893</v>
      </c>
      <c r="B919" s="86" t="inlineStr">
        <is>
          <t>THƯƠNG MẠI</t>
        </is>
      </c>
      <c r="C919" s="85" t="inlineStr">
        <is>
          <t>安排</t>
        </is>
      </c>
      <c r="D919" s="78" t="inlineStr">
        <is>
          <t>ānpái</t>
        </is>
      </c>
      <c r="E919" s="78" t="inlineStr">
        <is>
          <t>sắp xếp, thu xếp</t>
        </is>
      </c>
      <c r="G919" s="77" t="inlineStr">
        <is>
          <t>安排</t>
        </is>
      </c>
      <c r="H919" s="55">
        <f>IF(TRIM($G919)="","",IF(EXACT(TRIM($G919),TRIM($C919)),"✅ Đúng","❌ Sai"))</f>
        <v/>
      </c>
      <c r="I919" s="56" t="inlineStr">
        <is>
          <t>▶</t>
        </is>
      </c>
      <c r="J919" s="56" t="inlineStr">
        <is>
          <t>🔍</t>
        </is>
      </c>
      <c r="R919" s="23" t="inlineStr">
        <is>
          <t>Sun Aug 02 2026</t>
        </is>
      </c>
      <c r="T919" s="58" t="inlineStr">
        <is>
          <t>安 [AN] · yên ổn, an toàn
    ↳ Chiết tự: bộ 宀 (miên – mái nhà) + 女 (nữ – phụ nữ) — người nữ ở trong nhà thì yên
排 [BÀI] · sắp xếp, xếp hàng
    ↳ Chiết tự: bộ 扌 (thủ – tay) + 非 (phi – âm đọc) — tay xếp cho thẳng hàng</t>
        </is>
      </c>
      <c r="U919" s="24" t="inlineStr">
        <is>
          <t>🏢 Thương mại &amp; Công sở</t>
        </is>
      </c>
      <c r="V919" s="63" t="inlineStr">
        <is>
          <t>请安排一下时间。</t>
        </is>
      </c>
      <c r="W919" s="64" t="inlineStr">
        <is>
          <t>Qǐng ānpái yíxià shíjiān.
Xin sắp xếp thời gian giúp.</t>
        </is>
      </c>
    </row>
    <row r="920" ht="69.75" customHeight="1" s="99">
      <c r="A920" t="n">
        <v>894</v>
      </c>
      <c r="B920" s="86" t="inlineStr">
        <is>
          <t>THƯƠNG MẠI</t>
        </is>
      </c>
      <c r="C920" s="85" t="inlineStr">
        <is>
          <t>确认</t>
        </is>
      </c>
      <c r="D920" s="78" t="inlineStr">
        <is>
          <t>quèrèn</t>
        </is>
      </c>
      <c r="E920" s="78" t="inlineStr">
        <is>
          <t>xác nhận</t>
        </is>
      </c>
      <c r="H920" s="55">
        <f>IF(TRIM($G920)="","",IF(EXACT(TRIM($G920),TRIM($C920)),"✅ Đúng","❌ Sai"))</f>
        <v/>
      </c>
      <c r="I920" s="56" t="inlineStr">
        <is>
          <t>▶</t>
        </is>
      </c>
      <c r="J920" s="56" t="inlineStr">
        <is>
          <t>🔍</t>
        </is>
      </c>
      <c r="R920" s="23" t="inlineStr">
        <is>
          <t>Sun Aug 02 2026</t>
        </is>
      </c>
      <c r="T920" s="58" t="inlineStr">
        <is>
          <t>确 [XÁC] · xác thực, chắc chắn
    ↳ Chiết tự: giản thể của 確: bộ 石 (thạch – đá) + 角 (giác – âm đọc) — cứng như đá, chắc chắn
认 [NHẬN] · nhận biết, thừa nhận
    ↳ Chiết tự: giản thể của 認: bộ 讠 (ngôn – lời nói) + 人 (nhân – người) — qua lời mà nhận ra người</t>
        </is>
      </c>
      <c r="U920" s="24" t="inlineStr">
        <is>
          <t>🏢 Thương mại &amp; Công sở</t>
        </is>
      </c>
      <c r="V920" s="63" t="inlineStr">
        <is>
          <t>请确认收到邮件。</t>
        </is>
      </c>
      <c r="W920" s="64" t="inlineStr">
        <is>
          <t>Qǐng quèrèn shōudào yóujiàn.
Xin xác nhận đã nhận được email.</t>
        </is>
      </c>
    </row>
    <row r="921" ht="58.15" customHeight="1" s="99">
      <c r="A921" t="n">
        <v>895</v>
      </c>
      <c r="B921" s="86" t="inlineStr">
        <is>
          <t>THƯƠNG MẠI</t>
        </is>
      </c>
      <c r="C921" s="85" t="inlineStr">
        <is>
          <t>联系</t>
        </is>
      </c>
      <c r="D921" s="78" t="inlineStr">
        <is>
          <t>liánxì</t>
        </is>
      </c>
      <c r="E921" s="78" t="inlineStr">
        <is>
          <t>liên hệ, liên lạc</t>
        </is>
      </c>
      <c r="H921" s="55">
        <f>IF(TRIM($G921)="","",IF(EXACT(TRIM($G921),TRIM($C921)),"✅ Đúng","❌ Sai"))</f>
        <v/>
      </c>
      <c r="I921" s="56" t="inlineStr">
        <is>
          <t>▶</t>
        </is>
      </c>
      <c r="J921" s="56" t="inlineStr">
        <is>
          <t>🔍</t>
        </is>
      </c>
      <c r="R921" s="23" t="inlineStr">
        <is>
          <t>Sun Aug 02 2026</t>
        </is>
      </c>
      <c r="T921" s="58" t="inlineStr">
        <is>
          <t>联 [LIÊN] · liên kết, nối
    ↳ Chiết tự: giản thể của 聯: bộ 耳 (nhĩ – tai) + 关 (quan – âm đọc) — nối liền lại
系 [HỆ] · hệ thống, quan hệ; buộc
    ↳ Chiết tự: bộ 糸 (mịch – sợi tơ) + 丿 — sợi tơ buộc nối các vật</t>
        </is>
      </c>
      <c r="U921" s="24" t="inlineStr">
        <is>
          <t>🏢 Thương mại &amp; Công sở</t>
        </is>
      </c>
      <c r="V921" s="63" t="inlineStr">
        <is>
          <t>请随时联系我。</t>
        </is>
      </c>
      <c r="W921" s="64" t="inlineStr">
        <is>
          <t>Qǐng suíshí liánxì wǒ.
Xin liên hệ tôi bất cứ lúc nào.</t>
        </is>
      </c>
    </row>
    <row r="922" hidden="1" ht="69.75" customHeight="1" s="99">
      <c r="A922" t="n">
        <v>896</v>
      </c>
      <c r="B922" s="86" t="inlineStr">
        <is>
          <t>THƯƠNG MẠI</t>
        </is>
      </c>
      <c r="C922" s="85" t="inlineStr">
        <is>
          <t>讨论</t>
        </is>
      </c>
      <c r="D922" s="78" t="inlineStr">
        <is>
          <t>tǎolùn</t>
        </is>
      </c>
      <c r="E922" s="78" t="inlineStr">
        <is>
          <t>thảo luận</t>
        </is>
      </c>
      <c r="G922" s="77" t="inlineStr">
        <is>
          <t>讨论</t>
        </is>
      </c>
      <c r="H922" s="55">
        <f>IF(TRIM($G922)="","",IF(EXACT(TRIM($G922),TRIM($C922)),"✅ Đúng","❌ Sai"))</f>
        <v/>
      </c>
      <c r="I922" s="56" t="inlineStr">
        <is>
          <t>▶</t>
        </is>
      </c>
      <c r="J922" s="56" t="inlineStr">
        <is>
          <t>🔍</t>
        </is>
      </c>
      <c r="R922" s="23" t="inlineStr">
        <is>
          <t>Sun Aug 02 2026</t>
        </is>
      </c>
      <c r="T922" s="58" t="inlineStr">
        <is>
          <t>讨 [THẢO] · bàn bạc, thảo phạt
    ↳ Chiết tự: giản thể của 討: bộ 讠 (ngôn – lời nói) + 寸 (thốn – bàn tay) — lời nói đo lường mà bàn
论 [LUẬN] · luận bàn, lý luận
    ↳ Chiết tự: giản thể của 論: bộ 讠 (ngôn – lời nói) + 仑 (luân – âm đọc) — lời nói có thứ tự</t>
        </is>
      </c>
      <c r="U922" s="24" t="inlineStr">
        <is>
          <t>🏢 Thương mại &amp; Công sở</t>
        </is>
      </c>
      <c r="V922" s="63" t="inlineStr">
        <is>
          <t>我们讨论一下这个问题。</t>
        </is>
      </c>
      <c r="W922" s="64" t="inlineStr">
        <is>
          <t>Wǒmen tǎolùn yíxià zhège wèntí.
Chúng ta thảo luận vấn đề này chút.</t>
        </is>
      </c>
    </row>
    <row r="923" ht="69.75" customHeight="1" s="99">
      <c r="A923" t="n">
        <v>897</v>
      </c>
      <c r="B923" s="86" t="inlineStr">
        <is>
          <t>THƯƠNG MẠI</t>
        </is>
      </c>
      <c r="C923" s="85" t="inlineStr">
        <is>
          <t>建议</t>
        </is>
      </c>
      <c r="D923" s="78" t="inlineStr">
        <is>
          <t>jiànyì</t>
        </is>
      </c>
      <c r="E923" s="78" t="inlineStr">
        <is>
          <t>kiến nghị, đề xuất</t>
        </is>
      </c>
      <c r="H923" s="55">
        <f>IF(TRIM($G923)="","",IF(EXACT(TRIM($G923),TRIM($C923)),"✅ Đúng","❌ Sai"))</f>
        <v/>
      </c>
      <c r="I923" s="56" t="inlineStr">
        <is>
          <t>▶</t>
        </is>
      </c>
      <c r="J923" s="56" t="inlineStr">
        <is>
          <t>🔍</t>
        </is>
      </c>
      <c r="R923" s="23" t="inlineStr">
        <is>
          <t>Sun Aug 02 2026</t>
        </is>
      </c>
      <c r="T923" s="58" t="inlineStr">
        <is>
          <t>建 [KIẾN] · xây dựng, kiến nghị
    ↳ Chiết tự: bộ 廴 (dẫn – bước dài) + 聿 (duật – cây bút) — cầm bút vạch mà dựng nên
议 [NGHỊ] · bàn luận, nghị sự
    ↳ Chiết tự: giản thể của 議: bộ 讠 (ngôn – lời nói) + 义 (nghĩa) — dùng lời bàn cho hợp nghĩa</t>
        </is>
      </c>
      <c r="U923" s="24" t="inlineStr">
        <is>
          <t>🏢 Thương mại &amp; Công sở</t>
        </is>
      </c>
      <c r="V923" s="63" t="inlineStr">
        <is>
          <t>我建议先看样品。</t>
        </is>
      </c>
      <c r="W923" s="64" t="inlineStr">
        <is>
          <t>Wǒ jiànyì xiān kàn yàngpǐn.
Tôi đề nghị xem hàng mẫu trước.</t>
        </is>
      </c>
    </row>
    <row r="924" ht="69.75" customHeight="1" s="99">
      <c r="A924" t="n">
        <v>898</v>
      </c>
      <c r="B924" s="86" t="inlineStr">
        <is>
          <t>THƯƠNG MẠI</t>
        </is>
      </c>
      <c r="C924" s="85" t="inlineStr">
        <is>
          <t>签署</t>
        </is>
      </c>
      <c r="D924" s="78" t="inlineStr">
        <is>
          <t>qiānshǔ</t>
        </is>
      </c>
      <c r="E924" s="78" t="inlineStr">
        <is>
          <t>ký kết</t>
        </is>
      </c>
      <c r="H924" s="55">
        <f>IF(TRIM($G924)="","",IF(EXACT(TRIM($G924),TRIM($C924)),"✅ Đúng","❌ Sai"))</f>
        <v/>
      </c>
      <c r="I924" s="56" t="inlineStr">
        <is>
          <t>▶</t>
        </is>
      </c>
      <c r="J924" s="56" t="inlineStr">
        <is>
          <t>🔍</t>
        </is>
      </c>
      <c r="R924" s="23" t="inlineStr">
        <is>
          <t>Sun Aug 02 2026</t>
        </is>
      </c>
      <c r="T924" s="58" t="inlineStr">
        <is>
          <t>签 [THIÊM] · ký tên; thẻ tre
    ↳ Chiết tự: giản thể của 簽: bộ 竹 (trúc – tre) + 佥 (thiêm – âm đọc) — thẻ tre ghi tên
署 [THỰ] · ký tên; cơ quan
    ↳ Chiết tự: bộ 罒 (võng – cái lưới) + 者 (giả) — bố trí, ghi tên vào bảng</t>
        </is>
      </c>
      <c r="U924" s="24" t="inlineStr">
        <is>
          <t>🏢 Thương mại &amp; Công sở</t>
        </is>
      </c>
      <c r="V924" s="63" t="inlineStr">
        <is>
          <t>双方签署了合同。</t>
        </is>
      </c>
      <c r="W924" s="64" t="inlineStr">
        <is>
          <t>Shuāngfāng qiānshǔ le hétong.
Hai bên đã ký kết hợp đồng.</t>
        </is>
      </c>
    </row>
    <row r="925" ht="58.15" customHeight="1" s="99">
      <c r="A925" t="n">
        <v>899</v>
      </c>
      <c r="B925" s="86" t="inlineStr">
        <is>
          <t>THƯƠNG MẠI</t>
        </is>
      </c>
      <c r="C925" s="85" t="inlineStr">
        <is>
          <t>延期</t>
        </is>
      </c>
      <c r="D925" s="78" t="inlineStr">
        <is>
          <t>yánqī</t>
        </is>
      </c>
      <c r="E925" s="78" t="inlineStr">
        <is>
          <t>gia hạn, hoãn</t>
        </is>
      </c>
      <c r="H925" s="55">
        <f>IF(TRIM($G925)="","",IF(EXACT(TRIM($G925),TRIM($C925)),"✅ Đúng","❌ Sai"))</f>
        <v/>
      </c>
      <c r="I925" s="56" t="inlineStr">
        <is>
          <t>▶</t>
        </is>
      </c>
      <c r="J925" s="56" t="inlineStr">
        <is>
          <t>🔍</t>
        </is>
      </c>
      <c r="R925" s="23" t="inlineStr">
        <is>
          <t>Sun Aug 02 2026</t>
        </is>
      </c>
      <c r="T925" s="58" t="inlineStr">
        <is>
          <t>延 [DIÊN] · kéo dài, trì hoãn
    ↳ Chiết tự: bộ 廴 (dẫn – bước dài) + 丿 + 止 — bước chân dài ra
期 [KỲ] · kỳ hạn, thời kỳ, mong đợi
    ↳ Chiết tự: bộ 其 (kỳ – âm đọc) + 月 (nguyệt – tháng) — mốc tính theo tháng</t>
        </is>
      </c>
      <c r="U925" s="24" t="inlineStr">
        <is>
          <t>🏢 Thương mại &amp; Công sở</t>
        </is>
      </c>
      <c r="V925" s="63" t="inlineStr">
        <is>
          <t>交货时间要延期。</t>
        </is>
      </c>
      <c r="W925" s="64" t="inlineStr">
        <is>
          <t>Jiāohuò shíjiān yào yánqī.
Thời gian giao hàng phải gia hạn.</t>
        </is>
      </c>
    </row>
    <row r="926" ht="69.75" customHeight="1" s="99">
      <c r="A926" t="n">
        <v>900</v>
      </c>
      <c r="B926" s="86" t="inlineStr">
        <is>
          <t>THƯƠNG MẠI</t>
        </is>
      </c>
      <c r="C926" s="85" t="inlineStr">
        <is>
          <t>取消</t>
        </is>
      </c>
      <c r="D926" s="78" t="inlineStr">
        <is>
          <t>qǔxiāo</t>
        </is>
      </c>
      <c r="E926" s="78" t="inlineStr">
        <is>
          <t>hủy bỏ</t>
        </is>
      </c>
      <c r="H926" s="55">
        <f>IF(TRIM($G926)="","",IF(EXACT(TRIM($G926),TRIM($C926)),"✅ Đúng","❌ Sai"))</f>
        <v/>
      </c>
      <c r="I926" s="56" t="inlineStr">
        <is>
          <t>▶</t>
        </is>
      </c>
      <c r="J926" s="56" t="inlineStr">
        <is>
          <t>🔍</t>
        </is>
      </c>
      <c r="R926" s="23" t="inlineStr">
        <is>
          <t>Sun Aug 02 2026</t>
        </is>
      </c>
      <c r="T926" s="58" t="inlineStr">
        <is>
          <t>取 [THỦ] · lấy, nhận
    ↳ Chiết tự: bộ 又 (hựu – bàn tay) + 耳 (nhĩ – tai) — tay cầm lấy tai, nghĩa "chiếm lấy"
消 [TIÊU] · tiêu tan, hủy bỏ
    ↳ Chiết tự: bộ 氵 (thủy – nước) + 肖 (tiêu – âm đọc) — tan ra như nước</t>
        </is>
      </c>
      <c r="U926" s="24" t="inlineStr">
        <is>
          <t>🏢 Thương mại &amp; Công sở</t>
        </is>
      </c>
      <c r="V926" s="63" t="inlineStr">
        <is>
          <t>这个订单取消了。</t>
        </is>
      </c>
      <c r="W926" s="64" t="inlineStr">
        <is>
          <t>Zhège dìngdān qǔxiāo le.
Đơn hàng này đã bị hủy.</t>
        </is>
      </c>
    </row>
    <row r="927" ht="69.75" customHeight="1" s="99">
      <c r="A927" t="n">
        <v>901</v>
      </c>
      <c r="B927" s="86" t="inlineStr">
        <is>
          <t>THƯƠNG MẠI</t>
        </is>
      </c>
      <c r="C927" s="85" t="inlineStr">
        <is>
          <t>赔偿</t>
        </is>
      </c>
      <c r="D927" s="78" t="inlineStr">
        <is>
          <t>péicháng</t>
        </is>
      </c>
      <c r="E927" s="78" t="inlineStr">
        <is>
          <t>đền bù, bồi thường</t>
        </is>
      </c>
      <c r="H927" s="55">
        <f>IF(TRIM($G927)="","",IF(EXACT(TRIM($G927),TRIM($C927)),"✅ Đúng","❌ Sai"))</f>
        <v/>
      </c>
      <c r="I927" s="56" t="inlineStr">
        <is>
          <t>▶</t>
        </is>
      </c>
      <c r="J927" s="56" t="inlineStr">
        <is>
          <t>🔍</t>
        </is>
      </c>
      <c r="R927" s="23" t="inlineStr">
        <is>
          <t>Sun Aug 02 2026</t>
        </is>
      </c>
      <c r="T927" s="58" t="inlineStr">
        <is>
          <t>赔 [BỒI] · đền bù, bồi thường
    ↳ Chiết tự: giản thể của 賠: bộ 贝 (bối – tiền của) + 咅 (phẫu – âm đọc) — trả lại tiền
偿 [THƯỞNG] · bù đắp, hoàn trả
    ↳ Chiết tự: giản thể của 償: bộ 亻 (nhân đứng – người) + 尚 (thượng – âm đọc) — người hoàn lại đủ</t>
        </is>
      </c>
      <c r="U927" s="24" t="inlineStr">
        <is>
          <t>🏢 Thương mại &amp; Công sở</t>
        </is>
      </c>
      <c r="V927" s="63" t="inlineStr">
        <is>
          <t>我们要求赔偿。</t>
        </is>
      </c>
      <c r="W927" s="64" t="inlineStr">
        <is>
          <t>Wǒmen yāoqiú péicháng.
Chúng tôi yêu cầu bồi thường.</t>
        </is>
      </c>
    </row>
    <row r="928" ht="69.75" customHeight="1" s="99">
      <c r="A928" t="n">
        <v>902</v>
      </c>
      <c r="B928" s="86" t="inlineStr">
        <is>
          <t>THƯƠNG MẠI</t>
        </is>
      </c>
      <c r="C928" s="85" t="inlineStr">
        <is>
          <t>索赔</t>
        </is>
      </c>
      <c r="D928" s="78" t="inlineStr">
        <is>
          <t>suǒpéi</t>
        </is>
      </c>
      <c r="E928" s="78" t="inlineStr">
        <is>
          <t>khiếu nại đòi bồi thường</t>
        </is>
      </c>
      <c r="H928" s="55">
        <f>IF(TRIM($G928)="","",IF(EXACT(TRIM($G928),TRIM($C928)),"✅ Đúng","❌ Sai"))</f>
        <v/>
      </c>
      <c r="I928" s="56" t="inlineStr">
        <is>
          <t>▶</t>
        </is>
      </c>
      <c r="J928" s="56" t="inlineStr">
        <is>
          <t>🔍</t>
        </is>
      </c>
      <c r="R928" s="23" t="inlineStr">
        <is>
          <t>Sun Aug 02 2026</t>
        </is>
      </c>
      <c r="T928" s="58" t="inlineStr">
        <is>
          <t>索 [SÁCH] · đòi, tìm; sợi dây
    ↳ Chiết tự: bộ 糸 (mịch – sợi tơ) + 十 — hình dây bện, nghĩa "lần dây mà tìm"
赔 [BỒI] · đền bù, bồi thường
    ↳ Chiết tự: giản thể của 賠: bộ 贝 (bối – tiền của) + 咅 (phẫu – âm đọc) — trả lại tiền</t>
        </is>
      </c>
      <c r="U928" s="24" t="inlineStr">
        <is>
          <t>🏢 Thương mại &amp; Công sở</t>
        </is>
      </c>
      <c r="V928" s="63" t="inlineStr">
        <is>
          <t>客户提出了索赔。</t>
        </is>
      </c>
      <c r="W928" s="64" t="inlineStr">
        <is>
          <t>Kèhù tíchū le suǒpéi.
Khách hàng đã đưa ra khiếu nại đòi bồi thường.</t>
        </is>
      </c>
    </row>
    <row r="929" ht="69.75" customHeight="1" s="99">
      <c r="A929" t="n">
        <v>903</v>
      </c>
      <c r="B929" s="86" t="inlineStr">
        <is>
          <t>THƯƠNG MẠI</t>
        </is>
      </c>
      <c r="C929" s="85" t="inlineStr">
        <is>
          <t>仓库</t>
        </is>
      </c>
      <c r="D929" s="78" t="inlineStr">
        <is>
          <t>cāngkù</t>
        </is>
      </c>
      <c r="E929" s="78" t="inlineStr">
        <is>
          <t>kho hàng</t>
        </is>
      </c>
      <c r="H929" s="55">
        <f>IF(TRIM($G929)="","",IF(EXACT(TRIM($G929),TRIM($C929)),"✅ Đúng","❌ Sai"))</f>
        <v/>
      </c>
      <c r="I929" s="56" t="inlineStr">
        <is>
          <t>▶</t>
        </is>
      </c>
      <c r="J929" s="56" t="inlineStr">
        <is>
          <t>🔍</t>
        </is>
      </c>
      <c r="R929" s="23" t="inlineStr">
        <is>
          <t>Sun Aug 02 2026</t>
        </is>
      </c>
      <c r="T929" s="58" t="inlineStr">
        <is>
          <t>仓 [THƯƠNG] · kho, vựa
    ↳ Chiết tự: giản thể của 倉: bộ 人 (nhân) + 口 (khẩu) — nhà chứa lương thực
库 [KHỐ] · kho, nhà chứa
    ↳ Chiết tự: giản thể của 庫: bộ 广 (nghiễm – mái che) + 车 (xa – xe) — mái che để xe, nhà kho</t>
        </is>
      </c>
      <c r="U929" s="70" t="inlineStr">
        <is>
          <t>🏢 Thương mại &amp; Công sở</t>
        </is>
      </c>
      <c r="V929" s="63" t="inlineStr">
        <is>
          <t>货物在仓库里。</t>
        </is>
      </c>
      <c r="W929" s="64" t="inlineStr">
        <is>
          <t>Huòwù zài cāngkù li.
Hàng ở trong kho.</t>
        </is>
      </c>
    </row>
    <row r="930" ht="69.75" customHeight="1" s="99">
      <c r="A930" t="n">
        <v>904</v>
      </c>
      <c r="B930" s="86" t="inlineStr">
        <is>
          <t>VIDEO</t>
        </is>
      </c>
      <c r="C930" s="85" t="inlineStr">
        <is>
          <t>很多</t>
        </is>
      </c>
      <c r="D930" s="78" t="inlineStr">
        <is>
          <t>hěnduō</t>
        </is>
      </c>
      <c r="E930" s="78" t="inlineStr">
        <is>
          <t>rất nhiều</t>
        </is>
      </c>
      <c r="H930" s="55">
        <f>IF(TRIM($G930)="","",IF(EXACT(TRIM($G930),TRIM($C930)),"✅ Đúng","❌ Sai"))</f>
        <v/>
      </c>
      <c r="I930" s="56" t="inlineStr">
        <is>
          <t>▶</t>
        </is>
      </c>
      <c r="J930" s="56" t="inlineStr">
        <is>
          <t>🔍</t>
        </is>
      </c>
      <c r="R930" s="23" t="inlineStr">
        <is>
          <t>Sun Aug 02 2026</t>
        </is>
      </c>
      <c r="S930" t="inlineStr">
        <is>
          <t>📹 Từ video · xuất hiện 17 lần</t>
        </is>
      </c>
      <c r="T930" s="58" t="inlineStr">
        <is>
          <t>很 [NGẬN] · rất, lắm
    ↳ Chiết tự: bộ 彳 (xích – bước ngắn) + 艮 (cấn – âm đọc) — mức độ đi rất xa
多 [ĐA] · nhiều
    ↳ Chiết tự: hai bộ 夕 (tịch – đêm) chồng nhau — hết đêm này qua đêm khác, tích lại thành nhiều</t>
        </is>
      </c>
      <c r="U930" s="70" t="inlineStr">
        <is>
          <t>🎬 HSK 1–2 | 为什么学了很久还是不会说中文？| Why You Still Can’t Speak Chinese?</t>
        </is>
      </c>
      <c r="V930" s="63" t="inlineStr">
        <is>
          <t>对。很多人说：</t>
        </is>
      </c>
      <c r="W930" s="64" t="inlineStr">
        <is>
          <t>duì。 hěn duō rén shuō：
➜ Phải. Nhiều người nói:</t>
        </is>
      </c>
    </row>
    <row r="931" ht="69.75" customHeight="1" s="99">
      <c r="A931" t="n">
        <v>905</v>
      </c>
      <c r="B931" s="86" t="inlineStr">
        <is>
          <t>VIDEO</t>
        </is>
      </c>
      <c r="C931" s="85" t="inlineStr">
        <is>
          <t>完美</t>
        </is>
      </c>
      <c r="D931" s="78" t="inlineStr">
        <is>
          <t>wánměi</t>
        </is>
      </c>
      <c r="E931" s="78" t="inlineStr">
        <is>
          <t>hoàn hảo</t>
        </is>
      </c>
      <c r="H931" s="55">
        <f>IF(TRIM($G931)="","",IF(EXACT(TRIM($G931),TRIM($C931)),"✅ Đúng","❌ Sai"))</f>
        <v/>
      </c>
      <c r="I931" s="56" t="inlineStr">
        <is>
          <t>▶</t>
        </is>
      </c>
      <c r="J931" s="56" t="inlineStr">
        <is>
          <t>🔍</t>
        </is>
      </c>
      <c r="R931" s="23" t="inlineStr">
        <is>
          <t>Sun Aug 02 2026</t>
        </is>
      </c>
      <c r="S931" t="inlineStr">
        <is>
          <t>📹 Từ video · xuất hiện 10 lần</t>
        </is>
      </c>
      <c r="T931" s="58" t="inlineStr">
        <is>
          <t>完 [HOÀN] · xong, hoàn thành, trọn vẹn
    ↳ Chiết tự: bộ 宀 (miên – mái nhà) + 元 (nguyên – âm đọc) — dựng nhà xong xuôi
美 [MỸ] · đẹp; nước Mỹ
    ↳ Chiết tự: bộ 羊 (dương – con dê) + 大 (đại – lớn) — con dê lớn béo là đẹp</t>
        </is>
      </c>
      <c r="U931" s="70" t="inlineStr">
        <is>
          <t>🎬 HSK 1–2 | 为什么学了很久还是不会说中文？| Why You Still Can’t Speak Chinese?</t>
        </is>
      </c>
      <c r="V931" s="63" t="inlineStr">
        <is>
          <t>忘掉“完美”。</t>
        </is>
      </c>
      <c r="W931" s="64" t="inlineStr">
        <is>
          <t>wàng diào “ wán měi ”。
➜ Hãy quên đi "hoàn hảo"</t>
        </is>
      </c>
    </row>
    <row r="932" ht="69.75" customHeight="1" s="99">
      <c r="A932" t="n">
        <v>906</v>
      </c>
      <c r="B932" s="86" t="inlineStr">
        <is>
          <t>VIDEO</t>
        </is>
      </c>
      <c r="C932" s="85" t="inlineStr">
        <is>
          <t>输入</t>
        </is>
      </c>
      <c r="D932" s="78" t="inlineStr">
        <is>
          <t>shūrù</t>
        </is>
      </c>
      <c r="E932" s="78" t="inlineStr">
        <is>
          <t>đầu vào</t>
        </is>
      </c>
      <c r="H932" s="55">
        <f>IF(TRIM($G932)="","",IF(EXACT(TRIM($G932),TRIM($C932)),"✅ Đúng","❌ Sai"))</f>
        <v/>
      </c>
      <c r="I932" s="56" t="inlineStr">
        <is>
          <t>▶</t>
        </is>
      </c>
      <c r="J932" s="56" t="inlineStr">
        <is>
          <t>🔍</t>
        </is>
      </c>
      <c r="R932" s="23" t="inlineStr">
        <is>
          <t>Sun Aug 02 2026</t>
        </is>
      </c>
      <c r="S932" t="inlineStr">
        <is>
          <t>📹 Từ video · xuất hiện 10 lần</t>
        </is>
      </c>
      <c r="T932" s="58" t="inlineStr">
        <is>
          <t>输 [THÂU / THÂU VẬN] · vận chuyển, chuyển đi
    ↳ Chiết tự: giản thể của 輸: bộ 车 (xa – xe) + 俞 (du – âm đọc) — dùng xe chở đi
入 [NHẬP] · vào, nhập vào
    ↳ Chiết tự: bộ 入 (nhập) — hình mũi nhọn cắm vào</t>
        </is>
      </c>
      <c r="U932" s="70" t="inlineStr">
        <is>
          <t>🎬 HSK 1–2 | 为什么学了很久还是不会说中文？| Why You Still Can’t Speak Chinese?</t>
        </is>
      </c>
      <c r="V932" s="63" t="inlineStr">
        <is>
          <t>第二，只输入不输出。</t>
        </is>
      </c>
      <c r="W932" s="64" t="inlineStr">
        <is>
          <t>dì èr， zhǐ shū rù bù shū chū。
➜ Thứ hai, chỉ có đầu vào và không có đầu ra</t>
        </is>
      </c>
    </row>
    <row r="933" ht="69.75" customHeight="1" s="99">
      <c r="A933" t="n">
        <v>907</v>
      </c>
      <c r="B933" s="86" t="inlineStr">
        <is>
          <t>VIDEO</t>
        </is>
      </c>
      <c r="C933" s="85" t="inlineStr">
        <is>
          <t>办法</t>
        </is>
      </c>
      <c r="D933" s="78" t="inlineStr">
        <is>
          <t>bànfǎ</t>
        </is>
      </c>
      <c r="E933" s="78" t="inlineStr">
        <is>
          <t>phương pháp</t>
        </is>
      </c>
      <c r="H933" s="55">
        <f>IF(TRIM($G933)="","",IF(EXACT(TRIM($G933),TRIM($C933)),"✅ Đúng","❌ Sai"))</f>
        <v/>
      </c>
      <c r="I933" s="56" t="inlineStr">
        <is>
          <t>▶</t>
        </is>
      </c>
      <c r="J933" s="56" t="inlineStr">
        <is>
          <t>🔍</t>
        </is>
      </c>
      <c r="R933" s="23" t="inlineStr">
        <is>
          <t>Sun Aug 02 2026</t>
        </is>
      </c>
      <c r="S933" t="inlineStr">
        <is>
          <t>📹 Từ video · xuất hiện 10 lần</t>
        </is>
      </c>
      <c r="T933" s="58" t="inlineStr">
        <is>
          <t>办 [BẠN] · làm, xử lý, lo việc
    ↳ Chiết tự: giản thể của 辦: bộ 力 (lực – sức) + hai chấm — dùng sức mà lo xong việc
法 · pháp luật</t>
        </is>
      </c>
      <c r="U933" s="70" t="inlineStr">
        <is>
          <t>🎬 HSK 1–2 | 为什么学了很久还是不会说中文？| Why You Still Can’t Speak Chinese?</t>
        </is>
      </c>
      <c r="V933" s="63" t="inlineStr">
        <is>
          <t>还有一个办法。</t>
        </is>
      </c>
      <c r="W933" s="64" t="inlineStr">
        <is>
          <t>hái yǒu yí gè bàn fǎ。
➜ Có một cách khác</t>
        </is>
      </c>
    </row>
    <row r="934" ht="69.75" customHeight="1" s="99">
      <c r="A934" t="n">
        <v>908</v>
      </c>
      <c r="B934" s="86" t="inlineStr">
        <is>
          <t>VIDEO</t>
        </is>
      </c>
      <c r="C934" s="85" t="inlineStr">
        <is>
          <t>不会</t>
        </is>
      </c>
      <c r="D934" s="78" t="inlineStr">
        <is>
          <t>búhuì</t>
        </is>
      </c>
      <c r="E934" s="78" t="inlineStr">
        <is>
          <t>Không</t>
        </is>
      </c>
      <c r="H934" s="55">
        <f>IF(TRIM($G934)="","",IF(EXACT(TRIM($G934),TRIM($C934)),"✅ Đúng","❌ Sai"))</f>
        <v/>
      </c>
      <c r="I934" s="56" t="inlineStr">
        <is>
          <t>▶</t>
        </is>
      </c>
      <c r="J934" s="56" t="inlineStr">
        <is>
          <t>🔍</t>
        </is>
      </c>
      <c r="R934" s="23" t="inlineStr">
        <is>
          <t>Sun Aug 02 2026</t>
        </is>
      </c>
      <c r="S934" t="inlineStr">
        <is>
          <t>📹 Từ video · xuất hiện 9 lần</t>
        </is>
      </c>
      <c r="T934" s="58" t="inlineStr">
        <is>
          <t>不 [BẤT] · không, chẳng (phủ định)
    ↳ Chiết tự: bộ 一 (nhất – vòm trời) + 丿 (phiệt) — chim bay lên đụng trời, không qua được
会 [HỘI] · biết làm; họp, hội
    ↳ Chiết tự: giản thể của 會: bộ 人 (nhân – người) + 云 (vân – mây) — người tụ như mây thì thành hội, hội đủ thì biết</t>
        </is>
      </c>
      <c r="U934" s="70" t="inlineStr">
        <is>
          <t>🎬 HSK 1–2 | 为什么学了很久还是不会说中文？| Why You Still Can’t Speak Chinese?</t>
        </is>
      </c>
      <c r="V934" s="63" t="inlineStr">
        <is>
          <t>第二，你不会害怕，</t>
        </is>
      </c>
      <c r="W934" s="64" t="inlineStr">
        <is>
          <t>dì èr， nǐ bú huì hài pà，
➜ Thứ hai, bạn sẽ không sợ hãi,</t>
        </is>
      </c>
    </row>
    <row r="935" ht="69.75" customHeight="1" s="99">
      <c r="A935" t="n">
        <v>909</v>
      </c>
      <c r="B935" s="86" t="inlineStr">
        <is>
          <t>VIDEO</t>
        </is>
      </c>
      <c r="C935" s="85" t="inlineStr">
        <is>
          <t>说错</t>
        </is>
      </c>
      <c r="D935" s="78" t="inlineStr">
        <is>
          <t>shuōcuò</t>
        </is>
      </c>
      <c r="E935" s="78" t="inlineStr">
        <is>
          <t>sai</t>
        </is>
      </c>
      <c r="H935" s="55">
        <f>IF(TRIM($G935)="","",IF(EXACT(TRIM($G935),TRIM($C935)),"✅ Đúng","❌ Sai"))</f>
        <v/>
      </c>
      <c r="I935" s="56" t="inlineStr">
        <is>
          <t>▶</t>
        </is>
      </c>
      <c r="J935" s="56" t="inlineStr">
        <is>
          <t>🔍</t>
        </is>
      </c>
      <c r="R935" s="23" t="inlineStr">
        <is>
          <t>Sun Aug 02 2026</t>
        </is>
      </c>
      <c r="S935" t="inlineStr">
        <is>
          <t>📹 Từ video · xuất hiện 9 lần</t>
        </is>
      </c>
      <c r="T935" s="58" t="inlineStr">
        <is>
          <t>说 [THUYẾT] · nói, thuyết minh
    ↳ Chiết tự: giản thể của 說: bộ 讠 (ngôn – lời nói) + 兑 (đoài – thông suốt) — mở lời cho thông
错 [THÁC] · sai, nhầm; xen kẽ
    ↳ Chiết tự: giản thể của 錯: bộ 钅 (kim – kim loại) + 昔 (tích – âm đọc) — dao mẻ cắt lệch</t>
        </is>
      </c>
      <c r="U935" s="70" t="inlineStr">
        <is>
          <t>🎬 HSK 1–2 | 为什么学了很久还是不会说中文？| Why You Still Can’t Speak Chinese?</t>
        </is>
      </c>
      <c r="V935" s="63" t="inlineStr">
        <is>
          <t>第一，害怕说错。</t>
        </is>
      </c>
      <c r="W935" s="64" t="inlineStr">
        <is>
          <t>dì yī， hài pà shuō cuò。
➜ Đầu tiên là sợ nói sai điều gì đó</t>
        </is>
      </c>
    </row>
    <row r="936" ht="69.75" customHeight="1" s="99">
      <c r="A936" t="n">
        <v>910</v>
      </c>
      <c r="B936" s="86" t="inlineStr">
        <is>
          <t>VIDEO</t>
        </is>
      </c>
      <c r="C936" s="85" t="inlineStr">
        <is>
          <t>一句</t>
        </is>
      </c>
      <c r="D936" s="78" t="inlineStr">
        <is>
          <t>yījù</t>
        </is>
      </c>
      <c r="E936" s="78" t="inlineStr">
        <is>
          <t>một câu</t>
        </is>
      </c>
      <c r="H936" s="55">
        <f>IF(TRIM($G936)="","",IF(EXACT(TRIM($G936),TRIM($C936)),"✅ Đúng","❌ Sai"))</f>
        <v/>
      </c>
      <c r="I936" s="56" t="inlineStr">
        <is>
          <t>▶</t>
        </is>
      </c>
      <c r="J936" s="56" t="inlineStr">
        <is>
          <t>🔍</t>
        </is>
      </c>
      <c r="R936" s="23" t="inlineStr">
        <is>
          <t>Sun Aug 02 2026</t>
        </is>
      </c>
      <c r="S936" t="inlineStr">
        <is>
          <t>📹 Từ video · xuất hiện 9 lần</t>
        </is>
      </c>
      <c r="T936" s="58" t="inlineStr">
        <is>
          <t>一 [NHẤT] · số một, thứ nhất, toàn bộ
    ↳ Chiết tự: một nét ngang 一 (nhất) — chữ chỉ sự, vạch một gạch là số 1
句 [CÚ] · câu, câu nói
    ↳ Chiết tự: bộ 勹 (bao – ôm bọc) + 口 (khẩu – miệng) — lời nói được gói trọn ý</t>
        </is>
      </c>
      <c r="U936" s="70" t="inlineStr">
        <is>
          <t>🎬 HSK 1–2 | 为什么学了很久还是不会说中文？| Why You Still Can’t Speak Chinese?</t>
        </is>
      </c>
      <c r="V936" s="63" t="inlineStr">
        <is>
          <t>一句“谢谢”，</t>
        </is>
      </c>
      <c r="W936" s="64" t="inlineStr">
        <is>
          <t>yī jù “ xiè xiè ”，
➜ Một lời "cảm ơn",</t>
        </is>
      </c>
    </row>
    <row r="937" ht="69.75" customHeight="1" s="99">
      <c r="A937" t="n">
        <v>911</v>
      </c>
      <c r="B937" s="86" t="inlineStr">
        <is>
          <t>VIDEO</t>
        </is>
      </c>
      <c r="C937" s="85" t="inlineStr">
        <is>
          <t>语言</t>
        </is>
      </c>
      <c r="D937" s="78" t="inlineStr">
        <is>
          <t>yǔyán</t>
        </is>
      </c>
      <c r="E937" s="78" t="inlineStr">
        <is>
          <t>Ngôn ngữ</t>
        </is>
      </c>
      <c r="H937" s="55">
        <f>IF(TRIM($G937)="","",IF(EXACT(TRIM($G937),TRIM($C937)),"✅ Đúng","❌ Sai"))</f>
        <v/>
      </c>
      <c r="I937" s="56" t="inlineStr">
        <is>
          <t>▶</t>
        </is>
      </c>
      <c r="J937" s="56" t="inlineStr">
        <is>
          <t>🔍</t>
        </is>
      </c>
      <c r="R937" s="23" t="inlineStr">
        <is>
          <t>Sun Aug 02 2026</t>
        </is>
      </c>
      <c r="S937" t="inlineStr">
        <is>
          <t>📹 Từ video · xuất hiện 9 lần</t>
        </is>
      </c>
      <c r="T937" s="58" t="inlineStr">
        <is>
          <t>语 [NGỮ] · ngôn ngữ, tiếng nói
    ↳ Chiết tự: giản thể của 語: bộ 讠 (ngôn – lời nói) + 吾 (ngô – ta) — tiếng nói của ta
言 · lời nói</t>
        </is>
      </c>
      <c r="U937" s="70" t="inlineStr">
        <is>
          <t>🎬 HSK 1–2 | 为什么学了很久还是不会说中文？| Why You Still Can’t Speak Chinese?</t>
        </is>
      </c>
      <c r="V937" s="63" t="inlineStr">
        <is>
          <t>语言不是数学，</t>
        </is>
      </c>
      <c r="W937" s="64" t="inlineStr">
        <is>
          <t>yǔ yán bú shì shù xué，
➜ Ngôn ngữ không phải là toán học,</t>
        </is>
      </c>
    </row>
    <row r="938" ht="69.75" customHeight="1" s="99">
      <c r="A938" t="n">
        <v>912</v>
      </c>
      <c r="B938" s="86" t="inlineStr">
        <is>
          <t>VIDEO</t>
        </is>
      </c>
      <c r="C938" s="85" t="inlineStr">
        <is>
          <t>听懂</t>
        </is>
      </c>
      <c r="D938" s="78" t="inlineStr">
        <is>
          <t>tīngdǒng</t>
        </is>
      </c>
      <c r="E938" s="78" t="inlineStr">
        <is>
          <t>Hiểu</t>
        </is>
      </c>
      <c r="H938" s="55">
        <f>IF(TRIM($G938)="","",IF(EXACT(TRIM($G938),TRIM($C938)),"✅ Đúng","❌ Sai"))</f>
        <v/>
      </c>
      <c r="I938" s="56" t="inlineStr">
        <is>
          <t>▶</t>
        </is>
      </c>
      <c r="J938" s="56" t="inlineStr">
        <is>
          <t>🔍</t>
        </is>
      </c>
      <c r="R938" s="23" t="inlineStr">
        <is>
          <t>Sun Aug 02 2026</t>
        </is>
      </c>
      <c r="S938" t="inlineStr">
        <is>
          <t>📹 Từ video · xuất hiện 8 lần</t>
        </is>
      </c>
      <c r="T938" s="58" t="inlineStr">
        <is>
          <t>听 [THÍNH] · nghe, nghe theo
    ↳ Chiết tự: giản thể của 聽: bộ 口 (khẩu – miệng) + 斤 (cân – âm đọc) — bản phồn thể là 耳 (nhĩ – tai) nghe lời
懂 [ĐỔNG] · hiểu, hiểu biết
    ↳ Chiết tự: bộ 忄 (tâm đứng – trái tim) + 董 (đổng – âm đọc) — trong lòng đã thông</t>
        </is>
      </c>
      <c r="U938" s="70" t="inlineStr">
        <is>
          <t>🎬 HSK 1–2 | 为什么学了很久还是不会说中文？| Why You Still Can’t Speak Chinese?</t>
        </is>
      </c>
      <c r="V938" s="63" t="inlineStr">
        <is>
          <t>肯定能听懂。</t>
        </is>
      </c>
      <c r="W938" s="64" t="inlineStr">
        <is>
          <t>kěn dìng néng tīng dǒng。
➜ Tôi chắc chắn có thể hiểu được nó</t>
        </is>
      </c>
    </row>
    <row r="939" ht="69.75" customHeight="1" s="99">
      <c r="A939" t="n">
        <v>913</v>
      </c>
      <c r="B939" s="86" t="inlineStr">
        <is>
          <t>VIDEO</t>
        </is>
      </c>
      <c r="C939" s="85" t="inlineStr">
        <is>
          <t>这是</t>
        </is>
      </c>
      <c r="D939" s="78" t="inlineStr">
        <is>
          <t>zhèshì</t>
        </is>
      </c>
      <c r="E939" s="78" t="inlineStr">
        <is>
          <t>Đây là</t>
        </is>
      </c>
      <c r="H939" s="55">
        <f>IF(TRIM($G939)="","",IF(EXACT(TRIM($G939),TRIM($C939)),"✅ Đúng","❌ Sai"))</f>
        <v/>
      </c>
      <c r="I939" s="56" t="inlineStr">
        <is>
          <t>▶</t>
        </is>
      </c>
      <c r="J939" s="56" t="inlineStr">
        <is>
          <t>🔍</t>
        </is>
      </c>
      <c r="R939" s="23" t="inlineStr">
        <is>
          <t>Sun Aug 02 2026</t>
        </is>
      </c>
      <c r="S939" t="inlineStr">
        <is>
          <t>📹 Từ video · xuất hiện 8 lần</t>
        </is>
      </c>
      <c r="T939" s="58" t="inlineStr">
        <is>
          <t>这 [GIÁ] · này, cái này
    ↳ Chiết tự: giản thể của 這: bộ 辶 (sước – bước đi) + 文 (văn) — chỉ vào cái ngay trước mặt
是 [THỊ] · là, đúng, phải
    ↳ Chiết tự: bộ 日 (nhật – mặt trời) + 正 (chính – ngay thẳng) — mặt trời đi đúng đường, không sai</t>
        </is>
      </c>
      <c r="U939" s="70" t="inlineStr">
        <is>
          <t>🎬 HSK 1–2 | 为什么学了很久还是不会说中文？| Why You Still Can’t Speak Chinese?</t>
        </is>
      </c>
      <c r="V939" s="63" t="inlineStr">
        <is>
          <t>“这是一个面包。</t>
        </is>
      </c>
      <c r="W939" s="64" t="inlineStr">
        <is>
          <t>“ zhè shì yí gè miàn bāo。
➜ "Đây là ổ bánh mì</t>
        </is>
      </c>
    </row>
    <row r="940" ht="69.75" customHeight="1" s="99">
      <c r="A940" t="n">
        <v>914</v>
      </c>
      <c r="B940" s="86" t="inlineStr">
        <is>
          <t>VIDEO</t>
        </is>
      </c>
      <c r="C940" s="85" t="inlineStr">
        <is>
          <t>输出</t>
        </is>
      </c>
      <c r="D940" s="78" t="inlineStr">
        <is>
          <t>shūchū</t>
        </is>
      </c>
      <c r="E940" s="78" t="inlineStr">
        <is>
          <t>đầu ra</t>
        </is>
      </c>
      <c r="H940" s="55">
        <f>IF(TRIM($G940)="","",IF(EXACT(TRIM($G940),TRIM($C940)),"✅ Đúng","❌ Sai"))</f>
        <v/>
      </c>
      <c r="I940" s="56" t="inlineStr">
        <is>
          <t>▶</t>
        </is>
      </c>
      <c r="J940" s="56" t="inlineStr">
        <is>
          <t>🔍</t>
        </is>
      </c>
      <c r="R940" s="23" t="inlineStr">
        <is>
          <t>Sun Aug 02 2026</t>
        </is>
      </c>
      <c r="S940" t="inlineStr">
        <is>
          <t>📹 Từ video · xuất hiện 8 lần</t>
        </is>
      </c>
      <c r="T940" s="58" t="inlineStr">
        <is>
          <t>输 [THÂU / THÂU VẬN] · vận chuyển, chuyển đi
    ↳ Chiết tự: giản thể của 輸: bộ 车 (xa – xe) + 俞 (du – âm đọc) — dùng xe chở đi
出 [XUẤT] · ra, đi ra, xuất phát
    ↳ Chiết tự: bộ 凵 (khảm – cái hố) + 屮 (triệt – mầm) — bàn chân bước ra khỏi hang</t>
        </is>
      </c>
      <c r="U940" s="70" t="inlineStr">
        <is>
          <t>🎬 HSK 1–2 | 为什么学了很久还是不会说中文？| Why You Still Can’t Speak Chinese?</t>
        </is>
      </c>
      <c r="V940" s="63" t="inlineStr">
        <is>
          <t>第二，只输入不输出。</t>
        </is>
      </c>
      <c r="W940" s="64" t="inlineStr">
        <is>
          <t>dì èr， zhǐ shū rù bù shū chū。
➜ Thứ hai, chỉ có đầu vào và không có đầu ra</t>
        </is>
      </c>
    </row>
    <row r="941" ht="69.75" customHeight="1" s="99">
      <c r="A941" t="n">
        <v>915</v>
      </c>
      <c r="B941" s="86" t="inlineStr">
        <is>
          <t>VIDEO</t>
        </is>
      </c>
      <c r="C941" s="85" t="inlineStr">
        <is>
          <t>比如</t>
        </is>
      </c>
      <c r="D941" s="78" t="inlineStr">
        <is>
          <t>bǐrú</t>
        </is>
      </c>
      <c r="E941" s="78" t="inlineStr">
        <is>
          <t>Ví dụ</t>
        </is>
      </c>
      <c r="H941" s="55">
        <f>IF(TRIM($G941)="","",IF(EXACT(TRIM($G941),TRIM($C941)),"✅ Đúng","❌ Sai"))</f>
        <v/>
      </c>
      <c r="I941" s="56" t="inlineStr">
        <is>
          <t>▶</t>
        </is>
      </c>
      <c r="J941" s="56" t="inlineStr">
        <is>
          <t>🔍</t>
        </is>
      </c>
      <c r="R941" s="23" t="inlineStr">
        <is>
          <t>Sun Aug 02 2026</t>
        </is>
      </c>
      <c r="S941" t="inlineStr">
        <is>
          <t>📹 Từ video · xuất hiện 8 lần</t>
        </is>
      </c>
      <c r="T941" s="58" t="inlineStr">
        <is>
          <t>比 [TỶ] · so sánh, tỉ lệ
    ↳ Chiết tự: bộ 比 (tỷ) — hai người đứng sát nhau để so
如 [NHƯ] · như, giống như; nếu
    ↳ Chiết tự: bộ 女 (nữ – phụ nữ) + 口 (khẩu – miệng) — làm theo đúng lời</t>
        </is>
      </c>
      <c r="U941" s="70" t="inlineStr">
        <is>
          <t>🎬 HSK 1–2 | 为什么学了很久还是不会说中文？| Why You Still Can’t Speak Chinese?</t>
        </is>
      </c>
      <c r="V941" s="63" t="inlineStr">
        <is>
          <t>比如，</t>
        </is>
      </c>
      <c r="W941" s="64" t="inlineStr">
        <is>
          <t>bǐ rú，
➜ Ví dụ,</t>
        </is>
      </c>
    </row>
    <row r="942" ht="69.75" customHeight="1" s="99">
      <c r="A942" t="n">
        <v>916</v>
      </c>
      <c r="B942" s="86" t="inlineStr">
        <is>
          <t>VIDEO</t>
        </is>
      </c>
      <c r="C942" s="85" t="inlineStr">
        <is>
          <t>原因</t>
        </is>
      </c>
      <c r="D942" s="78" t="inlineStr">
        <is>
          <t>yuányīn</t>
        </is>
      </c>
      <c r="E942" s="78" t="inlineStr">
        <is>
          <t>Lý do</t>
        </is>
      </c>
      <c r="H942" s="55">
        <f>IF(TRIM($G942)="","",IF(EXACT(TRIM($G942),TRIM($C942)),"✅ Đúng","❌ Sai"))</f>
        <v/>
      </c>
      <c r="I942" s="56" t="inlineStr">
        <is>
          <t>▶</t>
        </is>
      </c>
      <c r="J942" s="56" t="inlineStr">
        <is>
          <t>🔍</t>
        </is>
      </c>
      <c r="R942" s="23" t="inlineStr">
        <is>
          <t>Sun Aug 02 2026</t>
        </is>
      </c>
      <c r="S942" t="inlineStr">
        <is>
          <t>📹 Từ video · xuất hiện 7 lần</t>
        </is>
      </c>
      <c r="T942" s="58" t="inlineStr">
        <is>
          <t>原 · Bản gốc
因 [NHÂN] · nguyên nhân, bởi vì
    ↳ Chiết tự: bộ 囗 (vi – vây quanh) + 大 (đại – người) — người nằm trên chiếu, cái nền dựa vào</t>
        </is>
      </c>
      <c r="U942" s="70" t="inlineStr">
        <is>
          <t>🎬 HSK 1–2 | 为什么学了很久还是不会说中文？| Why You Still Can’t Speak Chinese?</t>
        </is>
      </c>
      <c r="V942" s="63" t="inlineStr">
        <is>
          <t>我们觉得有三个主要原因。</t>
        </is>
      </c>
      <c r="W942" s="64" t="inlineStr">
        <is>
          <t>wǒ men jué de yǒu sān gè zhǔ yào yuán yīn。
➜ Chúng tôi nghĩ có ba lý do chính</t>
        </is>
      </c>
    </row>
    <row r="943" ht="69.75" customHeight="1" s="99">
      <c r="A943" t="n">
        <v>917</v>
      </c>
      <c r="B943" s="86" t="inlineStr">
        <is>
          <t>VIDEO</t>
        </is>
      </c>
      <c r="C943" s="85" t="inlineStr">
        <is>
          <t>不要</t>
        </is>
      </c>
      <c r="D943" s="78" t="inlineStr">
        <is>
          <t>búyào</t>
        </is>
      </c>
      <c r="E943" s="78" t="inlineStr">
        <is>
          <t>Đừng</t>
        </is>
      </c>
      <c r="H943" s="55">
        <f>IF(TRIM($G943)="","",IF(EXACT(TRIM($G943),TRIM($C943)),"✅ Đúng","❌ Sai"))</f>
        <v/>
      </c>
      <c r="I943" s="56" t="inlineStr">
        <is>
          <t>▶</t>
        </is>
      </c>
      <c r="J943" s="56" t="inlineStr">
        <is>
          <t>🔍</t>
        </is>
      </c>
      <c r="R943" s="23" t="inlineStr">
        <is>
          <t>Sun Aug 02 2026</t>
        </is>
      </c>
      <c r="S943" t="inlineStr">
        <is>
          <t>📹 Từ video · xuất hiện 7 lần</t>
        </is>
      </c>
      <c r="T943" s="58" t="inlineStr">
        <is>
          <t>不 [BẤT] · không, chẳng (phủ định)
    ↳ Chiết tự: bộ 一 (nhất – vòm trời) + 丿 (phiệt) — chim bay lên đụng trời, không qua được
要 [YẾU / YÊU] · cần, muốn, quan trọng
    ↳ Chiết tự: bộ 覀 (á) + 女 (nữ – phụ nữ) — hình hai tay chống eo, nghĩa gốc là "eo", mượn chỉ điều cốt yếu</t>
        </is>
      </c>
      <c r="U943" s="70" t="inlineStr">
        <is>
          <t>🎬 HSK 1–2 | 为什么学了很久还是不会说中文？| Why You Still Can’t Speak Chinese?</t>
        </is>
      </c>
      <c r="V943" s="63" t="inlineStr">
        <is>
          <t>“不要想那么多。</t>
        </is>
      </c>
      <c r="W943" s="64" t="inlineStr">
        <is>
          <t>“ bú yào xiǎng nà me duō。
➜ "Đừng suy nghĩ nhiều như vậy</t>
        </is>
      </c>
    </row>
    <row r="944" ht="69.75" customHeight="1" s="99">
      <c r="A944" t="n">
        <v>918</v>
      </c>
      <c r="B944" s="86" t="inlineStr">
        <is>
          <t>VIDEO</t>
        </is>
      </c>
      <c r="C944" s="85" t="inlineStr">
        <is>
          <t>王雨</t>
        </is>
      </c>
      <c r="D944" s="78" t="inlineStr">
        <is>
          <t>wángyǔ</t>
        </is>
      </c>
      <c r="E944" s="78" t="inlineStr">
        <is>
          <t>Vương Vũ</t>
        </is>
      </c>
      <c r="H944" s="55">
        <f>IF(TRIM($G944)="","",IF(EXACT(TRIM($G944),TRIM($C944)),"✅ Đúng","❌ Sai"))</f>
        <v/>
      </c>
      <c r="I944" s="56" t="inlineStr">
        <is>
          <t>▶</t>
        </is>
      </c>
      <c r="J944" s="56" t="inlineStr">
        <is>
          <t>🔍</t>
        </is>
      </c>
      <c r="R944" s="23" t="inlineStr">
        <is>
          <t>Sun Aug 02 2026</t>
        </is>
      </c>
      <c r="S944" t="inlineStr">
        <is>
          <t>📹 Từ video · xuất hiện 6 lần</t>
        </is>
      </c>
      <c r="T944" s="58" t="inlineStr">
        <is>
          <t>王 · vua
雨 [VŨ] · mưa
    ↳ Chiết tự: bộ 雨 (vũ) — hình giọt mưa rơi dưới đám mây</t>
        </is>
      </c>
      <c r="U944" s="70" t="inlineStr">
        <is>
          <t>🎬 HSK 1–2 | 为什么学了很久还是不会说中文？| Why You Still Can’t Speak Chinese?</t>
        </is>
      </c>
      <c r="V944" s="63" t="inlineStr">
        <is>
          <t>我是你们的朋友，王雨。</t>
        </is>
      </c>
      <c r="W944" s="64" t="inlineStr">
        <is>
          <t>wǒ shì nǐ men de péng yǒu， wáng yǔ。
➜ Tôi là bạn của bạn, Wang Yu</t>
        </is>
      </c>
    </row>
    <row r="945" hidden="1" ht="69.75" customHeight="1" s="99">
      <c r="A945" t="n">
        <v>919</v>
      </c>
      <c r="B945" s="86" t="inlineStr">
        <is>
          <t>VIDEO</t>
        </is>
      </c>
      <c r="C945" s="85" t="inlineStr">
        <is>
          <t>播客</t>
        </is>
      </c>
      <c r="D945" s="78" t="inlineStr">
        <is>
          <t>bōkè</t>
        </is>
      </c>
      <c r="E945" s="78" t="inlineStr">
        <is>
          <t>Podcast</t>
        </is>
      </c>
      <c r="G945" s="77" t="inlineStr">
        <is>
          <t>播客</t>
        </is>
      </c>
      <c r="H945" s="55">
        <f>IF(TRIM($G945)="","",IF(EXACT(TRIM($G945),TRIM($C945)),"✅ Đúng","❌ Sai"))</f>
        <v/>
      </c>
      <c r="I945" s="56" t="inlineStr">
        <is>
          <t>▶</t>
        </is>
      </c>
      <c r="J945" s="56" t="inlineStr">
        <is>
          <t>🔍</t>
        </is>
      </c>
      <c r="R945" s="23" t="inlineStr">
        <is>
          <t>Sun Aug 02 2026</t>
        </is>
      </c>
      <c r="S945" t="inlineStr">
        <is>
          <t>📹 Từ video · xuất hiện 6 lần</t>
        </is>
      </c>
      <c r="T945" s="58" t="inlineStr">
        <is>
          <t>播 · phát sóng
客 [KHÁCH] · khách, người ngoài
    ↳ Chiết tự: bộ 宀 (miên – mái nhà) + 各 (các – âm đọc) — người từ ngoài ghé vào nhà</t>
        </is>
      </c>
      <c r="U945" s="70" t="inlineStr">
        <is>
          <t>🎬 HSK 1–2 | 为什么学了很久还是不会说中文？| Why You Still Can’t Speak Chinese?</t>
        </is>
      </c>
      <c r="V945" s="63" t="inlineStr">
        <is>
          <t>他们也常常听我们的播客，</t>
        </is>
      </c>
      <c r="W945" s="64" t="inlineStr">
        <is>
          <t>tā men yě cháng cháng tīng wǒ men de bō kè，
➜ Họ cũng thường nghe podcast của chúng tôi,</t>
        </is>
      </c>
    </row>
    <row r="946" ht="69.75" customHeight="1" s="99">
      <c r="A946" t="n">
        <v>920</v>
      </c>
      <c r="B946" s="86" t="inlineStr">
        <is>
          <t>VIDEO</t>
        </is>
      </c>
      <c r="C946" s="85" t="inlineStr">
        <is>
          <t>追求</t>
        </is>
      </c>
      <c r="D946" s="78" t="inlineStr">
        <is>
          <t>zhuīqiú</t>
        </is>
      </c>
      <c r="E946" s="78" t="inlineStr">
        <is>
          <t>theo đuổi</t>
        </is>
      </c>
      <c r="H946" s="55">
        <f>IF(TRIM($G946)="","",IF(EXACT(TRIM($G946),TRIM($C946)),"✅ Đúng","❌ Sai"))</f>
        <v/>
      </c>
      <c r="I946" s="56" t="inlineStr">
        <is>
          <t>▶</t>
        </is>
      </c>
      <c r="J946" s="56" t="inlineStr">
        <is>
          <t>🔍</t>
        </is>
      </c>
      <c r="R946" s="23" t="inlineStr">
        <is>
          <t>Sun Aug 02 2026</t>
        </is>
      </c>
      <c r="S946" t="inlineStr">
        <is>
          <t>📹 Từ video · xuất hiện 6 lần</t>
        </is>
      </c>
      <c r="T946" s="58" t="inlineStr">
        <is>
          <t>追 · đuổi theo
求 [CẦU] · cầu xin, yêu cầu, tìm
    ↳ Chiết tự: bộ 水 (thủy) + 丶 — hình áo lông cầu, mượn nghĩa mong cầu</t>
        </is>
      </c>
      <c r="U946" s="70" t="inlineStr">
        <is>
          <t>🎬 HSK 1–2 | 为什么学了很久还是不会说中文？| Why You Still Can’t Speak Chinese?</t>
        </is>
      </c>
      <c r="V946" s="63" t="inlineStr">
        <is>
          <t>先追求“完成”。</t>
        </is>
      </c>
      <c r="W946" s="64" t="inlineStr">
        <is>
          <t>xiān zhuī qiú “ wán chéng ”。
➜ Hãy theo đuổi việc "hoàn thành" trước</t>
        </is>
      </c>
    </row>
    <row r="947" ht="69.75" customHeight="1" s="99">
      <c r="A947" t="n">
        <v>921</v>
      </c>
      <c r="B947" s="86" t="inlineStr">
        <is>
          <t>VIDEO</t>
        </is>
      </c>
      <c r="C947" s="85" t="inlineStr">
        <is>
          <t>感觉</t>
        </is>
      </c>
      <c r="D947" s="78" t="inlineStr">
        <is>
          <t>gǎnjué</t>
        </is>
      </c>
      <c r="E947" s="78" t="inlineStr">
        <is>
          <t>cảm nhận</t>
        </is>
      </c>
      <c r="H947" s="55">
        <f>IF(TRIM($G947)="","",IF(EXACT(TRIM($G947),TRIM($C947)),"✅ Đúng","❌ Sai"))</f>
        <v/>
      </c>
      <c r="I947" s="56" t="inlineStr">
        <is>
          <t>▶</t>
        </is>
      </c>
      <c r="J947" s="56" t="inlineStr">
        <is>
          <t>🔍</t>
        </is>
      </c>
      <c r="R947" s="23" t="inlineStr">
        <is>
          <t>Sun Aug 02 2026</t>
        </is>
      </c>
      <c r="S947" t="inlineStr">
        <is>
          <t>📹 Từ video · xuất hiện 5 lần</t>
        </is>
      </c>
      <c r="T947" s="58" t="inlineStr">
        <is>
          <t>感 [CẢM] · cảm nhận, cảm động
    ↳ Chiết tự: bộ 心 (tâm – trái tim) + 咸 (hàm – âm đọc) — lòng rung động
觉 [GIÁC / GIÁO] · cảm thấy, giác ngộ; giấc ngủ
    ↳ Chiết tự: giản thể của 覺: bộ 学 rút gọn + 见 (kiến – thấy) — học mà thấy ra, tỉnh ngộ</t>
        </is>
      </c>
      <c r="U947" s="70" t="inlineStr">
        <is>
          <t>🎬 HSK 1–2 | 为什么学了很久还是不会说中文？| Why You Still Can’t Speak Chinese?</t>
        </is>
      </c>
      <c r="V947" s="63" t="inlineStr">
        <is>
          <t>感觉吗？</t>
        </is>
      </c>
      <c r="W947" s="64" t="inlineStr">
        <is>
          <t>gǎn jué ma？
➜ Cảm thấy nó?</t>
        </is>
      </c>
    </row>
    <row r="948" ht="69.75" customHeight="1" s="99">
      <c r="A948" t="n">
        <v>922</v>
      </c>
      <c r="B948" s="86" t="inlineStr">
        <is>
          <t>VIDEO</t>
        </is>
      </c>
      <c r="C948" s="85" t="inlineStr">
        <is>
          <t>完全</t>
        </is>
      </c>
      <c r="D948" s="78" t="inlineStr">
        <is>
          <t>wánquán</t>
        </is>
      </c>
      <c r="E948" s="78" t="inlineStr">
        <is>
          <t>hoàn toàn</t>
        </is>
      </c>
      <c r="H948" s="55">
        <f>IF(TRIM($G948)="","",IF(EXACT(TRIM($G948),TRIM($C948)),"✅ Đúng","❌ Sai"))</f>
        <v/>
      </c>
      <c r="I948" s="56" t="inlineStr">
        <is>
          <t>▶</t>
        </is>
      </c>
      <c r="J948" s="56" t="inlineStr">
        <is>
          <t>🔍</t>
        </is>
      </c>
      <c r="R948" s="23" t="inlineStr">
        <is>
          <t>Sun Aug 02 2026</t>
        </is>
      </c>
      <c r="S948" t="inlineStr">
        <is>
          <t>📹 Từ video · xuất hiện 5 lần</t>
        </is>
      </c>
      <c r="T948" s="58" t="inlineStr">
        <is>
          <t>完 [HOÀN] · xong, hoàn thành, trọn vẹn
    ↳ Chiết tự: bộ 宀 (miên – mái nhà) + 元 (nguyên – âm đọc) — dựng nhà xong xuôi
全 · đầy đủ</t>
        </is>
      </c>
      <c r="U948" s="70" t="inlineStr">
        <is>
          <t>🎬 HSK 1–2 | 为什么学了很久还是不会说中文？| Why You Still Can’t Speak Chinese?</t>
        </is>
      </c>
      <c r="V948" s="63" t="inlineStr">
        <is>
          <t>或者‘完全错误’。</t>
        </is>
      </c>
      <c r="W948" s="64" t="inlineStr">
        <is>
          <t>huò zhě ‘ wán quán cuò wù ’。
➜ Hoặc 'hoàn toàn sai'</t>
        </is>
      </c>
    </row>
    <row r="949" ht="69.75" customHeight="1" s="99">
      <c r="A949" t="n">
        <v>923</v>
      </c>
      <c r="B949" s="86" t="inlineStr">
        <is>
          <t>VIDEO</t>
        </is>
      </c>
      <c r="C949" s="85" t="inlineStr">
        <is>
          <t>语法</t>
        </is>
      </c>
      <c r="D949" s="78" t="inlineStr">
        <is>
          <t>yǔfǎ</t>
        </is>
      </c>
      <c r="E949" s="78" t="inlineStr">
        <is>
          <t>ngữ pháp</t>
        </is>
      </c>
      <c r="H949" s="55">
        <f>IF(TRIM($G949)="","",IF(EXACT(TRIM($G949),TRIM($C949)),"✅ Đúng","❌ Sai"))</f>
        <v/>
      </c>
      <c r="I949" s="56" t="inlineStr">
        <is>
          <t>▶</t>
        </is>
      </c>
      <c r="J949" s="56" t="inlineStr">
        <is>
          <t>🔍</t>
        </is>
      </c>
      <c r="R949" s="23" t="inlineStr">
        <is>
          <t>Sun Aug 02 2026</t>
        </is>
      </c>
      <c r="S949" t="inlineStr">
        <is>
          <t>📹 Từ video · xuất hiện 5 lần</t>
        </is>
      </c>
      <c r="T949" s="58" t="inlineStr">
        <is>
          <t>语 [NGỮ] · ngôn ngữ, tiếng nói
    ↳ Chiết tự: giản thể của 語: bộ 讠 (ngôn – lời nói) + 吾 (ngô – ta) — tiếng nói của ta
法 · pháp luật</t>
        </is>
      </c>
      <c r="U949" s="70" t="inlineStr">
        <is>
          <t>🎬 HSK 1–2 | 为什么学了很久还是不会说中文？| Why You Still Can’t Speak Chinese?</t>
        </is>
      </c>
      <c r="V949" s="63" t="inlineStr">
        <is>
          <t>这个句子语法不对，</t>
        </is>
      </c>
      <c r="W949" s="64" t="inlineStr">
        <is>
          <t>zhè ge jù zi yǔ fǎ bú duì，
➜ Câu này sai ngữ pháp</t>
        </is>
      </c>
    </row>
    <row r="950" ht="69.75" customHeight="1" s="99">
      <c r="A950" t="n">
        <v>924</v>
      </c>
      <c r="B950" s="86" t="inlineStr">
        <is>
          <t>VIDEO</t>
        </is>
      </c>
      <c r="C950" s="85" t="inlineStr">
        <is>
          <t>玛丽</t>
        </is>
      </c>
      <c r="D950" s="78" t="inlineStr">
        <is>
          <t>mǎlì</t>
        </is>
      </c>
      <c r="E950" s="78" t="inlineStr">
        <is>
          <t>mary</t>
        </is>
      </c>
      <c r="H950" s="55">
        <f>IF(TRIM($G950)="","",IF(EXACT(TRIM($G950),TRIM($C950)),"✅ Đúng","❌ Sai"))</f>
        <v/>
      </c>
      <c r="I950" s="56" t="inlineStr">
        <is>
          <t>▶</t>
        </is>
      </c>
      <c r="J950" s="56" t="inlineStr">
        <is>
          <t>🔍</t>
        </is>
      </c>
      <c r="R950" s="23" t="inlineStr">
        <is>
          <t>Sun Aug 02 2026</t>
        </is>
      </c>
      <c r="S950" t="inlineStr">
        <is>
          <t>📹 Từ video · xuất hiện 5 lần</t>
        </is>
      </c>
      <c r="T950" s="58" t="inlineStr">
        <is>
          <t>玛 · Mã
丽 · đẹp</t>
        </is>
      </c>
      <c r="U950" s="70" t="inlineStr">
        <is>
          <t>🎬 HSK 1–2 | 为什么学了很久还是不会说中文？| Why You Still Can’t Speak Chinese?</t>
        </is>
      </c>
      <c r="V950" s="63" t="inlineStr">
        <is>
          <t>所以，我告诉玛丽：</t>
        </is>
      </c>
      <c r="W950" s="64" t="inlineStr">
        <is>
          <t>suǒ yǐ， wǒ gào sù mǎ lì：
➜ Vì thế tôi nói với Mary:</t>
        </is>
      </c>
    </row>
    <row r="951" ht="69.75" customHeight="1" s="99">
      <c r="A951" t="n">
        <v>925</v>
      </c>
      <c r="B951" s="86" t="inlineStr">
        <is>
          <t>VIDEO</t>
        </is>
      </c>
      <c r="C951" s="85" t="inlineStr">
        <is>
          <t>李明</t>
        </is>
      </c>
      <c r="D951" s="78" t="inlineStr">
        <is>
          <t>lǐmíng</t>
        </is>
      </c>
      <c r="E951" s="78" t="inlineStr">
        <is>
          <t>Lý Minh</t>
        </is>
      </c>
      <c r="H951" s="55">
        <f>IF(TRIM($G951)="","",IF(EXACT(TRIM($G951),TRIM($C951)),"✅ Đúng","❌ Sai"))</f>
        <v/>
      </c>
      <c r="I951" s="56" t="inlineStr">
        <is>
          <t>▶</t>
        </is>
      </c>
      <c r="J951" s="56" t="inlineStr">
        <is>
          <t>🔍</t>
        </is>
      </c>
      <c r="R951" s="23" t="inlineStr">
        <is>
          <t>Sun Aug 02 2026</t>
        </is>
      </c>
      <c r="S951" t="inlineStr">
        <is>
          <t>📹 Từ video · xuất hiện 4 lần</t>
        </is>
      </c>
      <c r="T951" s="58" t="inlineStr">
        <is>
          <t>李 [LÝ] · cây mận; hành lý (行李)
    ↳ Chiết tự: bộ 木 (mộc – cây) + 子 (tử – quả) — cây có quả, sau chỉ đồ mang theo
明 [MINH] · sáng sủa, rõ ràng; ngày mai
    ↳ Chiết tự: bộ 日 (nhật – mặt trời) + 月 (nguyệt – mặt trăng) — hai nguồn sáng hợp lại</t>
        </is>
      </c>
      <c r="U951" s="70" t="inlineStr">
        <is>
          <t>🎬 HSK 1–2 | 为什么学了很久还是不会说中文？| Why You Still Can’t Speak Chinese?</t>
        </is>
      </c>
      <c r="V951" s="63" t="inlineStr">
        <is>
          <t>李明，刚才我们说了</t>
        </is>
      </c>
      <c r="W951" s="64" t="inlineStr">
        <is>
          <t>lǐ míng， gāng cái wǒ men shuō le
➜ Lý Minh, chúng ta vừa nói</t>
        </is>
      </c>
    </row>
    <row r="952" ht="69.75" customHeight="1" s="99">
      <c r="A952" t="n">
        <v>926</v>
      </c>
      <c r="B952" s="86" t="inlineStr">
        <is>
          <t>VIDEO</t>
        </is>
      </c>
      <c r="C952" s="85" t="inlineStr">
        <is>
          <t>嘴巴</t>
        </is>
      </c>
      <c r="D952" s="78" t="inlineStr">
        <is>
          <t>zuǐbā</t>
        </is>
      </c>
      <c r="E952" s="78" t="inlineStr">
        <is>
          <t>miệng</t>
        </is>
      </c>
      <c r="H952" s="55">
        <f>IF(TRIM($G952)="","",IF(EXACT(TRIM($G952),TRIM($C952)),"✅ Đúng","❌ Sai"))</f>
        <v/>
      </c>
      <c r="I952" s="56" t="inlineStr">
        <is>
          <t>▶</t>
        </is>
      </c>
      <c r="J952" s="56" t="inlineStr">
        <is>
          <t>🔍</t>
        </is>
      </c>
      <c r="R952" s="23" t="inlineStr">
        <is>
          <t>Sun Aug 02 2026</t>
        </is>
      </c>
      <c r="S952" t="inlineStr">
        <is>
          <t>📹 Từ video · xuất hiện 4 lần</t>
        </is>
      </c>
      <c r="T952" s="58" t="inlineStr">
        <is>
          <t>嘴 [TỦY] · cái miệng, mỏ
    ↳ Chiết tự: bộ 口 (khẩu – miệng) + 觜 (tuy – âm đọc) — cửa miệng
巴 · thanh</t>
        </is>
      </c>
      <c r="U952" s="70" t="inlineStr">
        <is>
          <t>🎬 HSK 1–2 | 为什么学了很久还是不会说中文？| Why You Still Can’t Speak Chinese?</t>
        </is>
      </c>
      <c r="V952" s="63" t="inlineStr">
        <is>
          <t>这个练习可以帮助你的大脑和嘴巴</t>
        </is>
      </c>
      <c r="W952" s="64" t="inlineStr">
        <is>
          <t>zhè ge liàn xí kě yǐ bāng zhù nǐ de dà nǎo hé zuǐ bā
➜ Bài tập này có thể giúp não và miệng của bạn</t>
        </is>
      </c>
    </row>
    <row r="953" ht="69.75" customHeight="1" s="99">
      <c r="A953" t="n">
        <v>927</v>
      </c>
      <c r="B953" s="86" t="inlineStr">
        <is>
          <t>VIDEO</t>
        </is>
      </c>
      <c r="C953" s="85" t="inlineStr">
        <is>
          <t>这种</t>
        </is>
      </c>
      <c r="D953" s="78" t="inlineStr">
        <is>
          <t>zhèzhǒng</t>
        </is>
      </c>
      <c r="E953" s="78" t="inlineStr">
        <is>
          <t>Loại này</t>
        </is>
      </c>
      <c r="H953" s="55">
        <f>IF(TRIM($G953)="","",IF(EXACT(TRIM($G953),TRIM($C953)),"✅ Đúng","❌ Sai"))</f>
        <v/>
      </c>
      <c r="I953" s="56" t="inlineStr">
        <is>
          <t>▶</t>
        </is>
      </c>
      <c r="J953" s="56" t="inlineStr">
        <is>
          <t>🔍</t>
        </is>
      </c>
      <c r="R953" s="23" t="inlineStr">
        <is>
          <t>Sun Aug 02 2026</t>
        </is>
      </c>
      <c r="S953" t="inlineStr">
        <is>
          <t>📹 Từ video · xuất hiện 4 lần</t>
        </is>
      </c>
      <c r="T953" s="58" t="inlineStr">
        <is>
          <t>这 [GIÁ] · này, cái này
    ↳ Chiết tự: giản thể của 這: bộ 辶 (sước – bước đi) + 文 (văn) — chỉ vào cái ngay trước mặt
种 [CHỦNG] · hạt giống, loại
    ↳ Chiết tự: giản thể của 種: bộ 禾 (hòa – cây lúa) + 中 (trung – âm đọc) — hạt lúa để gieo</t>
        </is>
      </c>
      <c r="U953" s="70" t="inlineStr">
        <is>
          <t>🎬 HSK 1–2 | 为什么学了很久还是不会说中文？| Why You Still Can’t Speak Chinese?</t>
        </is>
      </c>
      <c r="V953" s="63" t="inlineStr">
        <is>
          <t>这种小的成功，</t>
        </is>
      </c>
      <c r="W953" s="64" t="inlineStr">
        <is>
          <t>zhè zhǒng xiǎo de chéng gōng，
➜ Thành công nhỏ này,</t>
        </is>
      </c>
    </row>
    <row r="954" ht="69.75" customHeight="1" s="99">
      <c r="A954" t="n">
        <v>928</v>
      </c>
      <c r="B954" s="86" t="inlineStr">
        <is>
          <t>VIDEO</t>
        </is>
      </c>
      <c r="C954" s="85" t="inlineStr">
        <is>
          <t>交流</t>
        </is>
      </c>
      <c r="D954" s="78" t="inlineStr">
        <is>
          <t>jiāoliú</t>
        </is>
      </c>
      <c r="E954" s="78" t="inlineStr">
        <is>
          <t>giao tiếp</t>
        </is>
      </c>
      <c r="H954" s="55">
        <f>IF(TRIM($G954)="","",IF(EXACT(TRIM($G954),TRIM($C954)),"✅ Đúng","❌ Sai"))</f>
        <v/>
      </c>
      <c r="I954" s="56" t="inlineStr">
        <is>
          <t>▶</t>
        </is>
      </c>
      <c r="J954" s="56" t="inlineStr">
        <is>
          <t>🔍</t>
        </is>
      </c>
      <c r="R954" s="23" t="inlineStr">
        <is>
          <t>Sun Aug 02 2026</t>
        </is>
      </c>
      <c r="S954" t="inlineStr">
        <is>
          <t>📹 Từ video · xuất hiện 4 lần</t>
        </is>
      </c>
      <c r="T954" s="58" t="inlineStr">
        <is>
          <t>交 [GIAO] · giao, giao nhau
    ↳ Chiết tự: bộ 亠 (đầu) + 父 — hình người bắt chéo hai chân, nghĩa "giao nhau"
流 [LƯU] · dòng chảy, lưu thông
    ↳ Chiết tự: bộ 氵 (thủy – nước) + 㐬 — nước chảy thành dòng</t>
        </is>
      </c>
      <c r="U954" s="70" t="inlineStr">
        <is>
          <t>🎬 HSK 1–2 | 为什么学了很久还是不会说中文？| Why You Still Can’t Speak Chinese?</t>
        </is>
      </c>
      <c r="V954" s="63" t="inlineStr">
        <is>
          <t>你“完成”了交流。</t>
        </is>
      </c>
      <c r="W954" s="64" t="inlineStr">
        <is>
          <t>nǐ “ wán chéng ” le jiāo liú。
➜ Bạn đã "xong việc" với việc giao tiếp</t>
        </is>
      </c>
    </row>
    <row r="955" ht="69.75" customHeight="1" s="99">
      <c r="A955" t="n">
        <v>929</v>
      </c>
      <c r="B955" s="86" t="inlineStr">
        <is>
          <t>VIDEO</t>
        </is>
      </c>
      <c r="C955" s="85" t="inlineStr">
        <is>
          <t>所有</t>
        </is>
      </c>
      <c r="D955" s="78" t="inlineStr">
        <is>
          <t>suǒyǒu</t>
        </is>
      </c>
      <c r="E955" s="78" t="inlineStr">
        <is>
          <t>tất cả</t>
        </is>
      </c>
      <c r="H955" s="55">
        <f>IF(TRIM($G955)="","",IF(EXACT(TRIM($G955),TRIM($C955)),"✅ Đúng","❌ Sai"))</f>
        <v/>
      </c>
      <c r="I955" s="56" t="inlineStr">
        <is>
          <t>▶</t>
        </is>
      </c>
      <c r="J955" s="56" t="inlineStr">
        <is>
          <t>🔍</t>
        </is>
      </c>
      <c r="R955" s="23" t="inlineStr">
        <is>
          <t>Sun Aug 02 2026</t>
        </is>
      </c>
      <c r="S955" t="inlineStr">
        <is>
          <t>📹 Từ video · xuất hiện 4 lần</t>
        </is>
      </c>
      <c r="T955" s="58" t="inlineStr">
        <is>
          <t>所 [SỞ] · nơi chốn; cái mà (所以 = cho nên)
    ↳ Chiết tự: bộ 户 (hộ – cánh cửa) + 斤 (cân – cái rìu) — tiếng chặt gỗ, mượn chỉ nơi chốn
有 [HỮU] · có, sở hữu
    ↳ Chiết tự: bộ 又 (hựu – bàn tay) + 月 (nhục – miếng thịt) — tay cầm miếng thịt là có của</t>
        </is>
      </c>
      <c r="U955" s="70" t="inlineStr">
        <is>
          <t>🎬 HSK 1–2 | 为什么学了很久还是不会说中文？| Why You Still Can’t Speak Chinese?</t>
        </is>
      </c>
      <c r="V955" s="63" t="inlineStr">
        <is>
          <t>他把所有的理论都学会了。</t>
        </is>
      </c>
      <c r="W955" s="64" t="inlineStr">
        <is>
          <t>tā bǎ suǒ yǒu de lǐ lùn dōu xué huì le。
➜ Anh ấy đã học được tất cả các lý thuyết</t>
        </is>
      </c>
    </row>
    <row r="956" ht="69.75" customHeight="1" s="99">
      <c r="A956" t="n">
        <v>930</v>
      </c>
      <c r="B956" s="86" t="inlineStr">
        <is>
          <t>VIDEO</t>
        </is>
      </c>
      <c r="C956" s="85" t="inlineStr">
        <is>
          <t>方法</t>
        </is>
      </c>
      <c r="D956" s="78" t="inlineStr">
        <is>
          <t>fāngfǎ</t>
        </is>
      </c>
      <c r="E956" s="78" t="inlineStr">
        <is>
          <t>phương pháp</t>
        </is>
      </c>
      <c r="H956" s="55">
        <f>IF(TRIM($G956)="","",IF(EXACT(TRIM($G956),TRIM($C956)),"✅ Đúng","❌ Sai"))</f>
        <v/>
      </c>
      <c r="I956" s="56" t="inlineStr">
        <is>
          <t>▶</t>
        </is>
      </c>
      <c r="J956" s="56" t="inlineStr">
        <is>
          <t>🔍</t>
        </is>
      </c>
      <c r="R956" s="23" t="inlineStr">
        <is>
          <t>Sun Aug 02 2026</t>
        </is>
      </c>
      <c r="S956" t="inlineStr">
        <is>
          <t>📹 Từ video · xuất hiện 4 lần</t>
        </is>
      </c>
      <c r="T956" s="58" t="inlineStr">
        <is>
          <t>方 [PHƯƠNG] · phương hướng; vuông; cách thức
    ↳ Chiết tự: bộ 方 (phương) — hình lưỡi cày rẽ hai bên
法 · pháp luật</t>
        </is>
      </c>
      <c r="U956" s="70" t="inlineStr">
        <is>
          <t>🎬 HSK 1–2 | 为什么学了很久还是不会说中文？| Why You Still Can’t Speak Chinese?</t>
        </is>
      </c>
      <c r="V956" s="63" t="inlineStr">
        <is>
          <t>这个方法也很好。</t>
        </is>
      </c>
      <c r="W956" s="64" t="inlineStr">
        <is>
          <t>zhè ge fāng fǎ yě hěn hǎo。
➜ Phương pháp này cũng rất hay</t>
        </is>
      </c>
    </row>
    <row r="957" ht="69.75" customHeight="1" s="99">
      <c r="A957" t="n">
        <v>931</v>
      </c>
      <c r="B957" s="86" t="inlineStr">
        <is>
          <t>VIDEO</t>
        </is>
      </c>
      <c r="C957" s="85" t="inlineStr">
        <is>
          <t>自言自语</t>
        </is>
      </c>
      <c r="D957" s="78" t="inlineStr">
        <is>
          <t>zìyánzìyǔ</t>
        </is>
      </c>
      <c r="E957" s="78" t="inlineStr">
        <is>
          <t>Nói chuyện với chính mình</t>
        </is>
      </c>
      <c r="H957" s="55">
        <f>IF(TRIM($G957)="","",IF(EXACT(TRIM($G957),TRIM($C957)),"✅ Đúng","❌ Sai"))</f>
        <v/>
      </c>
      <c r="I957" s="56" t="inlineStr">
        <is>
          <t>▶</t>
        </is>
      </c>
      <c r="J957" s="56" t="inlineStr">
        <is>
          <t>🔍</t>
        </is>
      </c>
      <c r="R957" s="23" t="inlineStr">
        <is>
          <t>Sun Aug 02 2026</t>
        </is>
      </c>
      <c r="S957" t="inlineStr">
        <is>
          <t>📹 Từ video · xuất hiện 4 lần</t>
        </is>
      </c>
      <c r="T957" s="58" t="inlineStr">
        <is>
          <t>自 [TỰ] · tự mình; từ
    ↳ Chiết tự: bộ 自 (tự) — hình cái mũi, người Hoa chỉ vào mũi để nói "tôi"
言 · lời nói
自 [TỰ] · tự mình; từ
    ↳ Chiết tự: bộ 自 (tự) — hình cái mũi, người Hoa chỉ vào mũi để nói "tôi"
语 [NGỮ] · ngôn ngữ, tiếng nói
    ↳ Chiết tự: giản thể của 語: bộ 讠 (ngôn – lời nói) + 吾 (ngô – ta) — tiếng nói của ta</t>
        </is>
      </c>
      <c r="U957" s="70" t="inlineStr">
        <is>
          <t>🎬 HSK 1–2 | 为什么学了很久还是不会说中文？| Why You Still Can’t Speak Chinese?</t>
        </is>
      </c>
      <c r="V957" s="63" t="inlineStr">
        <is>
          <t>就是：自言自语。</t>
        </is>
      </c>
      <c r="W957" s="64" t="inlineStr">
        <is>
          <t>jiù shì： zì yán zì yǔ。
➜ Đó là: nói chuyện với chính mình</t>
        </is>
      </c>
    </row>
    <row r="958" hidden="1" ht="69.75" customHeight="1" s="99">
      <c r="A958" t="n">
        <v>932</v>
      </c>
      <c r="B958" s="86" t="inlineStr">
        <is>
          <t>VIDEO</t>
        </is>
      </c>
      <c r="C958" s="85" t="inlineStr">
        <is>
          <t>伙伴</t>
        </is>
      </c>
      <c r="D958" s="78" t="inlineStr">
        <is>
          <t>huǒbàn</t>
        </is>
      </c>
      <c r="E958" s="78" t="inlineStr">
        <is>
          <t>đối tác</t>
        </is>
      </c>
      <c r="G958" s="77" t="inlineStr">
        <is>
          <t>伙伴</t>
        </is>
      </c>
      <c r="H958" s="55">
        <f>IF(TRIM($G958)="","",IF(EXACT(TRIM($G958),TRIM($C958)),"✅ Đúng","❌ Sai"))</f>
        <v/>
      </c>
      <c r="I958" s="56" t="inlineStr">
        <is>
          <t>▶</t>
        </is>
      </c>
      <c r="J958" s="56" t="inlineStr">
        <is>
          <t>🔍</t>
        </is>
      </c>
      <c r="R958" s="23" t="inlineStr">
        <is>
          <t>Sun Aug 02 2026</t>
        </is>
      </c>
      <c r="S958" t="inlineStr">
        <is>
          <t>📹 Từ video · xuất hiện 4 lần</t>
        </is>
      </c>
      <c r="T958" s="58" t="inlineStr">
        <is>
          <t>伙 · chàng trai
伴 · bạn đồng hành</t>
        </is>
      </c>
      <c r="U958" s="70" t="inlineStr">
        <is>
          <t>🎬 HSK 1–2 | 为什么学了很久还是不会说中文？| Why You Still Can’t Speak Chinese?</t>
        </is>
      </c>
      <c r="V958" s="63" t="inlineStr">
        <is>
          <t>成为语言伙伴。</t>
        </is>
      </c>
      <c r="W958" s="64" t="inlineStr">
        <is>
          <t>chéng wéi yǔ yán huǒ bàn。
➜ Trở thành đối tác ngôn ngữ</t>
        </is>
      </c>
    </row>
    <row r="959" hidden="1" ht="69.75" customHeight="1" s="99">
      <c r="A959" t="n">
        <v>933</v>
      </c>
      <c r="B959" s="86" t="inlineStr">
        <is>
          <t>VIDEO</t>
        </is>
      </c>
      <c r="C959" s="85" t="inlineStr">
        <is>
          <t>很大</t>
        </is>
      </c>
      <c r="D959" s="78" t="inlineStr">
        <is>
          <t>hěndà</t>
        </is>
      </c>
      <c r="E959" s="78" t="inlineStr">
        <is>
          <t>rất lớn</t>
        </is>
      </c>
      <c r="G959" s="77" t="inlineStr">
        <is>
          <t>很大</t>
        </is>
      </c>
      <c r="H959" s="55">
        <f>IF(TRIM($G959)="","",IF(EXACT(TRIM($G959),TRIM($C959)),"✅ Đúng","❌ Sai"))</f>
        <v/>
      </c>
      <c r="I959" s="56" t="inlineStr">
        <is>
          <t>▶</t>
        </is>
      </c>
      <c r="J959" s="56" t="inlineStr">
        <is>
          <t>🔍</t>
        </is>
      </c>
      <c r="R959" s="23" t="inlineStr">
        <is>
          <t>Sun Aug 02 2026</t>
        </is>
      </c>
      <c r="S959" t="inlineStr">
        <is>
          <t>📹 Từ video · xuất hiện 3 lần</t>
        </is>
      </c>
      <c r="T959" s="58" t="inlineStr">
        <is>
          <t>很 [NGẬN] · rất, lắm
    ↳ Chiết tự: bộ 彳 (xích – bước ngắn) + 艮 (cấn – âm đọc) — mức độ đi rất xa
大 [ĐẠI] · to lớn, vĩ đại
    ↳ Chiết tự: bộ 大 (đại) — hình người dang rộng hai tay hai chân</t>
        </is>
      </c>
      <c r="U959" s="70" t="inlineStr">
        <is>
          <t>🎬 HSK 1–2 | 为什么学了很久还是不会说中文？| Why You Still Can’t Speak Chinese?</t>
        </is>
      </c>
      <c r="V959" s="63" t="inlineStr">
        <is>
          <t>会给你很大的信心，</t>
        </is>
      </c>
      <c r="W959" s="64" t="inlineStr">
        <is>
          <t>huì gěi nǐ hěn dà de xìn xīn，
➜ Nó sẽ mang lại cho bạn rất nhiều sự tự tin,</t>
        </is>
      </c>
    </row>
    <row r="960" ht="69.75" customHeight="1" s="99">
      <c r="A960" t="n">
        <v>934</v>
      </c>
      <c r="B960" s="86" t="inlineStr">
        <is>
          <t>VIDEO</t>
        </is>
      </c>
      <c r="C960" s="85" t="inlineStr">
        <is>
          <t>不敢</t>
        </is>
      </c>
      <c r="D960" s="78" t="inlineStr">
        <is>
          <t>bùgǎn</t>
        </is>
      </c>
      <c r="E960" s="78" t="inlineStr">
        <is>
          <t>Không dám</t>
        </is>
      </c>
      <c r="H960" s="55">
        <f>IF(TRIM($G960)="","",IF(EXACT(TRIM($G960),TRIM($C960)),"✅ Đúng","❌ Sai"))</f>
        <v/>
      </c>
      <c r="I960" s="56" t="inlineStr">
        <is>
          <t>▶</t>
        </is>
      </c>
      <c r="J960" s="56" t="inlineStr">
        <is>
          <t>🔍</t>
        </is>
      </c>
      <c r="R960" s="23" t="inlineStr">
        <is>
          <t>Sun Aug 02 2026</t>
        </is>
      </c>
      <c r="S960" t="inlineStr">
        <is>
          <t>📹 Từ video · xuất hiện 3 lần</t>
        </is>
      </c>
      <c r="T960" s="58" t="inlineStr">
        <is>
          <t>不 [BẤT] · không, chẳng (phủ định)
    ↳ Chiết tự: bộ 一 (nhất – vòm trời) + 丿 (phiệt) — chim bay lên đụng trời, không qua được
敢 [CẢM] · dám, dũng cảm
    ↳ Chiết tự: bộ 攵 (phộc – tay đánh) + 耳 — tay không mà giành lấy, tỏ ra gan</t>
        </is>
      </c>
      <c r="U960" s="70" t="inlineStr">
        <is>
          <t>🎬 HSK 1–2 | 为什么学了很久还是不会说中文？| Why You Still Can’t Speak Chinese?</t>
        </is>
      </c>
      <c r="V960" s="63" t="inlineStr">
        <is>
          <t>对！就是这个“不敢”。</t>
        </is>
      </c>
      <c r="W960" s="64" t="inlineStr">
        <is>
          <t>duì！ jiù shì zhè ge “ bù gǎn ”。
➜ Phải! Đó là “không dám”</t>
        </is>
      </c>
    </row>
    <row r="961" ht="69.75" customHeight="1" s="99">
      <c r="A961" t="n">
        <v>935</v>
      </c>
      <c r="B961" s="86" t="inlineStr">
        <is>
          <t>VIDEO</t>
        </is>
      </c>
      <c r="C961" s="85" t="inlineStr">
        <is>
          <t>这么</t>
        </is>
      </c>
      <c r="D961" s="78" t="inlineStr">
        <is>
          <t>zhème</t>
        </is>
      </c>
      <c r="E961" s="78" t="inlineStr">
        <is>
          <t>Vì vậy</t>
        </is>
      </c>
      <c r="H961" s="55">
        <f>IF(TRIM($G961)="","",IF(EXACT(TRIM($G961),TRIM($C961)),"✅ Đúng","❌ Sai"))</f>
        <v/>
      </c>
      <c r="I961" s="56" t="inlineStr">
        <is>
          <t>▶</t>
        </is>
      </c>
      <c r="J961" s="56" t="inlineStr">
        <is>
          <t>🔍</t>
        </is>
      </c>
      <c r="R961" s="23" t="inlineStr">
        <is>
          <t>Sun Aug 02 2026</t>
        </is>
      </c>
      <c r="S961" t="inlineStr">
        <is>
          <t>📹 Từ video · xuất hiện 3 lần</t>
        </is>
      </c>
      <c r="T961" s="58" t="inlineStr">
        <is>
          <t>这 [GIÁ] · này, cái này
    ↳ Chiết tự: giản thể của 這: bộ 辶 (sước – bước đi) + 文 (văn) — chỉ vào cái ngay trước mặt
么 [MA] · gì, nào (trợ từ nghi vấn)
    ↳ Chiết tự: bộ 丿 (phiệt) + 厶 (tư – riêng tư) — chữ mượn âm, ghép 什么 / 怎么</t>
        </is>
      </c>
      <c r="U961" s="70" t="inlineStr">
        <is>
          <t>🎬 HSK 1–2 | 为什么学了很久还是不会说中文？| Why You Still Can’t Speak Chinese?</t>
        </is>
      </c>
      <c r="V961" s="63" t="inlineStr">
        <is>
          <t>我们说了这么多“为什么”，</t>
        </is>
      </c>
      <c r="W961" s="64" t="inlineStr">
        <is>
          <t>wǒ men shuō le zhè me duō “ wèi shén me ”，
➜ Chúng ta đã nói rất nhiều câu "tại sao",</t>
        </is>
      </c>
    </row>
    <row r="962" ht="69.75" customHeight="1" s="99">
      <c r="A962" t="n">
        <v>936</v>
      </c>
      <c r="B962" s="86" t="inlineStr">
        <is>
          <t>VIDEO</t>
        </is>
      </c>
      <c r="C962" s="85" t="inlineStr">
        <is>
          <t>话题</t>
        </is>
      </c>
      <c r="D962" s="78" t="inlineStr">
        <is>
          <t>huàtí</t>
        </is>
      </c>
      <c r="E962" s="78" t="inlineStr">
        <is>
          <t>chủ đề</t>
        </is>
      </c>
      <c r="H962" s="55">
        <f>IF(TRIM($G962)="","",IF(EXACT(TRIM($G962),TRIM($C962)),"✅ Đúng","❌ Sai"))</f>
        <v/>
      </c>
      <c r="I962" s="56" t="inlineStr">
        <is>
          <t>▶</t>
        </is>
      </c>
      <c r="J962" s="56" t="inlineStr">
        <is>
          <t>🔍</t>
        </is>
      </c>
      <c r="R962" s="23" t="inlineStr">
        <is>
          <t>Sun Aug 02 2026</t>
        </is>
      </c>
      <c r="S962" t="inlineStr">
        <is>
          <t>📹 Từ video · xuất hiện 3 lần</t>
        </is>
      </c>
      <c r="T962" s="58" t="inlineStr">
        <is>
          <t>话 [THOẠI] · lời nói, câu chuyện
    ↳ Chiết tự: giản thể của 話: bộ 讠 (ngôn – lời nói) + 舌 (thiệt – cái lưỡi) — lưỡi phát thành lời
题 [ĐỀ] · đề bài, câu hỏi, đề mục
    ↳ Chiết tự: giản thể của 題: bộ 页 (hiệt – cái đầu) + 是 (thị – âm đọc) — phần đầu bài viết</t>
        </is>
      </c>
      <c r="U962" s="70" t="inlineStr">
        <is>
          <t>🎬 HSK 1–2 | 为什么学了很久还是不会说中文？| Why You Still Can’t Speak Chinese?</t>
        </is>
      </c>
      <c r="V962" s="63" t="inlineStr">
        <is>
          <t>等我想好了，别人已经开始说下一个话题了。</t>
        </is>
      </c>
      <c r="W962" s="64" t="inlineStr">
        <is>
          <t>děng wǒ xiǎng hǎo le， bié rén yǐ jīng kāi shǐ shuō xià yí gè huà tí le。
➜ Khi tôi nghĩ về điều đó thì những người khác đã nói về chủ đề tiếp theo</t>
        </is>
      </c>
    </row>
    <row r="963" ht="69.75" customHeight="1" s="99">
      <c r="A963" t="n">
        <v>937</v>
      </c>
      <c r="B963" s="86" t="inlineStr">
        <is>
          <t>VIDEO</t>
        </is>
      </c>
      <c r="C963" s="85" t="inlineStr">
        <is>
          <t>书上</t>
        </is>
      </c>
      <c r="D963" s="78" t="inlineStr">
        <is>
          <t>shūshàng</t>
        </is>
      </c>
      <c r="E963" s="78" t="inlineStr">
        <is>
          <t>cuốn sách</t>
        </is>
      </c>
      <c r="H963" s="55">
        <f>IF(TRIM($G963)="","",IF(EXACT(TRIM($G963),TRIM($C963)),"✅ Đúng","❌ Sai"))</f>
        <v/>
      </c>
      <c r="I963" s="56" t="inlineStr">
        <is>
          <t>▶</t>
        </is>
      </c>
      <c r="J963" s="56" t="inlineStr">
        <is>
          <t>🔍</t>
        </is>
      </c>
      <c r="R963" s="23" t="inlineStr">
        <is>
          <t>Sun Aug 02 2026</t>
        </is>
      </c>
      <c r="S963" t="inlineStr">
        <is>
          <t>📹 Từ video · xuất hiện 3 lần</t>
        </is>
      </c>
      <c r="T963" s="58" t="inlineStr">
        <is>
          <t>书 [THƯ] · sách, viết, thư từ
    ↳ Chiết tự: giản thể của 書: bộ 聿 (duật – cây bút) + 曰 (viết – nói) — cầm bút chép lời thành sách
上 [THƯỢNG] · ở trên, lên, trước đó
    ↳ Chiết tự: bộ 一 (nhất – mặt đất) + vạch chỉ hướng lên — chữ chỉ sự</t>
        </is>
      </c>
      <c r="U963" s="70" t="inlineStr">
        <is>
          <t>🎬 HSK 1–2 | 为什么学了很久还是不会说中文？| Why You Still Can’t Speak Chinese?</t>
        </is>
      </c>
      <c r="V963" s="63" t="inlineStr">
        <is>
          <t>你会学到很多书上没有的、</t>
        </is>
      </c>
      <c r="W963" s="64" t="inlineStr">
        <is>
          <t>nǐ huì xué dào hěn duō shū shàng méi yǒu de、
➜ Bạn sẽ học được nhiều điều không có trong sách vở</t>
        </is>
      </c>
    </row>
    <row r="964" hidden="1" ht="69.75" customHeight="1" s="99">
      <c r="A964" t="n">
        <v>938</v>
      </c>
      <c r="B964" s="86" t="inlineStr">
        <is>
          <t>VIDEO</t>
        </is>
      </c>
      <c r="C964" s="85" t="inlineStr">
        <is>
          <t>太好了</t>
        </is>
      </c>
      <c r="D964" s="78" t="inlineStr">
        <is>
          <t>tàihǎole</t>
        </is>
      </c>
      <c r="E964" s="78" t="inlineStr">
        <is>
          <t>tuyệt vời</t>
        </is>
      </c>
      <c r="G964" s="77" t="inlineStr">
        <is>
          <t>太好了</t>
        </is>
      </c>
      <c r="H964" s="55">
        <f>IF(TRIM($G964)="","",IF(EXACT(TRIM($G964),TRIM($C964)),"✅ Đúng","❌ Sai"))</f>
        <v/>
      </c>
      <c r="I964" s="56" t="inlineStr">
        <is>
          <t>▶</t>
        </is>
      </c>
      <c r="J964" s="56" t="inlineStr">
        <is>
          <t>🔍</t>
        </is>
      </c>
      <c r="R964" s="23" t="inlineStr">
        <is>
          <t>Sun Aug 02 2026</t>
        </is>
      </c>
      <c r="S964" t="inlineStr">
        <is>
          <t>📹 Từ video · xuất hiện 3 lần</t>
        </is>
      </c>
      <c r="T964" s="58" t="inlineStr">
        <is>
          <t>太 [THÁI] · quá, rất; cao nhất
    ↳ Chiết tự: bộ 大 (đại – lớn) + 丶 (chủ – dấu chấm) — lớn hơn cả lớn
好 [HẢO / HIẾU] · tốt đẹp; thích, yêu
    ↳ Chiết tự: bộ 女 (nữ – mẹ) + 子 (tử – con) — mẹ bồng con là cảnh tốt đẹp nhất
了 [LIỄU] · xong, rồi (trợ từ hoàn thành)
    ↳ Chiết tự: bộ 亅 (quyết – nét móc) — hình đứa trẻ bó tã không thấy tay, việc đã trọn</t>
        </is>
      </c>
      <c r="U964" s="70" t="inlineStr">
        <is>
          <t>🎬 HSK 1–2 | 为什么学了很久还是不会说中文？| Why You Still Can’t Speak Chinese?</t>
        </is>
      </c>
      <c r="V964" s="63" t="inlineStr">
        <is>
          <t>这个办法太好了，</t>
        </is>
      </c>
      <c r="W964" s="64" t="inlineStr">
        <is>
          <t>zhè ge bàn fǎ tài hǎo le，
➜ Phương pháp này hay đấy</t>
        </is>
      </c>
    </row>
    <row r="965" ht="69.75" customHeight="1" s="99">
      <c r="A965" t="n">
        <v>939</v>
      </c>
      <c r="B965" s="86" t="inlineStr">
        <is>
          <t>VIDEO</t>
        </is>
      </c>
      <c r="C965" s="85" t="inlineStr">
        <is>
          <t>以后</t>
        </is>
      </c>
      <c r="D965" s="78" t="inlineStr">
        <is>
          <t>yǐhòu</t>
        </is>
      </c>
      <c r="E965" s="78" t="inlineStr">
        <is>
          <t>sau này</t>
        </is>
      </c>
      <c r="H965" s="55">
        <f>IF(TRIM($G965)="","",IF(EXACT(TRIM($G965),TRIM($C965)),"✅ Đúng","❌ Sai"))</f>
        <v/>
      </c>
      <c r="I965" s="56" t="inlineStr">
        <is>
          <t>▶</t>
        </is>
      </c>
      <c r="J965" s="56" t="inlineStr">
        <is>
          <t>🔍</t>
        </is>
      </c>
      <c r="R965" s="23" t="inlineStr">
        <is>
          <t>Sun Aug 02 2026</t>
        </is>
      </c>
      <c r="S965" t="inlineStr">
        <is>
          <t>📹 Từ video · xuất hiện 3 lần</t>
        </is>
      </c>
      <c r="T965" s="58" t="inlineStr">
        <is>
          <t>以 [DĨ] · lấy, dùng, bằng; để mà
    ↳ Chiết tự: bộ 人 (nhân – người) + 厶 — người dùng công cụ để làm
后 [HẬU] · phía sau, sau này; hoàng hậu
    ↳ Chiết tự: bộ 厂 (hán) + 一 + 口 (khẩu) — người quay ngoái lại phía sau</t>
        </is>
      </c>
      <c r="U965" s="70" t="inlineStr">
        <is>
          <t>🎬 HSK 1–2 | 为什么学了很久还是不会说中文？| Why You Still Can’t Speak Chinese?</t>
        </is>
      </c>
      <c r="V965" s="63" t="inlineStr">
        <is>
          <t>一个月以后，</t>
        </is>
      </c>
      <c r="W965" s="64" t="inlineStr">
        <is>
          <t>yí gè yuè yǐ hòu，
➜ Một tháng sau,</t>
        </is>
      </c>
    </row>
    <row r="966" hidden="1" ht="69.75" customHeight="1" s="99">
      <c r="A966" t="n">
        <v>940</v>
      </c>
      <c r="B966" s="86" t="inlineStr">
        <is>
          <t>VIDEO</t>
        </is>
      </c>
      <c r="C966" s="85" t="inlineStr">
        <is>
          <t>勇敢</t>
        </is>
      </c>
      <c r="D966" s="78" t="inlineStr">
        <is>
          <t>yǒnggǎn</t>
        </is>
      </c>
      <c r="E966" s="78" t="inlineStr">
        <is>
          <t>dũng cảm</t>
        </is>
      </c>
      <c r="G966" s="77" t="inlineStr">
        <is>
          <t>勇敢</t>
        </is>
      </c>
      <c r="H966" s="55">
        <f>IF(TRIM($G966)="","",IF(EXACT(TRIM($G966),TRIM($C966)),"✅ Đúng","❌ Sai"))</f>
        <v/>
      </c>
      <c r="I966" s="56" t="inlineStr">
        <is>
          <t>▶</t>
        </is>
      </c>
      <c r="J966" s="56" t="inlineStr">
        <is>
          <t>🔍</t>
        </is>
      </c>
      <c r="R966" s="23" t="inlineStr">
        <is>
          <t>Sun Aug 02 2026</t>
        </is>
      </c>
      <c r="S966" t="inlineStr">
        <is>
          <t>📹 Từ video · xuất hiện 3 lần</t>
        </is>
      </c>
      <c r="T966" s="58" t="inlineStr">
        <is>
          <t>勇 · dũng cảm
敢 [CẢM] · dám, dũng cảm
    ↳ Chiết tự: bộ 攵 (phộc – tay đánh) + 耳 — tay không mà giành lấy, tỏ ra gan</t>
        </is>
      </c>
      <c r="U966" s="70" t="inlineStr">
        <is>
          <t>🎬 HSK 1–2 | 为什么学了很久还是不会说中文？| Why You Still Can’t Speak Chinese?</t>
        </is>
      </c>
      <c r="V966" s="63" t="inlineStr">
        <is>
          <t>从那以后，我就开始变得勇敢了。</t>
        </is>
      </c>
      <c r="W966" s="64" t="inlineStr">
        <is>
          <t>cóng nà yǐ hòu， wǒ jiù kāi shǐ biàn dé yǒng gǎn le。
➜ Từ đó trở đi, tôi bắt đầu trở nên dũng cảm</t>
        </is>
      </c>
    </row>
    <row r="967" ht="69.75" customHeight="1" s="99">
      <c r="A967" t="n">
        <v>941</v>
      </c>
      <c r="B967" s="86" t="inlineStr">
        <is>
          <t>VIDEO</t>
        </is>
      </c>
      <c r="C967" s="85" t="inlineStr">
        <is>
          <t>过程</t>
        </is>
      </c>
      <c r="D967" s="78" t="inlineStr">
        <is>
          <t>guòchéng</t>
        </is>
      </c>
      <c r="E967" s="78" t="inlineStr">
        <is>
          <t>quá trình</t>
        </is>
      </c>
      <c r="H967" s="55">
        <f>IF(TRIM($G967)="","",IF(EXACT(TRIM($G967),TRIM($C967)),"✅ Đúng","❌ Sai"))</f>
        <v/>
      </c>
      <c r="I967" s="56" t="inlineStr">
        <is>
          <t>▶</t>
        </is>
      </c>
      <c r="J967" s="56" t="inlineStr">
        <is>
          <t>🔍</t>
        </is>
      </c>
      <c r="R967" s="23" t="inlineStr">
        <is>
          <t>Sun Aug 02 2026</t>
        </is>
      </c>
      <c r="S967" t="inlineStr">
        <is>
          <t>📹 Từ video · xuất hiện 3 lần</t>
        </is>
      </c>
      <c r="T967" s="58" t="inlineStr">
        <is>
          <t>过 [QUÁ] · đi qua; đã từng; quá mức
    ↳ Chiết tự: giản thể của 過: bộ 辶 (sước – bước đi) + 寸 (thốn – tấc) — bước ngang qua
程 · Trình</t>
        </is>
      </c>
      <c r="U967" s="70" t="inlineStr">
        <is>
          <t>🎬 HSK 1–2 | 为什么学了很久还是不会说中文？| Why You Still Can’t Speak Chinese?</t>
        </is>
      </c>
      <c r="V967" s="63" t="inlineStr">
        <is>
          <t>“输入”就是你学习的过程。</t>
        </is>
      </c>
      <c r="W967" s="64" t="inlineStr">
        <is>
          <t>“ shū rù ” jiù shì nǐ xué xí de guò chéng。
➜ "Đầu vào" là quá trình học tập của bạn</t>
        </is>
      </c>
    </row>
    <row r="968" hidden="1" ht="69.75" customHeight="1" s="99">
      <c r="A968" t="n">
        <v>942</v>
      </c>
      <c r="B968" s="86" t="inlineStr">
        <is>
          <t>VIDEO</t>
        </is>
      </c>
      <c r="C968" s="85" t="inlineStr">
        <is>
          <t>看书</t>
        </is>
      </c>
      <c r="D968" s="78" t="inlineStr">
        <is>
          <t>kànshū</t>
        </is>
      </c>
      <c r="E968" s="78" t="inlineStr">
        <is>
          <t>đọc một cuốn sách</t>
        </is>
      </c>
      <c r="G968" s="77" t="inlineStr">
        <is>
          <t>看书</t>
        </is>
      </c>
      <c r="H968" s="55">
        <f>IF(TRIM($G968)="","",IF(EXACT(TRIM($G968),TRIM($C968)),"✅ Đúng","❌ Sai"))</f>
        <v/>
      </c>
      <c r="I968" s="56" t="inlineStr">
        <is>
          <t>▶</t>
        </is>
      </c>
      <c r="J968" s="56" t="inlineStr">
        <is>
          <t>🔍</t>
        </is>
      </c>
      <c r="R968" s="23" t="inlineStr">
        <is>
          <t>Sun Aug 02 2026</t>
        </is>
      </c>
      <c r="S968" t="inlineStr">
        <is>
          <t>📹 Từ video · xuất hiện 3 lần</t>
        </is>
      </c>
      <c r="T968" s="58" t="inlineStr">
        <is>
          <t>看 [KHÁN] · nhìn, xem, trông coi
    ↳ Chiết tự: bộ 手 (thủ – bàn tay) đặt trên 目 (mục – con mắt) — che tay lên mắt mà ngóng
书 [THƯ] · sách, viết, thư từ
    ↳ Chiết tự: giản thể của 書: bộ 聿 (duật – cây bút) + 曰 (viết – nói) — cầm bút chép lời thành sách</t>
        </is>
      </c>
      <c r="U968" s="70" t="inlineStr">
        <is>
          <t>🎬 HSK 1–2 | 为什么学了很久还是不会说中文？| Why You Still Can’t Speak Chinese?</t>
        </is>
      </c>
      <c r="V968" s="63" t="inlineStr">
        <is>
          <t>看书和自己真的去做，是两回事。</t>
        </is>
      </c>
      <c r="W968" s="64" t="inlineStr">
        <is>
          <t>kàn shū hé zì jǐ zhēn de qù zuò， shì liǎng huí shì。
➜ Đọc sách và thực sự tự mình làm là hai việc khác nhau</t>
        </is>
      </c>
    </row>
    <row r="969" ht="69.75" customHeight="1" s="99">
      <c r="A969" t="n">
        <v>943</v>
      </c>
      <c r="B969" s="86" t="inlineStr">
        <is>
          <t>VIDEO</t>
        </is>
      </c>
      <c r="C969" s="85" t="inlineStr">
        <is>
          <t>大脑</t>
        </is>
      </c>
      <c r="D969" s="78" t="inlineStr">
        <is>
          <t>dànǎo</t>
        </is>
      </c>
      <c r="E969" s="78" t="inlineStr">
        <is>
          <t>não</t>
        </is>
      </c>
      <c r="H969" s="55">
        <f>IF(TRIM($G969)="","",IF(EXACT(TRIM($G969),TRIM($C969)),"✅ Đúng","❌ Sai"))</f>
        <v/>
      </c>
      <c r="I969" s="56" t="inlineStr">
        <is>
          <t>▶</t>
        </is>
      </c>
      <c r="J969" s="56" t="inlineStr">
        <is>
          <t>🔍</t>
        </is>
      </c>
      <c r="R969" s="23" t="inlineStr">
        <is>
          <t>Sun Aug 02 2026</t>
        </is>
      </c>
      <c r="S969" t="inlineStr">
        <is>
          <t>📹 Từ video · xuất hiện 3 lần</t>
        </is>
      </c>
      <c r="T969" s="58" t="inlineStr">
        <is>
          <t>大 [ĐẠI] · to lớn, vĩ đại
    ↳ Chiết tự: bộ 大 (đại) — hình người dang rộng hai tay hai chân
脑 [NÃO] · bộ não; máy tính (电脑)
    ↳ Chiết tự: giản thể của 腦: bộ 月 (nhục – thịt/thân) + 巛 + 囟 — khối óc trong hộp sọ</t>
        </is>
      </c>
      <c r="U969" s="70" t="inlineStr">
        <is>
          <t>🎬 HSK 1–2 | 为什么学了很久还是不会说中文？| Why You Still Can’t Speak Chinese?</t>
        </is>
      </c>
      <c r="V969" s="63" t="inlineStr">
        <is>
          <t>这个练习可以帮助你的大脑和嘴巴</t>
        </is>
      </c>
      <c r="W969" s="64" t="inlineStr">
        <is>
          <t>zhè ge liàn xí kě yǐ bāng zhù nǐ de dà nǎo hé zuǐ bā
➜ Bài tập này có thể giúp não và miệng của bạn</t>
        </is>
      </c>
    </row>
    <row r="970" ht="69.75" customHeight="1" s="99">
      <c r="A970" t="n">
        <v>944</v>
      </c>
      <c r="B970" s="86" t="inlineStr">
        <is>
          <t>VIDEO</t>
        </is>
      </c>
      <c r="C970" s="85" t="inlineStr">
        <is>
          <t>完全正确</t>
        </is>
      </c>
      <c r="D970" s="78" t="inlineStr">
        <is>
          <t>wánquánzhèngquè</t>
        </is>
      </c>
      <c r="E970" s="78" t="inlineStr">
        <is>
          <t>hoàn toàn chính xác</t>
        </is>
      </c>
      <c r="H970" s="55">
        <f>IF(TRIM($G970)="","",IF(EXACT(TRIM($G970),TRIM($C970)),"✅ Đúng","❌ Sai"))</f>
        <v/>
      </c>
      <c r="I970" s="56" t="inlineStr">
        <is>
          <t>▶</t>
        </is>
      </c>
      <c r="J970" s="56" t="inlineStr">
        <is>
          <t>🔍</t>
        </is>
      </c>
      <c r="R970" s="23" t="inlineStr">
        <is>
          <t>Sun Aug 02 2026</t>
        </is>
      </c>
      <c r="S970" t="inlineStr">
        <is>
          <t>📹 Từ video · xuất hiện 3 lần</t>
        </is>
      </c>
      <c r="T970" s="58" t="inlineStr">
        <is>
          <t>完 [HOÀN] · xong, hoàn thành, trọn vẹn
    ↳ Chiết tự: bộ 宀 (miên – mái nhà) + 元 (nguyên – âm đọc) — dựng nhà xong xuôi
全 · đầy đủ
正 [CHÍNH] · ngay thẳng, chính xác; đang
    ↳ Chiết tự: bộ 一 (nhất – vạch đích) + 止 (chỉ – bàn chân) — chân dừng đúng vạch
确 [XÁC] · xác thực, chắc chắn
    ↳ Chiết tự: giản thể của 確: bộ 石 (thạch – đá) + 角 (giác – âm đọc) — cứng như đá, chắc chắn</t>
        </is>
      </c>
      <c r="U970" s="70" t="inlineStr">
        <is>
          <t>🎬 HSK 1–2 | 为什么学了很久还是不会说中文？| Why You Still Can’t Speak Chinese?</t>
        </is>
      </c>
      <c r="V970" s="63" t="inlineStr">
        <is>
          <t>完全正确。</t>
        </is>
      </c>
      <c r="W970" s="64" t="inlineStr">
        <is>
          <t>wán quán zhèng què。
➜ Chính xác</t>
        </is>
      </c>
    </row>
    <row r="971" ht="69.75" customHeight="1" s="99">
      <c r="A971" t="n">
        <v>945</v>
      </c>
      <c r="B971" s="86" t="inlineStr">
        <is>
          <t>VIDEO</t>
        </is>
      </c>
      <c r="C971" s="85" t="inlineStr">
        <is>
          <t>学说</t>
        </is>
      </c>
      <c r="D971" s="78" t="inlineStr">
        <is>
          <t>xuéshuō</t>
        </is>
      </c>
      <c r="E971" s="78" t="inlineStr">
        <is>
          <t>học thuyết</t>
        </is>
      </c>
      <c r="H971" s="55">
        <f>IF(TRIM($G971)="","",IF(EXACT(TRIM($G971),TRIM($C971)),"✅ Đúng","❌ Sai"))</f>
        <v/>
      </c>
      <c r="I971" s="56" t="inlineStr">
        <is>
          <t>▶</t>
        </is>
      </c>
      <c r="J971" s="56" t="inlineStr">
        <is>
          <t>🔍</t>
        </is>
      </c>
      <c r="R971" s="23" t="inlineStr">
        <is>
          <t>Sun Aug 02 2026</t>
        </is>
      </c>
      <c r="S971" t="inlineStr">
        <is>
          <t>📹 Từ video · xuất hiện 3 lần</t>
        </is>
      </c>
      <c r="T971" s="58" t="inlineStr">
        <is>
          <t>学 [HỌC] · học tập, trường học
    ↳ Chiết tự: giản thể của 學: bộ 冖 (mịch – mái che) + 子 (tử – trẻ) — trẻ được dạy dưới mái nhà
说 [THUYẾT] · nói, thuyết minh
    ↳ Chiết tự: giản thể của 說: bộ 讠 (ngôn – lời nói) + 兑 (đoài – thông suốt) — mở lời cho thông</t>
        </is>
      </c>
      <c r="U971" s="70" t="inlineStr">
        <is>
          <t>🎬 HSK 1–2 | 为什么学了很久还是不会说中文？| Why You Still Can’t Speak Chinese?</t>
        </is>
      </c>
      <c r="V971" s="63" t="inlineStr">
        <is>
          <t>你觉得，学说中文像学什么？</t>
        </is>
      </c>
      <c r="W971" s="64" t="inlineStr">
        <is>
          <t>nǐ jué de， xué shuō zhōng wén xiàng xué shén me？
➜ Bạn nghĩ việc học nói tiếng Trung Quốc giống như thế nào?</t>
        </is>
      </c>
    </row>
    <row r="972" hidden="1" ht="69.75" customHeight="1" s="99">
      <c r="A972" t="n">
        <v>946</v>
      </c>
      <c r="B972" s="86" t="inlineStr">
        <is>
          <t>VIDEO</t>
        </is>
      </c>
      <c r="C972" s="85" t="inlineStr">
        <is>
          <t>但</t>
        </is>
      </c>
      <c r="D972" s="78" t="inlineStr">
        <is>
          <t>dàn</t>
        </is>
      </c>
      <c r="E972" s="78" t="inlineStr">
        <is>
          <t>Nhưng</t>
        </is>
      </c>
      <c r="G972" s="77" t="inlineStr">
        <is>
          <t>但</t>
        </is>
      </c>
      <c r="H972" s="55">
        <f>IF(TRIM($G972)="","",IF(EXACT(TRIM($G972),TRIM($C972)),"✅ Đúng","❌ Sai"))</f>
        <v/>
      </c>
      <c r="I972" s="56" t="inlineStr">
        <is>
          <t>▶</t>
        </is>
      </c>
      <c r="J972" s="56" t="inlineStr">
        <is>
          <t>🔍</t>
        </is>
      </c>
      <c r="R972" s="23" t="inlineStr">
        <is>
          <t>Sun Aug 02 2026</t>
        </is>
      </c>
      <c r="S972" t="inlineStr">
        <is>
          <t>📹 Từ video · xuất hiện 3 lần</t>
        </is>
      </c>
      <c r="T972" s="58" t="inlineStr">
        <is>
          <t>但 [ĐÃN] · nhưng, chỉ
    ↳ Chiết tự: bộ 亻 (nhân đứng – người) + 旦 (đán – buổi sớm) — chữ mượn âm làm liên từ</t>
        </is>
      </c>
      <c r="U972" s="70" t="inlineStr">
        <is>
          <t>🎬 HSK 1–2 | 为什么学了很久还是不会说中文？| Why You Still Can’t Speak Chinese?</t>
        </is>
      </c>
      <c r="V972" s="63" t="inlineStr">
        <is>
          <t>但如果你追求“完成”，</t>
        </is>
      </c>
      <c r="W972" s="64" t="inlineStr">
        <is>
          <t>dàn rú guǒ nǐ zhuī qiú “ wán chéng ”，
➜ Nhưng nếu bạn theo đuổi sự "hoàn thành",</t>
        </is>
      </c>
    </row>
    <row r="973" ht="69.75" customHeight="1" s="99">
      <c r="A973" t="n">
        <v>947</v>
      </c>
      <c r="B973" s="86" t="inlineStr">
        <is>
          <t>VIDEO</t>
        </is>
      </c>
      <c r="C973" s="85" t="inlineStr">
        <is>
          <t>一次</t>
        </is>
      </c>
      <c r="D973" s="78" t="inlineStr">
        <is>
          <t>yīcì</t>
        </is>
      </c>
      <c r="E973" s="78" t="inlineStr">
        <is>
          <t>một lần</t>
        </is>
      </c>
      <c r="H973" s="55">
        <f>IF(TRIM($G973)="","",IF(EXACT(TRIM($G973),TRIM($C973)),"✅ Đúng","❌ Sai"))</f>
        <v/>
      </c>
      <c r="I973" s="56" t="inlineStr">
        <is>
          <t>▶</t>
        </is>
      </c>
      <c r="J973" s="56" t="inlineStr">
        <is>
          <t>🔍</t>
        </is>
      </c>
      <c r="R973" s="23" t="inlineStr">
        <is>
          <t>Sun Aug 02 2026</t>
        </is>
      </c>
      <c r="S973" t="inlineStr">
        <is>
          <t>📹 Từ video · xuất hiện 3 lần</t>
        </is>
      </c>
      <c r="T973" s="58" t="inlineStr">
        <is>
          <t>一 [NHẤT] · số một, thứ nhất, toàn bộ
    ↳ Chiết tự: một nét ngang 一 (nhất) — chữ chỉ sự, vạch một gạch là số 1
次 [THỨ] · lần, lượt; thứ hạng
    ↳ Chiết tự: bộ 冫 (băng) + 欠 (khiếm – há miệng) — xếp lần lượt kế tiếp</t>
        </is>
      </c>
      <c r="U973" s="70" t="inlineStr">
        <is>
          <t>🎬 HSK 1–2 | 为什么学了很久还是不会说中文？| Why You Still Can’t Speak Chinese?</t>
        </is>
      </c>
      <c r="V973" s="63" t="inlineStr">
        <is>
          <t>有一次下课，我问她：</t>
        </is>
      </c>
      <c r="W973" s="64" t="inlineStr">
        <is>
          <t>yǒu yī cì xià kè， wǒ wèn tā：
➜ Sau giờ học, tôi hỏi cô:</t>
        </is>
      </c>
    </row>
    <row r="974" ht="69.75" customHeight="1" s="99">
      <c r="A974" t="n">
        <v>948</v>
      </c>
      <c r="B974" s="86" t="inlineStr">
        <is>
          <t>VIDEO</t>
        </is>
      </c>
      <c r="C974" s="85" t="inlineStr">
        <is>
          <t>犯错</t>
        </is>
      </c>
      <c r="D974" s="78" t="inlineStr">
        <is>
          <t>fàncuò</t>
        </is>
      </c>
      <c r="E974" s="78" t="inlineStr">
        <is>
          <t>phạm sai lầm</t>
        </is>
      </c>
      <c r="H974" s="55">
        <f>IF(TRIM($G974)="","",IF(EXACT(TRIM($G974),TRIM($C974)),"✅ Đúng","❌ Sai"))</f>
        <v/>
      </c>
      <c r="I974" s="56" t="inlineStr">
        <is>
          <t>▶</t>
        </is>
      </c>
      <c r="J974" s="56" t="inlineStr">
        <is>
          <t>🔍</t>
        </is>
      </c>
      <c r="R974" s="23" t="inlineStr">
        <is>
          <t>Sun Aug 02 2026</t>
        </is>
      </c>
      <c r="S974" t="inlineStr">
        <is>
          <t>📹 Từ video · xuất hiện 3 lần</t>
        </is>
      </c>
      <c r="T974" s="58" t="inlineStr">
        <is>
          <t>犯 · cam kết
错 [THÁC] · sai, nhầm; xen kẽ
    ↳ Chiết tự: giản thể của 錯: bộ 钅 (kim – kim loại) + 昔 (tích – âm đọc) — dao mẻ cắt lệch</t>
        </is>
      </c>
      <c r="U974" s="70" t="inlineStr">
        <is>
          <t>🎬 HSK 1–2 | 为什么学了很久还是不会说中文？| Why You Still Can’t Speak Chinese?</t>
        </is>
      </c>
      <c r="V974" s="63" t="inlineStr">
        <is>
          <t>对。犯错，是学习的一部分。</t>
        </is>
      </c>
      <c r="W974" s="64" t="inlineStr">
        <is>
          <t>duì。 fàn cuò， shì xué xí de yī bù fèn。
➜ Vâng. Phạm sai lầm là một phần của việc học</t>
        </is>
      </c>
    </row>
    <row r="975" ht="69.75" customHeight="1" s="99">
      <c r="A975" t="n">
        <v>949</v>
      </c>
      <c r="B975" s="86" t="inlineStr">
        <is>
          <t>VIDEO</t>
        </is>
      </c>
      <c r="C975" s="85" t="inlineStr">
        <is>
          <t>十分</t>
        </is>
      </c>
      <c r="D975" s="78" t="inlineStr">
        <is>
          <t>shífēn</t>
        </is>
      </c>
      <c r="E975" s="78" t="inlineStr">
        <is>
          <t>mười</t>
        </is>
      </c>
      <c r="H975" s="55">
        <f>IF(TRIM($G975)="","",IF(EXACT(TRIM($G975),TRIM($C975)),"✅ Đúng","❌ Sai"))</f>
        <v/>
      </c>
      <c r="I975" s="56" t="inlineStr">
        <is>
          <t>▶</t>
        </is>
      </c>
      <c r="J975" s="56" t="inlineStr">
        <is>
          <t>🔍</t>
        </is>
      </c>
      <c r="R975" s="23" t="inlineStr">
        <is>
          <t>Sun Aug 02 2026</t>
        </is>
      </c>
      <c r="S975" t="inlineStr">
        <is>
          <t>📹 Từ video · xuất hiện 3 lần</t>
        </is>
      </c>
      <c r="T975" s="58" t="inlineStr">
        <is>
          <t>十 [THẬP] · số mười; đầy đủ
    ↳ Chiết tự: bộ 十 (thập) — một nét ngang giao một nét dọc, đủ bốn phương
分 [PHÂN] · chia; phút; phần
    ↳ Chiết tự: bộ 八 (bát – chia) + 刀 (đao – con dao) — lấy dao cắt làm hai</t>
        </is>
      </c>
      <c r="U975" s="70" t="inlineStr">
        <is>
          <t>🎬 HSK 1–2 | 为什么学了很久还是不会说中文？| Why You Still Can’t Speak Chinese?</t>
        </is>
      </c>
      <c r="V975" s="63" t="inlineStr">
        <is>
          <t>请从说出那个六十分的句子开始。</t>
        </is>
      </c>
      <c r="W975" s="64" t="inlineStr">
        <is>
          <t>qǐng cóng shuō chū nà ge liù shí fēn de jù zi kāi shǐ。
➜ Hãy bắt đầu bằng việc nói câu sáu mươi điểm đó</t>
        </is>
      </c>
    </row>
    <row r="976" ht="69.75" customHeight="1" s="99">
      <c r="A976" t="n">
        <v>950</v>
      </c>
      <c r="B976" s="86" t="inlineStr">
        <is>
          <t>VIDEO</t>
        </is>
      </c>
      <c r="C976" s="85" t="inlineStr">
        <is>
          <t>成功</t>
        </is>
      </c>
      <c r="D976" s="78" t="inlineStr">
        <is>
          <t>chénggōng</t>
        </is>
      </c>
      <c r="E976" s="78" t="inlineStr">
        <is>
          <t>sự thành công</t>
        </is>
      </c>
      <c r="H976" s="55">
        <f>IF(TRIM($G976)="","",IF(EXACT(TRIM($G976),TRIM($C976)),"✅ Đúng","❌ Sai"))</f>
        <v/>
      </c>
      <c r="I976" s="56" t="inlineStr">
        <is>
          <t>▶</t>
        </is>
      </c>
      <c r="J976" s="56" t="inlineStr">
        <is>
          <t>🔍</t>
        </is>
      </c>
      <c r="R976" s="23" t="inlineStr">
        <is>
          <t>Sun Aug 02 2026</t>
        </is>
      </c>
      <c r="S976" t="inlineStr">
        <is>
          <t>📹 Từ video · xuất hiện 3 lần</t>
        </is>
      </c>
      <c r="T976" s="58" t="inlineStr">
        <is>
          <t>成 [THÀNH] · thành công, hoàn thành
    ↳ Chiết tự: bộ 戈 (qua – ngọn giáo) + 丁 (đinh) — việc binh đã xong
功 · chiêng</t>
        </is>
      </c>
      <c r="U976" s="70" t="inlineStr">
        <is>
          <t>🎬 HSK 1–2 | 为什么学了很久还是不会说中文？| Why You Still Can’t Speak Chinese?</t>
        </is>
      </c>
      <c r="V976" s="63" t="inlineStr">
        <is>
          <t>这种小的成功，</t>
        </is>
      </c>
      <c r="W976" s="64" t="inlineStr">
        <is>
          <t>zhè zhǒng xiǎo de chéng gōng，
➜ Thành công nhỏ này,</t>
        </is>
      </c>
    </row>
    <row r="977" ht="69.75" customHeight="1" s="99">
      <c r="A977" t="n">
        <v>951</v>
      </c>
      <c r="B977" s="86" t="inlineStr">
        <is>
          <t>VIDEO</t>
        </is>
      </c>
      <c r="C977" s="85" t="inlineStr">
        <is>
          <t>有点</t>
        </is>
      </c>
      <c r="D977" s="78" t="inlineStr">
        <is>
          <t>yǒudiǎn</t>
        </is>
      </c>
      <c r="E977" s="78" t="inlineStr">
        <is>
          <t>Một chút</t>
        </is>
      </c>
      <c r="H977" s="55">
        <f>IF(TRIM($G977)="","",IF(EXACT(TRIM($G977),TRIM($C977)),"✅ Đúng","❌ Sai"))</f>
        <v/>
      </c>
      <c r="I977" s="56" t="inlineStr">
        <is>
          <t>▶</t>
        </is>
      </c>
      <c r="J977" s="56" t="inlineStr">
        <is>
          <t>🔍</t>
        </is>
      </c>
      <c r="R977" s="23" t="inlineStr">
        <is>
          <t>Sun Aug 02 2026</t>
        </is>
      </c>
      <c r="S977" t="inlineStr">
        <is>
          <t>📹 Từ video · xuất hiện 3 lần</t>
        </is>
      </c>
      <c r="T977" s="58" t="inlineStr">
        <is>
          <t>有 [HỮU] · có, sở hữu
    ↳ Chiết tự: bộ 又 (hựu – bàn tay) + 月 (nhục – miếng thịt) — tay cầm miếng thịt là có của
点 [ĐIỂM] · chấm, điểm; giờ; gọi món
    ↳ Chiết tự: giản thể của 點: bộ 灬 (hỏa – lửa) + 占 (chiếm – âm đọc) — chấm đen do lửa, đốm nhỏ</t>
        </is>
      </c>
      <c r="U977" s="70" t="inlineStr">
        <is>
          <t>🎬 HSK 1–2 | 为什么学了很久还是不会说中文？| Why You Still Can’t Speak Chinese?</t>
        </is>
      </c>
      <c r="V977" s="63" t="inlineStr">
        <is>
          <t>这个句子有点长，有点难。</t>
        </is>
      </c>
      <c r="W977" s="64" t="inlineStr">
        <is>
          <t>zhè ge jù zi yǒu diǎn zhǎng， yǒu diǎn nán。
➜ Câu này hơi dài và hơi khó</t>
        </is>
      </c>
    </row>
    <row r="978" ht="69.75" customHeight="1" s="99">
      <c r="A978" t="n">
        <v>952</v>
      </c>
      <c r="B978" s="86" t="inlineStr">
        <is>
          <t>VIDEO</t>
        </is>
      </c>
      <c r="C978" s="85" t="inlineStr">
        <is>
          <t>成为</t>
        </is>
      </c>
      <c r="D978" s="78" t="inlineStr">
        <is>
          <t>chéngwéi</t>
        </is>
      </c>
      <c r="E978" s="78" t="inlineStr">
        <is>
          <t>trở thành</t>
        </is>
      </c>
      <c r="H978" s="55">
        <f>IF(TRIM($G978)="","",IF(EXACT(TRIM($G978),TRIM($C978)),"✅ Đúng","❌ Sai"))</f>
        <v/>
      </c>
      <c r="I978" s="56" t="inlineStr">
        <is>
          <t>▶</t>
        </is>
      </c>
      <c r="J978" s="56" t="inlineStr">
        <is>
          <t>🔍</t>
        </is>
      </c>
      <c r="R978" s="23" t="inlineStr">
        <is>
          <t>Sun Aug 02 2026</t>
        </is>
      </c>
      <c r="S978" t="inlineStr">
        <is>
          <t>📹 Từ video · xuất hiện 3 lần</t>
        </is>
      </c>
      <c r="T978" s="58" t="inlineStr">
        <is>
          <t>成 [THÀNH] · thành công, hoàn thành
    ↳ Chiết tự: bộ 戈 (qua – ngọn giáo) + 丁 (đinh) — việc binh đã xong
为 [VI / VỊ] · làm, là; vì, cho
    ↳ Chiết tự: giản thể của 為: bộ 丶 (chủ) + 力 — hình bàn tay dắt voi làm việc</t>
        </is>
      </c>
      <c r="U978" s="70" t="inlineStr">
        <is>
          <t>🎬 HSK 1–2 | 为什么学了很久还是不会说中文？| Why You Still Can’t Speak Chinese?</t>
        </is>
      </c>
      <c r="V978" s="63" t="inlineStr">
        <is>
          <t>成为语言伙伴。</t>
        </is>
      </c>
      <c r="W978" s="64" t="inlineStr">
        <is>
          <t>chéng wéi yǔ yán huǒ bàn。
➜ Trở thành đối tác ngôn ngữ</t>
        </is>
      </c>
    </row>
    <row r="979" ht="69.75" customHeight="1" s="99">
      <c r="A979" t="n">
        <v>953</v>
      </c>
      <c r="B979" s="86" t="inlineStr">
        <is>
          <t>VIDEO</t>
        </is>
      </c>
      <c r="C979" s="85" t="inlineStr">
        <is>
          <t>聊</t>
        </is>
      </c>
      <c r="D979" s="78" t="inlineStr">
        <is>
          <t>liáo</t>
        </is>
      </c>
      <c r="E979" s="78" t="inlineStr">
        <is>
          <t>trò chuyện</t>
        </is>
      </c>
      <c r="H979" s="55">
        <f>IF(TRIM($G979)="","",IF(EXACT(TRIM($G979),TRIM($C979)),"✅ Đúng","❌ Sai"))</f>
        <v/>
      </c>
      <c r="I979" s="56" t="inlineStr">
        <is>
          <t>▶</t>
        </is>
      </c>
      <c r="J979" s="56" t="inlineStr">
        <is>
          <t>🔍</t>
        </is>
      </c>
      <c r="R979" s="23" t="inlineStr">
        <is>
          <t>Sun Aug 02 2026</t>
        </is>
      </c>
      <c r="S979" t="inlineStr">
        <is>
          <t>📹 Từ video · xuất hiện 3 lần</t>
        </is>
      </c>
      <c r="T979" s="58" t="inlineStr">
        <is>
          <t>聊 [LIÊU] · tán gẫu, chuyện vãn
    ↳ Chiết tự: bộ 耳 (nhĩ – tai) + 卯 (mão – âm đọc) — kề tai nói chuyện</t>
        </is>
      </c>
      <c r="U979" s="70" t="inlineStr">
        <is>
          <t>🎬 HSK 1–2 | 为什么学了很久还是不会说中文？| Why You Still Can’t Speak Chinese?</t>
        </is>
      </c>
      <c r="V979" s="63" t="inlineStr">
        <is>
          <t>比如，聊三十分钟。</t>
        </is>
      </c>
      <c r="W979" s="64" t="inlineStr">
        <is>
          <t>bǐ rú， liáo sān shí fēn zhōng。
➜ Ví dụ: trò chuyện trong ba mươi phút</t>
        </is>
      </c>
    </row>
    <row r="980" hidden="1" ht="69.75" customHeight="1" s="99">
      <c r="A980" t="n">
        <v>954</v>
      </c>
      <c r="B980" s="86" t="inlineStr">
        <is>
          <t>VIDEO</t>
        </is>
      </c>
      <c r="C980" s="85" t="inlineStr">
        <is>
          <t>开口</t>
        </is>
      </c>
      <c r="D980" s="78" t="inlineStr">
        <is>
          <t>kāikǒu</t>
        </is>
      </c>
      <c r="E980" s="78" t="inlineStr">
        <is>
          <t>Mở miệng của bạn</t>
        </is>
      </c>
      <c r="G980" s="77" t="inlineStr">
        <is>
          <t>开口</t>
        </is>
      </c>
      <c r="H980" s="55">
        <f>IF(TRIM($G980)="","",IF(EXACT(TRIM($G980),TRIM($C980)),"✅ Đúng","❌ Sai"))</f>
        <v/>
      </c>
      <c r="I980" s="56" t="inlineStr">
        <is>
          <t>▶</t>
        </is>
      </c>
      <c r="J980" s="56" t="inlineStr">
        <is>
          <t>🔍</t>
        </is>
      </c>
      <c r="R980" s="23" t="inlineStr">
        <is>
          <t>Sun Aug 02 2026</t>
        </is>
      </c>
      <c r="S980" t="inlineStr">
        <is>
          <t>📹 Từ video · xuất hiện 3 lần</t>
        </is>
      </c>
      <c r="T980" s="58" t="inlineStr">
        <is>
          <t>开 [KHAI] · mở ra, bắt đầu, khai trương
    ↳ Chiết tự: giản thể của 開: bộ 廾 (củng – hai tay) — hai tay nhấc then cửa lên
口 [KHẨU] · cái miệng; cửa, nhân khẩu
    ↳ Chiết tự: bộ 口 (khẩu) — hình cái miệng mở</t>
        </is>
      </c>
      <c r="U980" s="70" t="inlineStr">
        <is>
          <t>🎬 HSK 1–2 | 为什么学了很久还是不会说中文？| Why You Still Can’t Speak Chinese?</t>
        </is>
      </c>
      <c r="V980" s="63" t="inlineStr">
        <is>
          <t>你敢不敢开口说中文？</t>
        </is>
      </c>
      <c r="W980" s="64" t="inlineStr">
        <is>
          <t>nǐ gǎn bù gǎn kāi kǒu shuō zhōng wén？
➜ Bạn có dám nói tiếng Trung không?</t>
        </is>
      </c>
    </row>
    <row r="981" ht="69.75" customHeight="1" s="99">
      <c r="A981" t="n">
        <v>955</v>
      </c>
      <c r="B981" s="86" t="inlineStr">
        <is>
          <t>VIDEO</t>
        </is>
      </c>
      <c r="C981" s="85" t="inlineStr">
        <is>
          <t>同样</t>
        </is>
      </c>
      <c r="D981" s="78" t="inlineStr">
        <is>
          <t>tóngyàng</t>
        </is>
      </c>
      <c r="E981" s="78" t="inlineStr">
        <is>
          <t>Tương tự như vậy</t>
        </is>
      </c>
      <c r="H981" s="55">
        <f>IF(TRIM($G981)="","",IF(EXACT(TRIM($G981),TRIM($C981)),"✅ Đúng","❌ Sai"))</f>
        <v/>
      </c>
      <c r="I981" s="56" t="inlineStr">
        <is>
          <t>▶</t>
        </is>
      </c>
      <c r="J981" s="56" t="inlineStr">
        <is>
          <t>🔍</t>
        </is>
      </c>
      <c r="R981" s="23" t="inlineStr">
        <is>
          <t>Sun Aug 02 2026</t>
        </is>
      </c>
      <c r="S981" t="inlineStr">
        <is>
          <t>📹 Từ video · xuất hiện 2 lần</t>
        </is>
      </c>
      <c r="T981" s="58" t="inlineStr">
        <is>
          <t>同 [ĐỒNG] · giống nhau, cùng nhau
    ↳ Chiết tự: bộ 冂 (quynh – bao) + 一 (nhất) + 口 (khẩu – miệng) — nhiều miệng nói cùng một lời
样 [DẠNG] · kiểu dáng, mẫu mực
    ↳ Chiết tự: giản thể của 樣: bộ 木 (mộc – gỗ) + 羊 (dương – âm đọc) — khuôn mẫu bằng gỗ</t>
        </is>
      </c>
      <c r="U981" s="70" t="inlineStr">
        <is>
          <t>🎬 HSK 1–2 | 为什么学了很久还是不会说中文？| Why You Still Can’t Speak Chinese?</t>
        </is>
      </c>
      <c r="V981" s="63" t="inlineStr">
        <is>
          <t>可能也有同样的问题。</t>
        </is>
      </c>
      <c r="W981" s="64" t="inlineStr">
        <is>
          <t>kě néng yě yǒu tóng yàng de wèn tí。
➜ Có thể có cùng một vấn đề</t>
        </is>
      </c>
    </row>
    <row r="982" ht="69.75" customHeight="1" s="99">
      <c r="A982" t="n">
        <v>956</v>
      </c>
      <c r="B982" s="86" t="inlineStr">
        <is>
          <t>VIDEO</t>
        </is>
      </c>
      <c r="C982" s="85" t="inlineStr">
        <is>
          <t>你学</t>
        </is>
      </c>
      <c r="D982" s="78" t="inlineStr">
        <is>
          <t>nǐxué</t>
        </is>
      </c>
      <c r="E982" s="78" t="inlineStr">
        <is>
          <t>Bạn học</t>
        </is>
      </c>
      <c r="H982" s="55">
        <f>IF(TRIM($G982)="","",IF(EXACT(TRIM($G982),TRIM($C982)),"✅ Đúng","❌ Sai"))</f>
        <v/>
      </c>
      <c r="I982" s="56" t="inlineStr">
        <is>
          <t>▶</t>
        </is>
      </c>
      <c r="J982" s="56" t="inlineStr">
        <is>
          <t>🔍</t>
        </is>
      </c>
      <c r="R982" s="23" t="inlineStr">
        <is>
          <t>Sun Aug 02 2026</t>
        </is>
      </c>
      <c r="S982" t="inlineStr">
        <is>
          <t>📹 Từ video · xuất hiện 2 lần</t>
        </is>
      </c>
      <c r="T982" s="58" t="inlineStr">
        <is>
          <t>你 [NHĨ] · bạn, anh, chị (ngôi thứ hai)
    ↳ Chiết tự: bộ 亻 (nhân đứng – người) + 尔 (nhĩ – âm đọc) — người đối diện
学 [HỌC] · học tập, trường học
    ↳ Chiết tự: giản thể của 學: bộ 冖 (mịch – mái che) + 子 (tử – trẻ) — trẻ được dạy dưới mái nhà</t>
        </is>
      </c>
      <c r="U982" s="70" t="inlineStr">
        <is>
          <t>🎬 HSK 1–2 | 为什么学了很久还是不会说中文？| Why You Still Can’t Speak Chinese?</t>
        </is>
      </c>
      <c r="V982" s="63" t="inlineStr">
        <is>
          <t>为什么你学了很久，还是不会说中文？</t>
        </is>
      </c>
      <c r="W982" s="64" t="inlineStr">
        <is>
          <t>wèi shén me nǐ xué le hěn jiǔ， hái shì bú huì shuō zhōng wén？
➜ Tại sao bạn không thể nói được tiếng Trung sau khi học một thời gian dài?</t>
        </is>
      </c>
    </row>
    <row r="983" ht="69.75" customHeight="1" s="99">
      <c r="A983" t="n">
        <v>957</v>
      </c>
      <c r="B983" s="86" t="inlineStr">
        <is>
          <t>VIDEO</t>
        </is>
      </c>
      <c r="C983" s="85" t="inlineStr">
        <is>
          <t>第一个</t>
        </is>
      </c>
      <c r="D983" s="78" t="inlineStr">
        <is>
          <t>dìyígè</t>
        </is>
      </c>
      <c r="E983" s="78" t="inlineStr">
        <is>
          <t>cái đầu tiên</t>
        </is>
      </c>
      <c r="H983" s="55">
        <f>IF(TRIM($G983)="","",IF(EXACT(TRIM($G983),TRIM($C983)),"✅ Đúng","❌ Sai"))</f>
        <v/>
      </c>
      <c r="I983" s="56" t="inlineStr">
        <is>
          <t>▶</t>
        </is>
      </c>
      <c r="J983" s="56" t="inlineStr">
        <is>
          <t>🔍</t>
        </is>
      </c>
      <c r="R983" s="23" t="inlineStr">
        <is>
          <t>Sun Aug 02 2026</t>
        </is>
      </c>
      <c r="S983" t="inlineStr">
        <is>
          <t>📹 Từ video · xuất hiện 2 lần</t>
        </is>
      </c>
      <c r="T983" s="58" t="inlineStr">
        <is>
          <t>第 [ĐỆ] · thứ (số thứ tự)
    ↳ Chiết tự: bộ 竹 (trúc – tre) + 弟 (đệ – âm đọc) — thẻ tre đánh số theo thứ tự
一 [NHẤT] · số một, thứ nhất, toàn bộ
    ↳ Chiết tự: một nét ngang 一 (nhất) — chữ chỉ sự, vạch một gạch là số 1
个 [CÁ] · cái, chiếc (lượng từ chung)
    ↳ Chiết tự: bộ 人 (nhân – người) + 丨 (cổn – nét sổ) — một cá thể riêng lẻ</t>
        </is>
      </c>
      <c r="U983" s="70" t="inlineStr">
        <is>
          <t>🎬 HSK 1–2 | 为什么学了很久还是不会说中文？| Why You Still Can’t Speak Chinese?</t>
        </is>
      </c>
      <c r="V983" s="63" t="inlineStr">
        <is>
          <t>第一个，也是最重要的，就是“害怕”。</t>
        </is>
      </c>
      <c r="W983" s="64" t="inlineStr">
        <is>
          <t>dì yí gè， yě shì zuì zhòng yào de， jiù shì “ hài pà ”。
➜ Đầu tiên và quan trọng nhất là “sợ hãi”</t>
        </is>
      </c>
    </row>
    <row r="984" hidden="1" ht="69.75" customHeight="1" s="99">
      <c r="A984" t="n">
        <v>958</v>
      </c>
      <c r="B984" s="86" t="inlineStr">
        <is>
          <t>VIDEO</t>
        </is>
      </c>
      <c r="C984" s="85" t="inlineStr">
        <is>
          <t>想起</t>
        </is>
      </c>
      <c r="D984" s="78" t="inlineStr">
        <is>
          <t>xiǎngqǐ</t>
        </is>
      </c>
      <c r="E984" s="78" t="inlineStr">
        <is>
          <t>nghĩ về</t>
        </is>
      </c>
      <c r="G984" s="77" t="inlineStr">
        <is>
          <t>想起</t>
        </is>
      </c>
      <c r="H984" s="55">
        <f>IF(TRIM($G984)="","",IF(EXACT(TRIM($G984),TRIM($C984)),"✅ Đúng","❌ Sai"))</f>
        <v/>
      </c>
      <c r="I984" s="56" t="inlineStr">
        <is>
          <t>▶</t>
        </is>
      </c>
      <c r="J984" s="56" t="inlineStr">
        <is>
          <t>🔍</t>
        </is>
      </c>
      <c r="R984" s="23" t="inlineStr">
        <is>
          <t>Sun Aug 02 2026</t>
        </is>
      </c>
      <c r="S984" t="inlineStr">
        <is>
          <t>📹 Từ video · xuất hiện 2 lần</t>
        </is>
      </c>
      <c r="T984" s="58" t="inlineStr">
        <is>
          <t>想 [TƯỞNG] · nghĩ, nhớ, muốn
    ↳ Chiết tự: bộ 相 (tương – nhìn ngắm) + 心 (tâm – trái tim) — trong lòng ngắm nghía hình bóng
起 [KHỞI] · đứng dậy, khởi đầu, nổi lên
    ↳ Chiết tự: bộ 走 (tẩu – đi) + 己 (kỷ – bản thân) — tự mình bước dậy</t>
        </is>
      </c>
      <c r="U984" s="70" t="inlineStr">
        <is>
          <t>🎬 HSK 1–2 | 为什么学了很久还是不会说中文？| Why You Still Can’t Speak Chinese?</t>
        </is>
      </c>
      <c r="V984" s="63" t="inlineStr">
        <is>
          <t>我想起我的一个学生，她叫玛丽。</t>
        </is>
      </c>
      <c r="W984" s="64" t="inlineStr">
        <is>
          <t>wǒ xiǎng qǐ wǒ de yí gè xué shēng， tā jiào mǎ lì。
➜ Tôi nghĩ đến một học sinh của tôi, tên cô ấy là Mary</t>
        </is>
      </c>
    </row>
    <row r="985" ht="69.75" customHeight="1" s="99">
      <c r="A985" t="n">
        <v>959</v>
      </c>
      <c r="B985" s="86" t="inlineStr">
        <is>
          <t>VIDEO</t>
        </is>
      </c>
      <c r="C985" s="85" t="inlineStr">
        <is>
          <t>我刚</t>
        </is>
      </c>
      <c r="D985" s="78" t="inlineStr">
        <is>
          <t>wǒgāng</t>
        </is>
      </c>
      <c r="E985" s="78" t="inlineStr">
        <is>
          <t>tôi chỉ</t>
        </is>
      </c>
      <c r="H985" s="55">
        <f>IF(TRIM($G985)="","",IF(EXACT(TRIM($G985),TRIM($C985)),"✅ Đúng","❌ Sai"))</f>
        <v/>
      </c>
      <c r="I985" s="56" t="inlineStr">
        <is>
          <t>▶</t>
        </is>
      </c>
      <c r="J985" s="56" t="inlineStr">
        <is>
          <t>🔍</t>
        </is>
      </c>
      <c r="R985" s="23" t="inlineStr">
        <is>
          <t>Sun Aug 02 2026</t>
        </is>
      </c>
      <c r="S985" t="inlineStr">
        <is>
          <t>📹 Từ video · xuất hiện 2 lần</t>
        </is>
      </c>
      <c r="T985" s="58" t="inlineStr">
        <is>
          <t>我 [NGÃ] · tôi, ta
    ↳ Chiết tự: bộ 戈 (qua – ngọn giáo) + 手 — tay cầm binh khí giữ lấy mình
刚 [CANG] · vừa mới; cứng rắn
    ↳ Chiết tự: giản thể của 剛: bộ 刂 (đao đứng – dao) + 冈 — dao vừa mới rèn, còn cứng</t>
        </is>
      </c>
      <c r="U985" s="70" t="inlineStr">
        <is>
          <t>🎬 HSK 1–2 | 为什么学了很久还是不会说中文？| Why You Still Can’t Speak Chinese?</t>
        </is>
      </c>
      <c r="V985" s="63" t="inlineStr">
        <is>
          <t>所以，我刚开始学的时候，总想把我说的每一句话都说得完全</t>
        </is>
      </c>
      <c r="W985" s="64" t="inlineStr">
        <is>
          <t>suǒ yǐ， wǒ gāng kāi shǐ xué de shí hòu， zǒng xiǎng bǎ wǒ shuō de měi yī jù huà dōu shuō dé wán quán
➜ Vì vậy, khi mới bắt đầu học, tôi luôn muốn nói hết những gì mình đã nói</t>
        </is>
      </c>
    </row>
    <row r="986" ht="69.75" customHeight="1" s="99">
      <c r="A986" t="n">
        <v>960</v>
      </c>
      <c r="B986" s="86" t="inlineStr">
        <is>
          <t>VIDEO</t>
        </is>
      </c>
      <c r="C986" s="85" t="inlineStr">
        <is>
          <t>英文</t>
        </is>
      </c>
      <c r="D986" s="78" t="inlineStr">
        <is>
          <t>yīngwén</t>
        </is>
      </c>
      <c r="E986" s="78" t="inlineStr">
        <is>
          <t>Tiếng Anh</t>
        </is>
      </c>
      <c r="H986" s="55">
        <f>IF(TRIM($G986)="","",IF(EXACT(TRIM($G986),TRIM($C986)),"✅ Đúng","❌ Sai"))</f>
        <v/>
      </c>
      <c r="I986" s="56" t="inlineStr">
        <is>
          <t>▶</t>
        </is>
      </c>
      <c r="J986" s="56" t="inlineStr">
        <is>
          <t>🔍</t>
        </is>
      </c>
      <c r="R986" s="23" t="inlineStr">
        <is>
          <t>Sun Aug 02 2026</t>
        </is>
      </c>
      <c r="S986" t="inlineStr">
        <is>
          <t>📹 Từ video · xuất hiện 2 lần</t>
        </is>
      </c>
      <c r="T986" s="58" t="inlineStr">
        <is>
          <t>英 · Tiếng Anh
文 [VĂN] · chữ viết, văn chương, văn hóa
    ↳ Chiết tự: bộ 文 (văn) — hình hoa văn xăm trên ngực người</t>
        </is>
      </c>
      <c r="U986" s="70" t="inlineStr">
        <is>
          <t>🎬 HSK 1–2 | 为什么学了很久还是不会说中文？| Why You Still Can’t Speak Chinese?</t>
        </is>
      </c>
      <c r="V986" s="63" t="inlineStr">
        <is>
          <t>那时候，我想用英文告诉他，我昨天去看了一个电影。</t>
        </is>
      </c>
      <c r="W986" s="64" t="inlineStr">
        <is>
          <t>nà shí hòu， wǒ xiǎng yòng yīng wén gào sù tā， wǒ zuó tiān qù kàn le yí gè diàn yǐng。
➜ Lúc đó tôi muốn nói với anh ấy bằng tiếng Anh rằng hôm qua tôi đã đi xem phim</t>
        </is>
      </c>
    </row>
    <row r="987" ht="69.75" customHeight="1" s="99">
      <c r="A987" t="n">
        <v>961</v>
      </c>
      <c r="B987" s="86" t="inlineStr">
        <is>
          <t>VIDEO</t>
        </is>
      </c>
      <c r="C987" s="85" t="inlineStr">
        <is>
          <t>单词</t>
        </is>
      </c>
      <c r="D987" s="78" t="inlineStr">
        <is>
          <t>dāncí</t>
        </is>
      </c>
      <c r="E987" s="78" t="inlineStr">
        <is>
          <t>từ</t>
        </is>
      </c>
      <c r="H987" s="55">
        <f>IF(TRIM($G987)="","",IF(EXACT(TRIM($G987),TRIM($C987)),"✅ Đúng","❌ Sai"))</f>
        <v/>
      </c>
      <c r="I987" s="56" t="inlineStr">
        <is>
          <t>▶</t>
        </is>
      </c>
      <c r="J987" s="56" t="inlineStr">
        <is>
          <t>🔍</t>
        </is>
      </c>
      <c r="R987" s="23" t="inlineStr">
        <is>
          <t>Sun Aug 02 2026</t>
        </is>
      </c>
      <c r="S987" t="inlineStr">
        <is>
          <t>📹 Từ video · xuất hiện 2 lần</t>
        </is>
      </c>
      <c r="T987" s="58" t="inlineStr">
        <is>
          <t>单 [ĐƠN] · đơn lẻ, đơn giản; tờ đơn
    ↳ Chiết tự: giản thể của 單: bộ 丷 (bát) + 田 (điền) + 十 (thập) — chỉ một cái, không đôi
词 [TỪ] · từ ngữ, lời
    ↳ Chiết tự: giản thể của 詞: bộ 讠 (ngôn – lời nói) + 司 (ty – âm đọc) — đơn vị của lời nói</t>
        </is>
      </c>
      <c r="U987" s="70" t="inlineStr">
        <is>
          <t>🎬 HSK 1–2 | 为什么学了很久还是不会说中文？| Why You Still Can’t Speak Chinese?</t>
        </is>
      </c>
      <c r="V987" s="63" t="inlineStr">
        <is>
          <t>用你已经学会的、最简单的中文单词和句子</t>
        </is>
      </c>
      <c r="W987" s="64" t="inlineStr">
        <is>
          <t>yòng nǐ yǐ jīng xué huì de、 zuì jiǎn dān de zhōng wén dān cí hé jù zi
➜ Sử dụng những từ và câu tiếng Trung đơn giản nhất bạn đã học</t>
        </is>
      </c>
    </row>
    <row r="988" ht="69.75" customHeight="1" s="99">
      <c r="A988" t="n">
        <v>962</v>
      </c>
      <c r="B988" s="86" t="inlineStr">
        <is>
          <t>VIDEO</t>
        </is>
      </c>
      <c r="C988" s="85" t="inlineStr">
        <is>
          <t>能看懂</t>
        </is>
      </c>
      <c r="D988" s="78" t="inlineStr">
        <is>
          <t>néngkàndǒng</t>
        </is>
      </c>
      <c r="E988" s="78" t="inlineStr">
        <is>
          <t>Có thể hiểu được</t>
        </is>
      </c>
      <c r="H988" s="55">
        <f>IF(TRIM($G988)="","",IF(EXACT(TRIM($G988),TRIM($C988)),"✅ Đúng","❌ Sai"))</f>
        <v/>
      </c>
      <c r="I988" s="56" t="inlineStr">
        <is>
          <t>▶</t>
        </is>
      </c>
      <c r="J988" s="56" t="inlineStr">
        <is>
          <t>🔍</t>
        </is>
      </c>
      <c r="R988" s="23" t="inlineStr">
        <is>
          <t>Sun Aug 02 2026</t>
        </is>
      </c>
      <c r="S988" t="inlineStr">
        <is>
          <t>📹 Từ video · xuất hiện 2 lần</t>
        </is>
      </c>
      <c r="T988" s="58" t="inlineStr">
        <is>
          <t>能 [NĂNG] · có thể, năng lực
    ↳ Chiết tự: bộ 月 (nhục) + 匕 (chủy) — hình con gấu khỏe, chỉ khả năng
看 [KHÁN] · nhìn, xem, trông coi
    ↳ Chiết tự: bộ 手 (thủ – bàn tay) đặt trên 目 (mục – con mắt) — che tay lên mắt mà ngóng
懂 [ĐỔNG] · hiểu, hiểu biết
    ↳ Chiết tự: bộ 忄 (tâm đứng – trái tim) + 董 (đổng – âm đọc) — trong lòng đã thông</t>
        </is>
      </c>
      <c r="U988" s="70" t="inlineStr">
        <is>
          <t>🎬 HSK 1–2 | 为什么学了很久还是不会说中文？| Why You Still Can’t Speak Chinese?</t>
        </is>
      </c>
      <c r="V988" s="63" t="inlineStr">
        <is>
          <t>都能看懂。</t>
        </is>
      </c>
      <c r="W988" s="64" t="inlineStr">
        <is>
          <t>dōu néng kàn dǒng。
➜ Mọi người đều có thể hiểu được</t>
        </is>
      </c>
    </row>
    <row r="989" ht="69.75" customHeight="1" s="99">
      <c r="A989" t="n">
        <v>963</v>
      </c>
      <c r="B989" s="86" t="inlineStr">
        <is>
          <t>VIDEO</t>
        </is>
      </c>
      <c r="C989" s="85" t="inlineStr">
        <is>
          <t>说不出来</t>
        </is>
      </c>
      <c r="D989" s="78" t="inlineStr">
        <is>
          <t>shuōbùchūlái</t>
        </is>
      </c>
      <c r="E989" s="78" t="inlineStr">
        <is>
          <t>không thể nói</t>
        </is>
      </c>
      <c r="H989" s="55">
        <f>IF(TRIM($G989)="","",IF(EXACT(TRIM($G989),TRIM($C989)),"✅ Đúng","❌ Sai"))</f>
        <v/>
      </c>
      <c r="I989" s="56" t="inlineStr">
        <is>
          <t>▶</t>
        </is>
      </c>
      <c r="J989" s="56" t="inlineStr">
        <is>
          <t>🔍</t>
        </is>
      </c>
      <c r="R989" s="23" t="inlineStr">
        <is>
          <t>Sun Aug 02 2026</t>
        </is>
      </c>
      <c r="S989" t="inlineStr">
        <is>
          <t>📹 Từ video · xuất hiện 2 lần</t>
        </is>
      </c>
      <c r="T989" s="58" t="inlineStr">
        <is>
          <t>说 [THUYẾT] · nói, thuyết minh
    ↳ Chiết tự: giản thể của 說: bộ 讠 (ngôn – lời nói) + 兑 (đoài – thông suốt) — mở lời cho thông
不 [BẤT] · không, chẳng (phủ định)
    ↳ Chiết tự: bộ 一 (nhất – vòm trời) + 丿 (phiệt) — chim bay lên đụng trời, không qua được
出 [XUẤT] · ra, đi ra, xuất phát
    ↳ Chiết tự: bộ 凵 (khảm – cái hố) + 屮 (triệt – mầm) — bàn chân bước ra khỏi hang
来 [LAI] · đến, tới, sắp tới
    ↳ Chiết tự: giản thể của 來: bộ 木 (mộc) — hình bông lúa mạch, mượn âm làm "đến"</t>
        </is>
      </c>
      <c r="U989" s="70" t="inlineStr">
        <is>
          <t>🎬 HSK 1–2 | 为什么学了很久还是不会说中文？| Why You Still Can’t Speak Chinese?</t>
        </is>
      </c>
      <c r="V989" s="63" t="inlineStr">
        <is>
          <t>但是，她越是这样想，就越说不出来。</t>
        </is>
      </c>
      <c r="W989" s="64" t="inlineStr">
        <is>
          <t>dàn shì， tā yuè shì zhè yàng xiǎng， jiù yuè shuō bù chū lái。
➜ Tuy nhiên, càng nghĩ về điều đó, cô càng không thể nói được</t>
        </is>
      </c>
    </row>
    <row r="990" ht="69.75" customHeight="1" s="99">
      <c r="A990" t="n">
        <v>964</v>
      </c>
      <c r="B990" s="86" t="inlineStr">
        <is>
          <t>VIDEO</t>
        </is>
      </c>
      <c r="C990" s="85" t="inlineStr">
        <is>
          <t>发音</t>
        </is>
      </c>
      <c r="D990" s="78" t="inlineStr">
        <is>
          <t>fāyīn</t>
        </is>
      </c>
      <c r="E990" s="78" t="inlineStr">
        <is>
          <t>phát âm</t>
        </is>
      </c>
      <c r="H990" s="55">
        <f>IF(TRIM($G990)="","",IF(EXACT(TRIM($G990),TRIM($C990)),"✅ Đúng","❌ Sai"))</f>
        <v/>
      </c>
      <c r="I990" s="56" t="inlineStr">
        <is>
          <t>▶</t>
        </is>
      </c>
      <c r="J990" s="56" t="inlineStr">
        <is>
          <t>🔍</t>
        </is>
      </c>
      <c r="R990" s="23" t="inlineStr">
        <is>
          <t>Sun Aug 02 2026</t>
        </is>
      </c>
      <c r="S990" t="inlineStr">
        <is>
          <t>📹 Từ video · xuất hiện 2 lần</t>
        </is>
      </c>
      <c r="T990" s="58" t="inlineStr">
        <is>
          <t>发 [PHÁT / PHÁP] · phát ra, gửi; tóc
    ↳ Chiết tự: giản thể của 發 (phát ra) và 髮 (tóc): bộ 又 (hựu – tay) + 弓 — tay giương cung bắn ra
音 [ÂM] · âm thanh, tiếng nói
    ↳ Chiết tự: bộ 音 (âm) — hình cái sáo phát tiếng, thêm vạch ở miệng</t>
        </is>
      </c>
      <c r="U990" s="70" t="inlineStr">
        <is>
          <t>🎬 HSK 1–2 | 为什么学了很久还是不会说中文？| Why You Still Can’t Speak Chinese?</t>
        </is>
      </c>
      <c r="V990" s="63" t="inlineStr">
        <is>
          <t>语法要对，用词要对，发音也要对。</t>
        </is>
      </c>
      <c r="W990" s="64" t="inlineStr">
        <is>
          <t>yǔ fǎ yào duì， yòng cí yào duì， fā yīn yě yào duì。
➜ Ngữ pháp phải đúng, cách diễn đạt phải đúng và cách phát âm phải đúng</t>
        </is>
      </c>
    </row>
    <row r="991" ht="69.75" customHeight="1" s="99">
      <c r="A991" t="n">
        <v>965</v>
      </c>
      <c r="B991" s="86" t="inlineStr">
        <is>
          <t>VIDEO</t>
        </is>
      </c>
      <c r="C991" s="85" t="inlineStr">
        <is>
          <t>怕</t>
        </is>
      </c>
      <c r="D991" s="78" t="inlineStr">
        <is>
          <t>pà</t>
        </is>
      </c>
      <c r="E991" s="78" t="inlineStr">
        <is>
          <t>Sợ hãi</t>
        </is>
      </c>
      <c r="H991" s="55">
        <f>IF(TRIM($G991)="","",IF(EXACT(TRIM($G991),TRIM($C991)),"✅ Đúng","❌ Sai"))</f>
        <v/>
      </c>
      <c r="I991" s="56" t="inlineStr">
        <is>
          <t>▶</t>
        </is>
      </c>
      <c r="J991" s="56" t="inlineStr">
        <is>
          <t>🔍</t>
        </is>
      </c>
      <c r="R991" s="23" t="inlineStr">
        <is>
          <t>Sun Aug 02 2026</t>
        </is>
      </c>
      <c r="S991" t="inlineStr">
        <is>
          <t>📹 Từ video · xuất hiện 2 lần</t>
        </is>
      </c>
      <c r="T991" s="58" t="inlineStr">
        <is>
          <t>怕 [PHẠ] · sợ, e sợ
    ↳ Chiết tự: bộ 忄 (tâm đứng – trái tim) + 白 (bạch – trắng) — lòng tái trắng vì sợ</t>
        </is>
      </c>
      <c r="U991" s="70" t="inlineStr">
        <is>
          <t>🎬 HSK 1–2 | 为什么学了很久还是不会说中文？| Why You Still Can’t Speak Chinese?</t>
        </is>
      </c>
      <c r="V991" s="63" t="inlineStr">
        <is>
          <t>我一句话也说不出来。我怕我的发音不对，怕我的句子不对，怕</t>
        </is>
      </c>
      <c r="W991" s="64" t="inlineStr">
        <is>
          <t>wǒ yī jù huà yě shuō bù chū lái。 wǒ pà wǒ de fā yīn bú duì， pà wǒ de jù zi bú duì， pà
➜ Tôi không thể nói một lời. Tôi sợ mình phát âm sai, câu văn của tôi sai, tôi sợ</t>
        </is>
      </c>
    </row>
    <row r="992" ht="69.75" customHeight="1" s="99">
      <c r="A992" t="n">
        <v>966</v>
      </c>
      <c r="B992" s="86" t="inlineStr">
        <is>
          <t>VIDEO</t>
        </is>
      </c>
      <c r="C992" s="85" t="inlineStr">
        <is>
          <t>一堵</t>
        </is>
      </c>
      <c r="D992" s="78" t="inlineStr">
        <is>
          <t>yīdǔ</t>
        </is>
      </c>
      <c r="E992" s="78" t="inlineStr">
        <is>
          <t>một bức tường</t>
        </is>
      </c>
      <c r="H992" s="55">
        <f>IF(TRIM($G992)="","",IF(EXACT(TRIM($G992),TRIM($C992)),"✅ Đúng","❌ Sai"))</f>
        <v/>
      </c>
      <c r="I992" s="56" t="inlineStr">
        <is>
          <t>▶</t>
        </is>
      </c>
      <c r="J992" s="56" t="inlineStr">
        <is>
          <t>🔍</t>
        </is>
      </c>
      <c r="R992" s="23" t="inlineStr">
        <is>
          <t>Sun Aug 02 2026</t>
        </is>
      </c>
      <c r="S992" t="inlineStr">
        <is>
          <t>📹 Từ video · xuất hiện 2 lần</t>
        </is>
      </c>
      <c r="T992" s="58" t="inlineStr">
        <is>
          <t>一 [NHẤT] · số một, thứ nhất, toàn bộ
    ↳ Chiết tự: một nét ngang 一 (nhất) — chữ chỉ sự, vạch một gạch là số 1
堵 · khối</t>
        </is>
      </c>
      <c r="U992" s="70" t="inlineStr">
        <is>
          <t>🎬 HSK 1–2 | 为什么学了很久还是不会说中文？| Why You Still Can’t Speak Chinese?</t>
        </is>
      </c>
      <c r="V992" s="63" t="inlineStr">
        <is>
          <t>心里很想说，但是好像有一堵墙，挡住了你的嘴。</t>
        </is>
      </c>
      <c r="W992" s="64" t="inlineStr">
        <is>
          <t>xīn lǐ hěn xiǎng shuō， dàn shì hǎo xiàng yǒu yī dǔ qiáng， dǎng zhù le nǐ de zuǐ。
➜ Bạn rất muốn nói nhưng dường như có một bức tường chắn ngang miệng bạn</t>
        </is>
      </c>
    </row>
    <row r="993" ht="69.75" customHeight="1" s="99">
      <c r="A993" t="n">
        <v>967</v>
      </c>
      <c r="B993" s="86" t="inlineStr">
        <is>
          <t>VIDEO</t>
        </is>
      </c>
      <c r="C993" s="85" t="inlineStr">
        <is>
          <t>墙</t>
        </is>
      </c>
      <c r="D993" s="78" t="inlineStr">
        <is>
          <t>qiáng</t>
        </is>
      </c>
      <c r="E993" s="78" t="inlineStr">
        <is>
          <t>bức tường</t>
        </is>
      </c>
      <c r="H993" s="55">
        <f>IF(TRIM($G993)="","",IF(EXACT(TRIM($G993),TRIM($C993)),"✅ Đúng","❌ Sai"))</f>
        <v/>
      </c>
      <c r="I993" s="56" t="inlineStr">
        <is>
          <t>▶</t>
        </is>
      </c>
      <c r="J993" s="56" t="inlineStr">
        <is>
          <t>🔍</t>
        </is>
      </c>
      <c r="R993" s="23" t="inlineStr">
        <is>
          <t>Sun Aug 02 2026</t>
        </is>
      </c>
      <c r="S993" t="inlineStr">
        <is>
          <t>📹 Từ video · xuất hiện 2 lần</t>
        </is>
      </c>
      <c r="T993" s="58" t="inlineStr">
        <is>
          <t>墙 · bức tường</t>
        </is>
      </c>
      <c r="U993" s="70" t="inlineStr">
        <is>
          <t>🎬 HSK 1–2 | 为什么学了很久还是不会说中文？| Why You Still Can’t Speak Chinese?</t>
        </is>
      </c>
      <c r="V993" s="63" t="inlineStr">
        <is>
          <t>心里很想说，但是好像有一堵墙，挡住了你的嘴。</t>
        </is>
      </c>
      <c r="W993" s="64" t="inlineStr">
        <is>
          <t>xīn lǐ hěn xiǎng shuō， dàn shì hǎo xiàng yǒu yī dǔ qiáng， dǎng zhù le nǐ de zuǐ。
➜ Bạn rất muốn nói nhưng dường như có một bức tường chắn ngang miệng bạn</t>
        </is>
      </c>
    </row>
    <row r="994" ht="69.75" customHeight="1" s="99">
      <c r="A994" t="n">
        <v>968</v>
      </c>
      <c r="B994" s="86" t="inlineStr">
        <is>
          <t>VIDEO</t>
        </is>
      </c>
      <c r="C994" s="85" t="inlineStr">
        <is>
          <t>结果</t>
        </is>
      </c>
      <c r="D994" s="78" t="inlineStr">
        <is>
          <t>jiéguǒ</t>
        </is>
      </c>
      <c r="E994" s="78" t="inlineStr">
        <is>
          <t>kết quả</t>
        </is>
      </c>
      <c r="H994" s="55">
        <f>IF(TRIM($G994)="","",IF(EXACT(TRIM($G994),TRIM($C994)),"✅ Đúng","❌ Sai"))</f>
        <v/>
      </c>
      <c r="I994" s="56" t="inlineStr">
        <is>
          <t>▶</t>
        </is>
      </c>
      <c r="J994" s="56" t="inlineStr">
        <is>
          <t>🔍</t>
        </is>
      </c>
      <c r="R994" s="23" t="inlineStr">
        <is>
          <t>Sun Aug 02 2026</t>
        </is>
      </c>
      <c r="S994" t="inlineStr">
        <is>
          <t>📹 Từ video · xuất hiện 2 lần</t>
        </is>
      </c>
      <c r="T994" s="58" t="inlineStr">
        <is>
          <t>结 [KẾT] · kết nối, thắt; kết thúc
    ↳ Chiết tự: giản thể của 結: bộ 纟 (mịch – sợi tơ) + 吉 (cát – âm đọc) — thắt nút sợi tơ
果 [QUẢ] · quả, kết quả, quả nhiên
    ↳ Chiết tự: bộ 木 (mộc – cây) + 田 (điền – hình quả tròn) — cây kết trái trên ngọn</t>
        </is>
      </c>
      <c r="U994" s="70" t="inlineStr">
        <is>
          <t>🎬 HSK 1–2 | 为什么学了很久还是不会说中文？| Why You Still Can’t Speak Chinese?</t>
        </is>
      </c>
      <c r="V994" s="63" t="inlineStr">
        <is>
          <t>结果呢？</t>
        </is>
      </c>
      <c r="W994" s="64" t="inlineStr">
        <is>
          <t>jié guǒ ne？
➜ Kết quả?</t>
        </is>
      </c>
    </row>
    <row r="995" ht="69.75" customHeight="1" s="99">
      <c r="A995" t="n">
        <v>969</v>
      </c>
      <c r="B995" s="86" t="inlineStr">
        <is>
          <t>VIDEO</t>
        </is>
      </c>
      <c r="C995" s="85" t="inlineStr">
        <is>
          <t>脑子里</t>
        </is>
      </c>
      <c r="D995" s="78" t="inlineStr">
        <is>
          <t>nǎozilǐ</t>
        </is>
      </c>
      <c r="E995" s="78" t="inlineStr">
        <is>
          <t>trong tâm trí</t>
        </is>
      </c>
      <c r="H995" s="55">
        <f>IF(TRIM($G995)="","",IF(EXACT(TRIM($G995),TRIM($C995)),"✅ Đúng","❌ Sai"))</f>
        <v/>
      </c>
      <c r="I995" s="56" t="inlineStr">
        <is>
          <t>▶</t>
        </is>
      </c>
      <c r="J995" s="56" t="inlineStr">
        <is>
          <t>🔍</t>
        </is>
      </c>
      <c r="R995" s="23" t="inlineStr">
        <is>
          <t>Sun Aug 02 2026</t>
        </is>
      </c>
      <c r="S995" t="inlineStr">
        <is>
          <t>📹 Từ video · xuất hiện 2 lần</t>
        </is>
      </c>
      <c r="T995" s="58" t="inlineStr">
        <is>
          <t>脑 [NÃO] · bộ não; máy tính (电脑)
    ↳ Chiết tự: giản thể của 腦: bộ 月 (nhục – thịt/thân) + 巛 + 囟 — khối óc trong hộp sọ
子 [TỬ] · con cái; hậu tố danh từ; ngài
    ↳ Chiết tự: bộ 子 (tử) — hình em bé quấn tã, hai tay giơ lên
里 [LÝ] · bên trong; dặm; làng
    ↳ Chiết tự: bộ 田 (điền – ruộng) + 土 (thổ – đất) — bên trong khu ruộng đất của làng</t>
        </is>
      </c>
      <c r="U995" s="70" t="inlineStr">
        <is>
          <t>🎬 HSK 1–2 | 为什么学了很久还是不会说中文？| Why You Still Can’t Speak Chinese?</t>
        </is>
      </c>
      <c r="V995" s="63" t="inlineStr">
        <is>
          <t>我的脑子里会想很多问题。</t>
        </is>
      </c>
      <c r="W995" s="64" t="inlineStr">
        <is>
          <t>wǒ de nǎo zi lǐ huì xiǎng hěn duō wèn tí。
➜ Có rất nhiều câu hỏi chạy qua tâm trí tôi</t>
        </is>
      </c>
    </row>
    <row r="996" ht="69.75" customHeight="1" s="99">
      <c r="A996" t="n">
        <v>970</v>
      </c>
      <c r="B996" s="86" t="inlineStr">
        <is>
          <t>VIDEO</t>
        </is>
      </c>
      <c r="C996" s="85" t="inlineStr">
        <is>
          <t>改变</t>
        </is>
      </c>
      <c r="D996" s="78" t="inlineStr">
        <is>
          <t>gǎibiàn</t>
        </is>
      </c>
      <c r="E996" s="78" t="inlineStr">
        <is>
          <t>thay đổi</t>
        </is>
      </c>
      <c r="H996" s="55">
        <f>IF(TRIM($G996)="","",IF(EXACT(TRIM($G996),TRIM($C996)),"✅ Đúng","❌ Sai"))</f>
        <v/>
      </c>
      <c r="I996" s="56" t="inlineStr">
        <is>
          <t>▶</t>
        </is>
      </c>
      <c r="J996" s="56" t="inlineStr">
        <is>
          <t>🔍</t>
        </is>
      </c>
      <c r="R996" s="23" t="inlineStr">
        <is>
          <t>Sun Aug 02 2026</t>
        </is>
      </c>
      <c r="S996" t="inlineStr">
        <is>
          <t>📹 Từ video · xuất hiện 2 lần</t>
        </is>
      </c>
      <c r="T996" s="58" t="inlineStr">
        <is>
          <t>改 · thay đổi
变 [BIẾN] · biến đổi, thay đổi
    ↳ Chiết tự: giản thể của 變: bộ 亦 + 夂 (truy – bước chân) — sự việc chuyển sang dạng khác</t>
        </is>
      </c>
      <c r="U996" s="70" t="inlineStr">
        <is>
          <t>🎬 HSK 1–2 | 为什么学了很久还是不会说中文？| Why You Still Can’t Speak Chinese?</t>
        </is>
      </c>
      <c r="V996" s="63" t="inlineStr">
        <is>
          <t>后来，我的一位中国老师对我说了一句话，改变了我。</t>
        </is>
      </c>
      <c r="W996" s="64" t="inlineStr">
        <is>
          <t>hòu lái， wǒ de yī wèi zhōng guó lǎo shī duì wǒ shuō le yī jù huà， gǎi biàn le wǒ。
➜ Sau đó, một trong những giáo viên tiếng Trung của tôi đã nói với tôi một điều đã làm tôi thay đổi</t>
        </is>
      </c>
    </row>
    <row r="997" ht="69.75" customHeight="1" s="99">
      <c r="A997" t="n">
        <v>971</v>
      </c>
      <c r="B997" s="86" t="inlineStr">
        <is>
          <t>VIDEO</t>
        </is>
      </c>
      <c r="C997" s="85" t="inlineStr">
        <is>
          <t>用来</t>
        </is>
      </c>
      <c r="D997" s="78" t="inlineStr">
        <is>
          <t>yònglái</t>
        </is>
      </c>
      <c r="E997" s="78" t="inlineStr">
        <is>
          <t>dùng cho</t>
        </is>
      </c>
      <c r="H997" s="55">
        <f>IF(TRIM($G997)="","",IF(EXACT(TRIM($G997),TRIM($C997)),"✅ Đúng","❌ Sai"))</f>
        <v/>
      </c>
      <c r="I997" s="56" t="inlineStr">
        <is>
          <t>▶</t>
        </is>
      </c>
      <c r="J997" s="56" t="inlineStr">
        <is>
          <t>🔍</t>
        </is>
      </c>
      <c r="R997" s="23" t="inlineStr">
        <is>
          <t>Sun Aug 02 2026</t>
        </is>
      </c>
      <c r="S997" t="inlineStr">
        <is>
          <t>📹 Từ video · xuất hiện 2 lần</t>
        </is>
      </c>
      <c r="T997" s="58" t="inlineStr">
        <is>
          <t>用 [DỤNG] · dùng, sử dụng, công dụng
    ↳ Chiết tự: bộ 用 (dụng) — hình cái thùng gỗ dùng đong
来 [LAI] · đến, tới, sắp tới
    ↳ Chiết tự: giản thể của 來: bộ 木 (mộc) — hình bông lúa mạch, mượn âm làm "đến"</t>
        </is>
      </c>
      <c r="U997" s="70" t="inlineStr">
        <is>
          <t>🎬 HSK 1–2 | 为什么学了很久还是不会说中文？| Why You Still Can’t Speak Chinese?</t>
        </is>
      </c>
      <c r="V997" s="63" t="inlineStr">
        <is>
          <t>他说：“语言是用来交流的，不是用来考试的。</t>
        </is>
      </c>
      <c r="W997" s="64" t="inlineStr">
        <is>
          <t>tā shuō：“ yǔ yán shì yòng lái jiāo liú de， bú shì yòng lái kǎo shì de。
➜ Ông nói: “Ngôn ngữ được dùng để giao tiếp chứ không phải để thi cử</t>
        </is>
      </c>
    </row>
    <row r="998" ht="69.75" customHeight="1" s="99">
      <c r="A998" t="n">
        <v>972</v>
      </c>
      <c r="B998" s="86" t="inlineStr">
        <is>
          <t>VIDEO</t>
        </is>
      </c>
      <c r="C998" s="85" t="inlineStr">
        <is>
          <t>这才</t>
        </is>
      </c>
      <c r="D998" s="78" t="inlineStr">
        <is>
          <t>zhècái</t>
        </is>
      </c>
      <c r="E998" s="78" t="inlineStr">
        <is>
          <t>Chỉ khi đó</t>
        </is>
      </c>
      <c r="H998" s="55">
        <f>IF(TRIM($G998)="","",IF(EXACT(TRIM($G998),TRIM($C998)),"✅ Đúng","❌ Sai"))</f>
        <v/>
      </c>
      <c r="I998" s="56" t="inlineStr">
        <is>
          <t>▶</t>
        </is>
      </c>
      <c r="J998" s="56" t="inlineStr">
        <is>
          <t>🔍</t>
        </is>
      </c>
      <c r="R998" s="23" t="inlineStr">
        <is>
          <t>Sun Aug 02 2026</t>
        </is>
      </c>
      <c r="S998" t="inlineStr">
        <is>
          <t>📹 Từ video · xuất hiện 2 lần</t>
        </is>
      </c>
      <c r="T998" s="58" t="inlineStr">
        <is>
          <t>这 [GIÁ] · này, cái này
    ↳ Chiết tự: giản thể của 這: bộ 辶 (sước – bước đi) + 文 (văn) — chỉ vào cái ngay trước mặt
才 [TÀI] · tài năng; mới, vừa
    ↳ Chiết tự: bộ 一 (nhất) + 亅 (quyết) — hình mầm cây vừa nhú, nghĩa "vừa mới"</t>
        </is>
      </c>
      <c r="U998" s="70" t="inlineStr">
        <is>
          <t>🎬 HSK 1–2 | 为什么学了很久还是不会说中文？| Why You Still Can’t Speak Chinese?</t>
        </is>
      </c>
      <c r="V998" s="63" t="inlineStr">
        <is>
          <t>这才是最重要的。”</t>
        </is>
      </c>
      <c r="W998" s="64" t="inlineStr">
        <is>
          <t>zhè cái shì zuì zhòng yào de。”
➜ Đó là điều quan trọng nhất. "</t>
        </is>
      </c>
    </row>
    <row r="999" ht="69.75" customHeight="1" s="99">
      <c r="A999" t="n">
        <v>973</v>
      </c>
      <c r="B999" s="86" t="inlineStr">
        <is>
          <t>VIDEO</t>
        </is>
      </c>
      <c r="C999" s="85" t="inlineStr">
        <is>
          <t>表达</t>
        </is>
      </c>
      <c r="D999" s="78" t="inlineStr">
        <is>
          <t>biǎodá</t>
        </is>
      </c>
      <c r="E999" s="78" t="inlineStr">
        <is>
          <t>thể hiện</t>
        </is>
      </c>
      <c r="H999" s="55">
        <f>IF(TRIM($G999)="","",IF(EXACT(TRIM($G999),TRIM($C999)),"✅ Đúng","❌ Sai"))</f>
        <v/>
      </c>
      <c r="I999" s="56" t="inlineStr">
        <is>
          <t>▶</t>
        </is>
      </c>
      <c r="J999" s="56" t="inlineStr">
        <is>
          <t>🔍</t>
        </is>
      </c>
      <c r="R999" s="23" t="inlineStr">
        <is>
          <t>Sun Aug 02 2026</t>
        </is>
      </c>
      <c r="S999" t="inlineStr">
        <is>
          <t>📹 Từ video · xuất hiện 2 lần</t>
        </is>
      </c>
      <c r="T999" s="58" t="inlineStr">
        <is>
          <t>表 [BIỂU] · bề ngoài; biểu thị; đồng hồ, bảng
    ↳ Chiết tự: bộ 衣 (y – áo) + 毛 (mao – lông) — lớp lông ngoài áo, cái bên ngoài
达 · đạt được</t>
        </is>
      </c>
      <c r="U999" s="70" t="inlineStr">
        <is>
          <t>🎬 HSK 1–2 | 为什么学了很久还是不会说中文？| Why You Still Can’t Speak Chinese?</t>
        </is>
      </c>
      <c r="V999" s="63" t="inlineStr">
        <is>
          <t>用中文去表达。</t>
        </is>
      </c>
      <c r="W999" s="64" t="inlineStr">
        <is>
          <t>yòng zhōng wén qù biǎo dá。
➜ Thể hiện nó bằng tiếng Trung</t>
        </is>
      </c>
    </row>
    <row r="1000" ht="69.75" customHeight="1" s="99">
      <c r="A1000" t="n">
        <v>974</v>
      </c>
      <c r="B1000" s="86" t="inlineStr">
        <is>
          <t>VIDEO</t>
        </is>
      </c>
      <c r="C1000" s="85" t="inlineStr">
        <is>
          <t>一步</t>
        </is>
      </c>
      <c r="D1000" s="78" t="inlineStr">
        <is>
          <t>yībù</t>
        </is>
      </c>
      <c r="E1000" s="78" t="inlineStr">
        <is>
          <t>một bước</t>
        </is>
      </c>
      <c r="H1000" s="55">
        <f>IF(TRIM($G1000)="","",IF(EXACT(TRIM($G1000),TRIM($C1000)),"✅ Đúng","❌ Sai"))</f>
        <v/>
      </c>
      <c r="I1000" s="56" t="inlineStr">
        <is>
          <t>▶</t>
        </is>
      </c>
      <c r="J1000" s="56" t="inlineStr">
        <is>
          <t>🔍</t>
        </is>
      </c>
      <c r="R1000" s="23" t="inlineStr">
        <is>
          <t>Sun Aug 02 2026</t>
        </is>
      </c>
      <c r="S1000" t="inlineStr">
        <is>
          <t>📹 Từ video · xuất hiện 2 lần</t>
        </is>
      </c>
      <c r="T1000" s="58" t="inlineStr">
        <is>
          <t>一 [NHẤT] · số một, thứ nhất, toàn bộ
    ↳ Chiết tự: một nét ngang 一 (nhất) — chữ chỉ sự, vạch một gạch là số 1
步 [BỘ] · bước chân, bước đi
    ↳ Chiết tự: bộ 止 (chỉ – bàn chân) đôi — hai bàn chân nối nhau thành bước</t>
        </is>
      </c>
      <c r="U1000" s="70" t="inlineStr">
        <is>
          <t>🎬 HSK 1–2 | 为什么学了很久还是不会说中文？| Why You Still Can’t Speak Chinese?</t>
        </is>
      </c>
      <c r="V1000" s="63" t="inlineStr">
        <is>
          <t>的一步。</t>
        </is>
      </c>
      <c r="W1000" s="64" t="inlineStr">
        <is>
          <t>de yī bù。
➜ bước chân</t>
        </is>
      </c>
    </row>
    <row r="1001" ht="69.75" customHeight="1" s="99">
      <c r="A1001" t="n">
        <v>975</v>
      </c>
      <c r="B1001" s="86" t="inlineStr">
        <is>
          <t>VIDEO</t>
        </is>
      </c>
      <c r="C1001" s="85" t="inlineStr">
        <is>
          <t>第二个</t>
        </is>
      </c>
      <c r="D1001" s="78" t="inlineStr">
        <is>
          <t>dìèrgè</t>
        </is>
      </c>
      <c r="E1001" s="78" t="inlineStr">
        <is>
          <t>thứ hai</t>
        </is>
      </c>
      <c r="H1001" s="55">
        <f>IF(TRIM($G1001)="","",IF(EXACT(TRIM($G1001),TRIM($C1001)),"✅ Đúng","❌ Sai"))</f>
        <v/>
      </c>
      <c r="I1001" s="56" t="inlineStr">
        <is>
          <t>▶</t>
        </is>
      </c>
      <c r="J1001" s="56" t="inlineStr">
        <is>
          <t>🔍</t>
        </is>
      </c>
      <c r="R1001" s="23" t="inlineStr">
        <is>
          <t>Sun Aug 02 2026</t>
        </is>
      </c>
      <c r="S1001" t="inlineStr">
        <is>
          <t>📹 Từ video · xuất hiện 2 lần</t>
        </is>
      </c>
      <c r="T1001" s="58" t="inlineStr">
        <is>
          <t>第 [ĐỆ] · thứ (số thứ tự)
    ↳ Chiết tự: bộ 竹 (trúc – tre) + 弟 (đệ – âm đọc) — thẻ tre đánh số theo thứ tự
二 [NHỊ] · số hai
    ↳ Chiết tự: hai nét 一 (nhất) — chữ chỉ sự
个 [CÁ] · cái, chiếc (lượng từ chung)
    ↳ Chiết tự: bộ 人 (nhân – người) + 丨 (cổn – nét sổ) — một cá thể riêng lẻ</t>
        </is>
      </c>
      <c r="U1001" s="70" t="inlineStr">
        <is>
          <t>🎬 HSK 1–2 | 为什么学了很久还是不会说中文？| Why You Still Can’t Speak Chinese?</t>
        </is>
      </c>
      <c r="V1001" s="63" t="inlineStr">
        <is>
          <t>对。第二个原因是，很多朋友只“输入”，不“输出”。</t>
        </is>
      </c>
      <c r="W1001" s="64" t="inlineStr">
        <is>
          <t>duì。 dì èr gè yuán yīn shì， hěn duō péng yǒu zhǐ “ shū rù ”， bù “ shū chū ”。
➜ Phải. Nguyên nhân thứ hai là nhiều bạn chỉ “đầu vào” mà không “đầu ra”</t>
        </is>
      </c>
    </row>
    <row r="1002" ht="69.75" customHeight="1" s="99">
      <c r="A1002" t="n">
        <v>976</v>
      </c>
      <c r="B1002" s="86" t="inlineStr">
        <is>
          <t>VIDEO</t>
        </is>
      </c>
      <c r="C1002" s="85" t="inlineStr">
        <is>
          <t>有点像</t>
        </is>
      </c>
      <c r="D1002" s="78" t="inlineStr">
        <is>
          <t>yǒudiǎnxiàng</t>
        </is>
      </c>
      <c r="E1002" s="78" t="inlineStr">
        <is>
          <t>hơi giống</t>
        </is>
      </c>
      <c r="H1002" s="55">
        <f>IF(TRIM($G1002)="","",IF(EXACT(TRIM($G1002),TRIM($C1002)),"✅ Đúng","❌ Sai"))</f>
        <v/>
      </c>
      <c r="I1002" s="56" t="inlineStr">
        <is>
          <t>▶</t>
        </is>
      </c>
      <c r="J1002" s="56" t="inlineStr">
        <is>
          <t>🔍</t>
        </is>
      </c>
      <c r="R1002" s="23" t="inlineStr">
        <is>
          <t>Sun Aug 02 2026</t>
        </is>
      </c>
      <c r="S1002" t="inlineStr">
        <is>
          <t>📹 Từ video · xuất hiện 2 lần</t>
        </is>
      </c>
      <c r="T1002" s="58" t="inlineStr">
        <is>
          <t>有 [HỮU] · có, sở hữu
    ↳ Chiết tự: bộ 又 (hựu – bàn tay) + 月 (nhục – miếng thịt) — tay cầm miếng thịt là có của
点 [ĐIỂM] · chấm, điểm; giờ; gọi món
    ↳ Chiết tự: giản thể của 點: bộ 灬 (hỏa – lửa) + 占 (chiếm – âm đọc) — chấm đen do lửa, đốm nhỏ
像 [TƯỢNG] · giống, tựa như; hình tượng
    ↳ Chiết tự: bộ 亻 (nhân đứng – người) + 象 (tượng – con voi) — người vẽ lại hình cho giống</t>
        </is>
      </c>
      <c r="U1002" s="70" t="inlineStr">
        <is>
          <t>🎬 HSK 1–2 | 为什么学了很久还是不会说中文？| Why You Still Can’t Speak Chinese?</t>
        </is>
      </c>
      <c r="V1002" s="63" t="inlineStr">
        <is>
          <t>有点像电脑的词。</t>
        </is>
      </c>
      <c r="W1002" s="64" t="inlineStr">
        <is>
          <t>yǒu diǎn xiàng diàn nǎo de cí。
➜ Giống như một từ máy tính</t>
        </is>
      </c>
    </row>
    <row r="1003" ht="69.75" customHeight="1" s="99">
      <c r="A1003" t="n">
        <v>977</v>
      </c>
      <c r="B1003" s="86" t="inlineStr">
        <is>
          <t>VIDEO</t>
        </is>
      </c>
      <c r="C1003" s="85" t="inlineStr">
        <is>
          <t>词</t>
        </is>
      </c>
      <c r="D1003" s="78" t="inlineStr">
        <is>
          <t>cí</t>
        </is>
      </c>
      <c r="E1003" s="78" t="inlineStr">
        <is>
          <t>từ</t>
        </is>
      </c>
      <c r="H1003" s="55">
        <f>IF(TRIM($G1003)="","",IF(EXACT(TRIM($G1003),TRIM($C1003)),"✅ Đúng","❌ Sai"))</f>
        <v/>
      </c>
      <c r="I1003" s="56" t="inlineStr">
        <is>
          <t>▶</t>
        </is>
      </c>
      <c r="J1003" s="56" t="inlineStr">
        <is>
          <t>🔍</t>
        </is>
      </c>
      <c r="R1003" s="23" t="inlineStr">
        <is>
          <t>Sun Aug 02 2026</t>
        </is>
      </c>
      <c r="S1003" t="inlineStr">
        <is>
          <t>📹 Từ video · xuất hiện 2 lần</t>
        </is>
      </c>
      <c r="T1003" s="58" t="inlineStr">
        <is>
          <t>词 [TỪ] · từ ngữ, lời
    ↳ Chiết tự: giản thể của 詞: bộ 讠 (ngôn – lời nói) + 司 (ty – âm đọc) — đơn vị của lời nói</t>
        </is>
      </c>
      <c r="U1003" s="70" t="inlineStr">
        <is>
          <t>🎬 HSK 1–2 | 为什么学了很久还是不会说中文？| Why You Still Can’t Speak Chinese?</t>
        </is>
      </c>
      <c r="V1003" s="63" t="inlineStr">
        <is>
          <t>有点像电脑的词。</t>
        </is>
      </c>
      <c r="W1003" s="64" t="inlineStr">
        <is>
          <t>yǒu diǎn xiàng diàn nǎo de cí。
➜ Giống như một từ máy tính</t>
        </is>
      </c>
    </row>
    <row r="1004" hidden="1" ht="69.75" customHeight="1" s="99">
      <c r="A1004" t="n">
        <v>978</v>
      </c>
      <c r="B1004" s="86" t="inlineStr">
        <is>
          <t>VIDEO</t>
        </is>
      </c>
      <c r="C1004" s="85" t="inlineStr">
        <is>
          <t>哈哈</t>
        </is>
      </c>
      <c r="D1004" s="78" t="inlineStr">
        <is>
          <t>hāhā</t>
        </is>
      </c>
      <c r="E1004" s="78" t="inlineStr">
        <is>
          <t>Haha</t>
        </is>
      </c>
      <c r="G1004" s="77" t="inlineStr">
        <is>
          <t>哈哈</t>
        </is>
      </c>
      <c r="H1004" s="55">
        <f>IF(TRIM($G1004)="","",IF(EXACT(TRIM($G1004),TRIM($C1004)),"✅ Đúng","❌ Sai"))</f>
        <v/>
      </c>
      <c r="I1004" s="56" t="inlineStr">
        <is>
          <t>▶</t>
        </is>
      </c>
      <c r="J1004" s="56" t="inlineStr">
        <is>
          <t>🔍</t>
        </is>
      </c>
      <c r="R1004" s="23" t="inlineStr">
        <is>
          <t>Sun Aug 02 2026</t>
        </is>
      </c>
      <c r="S1004" t="inlineStr">
        <is>
          <t>📹 Từ video · xuất hiện 2 lần</t>
        </is>
      </c>
      <c r="T1004" s="58" t="inlineStr">
        <is>
          <t>哈 · Hà
哈 · Hà</t>
        </is>
      </c>
      <c r="U1004" s="70" t="inlineStr">
        <is>
          <t>🎬 HSK 1–2 | 为什么学了很久还是不会说中文？| Why You Still Can’t Speak Chinese?</t>
        </is>
      </c>
      <c r="V1004" s="63" t="inlineStr">
        <is>
          <t>哈哈，这个办法太有意思了。</t>
        </is>
      </c>
      <c r="W1004" s="64" t="inlineStr">
        <is>
          <t>hā hā， zhè ge bàn fǎ tài yǒu yì si le。
➜ Haha, phương pháp này thật thú vị</t>
        </is>
      </c>
    </row>
    <row r="1005" ht="69.75" customHeight="1" s="99">
      <c r="A1005" t="n">
        <v>979</v>
      </c>
      <c r="B1005" s="86" t="inlineStr">
        <is>
          <t>VIDEO</t>
        </is>
      </c>
      <c r="C1005" s="85" t="inlineStr">
        <is>
          <t>从来不</t>
        </is>
      </c>
      <c r="D1005" s="78" t="inlineStr">
        <is>
          <t>cóngláibù</t>
        </is>
      </c>
      <c r="E1005" s="78" t="inlineStr">
        <is>
          <t>không bao giờ</t>
        </is>
      </c>
      <c r="H1005" s="55">
        <f>IF(TRIM($G1005)="","",IF(EXACT(TRIM($G1005),TRIM($C1005)),"✅ Đúng","❌ Sai"))</f>
        <v/>
      </c>
      <c r="I1005" s="56" t="inlineStr">
        <is>
          <t>▶</t>
        </is>
      </c>
      <c r="J1005" s="56" t="inlineStr">
        <is>
          <t>🔍</t>
        </is>
      </c>
      <c r="R1005" s="23" t="inlineStr">
        <is>
          <t>Sun Aug 02 2026</t>
        </is>
      </c>
      <c r="S1005" t="inlineStr">
        <is>
          <t>📹 Từ video · xuất hiện 2 lần</t>
        </is>
      </c>
      <c r="T1005" s="58" t="inlineStr">
        <is>
          <t>从 [TÒNG / TỪ] · đi theo; từ (giới từ)
    ↳ Chiết tự: hai bộ 人 (nhân – người) nối nhau — người sau bước theo người trước
来 [LAI] · đến, tới, sắp tới
    ↳ Chiết tự: giản thể của 來: bộ 木 (mộc) — hình bông lúa mạch, mượn âm làm "đến"
不 [BẤT] · không, chẳng (phủ định)
    ↳ Chiết tự: bộ 一 (nhất – vòm trời) + 丿 (phiệt) — chim bay lên đụng trời, không qua được</t>
        </is>
      </c>
      <c r="U1005" s="70" t="inlineStr">
        <is>
          <t>🎬 HSK 1–2 | 为什么学了很久还是不会说中文？| Why You Still Can’t Speak Chinese?</t>
        </is>
      </c>
      <c r="V1005" s="63" t="inlineStr">
        <is>
          <t>但是他们从来不说中文，所以他们没有“输出”。</t>
        </is>
      </c>
      <c r="W1005" s="64" t="inlineStr">
        <is>
          <t>dàn shì tā men cóng lái bù shuō zhōng wén， suǒ yǐ tā men méi yǒu “ shū chū ”。
➜ Nhưng họ không bao giờ nói được tiếng Trung nên không có “đầu ra”</t>
        </is>
      </c>
    </row>
    <row r="1006" hidden="1" ht="69.75" customHeight="1" s="99">
      <c r="A1006" t="n">
        <v>980</v>
      </c>
      <c r="B1006" s="86" t="inlineStr">
        <is>
          <t>VIDEO</t>
        </is>
      </c>
      <c r="C1006" s="85" t="inlineStr">
        <is>
          <t>比方</t>
        </is>
      </c>
      <c r="D1006" s="78" t="inlineStr">
        <is>
          <t>bǐfāng</t>
        </is>
      </c>
      <c r="E1006" s="78" t="inlineStr">
        <is>
          <t>Ví dụ</t>
        </is>
      </c>
      <c r="G1006" s="77" t="inlineStr">
        <is>
          <t>比方</t>
        </is>
      </c>
      <c r="H1006" s="55">
        <f>IF(TRIM($G1006)="","",IF(EXACT(TRIM($G1006),TRIM($C1006)),"✅ Đúng","❌ Sai"))</f>
        <v/>
      </c>
      <c r="I1006" s="56" t="inlineStr">
        <is>
          <t>▶</t>
        </is>
      </c>
      <c r="J1006" s="56" t="inlineStr">
        <is>
          <t>🔍</t>
        </is>
      </c>
      <c r="R1006" s="23" t="inlineStr">
        <is>
          <t>Sun Aug 02 2026</t>
        </is>
      </c>
      <c r="S1006" t="inlineStr">
        <is>
          <t>📹 Từ video · xuất hiện 2 lần</t>
        </is>
      </c>
      <c r="T1006" s="58" t="inlineStr">
        <is>
          <t>比 [TỶ] · so sánh, tỉ lệ
    ↳ Chiết tự: bộ 比 (tỷ) — hai người đứng sát nhau để so
方 [PHƯƠNG] · phương hướng; vuông; cách thức
    ↳ Chiết tự: bộ 方 (phương) — hình lưỡi cày rẽ hai bên</t>
        </is>
      </c>
      <c r="U1006" s="70" t="inlineStr">
        <is>
          <t>🎬 HSK 1–2 | 为什么学了很久还是不会说中文？| Why You Still Can’t Speak Chinese?</t>
        </is>
      </c>
      <c r="V1006" s="63" t="inlineStr">
        <is>
          <t>王雨，我给你打一个比方。</t>
        </is>
      </c>
      <c r="W1006" s="64" t="inlineStr">
        <is>
          <t>wáng yǔ， wǒ gěi nǐ dǎ yí gè bǐ fāng。
➜ Wang Yu, hãy để tôi cho bạn một sự tương tự</t>
        </is>
      </c>
    </row>
    <row r="1007" ht="69.75" customHeight="1" s="99">
      <c r="A1007" t="n">
        <v>981</v>
      </c>
      <c r="B1007" s="86" t="inlineStr">
        <is>
          <t>VIDEO</t>
        </is>
      </c>
      <c r="C1007" s="85" t="inlineStr">
        <is>
          <t>有意思</t>
        </is>
      </c>
      <c r="D1007" s="78" t="inlineStr">
        <is>
          <t>yǒuyìsi</t>
        </is>
      </c>
      <c r="E1007" s="78" t="inlineStr">
        <is>
          <t>Thú vị</t>
        </is>
      </c>
      <c r="H1007" s="55">
        <f>IF(TRIM($G1007)="","",IF(EXACT(TRIM($G1007),TRIM($C1007)),"✅ Đúng","❌ Sai"))</f>
        <v/>
      </c>
      <c r="I1007" s="56" t="inlineStr">
        <is>
          <t>▶</t>
        </is>
      </c>
      <c r="J1007" s="56" t="inlineStr">
        <is>
          <t>🔍</t>
        </is>
      </c>
      <c r="R1007" s="23" t="inlineStr">
        <is>
          <t>Sun Aug 02 2026</t>
        </is>
      </c>
      <c r="S1007" t="inlineStr">
        <is>
          <t>📹 Từ video · xuất hiện 2 lần</t>
        </is>
      </c>
      <c r="T1007" s="58" t="inlineStr">
        <is>
          <t>有 [HỮU] · có, sở hữu
    ↳ Chiết tự: bộ 又 (hựu – bàn tay) + 月 (nhục – miếng thịt) — tay cầm miếng thịt là có của
意 [Ý] · ý nghĩ, ý nghĩa, ý muốn
    ↳ Chiết tự: bộ 音 (âm – tiếng) + 心 (tâm – trái tim) — tiếng lòng phát ra
思 [TƯ] · suy nghĩ, nhớ
    ↳ Chiết tự: bộ 田 (điền – vốn là 囟, hộp sọ) + 心 (tâm – trái tim) — óc và tim cùng vận động</t>
        </is>
      </c>
      <c r="U1007" s="70" t="inlineStr">
        <is>
          <t>🎬 HSK 1–2 | 为什么学了很久还是不会说中文？| Why You Still Can’t Speak Chinese?</t>
        </is>
      </c>
      <c r="V1007" s="63" t="inlineStr">
        <is>
          <t>学游泳？有意思。你说说看。</t>
        </is>
      </c>
      <c r="W1007" s="64" t="inlineStr">
        <is>
          <t>xué yóu yǒng？ yǒu yì si。 nǐ shuō shuō kàn。
➜ Học bơi? hấp dẫn. Nói cho tôi</t>
        </is>
      </c>
    </row>
    <row r="1008" ht="69.75" customHeight="1" s="99">
      <c r="A1008" t="n">
        <v>982</v>
      </c>
      <c r="B1008" s="86" t="inlineStr">
        <is>
          <t>VIDEO</t>
        </is>
      </c>
      <c r="C1008" s="85" t="inlineStr">
        <is>
          <t>视频</t>
        </is>
      </c>
      <c r="D1008" s="78" t="inlineStr">
        <is>
          <t>shìpín</t>
        </is>
      </c>
      <c r="E1008" s="78" t="inlineStr">
        <is>
          <t>video</t>
        </is>
      </c>
      <c r="H1008" s="55">
        <f>IF(TRIM($G1008)="","",IF(EXACT(TRIM($G1008),TRIM($C1008)),"✅ Đúng","❌ Sai"))</f>
        <v/>
      </c>
      <c r="I1008" s="56" t="inlineStr">
        <is>
          <t>▶</t>
        </is>
      </c>
      <c r="J1008" s="56" t="inlineStr">
        <is>
          <t>🔍</t>
        </is>
      </c>
      <c r="R1008" s="23" t="inlineStr">
        <is>
          <t>Sun Aug 02 2026</t>
        </is>
      </c>
      <c r="S1008" t="inlineStr">
        <is>
          <t>📹 Từ video · xuất hiện 2 lần</t>
        </is>
      </c>
      <c r="T1008" s="58" t="inlineStr">
        <is>
          <t>视 [THỊ] · nhìn, xem, thị giác
    ↳ Chiết tự: giản thể của 視: bộ 礻 (thị – thần linh) + 见 (kiến – thấy) — chăm chú quan sát
频 · Tần số</t>
        </is>
      </c>
      <c r="U1008" s="70" t="inlineStr">
        <is>
          <t>🎬 HSK 1–2 | 为什么学了很久还是不会说中文？| Why You Still Can’t Speak Chinese?</t>
        </is>
      </c>
      <c r="V1008" s="63" t="inlineStr">
        <is>
          <t>或者视频聊天。</t>
        </is>
      </c>
      <c r="W1008" s="64" t="inlineStr">
        <is>
          <t>huò zhě shì pín liáo tiān。
➜ Hoặc trò chuyện video</t>
        </is>
      </c>
    </row>
    <row r="1009" hidden="1" ht="69.75" customHeight="1" s="99">
      <c r="A1009" t="n">
        <v>983</v>
      </c>
      <c r="B1009" s="86" t="inlineStr">
        <is>
          <t>VIDEO</t>
        </is>
      </c>
      <c r="C1009" s="85" t="inlineStr">
        <is>
          <t>理论</t>
        </is>
      </c>
      <c r="D1009" s="78" t="inlineStr">
        <is>
          <t>lǐlùn</t>
        </is>
      </c>
      <c r="E1009" s="78" t="inlineStr">
        <is>
          <t>lý thuyết</t>
        </is>
      </c>
      <c r="G1009" s="77" t="inlineStr">
        <is>
          <t>理论</t>
        </is>
      </c>
      <c r="H1009" s="55">
        <f>IF(TRIM($G1009)="","",IF(EXACT(TRIM($G1009),TRIM($C1009)),"✅ Đúng","❌ Sai"))</f>
        <v/>
      </c>
      <c r="I1009" s="56" t="inlineStr">
        <is>
          <t>▶</t>
        </is>
      </c>
      <c r="J1009" s="56" t="inlineStr">
        <is>
          <t>🔍</t>
        </is>
      </c>
      <c r="R1009" s="23" t="inlineStr">
        <is>
          <t>Sun Aug 02 2026</t>
        </is>
      </c>
      <c r="S1009" t="inlineStr">
        <is>
          <t>📹 Từ video · xuất hiện 2 lần</t>
        </is>
      </c>
      <c r="T1009" s="58" t="inlineStr">
        <is>
          <t>理 [LÝ] · lý lẽ; sửa sang, quản lý
    ↳ Chiết tự: bộ 王/玉 (ngọc) + 里 (lý – âm đọc) — mài ngọc theo thớ, nghĩa lẽ phải
论 [LUẬN] · luận bàn, lý luận
    ↳ Chiết tự: giản thể của 論: bộ 讠 (ngôn – lời nói) + 仑 (luân – âm đọc) — lời nói có thứ tự</t>
        </is>
      </c>
      <c r="U1009" s="75" t="inlineStr">
        <is>
          <t>🎬 HSK 1–2 | 为什么学了很久还是不会说中文？| Why You Still Can’t Speak Chinese?</t>
        </is>
      </c>
      <c r="V1009" s="63" t="inlineStr">
        <is>
          <t>是的，理论上是这样。</t>
        </is>
      </c>
      <c r="W1009" s="64" t="inlineStr">
        <is>
          <t>shì de， lǐ lùn shàng shì zhè yàng。
➜ Vâng, trên lý thuyết là như vậy</t>
        </is>
      </c>
    </row>
    <row r="1010" ht="69.75" customHeight="1" s="99">
      <c r="A1010" t="n">
        <v>984</v>
      </c>
      <c r="B1010" s="86" t="inlineStr">
        <is>
          <t>VIDEO</t>
        </is>
      </c>
      <c r="C1010" s="85" t="inlineStr">
        <is>
          <t>动画</t>
        </is>
      </c>
      <c r="D1010" s="78" t="inlineStr">
        <is>
          <t>dònghuà</t>
        </is>
      </c>
      <c r="E1010" s="78" t="inlineStr">
        <is>
          <t>hoạt hình</t>
        </is>
      </c>
      <c r="H1010" s="55">
        <f>IF(TRIM($G1010)="","",IF(EXACT(TRIM($G1010),TRIM($C1010)),"✅ Đúng","❌ Sai"))</f>
        <v/>
      </c>
      <c r="I1010" s="56" t="inlineStr">
        <is>
          <t>▶</t>
        </is>
      </c>
      <c r="J1010" s="56" t="inlineStr">
        <is>
          <t>🔍</t>
        </is>
      </c>
      <c r="R1010" s="23" t="inlineStr">
        <is>
          <t>Sun Aug 02 2026</t>
        </is>
      </c>
      <c r="S1010" t="inlineStr">
        <is>
          <t>📹 Từ video · xuất hiện 2 lần · nguồn: MÔ TẢ video</t>
        </is>
      </c>
      <c r="T1010" s="58" t="inlineStr">
        <is>
          <t>动 [ĐỘNG] · chuyển động, cử động
    ↳ Chiết tự: giản thể của 動: bộ 云 (vân) + 力 (lực – sức) — dùng sức thì vật chuyển
画 [HỌA] · vẽ, bức tranh
    ↳ Chiết tự: giản thể của 畫: bộ 田 (điền – ruộng) + 一 + 凵 — vẽ đường phân ranh ruộng</t>
        </is>
      </c>
      <c r="U1010" s="75" t="inlineStr">
        <is>
          <t>🎬 LẠI MUỐN TĂNG LƯƠNG NỮA SAO?  又要涨工资？ 又要漲工資？ Hoạt hình Tiếng Trung #dahuaxiyou</t>
        </is>
      </c>
      <c r="V1010" s="63" t="inlineStr">
        <is>
          <t>中文动画</t>
        </is>
      </c>
      <c r="W1010" s="64" t="inlineStr">
        <is>
          <t>zhōng wén dòng huà
➜ hoạt hình trung quốc</t>
        </is>
      </c>
    </row>
    <row r="1011" ht="69.75" customHeight="1" s="99">
      <c r="A1011" t="n">
        <v>985</v>
      </c>
      <c r="B1011" s="86" t="inlineStr">
        <is>
          <t>VIDEO</t>
        </is>
      </c>
      <c r="C1011" s="85" t="inlineStr">
        <is>
          <t>智商</t>
        </is>
      </c>
      <c r="D1011" s="78" t="inlineStr">
        <is>
          <t>zhìshāng</t>
        </is>
      </c>
      <c r="E1011" s="78" t="inlineStr">
        <is>
          <t>chỉ số IQ</t>
        </is>
      </c>
      <c r="H1011" s="55">
        <f>IF(TRIM($G1011)="","",IF(EXACT(TRIM($G1011),TRIM($C1011)),"✅ Đúng","❌ Sai"))</f>
        <v/>
      </c>
      <c r="I1011" s="56" t="inlineStr">
        <is>
          <t>▶</t>
        </is>
      </c>
      <c r="J1011" s="56" t="inlineStr">
        <is>
          <t>🔍</t>
        </is>
      </c>
      <c r="R1011" s="23" t="inlineStr">
        <is>
          <t>Sun Aug 02 2026</t>
        </is>
      </c>
      <c r="S1011" t="inlineStr">
        <is>
          <t>📹 Từ video · xuất hiện 1 lần · nguồn: MÔ TẢ video</t>
        </is>
      </c>
      <c r="T1011" s="58" t="inlineStr">
        <is>
          <t>智 · Trí tuệ
商 [THƯƠNG] · buôn bán; bàn bạc
    ↳ Chiết tự: bộ 亠 (đầu) + 冂 (quynh) + 口 (khẩu) — hình lều chợ, nơi bàn giá cả</t>
        </is>
      </c>
      <c r="U1011" s="75" t="inlineStr">
        <is>
          <t>🎬 LẠI MUỐN TĂNG LƯƠNG NỮA SAO?  又要涨工资？ 又要漲工資？ Hoạt hình Tiếng Trung #dahuaxiyou</t>
        </is>
      </c>
      <c r="V1011" s="63" t="n"/>
      <c r="W1011" s="64" t="n"/>
    </row>
    <row r="1012" hidden="1" ht="69.75" customHeight="1" s="99">
      <c r="A1012" t="n">
        <v>986</v>
      </c>
      <c r="B1012" s="86" t="inlineStr">
        <is>
          <t>VIDEO</t>
        </is>
      </c>
      <c r="C1012" s="85" t="inlineStr">
        <is>
          <t>考核</t>
        </is>
      </c>
      <c r="D1012" s="78" t="inlineStr">
        <is>
          <t>kǎohé</t>
        </is>
      </c>
      <c r="E1012" s="78" t="inlineStr">
        <is>
          <t>đánh giá</t>
        </is>
      </c>
      <c r="G1012" s="77" t="inlineStr">
        <is>
          <t>考核</t>
        </is>
      </c>
      <c r="H1012" s="55">
        <f>IF(TRIM($G1012)="","",IF(EXACT(TRIM($G1012),TRIM($C1012)),"✅ Đúng","❌ Sai"))</f>
        <v/>
      </c>
      <c r="I1012" s="56" t="inlineStr">
        <is>
          <t>▶</t>
        </is>
      </c>
      <c r="J1012" s="56" t="inlineStr">
        <is>
          <t>🔍</t>
        </is>
      </c>
      <c r="R1012" s="23" t="inlineStr">
        <is>
          <t>Sun Aug 02 2026</t>
        </is>
      </c>
      <c r="S1012" t="inlineStr">
        <is>
          <t>📹 Từ video · xuất hiện 1 lần · nguồn: MÔ TẢ video</t>
        </is>
      </c>
      <c r="T1012" s="58" t="inlineStr">
        <is>
          <t>考 [KHẢO] · thi cử, khảo sát
    ↳ Chiết tự: bộ 老 (lão – người già) + 丂 (khảo – âm đọc) — bậc lão thành ra đề khảo hạch
核 · cốt lõi</t>
        </is>
      </c>
      <c r="U1012" s="75" t="inlineStr">
        <is>
          <t>🎬 LẠI MUỐN TĂNG LƯƠNG NỮA SAO?  又要涨工资？ 又要漲工資？ Hoạt hình Tiếng Trung #dahuaxiyou</t>
        </is>
      </c>
      <c r="V1012" s="63" t="n"/>
      <c r="W1012" s="64" t="n"/>
    </row>
    <row r="1013" ht="69.75" customHeight="1" s="99">
      <c r="A1013" t="n">
        <v>987</v>
      </c>
      <c r="B1013" s="86" t="inlineStr">
        <is>
          <t>VIDEO</t>
        </is>
      </c>
      <c r="C1013" s="85" t="inlineStr">
        <is>
          <t>通不过</t>
        </is>
      </c>
      <c r="D1013" s="78" t="inlineStr">
        <is>
          <t>tōngbùguò</t>
        </is>
      </c>
      <c r="E1013" s="78" t="inlineStr">
        <is>
          <t>không thể vượt qua</t>
        </is>
      </c>
      <c r="H1013" s="55">
        <f>IF(TRIM($G1013)="","",IF(EXACT(TRIM($G1013),TRIM($C1013)),"✅ Đúng","❌ Sai"))</f>
        <v/>
      </c>
      <c r="I1013" s="56" t="inlineStr">
        <is>
          <t>▶</t>
        </is>
      </c>
      <c r="J1013" s="56" t="inlineStr">
        <is>
          <t>🔍</t>
        </is>
      </c>
      <c r="R1013" s="23" t="inlineStr">
        <is>
          <t>Sun Aug 02 2026</t>
        </is>
      </c>
      <c r="S1013" t="inlineStr">
        <is>
          <t>📹 Từ video · xuất hiện 1 lần · nguồn: MÔ TẢ video</t>
        </is>
      </c>
      <c r="T1013" s="58" t="inlineStr">
        <is>
          <t>通 [THÔNG] · thông suốt, thông thường
    ↳ Chiết tự: bộ 辶 (sước – bước đi) + 甬 (dũng – âm đọc) — đường đi suốt không tắc
不 [BẤT] · không, chẳng (phủ định)
    ↳ Chiết tự: bộ 一 (nhất – vòm trời) + 丿 (phiệt) — chim bay lên đụng trời, không qua được
过 [QUÁ] · đi qua; đã từng; quá mức
    ↳ Chiết tự: giản thể của 過: bộ 辶 (sước – bước đi) + 寸 (thốn – tấc) — bước ngang qua</t>
        </is>
      </c>
      <c r="U1013" s="75" t="inlineStr">
        <is>
          <t>🎬 LẠI MUỐN TĂNG LƯƠNG NỮA SAO?  又要涨工资？ 又要漲工資？ Hoạt hình Tiếng Trung #dahuaxiyou</t>
        </is>
      </c>
      <c r="V1013" s="63" t="n"/>
      <c r="W1013" s="64" t="n"/>
    </row>
    <row r="1014" ht="69.75" customHeight="1" s="99">
      <c r="A1014" t="n">
        <v>988</v>
      </c>
      <c r="B1014" s="86" t="inlineStr">
        <is>
          <t>VIDEO</t>
        </is>
      </c>
      <c r="C1014" s="85" t="inlineStr">
        <is>
          <t>蛋炒饭</t>
        </is>
      </c>
      <c r="D1014" s="78" t="inlineStr">
        <is>
          <t>dànchǎofàn</t>
        </is>
      </c>
      <c r="E1014" s="78" t="inlineStr">
        <is>
          <t>Cơm chiên trứng</t>
        </is>
      </c>
      <c r="H1014" s="55">
        <f>IF(TRIM($G1014)="","",IF(EXACT(TRIM($G1014),TRIM($C1014)),"✅ Đúng","❌ Sai"))</f>
        <v/>
      </c>
      <c r="I1014" s="56" t="inlineStr">
        <is>
          <t>▶</t>
        </is>
      </c>
      <c r="J1014" s="56" t="inlineStr">
        <is>
          <t>🔍</t>
        </is>
      </c>
      <c r="R1014" s="23" t="inlineStr">
        <is>
          <t>Sun Aug 02 2026</t>
        </is>
      </c>
      <c r="S1014" t="inlineStr">
        <is>
          <t>📹 Từ video · xuất hiện 1 lần · nguồn: MÔ TẢ video</t>
        </is>
      </c>
      <c r="T1014" s="58" t="inlineStr">
        <is>
          <t>蛋 [ĐẢN] · quả trứng
    ↳ Chiết tự: bộ 疋 (sơ) + 虫 (trùng – sâu bọ/loài vật) — vật do loài vật đẻ ra
炒 · xào
饭 [PHẠN] · cơm, bữa ăn
    ↳ Chiết tự: giản thể của 飯: bộ 饣 (thực – ăn) + 反 (phản – âm đọc) — bữa cơm</t>
        </is>
      </c>
      <c r="U1014" s="75" t="inlineStr">
        <is>
          <t>🎬 LẠI MUỐN TĂNG LƯƠNG NỮA SAO?  又要涨工资？ 又要漲工資？ Hoạt hình Tiếng Trung #dahuaxiyou</t>
        </is>
      </c>
      <c r="V1014" s="63" t="n"/>
      <c r="W1014" s="64" t="n"/>
    </row>
    <row r="1015" ht="69.75" customHeight="1" s="99">
      <c r="A1015" t="n">
        <v>989</v>
      </c>
      <c r="B1015" s="86" t="inlineStr">
        <is>
          <t>VIDEO</t>
        </is>
      </c>
      <c r="C1015" s="85" t="inlineStr">
        <is>
          <t>狂犬病</t>
        </is>
      </c>
      <c r="D1015" s="78" t="inlineStr">
        <is>
          <t>kuángquǎnbìng</t>
        </is>
      </c>
      <c r="E1015" s="78" t="inlineStr">
        <is>
          <t>bệnh dại</t>
        </is>
      </c>
      <c r="H1015" s="55">
        <f>IF(TRIM($G1015)="","",IF(EXACT(TRIM($G1015),TRIM($C1015)),"✅ Đúng","❌ Sai"))</f>
        <v/>
      </c>
      <c r="I1015" s="56" t="inlineStr">
        <is>
          <t>▶</t>
        </is>
      </c>
      <c r="J1015" s="56" t="inlineStr">
        <is>
          <t>🔍</t>
        </is>
      </c>
      <c r="R1015" s="23" t="inlineStr">
        <is>
          <t>Sun Aug 02 2026</t>
        </is>
      </c>
      <c r="S1015" t="inlineStr">
        <is>
          <t>📹 Từ video · xuất hiện 1 lần · nguồn: MÔ TẢ video</t>
        </is>
      </c>
      <c r="T1015" s="58" t="inlineStr">
        <is>
          <t>狂 · Điên
犬 · con chó
病 [BỆNH] · bệnh tật, ốm
    ↳ Chiết tự: bộ 疒 (nạch – người ốm dựa giường) + 丙 (bính – âm đọc) — nằm liệt trên giường bệnh</t>
        </is>
      </c>
      <c r="U1015" s="75" t="inlineStr">
        <is>
          <t>🎬 LẠI MUỐN TĂNG LƯƠNG NỮA SAO?  又要涨工资？ 又要漲工資？ Hoạt hình Tiếng Trung #dahuaxiyou</t>
        </is>
      </c>
      <c r="V1015" s="63" t="n"/>
      <c r="W1015" s="64" t="n"/>
    </row>
    <row r="1016" ht="69.75" customHeight="1" s="99">
      <c r="A1016" t="n">
        <v>990</v>
      </c>
      <c r="B1016" s="86" t="inlineStr">
        <is>
          <t>VIDEO</t>
        </is>
      </c>
      <c r="C1016" s="85" t="inlineStr">
        <is>
          <t>背面</t>
        </is>
      </c>
      <c r="D1016" s="78" t="inlineStr">
        <is>
          <t>bèimiàn</t>
        </is>
      </c>
      <c r="E1016" s="78" t="inlineStr">
        <is>
          <t>trở lại</t>
        </is>
      </c>
      <c r="H1016" s="55">
        <f>IF(TRIM($G1016)="","",IF(EXACT(TRIM($G1016),TRIM($C1016)),"✅ Đúng","❌ Sai"))</f>
        <v/>
      </c>
      <c r="I1016" s="56" t="inlineStr">
        <is>
          <t>▶</t>
        </is>
      </c>
      <c r="J1016" s="56" t="inlineStr">
        <is>
          <t>🔍</t>
        </is>
      </c>
      <c r="R1016" s="23" t="inlineStr">
        <is>
          <t>Sun Aug 02 2026</t>
        </is>
      </c>
      <c r="S1016" t="inlineStr">
        <is>
          <t>📹 Từ video · xuất hiện 1 lần · nguồn: MÔ TẢ video</t>
        </is>
      </c>
      <c r="T1016" s="58" t="inlineStr">
        <is>
          <t>背 · trở lại
面 [DIỆN] · mặt, bề mặt, phía; sợi mì
    ↳ Chiết tự: bộ 面 (diện) — hình khuôn mặt có con mắt; giản thể gộp cả 麵 (mì)</t>
        </is>
      </c>
      <c r="U1016" s="75" t="inlineStr">
        <is>
          <t>🎬 LẠI MUỐN TĂNG LƯƠNG NỮA SAO?  又要涨工资？ 又要漲工資？ Hoạt hình Tiếng Trung #dahuaxiyou</t>
        </is>
      </c>
      <c r="V1016" s="63" t="n"/>
      <c r="W1016" s="64" t="n"/>
    </row>
    <row r="1017" ht="69.75" customHeight="1" s="99">
      <c r="A1017" t="n">
        <v>991</v>
      </c>
      <c r="B1017" s="86" t="inlineStr">
        <is>
          <t>VIDEO</t>
        </is>
      </c>
      <c r="C1017" s="85" t="inlineStr">
        <is>
          <t>打针</t>
        </is>
      </c>
      <c r="D1017" s="78" t="inlineStr">
        <is>
          <t>dǎzhēn</t>
        </is>
      </c>
      <c r="E1017" s="78" t="inlineStr">
        <is>
          <t>tiêm</t>
        </is>
      </c>
      <c r="H1017" s="55">
        <f>IF(TRIM($G1017)="","",IF(EXACT(TRIM($G1017),TRIM($C1017)),"✅ Đúng","❌ Sai"))</f>
        <v/>
      </c>
      <c r="I1017" s="56" t="inlineStr">
        <is>
          <t>▶</t>
        </is>
      </c>
      <c r="J1017" s="56" t="inlineStr">
        <is>
          <t>🔍</t>
        </is>
      </c>
      <c r="R1017" s="23" t="inlineStr">
        <is>
          <t>Sun Aug 02 2026</t>
        </is>
      </c>
      <c r="S1017" t="inlineStr">
        <is>
          <t>📹 Từ video · xuất hiện 1 lần · nguồn: MÔ TẢ video</t>
        </is>
      </c>
      <c r="T1017" s="58" t="inlineStr">
        <is>
          <t>打 [ĐẢ] · đánh; làm, gọi (động từ vạn năng)
    ↳ Chiết tự: bộ 扌 (thủ đứng – bàn tay) + 丁 (đinh – cái đinh) — tay đóng đinh
针 · cây kim</t>
        </is>
      </c>
      <c r="U1017" s="75" t="inlineStr">
        <is>
          <t>🎬 LẠI MUỐN TĂNG LƯƠNG NỮA SAO?  又要涨工资？ 又要漲工資？ Hoạt hình Tiếng Trung #dahuaxiyou</t>
        </is>
      </c>
      <c r="V1017" s="63" t="n"/>
      <c r="W1017" s="64" t="n"/>
    </row>
    <row r="1018" hidden="1" ht="69.75" customHeight="1" s="99">
      <c r="A1018" t="n">
        <v>992</v>
      </c>
      <c r="B1018" s="86" t="inlineStr">
        <is>
          <t>VIDEO</t>
        </is>
      </c>
      <c r="C1018" s="85" t="inlineStr">
        <is>
          <t>老大</t>
        </is>
      </c>
      <c r="D1018" s="78" t="inlineStr">
        <is>
          <t>lǎodà</t>
        </is>
      </c>
      <c r="E1018" s="78" t="inlineStr">
        <is>
          <t>ông chủ</t>
        </is>
      </c>
      <c r="G1018" s="77" t="inlineStr">
        <is>
          <t>老大</t>
        </is>
      </c>
      <c r="H1018" s="55">
        <f>IF(TRIM($G1018)="","",IF(EXACT(TRIM($G1018),TRIM($C1018)),"✅ Đúng","❌ Sai"))</f>
        <v/>
      </c>
      <c r="I1018" s="56" t="inlineStr">
        <is>
          <t>▶</t>
        </is>
      </c>
      <c r="J1018" s="56" t="inlineStr">
        <is>
          <t>🔍</t>
        </is>
      </c>
      <c r="R1018" s="23" t="inlineStr">
        <is>
          <t>Sun Aug 02 2026</t>
        </is>
      </c>
      <c r="S1018" t="inlineStr">
        <is>
          <t>📹 Từ video · xuất hiện 1 lần · nguồn: MÔ TẢ video</t>
        </is>
      </c>
      <c r="T1018" s="58" t="inlineStr">
        <is>
          <t>老 [LÃO] · già; cũ; luôn luôn; tiền tố tôn xưng
    ↳ Chiết tự: bộ 老 (lão) — hình cụ già tóc dài chống gậy
大 [ĐẠI] · to lớn, vĩ đại
    ↳ Chiết tự: bộ 大 (đại) — hình người dang rộng hai tay hai chân</t>
        </is>
      </c>
      <c r="U1018" s="75" t="inlineStr">
        <is>
          <t>🎬 LẠI MUỐN TĂNG LƯƠNG NỮA SAO?  又要涨工资？ 又要漲工資？ Hoạt hình Tiếng Trung #dahuaxiyou</t>
        </is>
      </c>
      <c r="V1018" s="63" t="n"/>
      <c r="W1018" s="64" t="n"/>
    </row>
    <row r="1019" ht="69.75" customHeight="1" s="99">
      <c r="A1019" t="n">
        <v>993</v>
      </c>
      <c r="B1019" s="86" t="inlineStr">
        <is>
          <t>VIDEO</t>
        </is>
      </c>
      <c r="C1019" s="85" t="inlineStr">
        <is>
          <t>神经病</t>
        </is>
      </c>
      <c r="D1019" s="78" t="inlineStr">
        <is>
          <t>shénjīngbìng</t>
        </is>
      </c>
      <c r="E1019" s="78" t="inlineStr">
        <is>
          <t>bệnh thần kinh</t>
        </is>
      </c>
      <c r="H1019" s="55">
        <f>IF(TRIM($G1019)="","",IF(EXACT(TRIM($G1019),TRIM($C1019)),"✅ Đúng","❌ Sai"))</f>
        <v/>
      </c>
      <c r="I1019" s="56" t="inlineStr">
        <is>
          <t>▶</t>
        </is>
      </c>
      <c r="J1019" s="56" t="inlineStr">
        <is>
          <t>🔍</t>
        </is>
      </c>
      <c r="R1019" s="23" t="inlineStr">
        <is>
          <t>Sun Aug 02 2026</t>
        </is>
      </c>
      <c r="S1019" t="inlineStr">
        <is>
          <t>📹 Từ video · xuất hiện 1 lần · nguồn: MÔ TẢ video</t>
        </is>
      </c>
      <c r="T1019" s="58" t="inlineStr">
        <is>
          <t>神 · Chúa ơi
经 [KINH] · trải qua, đã; kinh điển; sợi dọc
    ↳ Chiết tự: giản thể của 經: bộ 纟 (mịch – sợi tơ) + 巠 (kinh – âm đọc) — sợi dọc của tấm vải, cái xuyên suốt
病 [BỆNH] · bệnh tật, ốm
    ↳ Chiết tự: bộ 疒 (nạch – người ốm dựa giường) + 丙 (bính – âm đọc) — nằm liệt trên giường bệnh</t>
        </is>
      </c>
      <c r="U1019" s="75" t="inlineStr">
        <is>
          <t>🎬 LẠI MUỐN TĂNG LƯƠNG NỮA SAO?  又要涨工资？ 又要漲工資？ Hoạt hình Tiếng Trung #dahuaxiyou</t>
        </is>
      </c>
      <c r="V1019" s="63" t="n"/>
      <c r="W1019" s="64" t="n"/>
    </row>
    <row r="1020" ht="69.75" customHeight="1" s="99">
      <c r="A1020" t="n">
        <v>994</v>
      </c>
      <c r="B1020" s="86" t="inlineStr">
        <is>
          <t>VIDEO</t>
        </is>
      </c>
      <c r="C1020" s="85" t="inlineStr">
        <is>
          <t>题目</t>
        </is>
      </c>
      <c r="D1020" s="78" t="inlineStr">
        <is>
          <t>tímù</t>
        </is>
      </c>
      <c r="E1020" s="78" t="inlineStr">
        <is>
          <t>tiêu đề</t>
        </is>
      </c>
      <c r="H1020" s="55">
        <f>IF(TRIM($G1020)="","",IF(EXACT(TRIM($G1020),TRIM($C1020)),"✅ Đúng","❌ Sai"))</f>
        <v/>
      </c>
      <c r="I1020" s="56" t="inlineStr">
        <is>
          <t>▶</t>
        </is>
      </c>
      <c r="J1020" s="56" t="inlineStr">
        <is>
          <t>🔍</t>
        </is>
      </c>
      <c r="R1020" s="23" t="inlineStr">
        <is>
          <t>Sun Aug 02 2026</t>
        </is>
      </c>
      <c r="S1020" t="inlineStr">
        <is>
          <t>📹 Từ video · xuất hiện 1 lần · nguồn: MÔ TẢ video</t>
        </is>
      </c>
      <c r="T1020" s="58" t="inlineStr">
        <is>
          <t>题 [ĐỀ] · đề bài, câu hỏi, đề mục
    ↳ Chiết tự: giản thể của 題: bộ 页 (hiệt – cái đầu) + 是 (thị – âm đọc) — phần đầu bài viết
目 [MỤC] · con mắt; mục lục, tiết mục
    ↳ Chiết tự: bộ 目 (mục) — hình con mắt dựng đứng</t>
        </is>
      </c>
      <c r="U1020" s="75" t="inlineStr">
        <is>
          <t>🎬 LẠI MUỐN TĂNG LƯƠNG NỮA SAO?  又要涨工资？ 又要漲工資？ Hoạt hình Tiếng Trung #dahuaxiyou</t>
        </is>
      </c>
      <c r="V1020" s="63" t="n"/>
      <c r="W1020" s="64" t="n"/>
    </row>
    <row r="1021" ht="69.75" customHeight="1" s="99">
      <c r="A1021" t="n">
        <v>995</v>
      </c>
      <c r="B1021" s="86" t="inlineStr">
        <is>
          <t>VIDEO</t>
        </is>
      </c>
      <c r="C1021" s="85" t="inlineStr">
        <is>
          <t>增加</t>
        </is>
      </c>
      <c r="D1021" s="78" t="inlineStr">
        <is>
          <t>zēngjiā</t>
        </is>
      </c>
      <c r="E1021" s="78" t="inlineStr">
        <is>
          <t>tăng lên</t>
        </is>
      </c>
      <c r="H1021" s="55">
        <f>IF(TRIM($G1021)="","",IF(EXACT(TRIM($G1021),TRIM($C1021)),"✅ Đúng","❌ Sai"))</f>
        <v/>
      </c>
      <c r="I1021" s="56" t="inlineStr">
        <is>
          <t>▶</t>
        </is>
      </c>
      <c r="J1021" s="56" t="inlineStr">
        <is>
          <t>🔍</t>
        </is>
      </c>
      <c r="R1021" s="23" t="inlineStr">
        <is>
          <t>Sun Aug 02 2026</t>
        </is>
      </c>
      <c r="S1021" t="inlineStr">
        <is>
          <t>📹 Từ video · xuất hiện 1 lần · nguồn: MÔ TẢ video</t>
        </is>
      </c>
      <c r="T1021" s="58" t="inlineStr">
        <is>
          <t>增 · tăng lên
加 [GIA] · thêm vào, cộng
    ↳ Chiết tự: bộ 力 (lực – sức) + 口 (khẩu – miệng) — thêm sức, thêm lời</t>
        </is>
      </c>
      <c r="U1021" s="75" t="inlineStr">
        <is>
          <t>🎬 LẠI MUỐN TĂNG LƯƠNG NỮA SAO?  又要涨工资？ 又要漲工資？ Hoạt hình Tiếng Trung #dahuaxiyou</t>
        </is>
      </c>
      <c r="V1021" s="63" t="n"/>
      <c r="W1021" s="64" t="n"/>
    </row>
    <row r="1022" ht="69.75" customHeight="1" s="99">
      <c r="A1022" t="n">
        <v>996</v>
      </c>
      <c r="B1022" s="86" t="inlineStr">
        <is>
          <t>VIDEO</t>
        </is>
      </c>
      <c r="C1022" s="85" t="inlineStr">
        <is>
          <t>难度</t>
        </is>
      </c>
      <c r="D1022" s="78" t="inlineStr">
        <is>
          <t>nándù</t>
        </is>
      </c>
      <c r="E1022" s="78" t="inlineStr">
        <is>
          <t>khó khăn</t>
        </is>
      </c>
      <c r="H1022" s="55">
        <f>IF(TRIM($G1022)="","",IF(EXACT(TRIM($G1022),TRIM($C1022)),"✅ Đúng","❌ Sai"))</f>
        <v/>
      </c>
      <c r="I1022" s="56" t="inlineStr">
        <is>
          <t>▶</t>
        </is>
      </c>
      <c r="J1022" s="56" t="inlineStr">
        <is>
          <t>🔍</t>
        </is>
      </c>
      <c r="R1022" s="23" t="inlineStr">
        <is>
          <t>Sun Aug 02 2026</t>
        </is>
      </c>
      <c r="S1022" t="inlineStr">
        <is>
          <t>📹 Từ video · xuất hiện 1 lần · nguồn: MÔ TẢ video</t>
        </is>
      </c>
      <c r="T1022" s="58" t="inlineStr">
        <is>
          <t>难 [NAN / NẠN] · khó khăn; tai nạn
    ↳ Chiết tự: giản thể của 難: bộ 又 (hựu – bàn tay) + 隹 (chuy – con chim) — tay không bắt chim rất khó
度 · bằng cấp</t>
        </is>
      </c>
      <c r="U1022" s="75" t="inlineStr">
        <is>
          <t>🎬 LẠI MUỐN TĂNG LƯƠNG NỮA SAO?  又要涨工资？ 又要漲工資？ Hoạt hình Tiếng Trung #dahuaxiyou</t>
        </is>
      </c>
      <c r="V1022" s="63" t="n"/>
      <c r="W1022" s="64" t="n"/>
    </row>
    <row r="1023" ht="69.75" customHeight="1" s="99">
      <c r="A1023" t="n">
        <v>997</v>
      </c>
      <c r="B1023" s="86" t="inlineStr">
        <is>
          <t>VIDEO</t>
        </is>
      </c>
      <c r="C1023" s="85" t="inlineStr">
        <is>
          <t>词汇</t>
        </is>
      </c>
      <c r="D1023" s="78" t="inlineStr">
        <is>
          <t>cíhuì</t>
        </is>
      </c>
      <c r="E1023" s="78" t="inlineStr">
        <is>
          <t>từ vựng</t>
        </is>
      </c>
      <c r="H1023" s="55">
        <f>IF(TRIM($G1023)="","",IF(EXACT(TRIM($G1023),TRIM($C1023)),"✅ Đúng","❌ Sai"))</f>
        <v/>
      </c>
      <c r="I1023" s="56" t="inlineStr">
        <is>
          <t>▶</t>
        </is>
      </c>
      <c r="J1023" s="56" t="inlineStr">
        <is>
          <t>🔍</t>
        </is>
      </c>
      <c r="R1023" s="23" t="inlineStr">
        <is>
          <t>Sun Aug 02 2026</t>
        </is>
      </c>
      <c r="S1023" t="inlineStr">
        <is>
          <t>📹 Từ video · xuất hiện 1 lần · nguồn: MÔ TẢ video</t>
        </is>
      </c>
      <c r="T1023" s="58" t="inlineStr">
        <is>
          <t>词 [TỪ] · từ ngữ, lời
    ↳ Chiết tự: giản thể của 詞: bộ 讠 (ngôn – lời nói) + 司 (ty – âm đọc) — đơn vị của lời nói
汇 [HỐI] · hối đoái, gom lại
    ↳ Chiết tự: giản thể của 匯: bộ 氵 (thủy – nước) + 匚 (phương – hộp) — nước gom về một chỗ</t>
        </is>
      </c>
      <c r="U1023" s="75" t="inlineStr">
        <is>
          <t>🎬 LẠI MUỐN TĂNG LƯƠNG NỮA SAO?  又要涨工资？ 又要漲工資？ Hoạt hình Tiếng Trung #dahuaxiyou</t>
        </is>
      </c>
      <c r="V1023" s="63" t="inlineStr">
        <is>
          <t>中文词汇</t>
        </is>
      </c>
      <c r="W1023" s="64" t="inlineStr">
        <is>
          <t>zhōng wén cí huì
➜ từ vựng tiếng trung</t>
        </is>
      </c>
    </row>
    <row r="1024" ht="69.75" customHeight="1" s="99">
      <c r="A1024" t="n">
        <v>998</v>
      </c>
      <c r="B1024" s="86" t="inlineStr">
        <is>
          <t>VIDEO</t>
        </is>
      </c>
      <c r="C1024" s="85" t="inlineStr">
        <is>
          <t>呆话</t>
        </is>
      </c>
      <c r="D1024" s="78" t="inlineStr">
        <is>
          <t>dāihuà</t>
        </is>
      </c>
      <c r="E1024" s="78" t="inlineStr">
        <is>
          <t>điều vô nghĩa</t>
        </is>
      </c>
      <c r="H1024" s="55">
        <f>IF(TRIM($G1024)="","",IF(EXACT(TRIM($G1024),TRIM($C1024)),"✅ Đúng","❌ Sai"))</f>
        <v/>
      </c>
      <c r="I1024" s="56" t="inlineStr">
        <is>
          <t>▶</t>
        </is>
      </c>
      <c r="J1024" s="56" t="inlineStr">
        <is>
          <t>🔍</t>
        </is>
      </c>
      <c r="R1024" s="23" t="inlineStr">
        <is>
          <t>Sun Aug 02 2026</t>
        </is>
      </c>
      <c r="S1024" t="inlineStr">
        <is>
          <t>📹 Từ video · xuất hiện 1 lần · nguồn: MÔ TẢ video</t>
        </is>
      </c>
      <c r="T1024" s="58" t="inlineStr">
        <is>
          <t>呆 · ở lại
话 [THOẠI] · lời nói, câu chuyện
    ↳ Chiết tự: giản thể của 話: bộ 讠 (ngôn – lời nói) + 舌 (thiệt – cái lưỡi) — lưỡi phát thành lời</t>
        </is>
      </c>
      <c r="U1024" s="75" t="inlineStr">
        <is>
          <t>🎬 LẠI MUỐN TĂNG LƯƠNG NỮA SAO?  又要涨工资？ 又要漲工資？ Hoạt hình Tiếng Trung #dahuaxiyou</t>
        </is>
      </c>
      <c r="V1024" s="63" t="inlineStr">
        <is>
          <t>呆话西游</t>
        </is>
      </c>
      <c r="W1024" s="64" t="inlineStr">
        <is>
          <t>dāi huà xī yóu
➜ Hành trình về phương Tây</t>
        </is>
      </c>
    </row>
    <row r="1025" ht="69.75" customHeight="1" s="99">
      <c r="A1025" t="n">
        <v>999</v>
      </c>
      <c r="B1025" s="86" t="inlineStr">
        <is>
          <t>VIDEO</t>
        </is>
      </c>
      <c r="C1025" s="85" t="inlineStr">
        <is>
          <t>西游</t>
        </is>
      </c>
      <c r="D1025" s="78" t="inlineStr">
        <is>
          <t>xīyóu</t>
        </is>
      </c>
      <c r="E1025" s="78" t="inlineStr">
        <is>
          <t>Hành trình về phương Tây</t>
        </is>
      </c>
      <c r="H1025" s="55">
        <f>IF(TRIM($G1025)="","",IF(EXACT(TRIM($G1025),TRIM($C1025)),"✅ Đúng","❌ Sai"))</f>
        <v/>
      </c>
      <c r="I1025" s="56" t="inlineStr">
        <is>
          <t>▶</t>
        </is>
      </c>
      <c r="J1025" s="56" t="inlineStr">
        <is>
          <t>🔍</t>
        </is>
      </c>
      <c r="R1025" s="23" t="inlineStr">
        <is>
          <t>Sun Aug 02 2026</t>
        </is>
      </c>
      <c r="S1025" t="inlineStr">
        <is>
          <t>📹 Từ video · xuất hiện 1 lần · nguồn: MÔ TẢ video</t>
        </is>
      </c>
      <c r="T1025" s="58" t="inlineStr">
        <is>
          <t>西 [TÂY] · hướng tây; phương Tây
    ↳ Chiết tự: bộ 覀/西 (tây) — hình tổ chim, chim về tổ khi mặt trời lặn ở phía tây
游 [DU] · bơi lội; du ngoạn
    ↳ Chiết tự: bộ 氵 (thủy – nước) + 斿 (du – âm đọc) — đi lại trên nước</t>
        </is>
      </c>
      <c r="U1025" s="75" t="inlineStr">
        <is>
          <t>🎬 LẠI MUỐN TĂNG LƯƠNG NỮA SAO?  又要涨工资？ 又要漲工資？ Hoạt hình Tiếng Trung #dahuaxiyou</t>
        </is>
      </c>
      <c r="V1025" s="63" t="inlineStr">
        <is>
          <t>呆话西游</t>
        </is>
      </c>
      <c r="W1025" s="64" t="inlineStr">
        <is>
          <t>dāi huà xī yóu
➜ Hành trình về phương Tây</t>
        </is>
      </c>
    </row>
  </sheetData>
  <autoFilter ref="A3:W1025">
    <filterColumn colId="7" hiddenButton="0" showButton="1">
      <filters blank="1"/>
    </filterColumn>
  </autoFilter>
  <conditionalFormatting sqref="H4:H1025">
    <cfRule type="containsText" priority="1" operator="containsText" dxfId="1" text="Đúng">
      <formula>NOT(ISERROR(SEARCH("Đúng",H4)))</formula>
    </cfRule>
    <cfRule type="containsText" priority="2" operator="containsText" dxfId="0" text="Sai">
      <formula>NOT(ISERROR(SEARCH("Sai",H4)))</formula>
    </cfRule>
  </conditionalFormatting>
  <hyperlinks>
    <hyperlink xmlns:r="http://schemas.openxmlformats.org/officeDocument/2006/relationships" ref="I45" tooltip="Nghe phát âm" r:id="rId1"/>
    <hyperlink xmlns:r="http://schemas.openxmlformats.org/officeDocument/2006/relationships" ref="J45" tooltip="Xem video phát âm" r:id="rId2"/>
    <hyperlink xmlns:r="http://schemas.openxmlformats.org/officeDocument/2006/relationships" ref="I46" tooltip="Nghe phát âm" r:id="rId3"/>
    <hyperlink xmlns:r="http://schemas.openxmlformats.org/officeDocument/2006/relationships" ref="J46" tooltip="Xem video phát âm" r:id="rId4"/>
    <hyperlink xmlns:r="http://schemas.openxmlformats.org/officeDocument/2006/relationships" ref="I53" tooltip="Nghe phát âm" r:id="rId5"/>
    <hyperlink xmlns:r="http://schemas.openxmlformats.org/officeDocument/2006/relationships" ref="J53" tooltip="Xem video phát âm" r:id="rId6"/>
    <hyperlink xmlns:r="http://schemas.openxmlformats.org/officeDocument/2006/relationships" ref="I54" tooltip="Nghe phát âm" r:id="rId7"/>
    <hyperlink xmlns:r="http://schemas.openxmlformats.org/officeDocument/2006/relationships" ref="J54" tooltip="Xem video phát âm" r:id="rId8"/>
    <hyperlink xmlns:r="http://schemas.openxmlformats.org/officeDocument/2006/relationships" ref="I60" tooltip="Nghe phát âm" r:id="rId9"/>
    <hyperlink xmlns:r="http://schemas.openxmlformats.org/officeDocument/2006/relationships" ref="J60" tooltip="Xem video phát âm" r:id="rId10"/>
    <hyperlink xmlns:r="http://schemas.openxmlformats.org/officeDocument/2006/relationships" ref="I61" tooltip="Nghe phát âm" r:id="rId11"/>
    <hyperlink xmlns:r="http://schemas.openxmlformats.org/officeDocument/2006/relationships" ref="J61" tooltip="Xem video phát âm" r:id="rId12"/>
    <hyperlink xmlns:r="http://schemas.openxmlformats.org/officeDocument/2006/relationships" ref="I62" tooltip="Nghe phát âm" r:id="rId13"/>
    <hyperlink xmlns:r="http://schemas.openxmlformats.org/officeDocument/2006/relationships" ref="J62" tooltip="Xem video phát âm" r:id="rId14"/>
    <hyperlink xmlns:r="http://schemas.openxmlformats.org/officeDocument/2006/relationships" ref="I88" tooltip="Nghe phát âm" r:id="rId15"/>
    <hyperlink xmlns:r="http://schemas.openxmlformats.org/officeDocument/2006/relationships" ref="J88" tooltip="Xem video phát âm" r:id="rId16"/>
    <hyperlink xmlns:r="http://schemas.openxmlformats.org/officeDocument/2006/relationships" ref="I89" tooltip="Nghe phát âm" r:id="rId17"/>
    <hyperlink xmlns:r="http://schemas.openxmlformats.org/officeDocument/2006/relationships" ref="J89" tooltip="Xem video phát âm" r:id="rId18"/>
    <hyperlink xmlns:r="http://schemas.openxmlformats.org/officeDocument/2006/relationships" ref="I90" tooltip="Nghe phát âm" r:id="rId19"/>
    <hyperlink xmlns:r="http://schemas.openxmlformats.org/officeDocument/2006/relationships" ref="J90" tooltip="Xem video phát âm" r:id="rId20"/>
    <hyperlink xmlns:r="http://schemas.openxmlformats.org/officeDocument/2006/relationships" ref="I91" tooltip="Nghe phát âm" r:id="rId21"/>
    <hyperlink xmlns:r="http://schemas.openxmlformats.org/officeDocument/2006/relationships" ref="J91" tooltip="Xem video phát âm" r:id="rId22"/>
    <hyperlink xmlns:r="http://schemas.openxmlformats.org/officeDocument/2006/relationships" ref="I92" tooltip="Nghe phát âm" r:id="rId23"/>
    <hyperlink xmlns:r="http://schemas.openxmlformats.org/officeDocument/2006/relationships" ref="J92" tooltip="Xem video phát âm" r:id="rId24"/>
    <hyperlink xmlns:r="http://schemas.openxmlformats.org/officeDocument/2006/relationships" ref="I143" tooltip="Nghe phát âm" r:id="rId25"/>
    <hyperlink xmlns:r="http://schemas.openxmlformats.org/officeDocument/2006/relationships" ref="J143" tooltip="Xem video phát âm" r:id="rId26"/>
    <hyperlink xmlns:r="http://schemas.openxmlformats.org/officeDocument/2006/relationships" ref="I144" tooltip="Nghe phát âm" r:id="rId27"/>
    <hyperlink xmlns:r="http://schemas.openxmlformats.org/officeDocument/2006/relationships" ref="J144" tooltip="Xem video phát âm" r:id="rId28"/>
    <hyperlink xmlns:r="http://schemas.openxmlformats.org/officeDocument/2006/relationships" ref="I145" tooltip="Nghe phát âm" r:id="rId29"/>
    <hyperlink xmlns:r="http://schemas.openxmlformats.org/officeDocument/2006/relationships" ref="J145" tooltip="Xem video phát âm" r:id="rId30"/>
    <hyperlink xmlns:r="http://schemas.openxmlformats.org/officeDocument/2006/relationships" ref="I146" tooltip="Nghe phát âm" r:id="rId31"/>
    <hyperlink xmlns:r="http://schemas.openxmlformats.org/officeDocument/2006/relationships" ref="J146" tooltip="Xem video phát âm" r:id="rId32"/>
    <hyperlink xmlns:r="http://schemas.openxmlformats.org/officeDocument/2006/relationships" ref="I147" tooltip="Nghe phát âm" r:id="rId33"/>
    <hyperlink xmlns:r="http://schemas.openxmlformats.org/officeDocument/2006/relationships" ref="J147" tooltip="Xem video phát âm" r:id="rId34"/>
    <hyperlink xmlns:r="http://schemas.openxmlformats.org/officeDocument/2006/relationships" ref="I148" tooltip="Nghe phát âm" r:id="rId35"/>
    <hyperlink xmlns:r="http://schemas.openxmlformats.org/officeDocument/2006/relationships" ref="J148" tooltip="Xem video phát âm" r:id="rId36"/>
    <hyperlink xmlns:r="http://schemas.openxmlformats.org/officeDocument/2006/relationships" ref="I149" tooltip="Nghe phát âm" r:id="rId37"/>
    <hyperlink xmlns:r="http://schemas.openxmlformats.org/officeDocument/2006/relationships" ref="J149" tooltip="Xem video phát âm" r:id="rId38"/>
    <hyperlink xmlns:r="http://schemas.openxmlformats.org/officeDocument/2006/relationships" ref="I206" tooltip="Nghe phát âm" r:id="rId39"/>
    <hyperlink xmlns:r="http://schemas.openxmlformats.org/officeDocument/2006/relationships" ref="J206" tooltip="Xem video phát âm" r:id="rId40"/>
    <hyperlink xmlns:r="http://schemas.openxmlformats.org/officeDocument/2006/relationships" ref="I207" tooltip="Nghe phát âm" r:id="rId41"/>
    <hyperlink xmlns:r="http://schemas.openxmlformats.org/officeDocument/2006/relationships" ref="J207" tooltip="Xem video phát âm" r:id="rId42"/>
    <hyperlink xmlns:r="http://schemas.openxmlformats.org/officeDocument/2006/relationships" ref="I208" tooltip="Nghe phát âm" r:id="rId43"/>
    <hyperlink xmlns:r="http://schemas.openxmlformats.org/officeDocument/2006/relationships" ref="J208" tooltip="Xem video phát âm" r:id="rId44"/>
    <hyperlink xmlns:r="http://schemas.openxmlformats.org/officeDocument/2006/relationships" ref="I209" tooltip="Nghe phát âm" r:id="rId45"/>
    <hyperlink xmlns:r="http://schemas.openxmlformats.org/officeDocument/2006/relationships" ref="J209" tooltip="Xem video phát âm" r:id="rId46"/>
    <hyperlink xmlns:r="http://schemas.openxmlformats.org/officeDocument/2006/relationships" ref="I210" tooltip="Nghe phát âm" r:id="rId47"/>
    <hyperlink xmlns:r="http://schemas.openxmlformats.org/officeDocument/2006/relationships" ref="J210" tooltip="Xem video phát âm" r:id="rId48"/>
    <hyperlink xmlns:r="http://schemas.openxmlformats.org/officeDocument/2006/relationships" ref="I211" tooltip="Nghe phát âm" r:id="rId49"/>
    <hyperlink xmlns:r="http://schemas.openxmlformats.org/officeDocument/2006/relationships" ref="J211" tooltip="Xem video phát âm" r:id="rId50"/>
    <hyperlink xmlns:r="http://schemas.openxmlformats.org/officeDocument/2006/relationships" ref="I212" tooltip="Nghe phát âm" r:id="rId51"/>
    <hyperlink xmlns:r="http://schemas.openxmlformats.org/officeDocument/2006/relationships" ref="J212" tooltip="Xem video phát âm" r:id="rId52"/>
    <hyperlink xmlns:r="http://schemas.openxmlformats.org/officeDocument/2006/relationships" ref="I213" tooltip="Nghe phát âm" r:id="rId53"/>
    <hyperlink xmlns:r="http://schemas.openxmlformats.org/officeDocument/2006/relationships" ref="J213" tooltip="Xem video phát âm" r:id="rId54"/>
    <hyperlink xmlns:r="http://schemas.openxmlformats.org/officeDocument/2006/relationships" ref="I214" tooltip="Nghe phát âm" r:id="rId55"/>
    <hyperlink xmlns:r="http://schemas.openxmlformats.org/officeDocument/2006/relationships" ref="J214" tooltip="Xem video phát âm" r:id="rId56"/>
    <hyperlink xmlns:r="http://schemas.openxmlformats.org/officeDocument/2006/relationships" ref="I215" tooltip="Nghe phát âm" r:id="rId57"/>
    <hyperlink xmlns:r="http://schemas.openxmlformats.org/officeDocument/2006/relationships" ref="J215" tooltip="Xem video phát âm" r:id="rId58"/>
    <hyperlink xmlns:r="http://schemas.openxmlformats.org/officeDocument/2006/relationships" ref="I216" tooltip="Nghe phát âm" r:id="rId59"/>
    <hyperlink xmlns:r="http://schemas.openxmlformats.org/officeDocument/2006/relationships" ref="J216" tooltip="Xem video phát âm" r:id="rId60"/>
    <hyperlink xmlns:r="http://schemas.openxmlformats.org/officeDocument/2006/relationships" ref="I217" tooltip="Nghe phát âm" r:id="rId61"/>
    <hyperlink xmlns:r="http://schemas.openxmlformats.org/officeDocument/2006/relationships" ref="J217" tooltip="Xem video phát âm" r:id="rId62"/>
    <hyperlink xmlns:r="http://schemas.openxmlformats.org/officeDocument/2006/relationships" ref="I218" tooltip="Nghe phát âm" r:id="rId63"/>
    <hyperlink xmlns:r="http://schemas.openxmlformats.org/officeDocument/2006/relationships" ref="J218" tooltip="Xem video phát âm" r:id="rId64"/>
    <hyperlink xmlns:r="http://schemas.openxmlformats.org/officeDocument/2006/relationships" ref="I219" tooltip="Nghe phát âm" r:id="rId65"/>
    <hyperlink xmlns:r="http://schemas.openxmlformats.org/officeDocument/2006/relationships" ref="J219" tooltip="Xem video phát âm" r:id="rId66"/>
    <hyperlink xmlns:r="http://schemas.openxmlformats.org/officeDocument/2006/relationships" ref="I245" tooltip="Nghe phát âm" r:id="rId67"/>
    <hyperlink xmlns:r="http://schemas.openxmlformats.org/officeDocument/2006/relationships" ref="J245" tooltip="Xem video phát âm" r:id="rId68"/>
    <hyperlink xmlns:r="http://schemas.openxmlformats.org/officeDocument/2006/relationships" ref="I246" tooltip="Nghe phát âm" r:id="rId69"/>
    <hyperlink xmlns:r="http://schemas.openxmlformats.org/officeDocument/2006/relationships" ref="J246" tooltip="Xem video phát âm" r:id="rId70"/>
    <hyperlink xmlns:r="http://schemas.openxmlformats.org/officeDocument/2006/relationships" ref="I247" tooltip="Nghe phát âm" r:id="rId71"/>
    <hyperlink xmlns:r="http://schemas.openxmlformats.org/officeDocument/2006/relationships" ref="J247" tooltip="Xem video phát âm" r:id="rId72"/>
    <hyperlink xmlns:r="http://schemas.openxmlformats.org/officeDocument/2006/relationships" ref="I248" tooltip="Nghe phát âm" r:id="rId73"/>
    <hyperlink xmlns:r="http://schemas.openxmlformats.org/officeDocument/2006/relationships" ref="J248" tooltip="Xem video phát âm" r:id="rId74"/>
    <hyperlink xmlns:r="http://schemas.openxmlformats.org/officeDocument/2006/relationships" ref="I297" tooltip="Nghe phát âm" r:id="rId75"/>
    <hyperlink xmlns:r="http://schemas.openxmlformats.org/officeDocument/2006/relationships" ref="J297" tooltip="Xem video phát âm" r:id="rId76"/>
    <hyperlink xmlns:r="http://schemas.openxmlformats.org/officeDocument/2006/relationships" ref="I298" tooltip="Nghe phát âm" r:id="rId77"/>
    <hyperlink xmlns:r="http://schemas.openxmlformats.org/officeDocument/2006/relationships" ref="J298" tooltip="Xem video phát âm" r:id="rId78"/>
    <hyperlink xmlns:r="http://schemas.openxmlformats.org/officeDocument/2006/relationships" ref="I299" tooltip="Nghe phát âm" r:id="rId79"/>
    <hyperlink xmlns:r="http://schemas.openxmlformats.org/officeDocument/2006/relationships" ref="J299" tooltip="Xem video phát âm" r:id="rId80"/>
    <hyperlink xmlns:r="http://schemas.openxmlformats.org/officeDocument/2006/relationships" ref="I300" tooltip="Nghe phát âm" r:id="rId81"/>
    <hyperlink xmlns:r="http://schemas.openxmlformats.org/officeDocument/2006/relationships" ref="J300" tooltip="Xem video phát âm" r:id="rId82"/>
    <hyperlink xmlns:r="http://schemas.openxmlformats.org/officeDocument/2006/relationships" ref="I301" tooltip="Nghe phát âm" r:id="rId83"/>
    <hyperlink xmlns:r="http://schemas.openxmlformats.org/officeDocument/2006/relationships" ref="J301" tooltip="Xem video phát âm" r:id="rId84"/>
    <hyperlink xmlns:r="http://schemas.openxmlformats.org/officeDocument/2006/relationships" ref="I302" tooltip="Nghe phát âm" r:id="rId85"/>
    <hyperlink xmlns:r="http://schemas.openxmlformats.org/officeDocument/2006/relationships" ref="J302" tooltip="Xem video phát âm" r:id="rId86"/>
    <hyperlink xmlns:r="http://schemas.openxmlformats.org/officeDocument/2006/relationships" ref="I336" tooltip="Nghe phát âm" r:id="rId87"/>
    <hyperlink xmlns:r="http://schemas.openxmlformats.org/officeDocument/2006/relationships" ref="J336" tooltip="Xem video phát âm" r:id="rId88"/>
    <hyperlink xmlns:r="http://schemas.openxmlformats.org/officeDocument/2006/relationships" ref="I337" tooltip="Nghe phát âm" r:id="rId89"/>
    <hyperlink xmlns:r="http://schemas.openxmlformats.org/officeDocument/2006/relationships" ref="J337" tooltip="Xem video phát âm" r:id="rId90"/>
    <hyperlink xmlns:r="http://schemas.openxmlformats.org/officeDocument/2006/relationships" ref="I338" tooltip="Nghe phát âm" r:id="rId91"/>
    <hyperlink xmlns:r="http://schemas.openxmlformats.org/officeDocument/2006/relationships" ref="J338" tooltip="Xem video phát âm" r:id="rId92"/>
    <hyperlink xmlns:r="http://schemas.openxmlformats.org/officeDocument/2006/relationships" ref="I339" tooltip="Nghe phát âm" r:id="rId93"/>
    <hyperlink xmlns:r="http://schemas.openxmlformats.org/officeDocument/2006/relationships" ref="J339" tooltip="Xem video phát âm" r:id="rId94"/>
    <hyperlink xmlns:r="http://schemas.openxmlformats.org/officeDocument/2006/relationships" ref="I340" tooltip="Nghe phát âm" r:id="rId95"/>
    <hyperlink xmlns:r="http://schemas.openxmlformats.org/officeDocument/2006/relationships" ref="J340" tooltip="Xem video phát âm" r:id="rId96"/>
    <hyperlink xmlns:r="http://schemas.openxmlformats.org/officeDocument/2006/relationships" ref="I373" tooltip="Nghe phát âm" r:id="rId97"/>
    <hyperlink xmlns:r="http://schemas.openxmlformats.org/officeDocument/2006/relationships" ref="J373" tooltip="Xem video phát âm" r:id="rId98"/>
    <hyperlink xmlns:r="http://schemas.openxmlformats.org/officeDocument/2006/relationships" ref="I390" tooltip="Nghe phát âm" r:id="rId99"/>
    <hyperlink xmlns:r="http://schemas.openxmlformats.org/officeDocument/2006/relationships" ref="J390" tooltip="Xem video phát âm" r:id="rId100"/>
    <hyperlink xmlns:r="http://schemas.openxmlformats.org/officeDocument/2006/relationships" ref="I391" tooltip="Nghe phát âm" r:id="rId101"/>
    <hyperlink xmlns:r="http://schemas.openxmlformats.org/officeDocument/2006/relationships" ref="J391" tooltip="Xem video phát âm" r:id="rId102"/>
    <hyperlink xmlns:r="http://schemas.openxmlformats.org/officeDocument/2006/relationships" ref="I392" tooltip="Nghe phát âm" r:id="rId103"/>
    <hyperlink xmlns:r="http://schemas.openxmlformats.org/officeDocument/2006/relationships" ref="J392" tooltip="Xem video phát âm" r:id="rId104"/>
    <hyperlink xmlns:r="http://schemas.openxmlformats.org/officeDocument/2006/relationships" ref="I415" tooltip="Nghe phát âm" r:id="rId105"/>
    <hyperlink xmlns:r="http://schemas.openxmlformats.org/officeDocument/2006/relationships" ref="J415" tooltip="Xem video phát âm" r:id="rId106"/>
    <hyperlink xmlns:r="http://schemas.openxmlformats.org/officeDocument/2006/relationships" ref="I416" tooltip="Nghe phát âm" r:id="rId107"/>
    <hyperlink xmlns:r="http://schemas.openxmlformats.org/officeDocument/2006/relationships" ref="J416" tooltip="Xem video phát âm" r:id="rId108"/>
    <hyperlink xmlns:r="http://schemas.openxmlformats.org/officeDocument/2006/relationships" ref="I417" tooltip="Nghe phát âm" r:id="rId109"/>
    <hyperlink xmlns:r="http://schemas.openxmlformats.org/officeDocument/2006/relationships" ref="J417" tooltip="Xem video phát âm" r:id="rId110"/>
    <hyperlink xmlns:r="http://schemas.openxmlformats.org/officeDocument/2006/relationships" ref="I418" tooltip="Nghe phát âm" r:id="rId111"/>
    <hyperlink xmlns:r="http://schemas.openxmlformats.org/officeDocument/2006/relationships" ref="J418" tooltip="Xem video phát âm" r:id="rId112"/>
    <hyperlink xmlns:r="http://schemas.openxmlformats.org/officeDocument/2006/relationships" ref="I419" tooltip="Nghe phát âm" r:id="rId113"/>
    <hyperlink xmlns:r="http://schemas.openxmlformats.org/officeDocument/2006/relationships" ref="J419" tooltip="Xem video phát âm" r:id="rId114"/>
    <hyperlink xmlns:r="http://schemas.openxmlformats.org/officeDocument/2006/relationships" ref="I457" tooltip="Nghe phát âm" r:id="rId115"/>
    <hyperlink xmlns:r="http://schemas.openxmlformats.org/officeDocument/2006/relationships" ref="J457" tooltip="Xem video phát âm" r:id="rId116"/>
    <hyperlink xmlns:r="http://schemas.openxmlformats.org/officeDocument/2006/relationships" ref="I458" tooltip="Nghe phát âm" r:id="rId117"/>
    <hyperlink xmlns:r="http://schemas.openxmlformats.org/officeDocument/2006/relationships" ref="J458" tooltip="Xem video phát âm" r:id="rId118"/>
    <hyperlink xmlns:r="http://schemas.openxmlformats.org/officeDocument/2006/relationships" ref="I459" tooltip="Nghe phát âm" r:id="rId119"/>
    <hyperlink xmlns:r="http://schemas.openxmlformats.org/officeDocument/2006/relationships" ref="J459" tooltip="Xem video phát âm" r:id="rId120"/>
    <hyperlink xmlns:r="http://schemas.openxmlformats.org/officeDocument/2006/relationships" ref="I460" tooltip="Nghe phát âm" r:id="rId121"/>
    <hyperlink xmlns:r="http://schemas.openxmlformats.org/officeDocument/2006/relationships" ref="J460" tooltip="Xem video phát âm" r:id="rId122"/>
    <hyperlink xmlns:r="http://schemas.openxmlformats.org/officeDocument/2006/relationships" ref="I461" tooltip="Nghe phát âm" r:id="rId123"/>
    <hyperlink xmlns:r="http://schemas.openxmlformats.org/officeDocument/2006/relationships" ref="J461" tooltip="Xem video phát âm" r:id="rId124"/>
    <hyperlink xmlns:r="http://schemas.openxmlformats.org/officeDocument/2006/relationships" ref="I485" tooltip="Nghe phát âm" r:id="rId125"/>
    <hyperlink xmlns:r="http://schemas.openxmlformats.org/officeDocument/2006/relationships" ref="J485" tooltip="Xem video phát âm" r:id="rId126"/>
    <hyperlink xmlns:r="http://schemas.openxmlformats.org/officeDocument/2006/relationships" ref="I486" tooltip="Nghe phát âm" r:id="rId127"/>
    <hyperlink xmlns:r="http://schemas.openxmlformats.org/officeDocument/2006/relationships" ref="J486" tooltip="Xem video phát âm" r:id="rId128"/>
    <hyperlink xmlns:r="http://schemas.openxmlformats.org/officeDocument/2006/relationships" ref="I487" tooltip="Nghe phát âm" r:id="rId129"/>
    <hyperlink xmlns:r="http://schemas.openxmlformats.org/officeDocument/2006/relationships" ref="J487" tooltip="Xem video phát âm" r:id="rId130"/>
    <hyperlink xmlns:r="http://schemas.openxmlformats.org/officeDocument/2006/relationships" ref="I531" tooltip="Nghe phát âm" r:id="rId131"/>
    <hyperlink xmlns:r="http://schemas.openxmlformats.org/officeDocument/2006/relationships" ref="J531" tooltip="Xem video phát âm" r:id="rId132"/>
    <hyperlink xmlns:r="http://schemas.openxmlformats.org/officeDocument/2006/relationships" ref="I532" tooltip="Nghe phát âm" r:id="rId133"/>
    <hyperlink xmlns:r="http://schemas.openxmlformats.org/officeDocument/2006/relationships" ref="J532" tooltip="Xem video phát âm" r:id="rId134"/>
    <hyperlink xmlns:r="http://schemas.openxmlformats.org/officeDocument/2006/relationships" ref="I533" tooltip="Nghe phát âm" r:id="rId135"/>
    <hyperlink xmlns:r="http://schemas.openxmlformats.org/officeDocument/2006/relationships" ref="J533" tooltip="Xem video phát âm" r:id="rId136"/>
    <hyperlink xmlns:r="http://schemas.openxmlformats.org/officeDocument/2006/relationships" ref="I534" tooltip="Nghe phát âm" r:id="rId137"/>
    <hyperlink xmlns:r="http://schemas.openxmlformats.org/officeDocument/2006/relationships" ref="J534" tooltip="Xem video phát âm" r:id="rId138"/>
    <hyperlink xmlns:r="http://schemas.openxmlformats.org/officeDocument/2006/relationships" ref="I535" tooltip="Nghe phát âm" r:id="rId139"/>
    <hyperlink xmlns:r="http://schemas.openxmlformats.org/officeDocument/2006/relationships" ref="J535" tooltip="Xem video phát âm" r:id="rId140"/>
    <hyperlink xmlns:r="http://schemas.openxmlformats.org/officeDocument/2006/relationships" ref="I536" tooltip="Nghe phát âm" r:id="rId141"/>
    <hyperlink xmlns:r="http://schemas.openxmlformats.org/officeDocument/2006/relationships" ref="J536" tooltip="Xem video phát âm" r:id="rId142"/>
    <hyperlink xmlns:r="http://schemas.openxmlformats.org/officeDocument/2006/relationships" ref="I574" tooltip="Nghe phát âm" r:id="rId143"/>
    <hyperlink xmlns:r="http://schemas.openxmlformats.org/officeDocument/2006/relationships" ref="J574" tooltip="Xem video phát âm" r:id="rId144"/>
    <hyperlink xmlns:r="http://schemas.openxmlformats.org/officeDocument/2006/relationships" ref="I575" tooltip="Nghe phát âm" r:id="rId145"/>
    <hyperlink xmlns:r="http://schemas.openxmlformats.org/officeDocument/2006/relationships" ref="J575" tooltip="Xem video phát âm" r:id="rId146"/>
    <hyperlink xmlns:r="http://schemas.openxmlformats.org/officeDocument/2006/relationships" ref="I576" tooltip="Nghe phát âm" r:id="rId147"/>
    <hyperlink xmlns:r="http://schemas.openxmlformats.org/officeDocument/2006/relationships" ref="J576" tooltip="Xem video phát âm" r:id="rId148"/>
    <hyperlink xmlns:r="http://schemas.openxmlformats.org/officeDocument/2006/relationships" ref="I577" tooltip="Nghe phát âm" r:id="rId149"/>
    <hyperlink xmlns:r="http://schemas.openxmlformats.org/officeDocument/2006/relationships" ref="J577" tooltip="Xem video phát âm" r:id="rId150"/>
    <hyperlink xmlns:r="http://schemas.openxmlformats.org/officeDocument/2006/relationships" ref="I578" tooltip="Nghe phát âm" r:id="rId151"/>
    <hyperlink xmlns:r="http://schemas.openxmlformats.org/officeDocument/2006/relationships" ref="J578" tooltip="Xem video phát âm" r:id="rId152"/>
    <hyperlink xmlns:r="http://schemas.openxmlformats.org/officeDocument/2006/relationships" ref="I579" tooltip="Nghe phát âm 阿姨" r:id="rId153"/>
    <hyperlink xmlns:r="http://schemas.openxmlformats.org/officeDocument/2006/relationships" ref="J579" tooltip="Xem video 阿姨" r:id="rId154"/>
    <hyperlink xmlns:r="http://schemas.openxmlformats.org/officeDocument/2006/relationships" ref="I580" tooltip="Nghe phát âm 啊" r:id="rId155"/>
    <hyperlink xmlns:r="http://schemas.openxmlformats.org/officeDocument/2006/relationships" ref="J580" tooltip="Xem video 啊" r:id="rId156"/>
    <hyperlink xmlns:r="http://schemas.openxmlformats.org/officeDocument/2006/relationships" ref="I581" tooltip="Nghe phát âm 矮" r:id="rId157"/>
    <hyperlink xmlns:r="http://schemas.openxmlformats.org/officeDocument/2006/relationships" ref="J581" tooltip="Xem video 矮" r:id="rId158"/>
    <hyperlink xmlns:r="http://schemas.openxmlformats.org/officeDocument/2006/relationships" ref="I582" tooltip="Nghe phát âm 安静" r:id="rId159"/>
    <hyperlink xmlns:r="http://schemas.openxmlformats.org/officeDocument/2006/relationships" ref="J582" tooltip="Xem video 安静" r:id="rId160"/>
    <hyperlink xmlns:r="http://schemas.openxmlformats.org/officeDocument/2006/relationships" ref="I583" tooltip="Nghe phát âm 把" r:id="rId161"/>
    <hyperlink xmlns:r="http://schemas.openxmlformats.org/officeDocument/2006/relationships" ref="J583" tooltip="Xem video 把" r:id="rId162"/>
    <hyperlink xmlns:r="http://schemas.openxmlformats.org/officeDocument/2006/relationships" ref="I584" tooltip="Nghe phát âm 搬" r:id="rId163"/>
    <hyperlink xmlns:r="http://schemas.openxmlformats.org/officeDocument/2006/relationships" ref="J584" tooltip="Xem video 搬" r:id="rId164"/>
    <hyperlink xmlns:r="http://schemas.openxmlformats.org/officeDocument/2006/relationships" ref="I585" tooltip="Nghe phát âm 饱" r:id="rId165"/>
    <hyperlink xmlns:r="http://schemas.openxmlformats.org/officeDocument/2006/relationships" ref="J585" tooltip="Xem video 饱" r:id="rId166"/>
    <hyperlink xmlns:r="http://schemas.openxmlformats.org/officeDocument/2006/relationships" ref="I586" tooltip="Nghe phát âm 北方" r:id="rId167"/>
    <hyperlink xmlns:r="http://schemas.openxmlformats.org/officeDocument/2006/relationships" ref="J586" tooltip="Xem video 北方" r:id="rId168"/>
    <hyperlink xmlns:r="http://schemas.openxmlformats.org/officeDocument/2006/relationships" ref="I587" tooltip="Nghe phát âm 被" r:id="rId169"/>
    <hyperlink xmlns:r="http://schemas.openxmlformats.org/officeDocument/2006/relationships" ref="J587" tooltip="Xem video 被" r:id="rId170"/>
    <hyperlink xmlns:r="http://schemas.openxmlformats.org/officeDocument/2006/relationships" ref="I588" tooltip="Nghe phát âm 鼻子" r:id="rId171"/>
    <hyperlink xmlns:r="http://schemas.openxmlformats.org/officeDocument/2006/relationships" ref="J588" tooltip="Xem video 鼻子" r:id="rId172"/>
    <hyperlink xmlns:r="http://schemas.openxmlformats.org/officeDocument/2006/relationships" ref="I589" tooltip="Nghe phát âm 比较" r:id="rId173"/>
    <hyperlink xmlns:r="http://schemas.openxmlformats.org/officeDocument/2006/relationships" ref="J589" tooltip="Xem video 比较" r:id="rId174"/>
    <hyperlink xmlns:r="http://schemas.openxmlformats.org/officeDocument/2006/relationships" ref="I590" tooltip="Nghe phát âm 比赛" r:id="rId175"/>
    <hyperlink xmlns:r="http://schemas.openxmlformats.org/officeDocument/2006/relationships" ref="J590" tooltip="Xem video 比赛" r:id="rId176"/>
    <hyperlink xmlns:r="http://schemas.openxmlformats.org/officeDocument/2006/relationships" ref="I591" tooltip="Nghe phát âm 笔记本" r:id="rId177"/>
    <hyperlink xmlns:r="http://schemas.openxmlformats.org/officeDocument/2006/relationships" ref="J591" tooltip="Xem video 笔记本" r:id="rId178"/>
    <hyperlink xmlns:r="http://schemas.openxmlformats.org/officeDocument/2006/relationships" ref="I592" tooltip="Nghe phát âm 必须" r:id="rId179"/>
    <hyperlink xmlns:r="http://schemas.openxmlformats.org/officeDocument/2006/relationships" ref="J592" tooltip="Xem video 必须" r:id="rId180"/>
    <hyperlink xmlns:r="http://schemas.openxmlformats.org/officeDocument/2006/relationships" ref="I593" tooltip="Nghe phát âm 变化" r:id="rId181"/>
    <hyperlink xmlns:r="http://schemas.openxmlformats.org/officeDocument/2006/relationships" ref="J593" tooltip="Xem video 变化" r:id="rId182"/>
    <hyperlink xmlns:r="http://schemas.openxmlformats.org/officeDocument/2006/relationships" ref="I594" tooltip="Nghe phát âm 冰箱" r:id="rId183"/>
    <hyperlink xmlns:r="http://schemas.openxmlformats.org/officeDocument/2006/relationships" ref="J594" tooltip="Xem video 冰箱" r:id="rId184"/>
    <hyperlink xmlns:r="http://schemas.openxmlformats.org/officeDocument/2006/relationships" ref="I595" tooltip="Nghe phát âm 菜单" r:id="rId185"/>
    <hyperlink xmlns:r="http://schemas.openxmlformats.org/officeDocument/2006/relationships" ref="J595" tooltip="Xem video 菜单" r:id="rId186"/>
    <hyperlink xmlns:r="http://schemas.openxmlformats.org/officeDocument/2006/relationships" ref="I596" tooltip="Nghe phát âm 参加" r:id="rId187"/>
    <hyperlink xmlns:r="http://schemas.openxmlformats.org/officeDocument/2006/relationships" ref="J596" tooltip="Xem video 参加" r:id="rId188"/>
    <hyperlink xmlns:r="http://schemas.openxmlformats.org/officeDocument/2006/relationships" ref="I597" tooltip="Nghe phát âm 草" r:id="rId189"/>
    <hyperlink xmlns:r="http://schemas.openxmlformats.org/officeDocument/2006/relationships" ref="J597" tooltip="Xem video 草" r:id="rId190"/>
    <hyperlink xmlns:r="http://schemas.openxmlformats.org/officeDocument/2006/relationships" ref="I598" tooltip="Nghe phát âm 层" r:id="rId191"/>
    <hyperlink xmlns:r="http://schemas.openxmlformats.org/officeDocument/2006/relationships" ref="J598" tooltip="Xem video 层" r:id="rId192"/>
    <hyperlink xmlns:r="http://schemas.openxmlformats.org/officeDocument/2006/relationships" ref="I599" tooltip="Nghe phát âm 超市" r:id="rId193"/>
    <hyperlink xmlns:r="http://schemas.openxmlformats.org/officeDocument/2006/relationships" ref="J599" tooltip="Xem video 超市" r:id="rId194"/>
    <hyperlink xmlns:r="http://schemas.openxmlformats.org/officeDocument/2006/relationships" ref="I600" tooltip="Nghe phát âm 衬衫" r:id="rId195"/>
    <hyperlink xmlns:r="http://schemas.openxmlformats.org/officeDocument/2006/relationships" ref="J600" tooltip="Xem video 衬衫" r:id="rId196"/>
    <hyperlink xmlns:r="http://schemas.openxmlformats.org/officeDocument/2006/relationships" ref="I601" tooltip="Nghe phát âm 成绩" r:id="rId197"/>
    <hyperlink xmlns:r="http://schemas.openxmlformats.org/officeDocument/2006/relationships" ref="J601" tooltip="Xem video 成绩" r:id="rId198"/>
    <hyperlink xmlns:r="http://schemas.openxmlformats.org/officeDocument/2006/relationships" ref="I602" tooltip="Nghe phát âm 城市" r:id="rId199"/>
    <hyperlink xmlns:r="http://schemas.openxmlformats.org/officeDocument/2006/relationships" ref="J602" tooltip="Xem video 城市" r:id="rId200"/>
    <hyperlink xmlns:r="http://schemas.openxmlformats.org/officeDocument/2006/relationships" ref="I603" tooltip="Nghe phát âm 迟到" r:id="rId201"/>
    <hyperlink xmlns:r="http://schemas.openxmlformats.org/officeDocument/2006/relationships" ref="J603" tooltip="Xem video 迟到" r:id="rId202"/>
    <hyperlink xmlns:r="http://schemas.openxmlformats.org/officeDocument/2006/relationships" ref="I604" tooltip="Nghe phát âm 除了" r:id="rId203"/>
    <hyperlink xmlns:r="http://schemas.openxmlformats.org/officeDocument/2006/relationships" ref="J604" tooltip="Xem video 除了" r:id="rId204"/>
    <hyperlink xmlns:r="http://schemas.openxmlformats.org/officeDocument/2006/relationships" ref="I605" tooltip="Nghe phát âm 船" r:id="rId205"/>
    <hyperlink xmlns:r="http://schemas.openxmlformats.org/officeDocument/2006/relationships" ref="J605" tooltip="Xem video 船" r:id="rId206"/>
    <hyperlink xmlns:r="http://schemas.openxmlformats.org/officeDocument/2006/relationships" ref="I606" tooltip="Nghe phát âm 春" r:id="rId207"/>
    <hyperlink xmlns:r="http://schemas.openxmlformats.org/officeDocument/2006/relationships" ref="J606" tooltip="Xem video 春" r:id="rId208"/>
    <hyperlink xmlns:r="http://schemas.openxmlformats.org/officeDocument/2006/relationships" ref="I607" tooltip="Nghe phát âm 词典" r:id="rId209"/>
    <hyperlink xmlns:r="http://schemas.openxmlformats.org/officeDocument/2006/relationships" ref="J607" tooltip="Xem video 词典" r:id="rId210"/>
    <hyperlink xmlns:r="http://schemas.openxmlformats.org/officeDocument/2006/relationships" ref="I608" tooltip="Nghe phát âm 聪明" r:id="rId211"/>
    <hyperlink xmlns:r="http://schemas.openxmlformats.org/officeDocument/2006/relationships" ref="J608" tooltip="Xem video 聪明" r:id="rId212"/>
    <hyperlink xmlns:r="http://schemas.openxmlformats.org/officeDocument/2006/relationships" ref="I609" tooltip="Nghe phát âm 打扫" r:id="rId213"/>
    <hyperlink xmlns:r="http://schemas.openxmlformats.org/officeDocument/2006/relationships" ref="J609" tooltip="Xem video 打扫" r:id="rId214"/>
    <hyperlink xmlns:r="http://schemas.openxmlformats.org/officeDocument/2006/relationships" ref="I610" tooltip="Nghe phát âm 打算" r:id="rId215"/>
    <hyperlink xmlns:r="http://schemas.openxmlformats.org/officeDocument/2006/relationships" ref="J610" tooltip="Xem video 打算" r:id="rId216"/>
    <hyperlink xmlns:r="http://schemas.openxmlformats.org/officeDocument/2006/relationships" ref="I611" tooltip="Nghe phát âm 带" r:id="rId217"/>
    <hyperlink xmlns:r="http://schemas.openxmlformats.org/officeDocument/2006/relationships" ref="J611" tooltip="Xem video 带" r:id="rId218"/>
    <hyperlink xmlns:r="http://schemas.openxmlformats.org/officeDocument/2006/relationships" ref="I612" tooltip="Nghe phát âm 担心" r:id="rId219"/>
    <hyperlink xmlns:r="http://schemas.openxmlformats.org/officeDocument/2006/relationships" ref="J612" tooltip="Xem video 担心" r:id="rId220"/>
    <hyperlink xmlns:r="http://schemas.openxmlformats.org/officeDocument/2006/relationships" ref="I613" tooltip="Nghe phát âm 蛋糕" r:id="rId221"/>
    <hyperlink xmlns:r="http://schemas.openxmlformats.org/officeDocument/2006/relationships" ref="J613" tooltip="Xem video 蛋糕" r:id="rId222"/>
    <hyperlink xmlns:r="http://schemas.openxmlformats.org/officeDocument/2006/relationships" ref="I614" tooltip="Nghe phát âm 当然" r:id="rId223"/>
    <hyperlink xmlns:r="http://schemas.openxmlformats.org/officeDocument/2006/relationships" ref="J614" tooltip="Xem video 当然" r:id="rId224"/>
    <hyperlink xmlns:r="http://schemas.openxmlformats.org/officeDocument/2006/relationships" ref="I615" tooltip="Nghe phát âm 地铁" r:id="rId225"/>
    <hyperlink xmlns:r="http://schemas.openxmlformats.org/officeDocument/2006/relationships" ref="J615" tooltip="Xem video 地铁" r:id="rId226"/>
    <hyperlink xmlns:r="http://schemas.openxmlformats.org/officeDocument/2006/relationships" ref="I616" tooltip="Nghe phát âm 灯" r:id="rId227"/>
    <hyperlink xmlns:r="http://schemas.openxmlformats.org/officeDocument/2006/relationships" ref="J616" tooltip="Xem video 灯" r:id="rId228"/>
    <hyperlink xmlns:r="http://schemas.openxmlformats.org/officeDocument/2006/relationships" ref="I617" tooltip="Nghe phát âm 低" r:id="rId229"/>
    <hyperlink xmlns:r="http://schemas.openxmlformats.org/officeDocument/2006/relationships" ref="J617" tooltip="Xem video 低" r:id="rId230"/>
    <hyperlink xmlns:r="http://schemas.openxmlformats.org/officeDocument/2006/relationships" ref="I618" tooltip="Nghe phát âm 掉" r:id="rId231"/>
    <hyperlink xmlns:r="http://schemas.openxmlformats.org/officeDocument/2006/relationships" ref="J618" tooltip="Xem video 掉" r:id="rId232"/>
    <hyperlink xmlns:r="http://schemas.openxmlformats.org/officeDocument/2006/relationships" ref="I619" tooltip="Nghe phát âm 电梯" r:id="rId233"/>
    <hyperlink xmlns:r="http://schemas.openxmlformats.org/officeDocument/2006/relationships" ref="J619" tooltip="Xem video 电梯" r:id="rId234"/>
    <hyperlink xmlns:r="http://schemas.openxmlformats.org/officeDocument/2006/relationships" ref="I620" tooltip="Nghe phát âm 电子邮件" r:id="rId235"/>
    <hyperlink xmlns:r="http://schemas.openxmlformats.org/officeDocument/2006/relationships" ref="J620" tooltip="Xem video 电子邮件" r:id="rId236"/>
    <hyperlink xmlns:r="http://schemas.openxmlformats.org/officeDocument/2006/relationships" ref="I621" tooltip="Nghe phát âm 冬" r:id="rId237"/>
    <hyperlink xmlns:r="http://schemas.openxmlformats.org/officeDocument/2006/relationships" ref="J621" tooltip="Xem video 冬" r:id="rId238"/>
    <hyperlink xmlns:r="http://schemas.openxmlformats.org/officeDocument/2006/relationships" ref="I622" tooltip="Nghe phát âm 动物" r:id="rId239"/>
    <hyperlink xmlns:r="http://schemas.openxmlformats.org/officeDocument/2006/relationships" ref="J622" tooltip="Xem video 动物" r:id="rId240"/>
    <hyperlink xmlns:r="http://schemas.openxmlformats.org/officeDocument/2006/relationships" ref="I623" tooltip="Nghe phát âm 短" r:id="rId241"/>
    <hyperlink xmlns:r="http://schemas.openxmlformats.org/officeDocument/2006/relationships" ref="J623" tooltip="Xem video 短" r:id="rId242"/>
    <hyperlink xmlns:r="http://schemas.openxmlformats.org/officeDocument/2006/relationships" ref="I624" tooltip="Nghe phát âm 段" r:id="rId243"/>
    <hyperlink xmlns:r="http://schemas.openxmlformats.org/officeDocument/2006/relationships" ref="J624" tooltip="Xem video 段" r:id="rId244"/>
    <hyperlink xmlns:r="http://schemas.openxmlformats.org/officeDocument/2006/relationships" ref="I625" tooltip="Nghe phát âm 锻炼" r:id="rId245"/>
    <hyperlink xmlns:r="http://schemas.openxmlformats.org/officeDocument/2006/relationships" ref="J625" tooltip="Xem video 锻炼" r:id="rId246"/>
    <hyperlink xmlns:r="http://schemas.openxmlformats.org/officeDocument/2006/relationships" ref="I626" tooltip="Nghe phát âm 多么" r:id="rId247"/>
    <hyperlink xmlns:r="http://schemas.openxmlformats.org/officeDocument/2006/relationships" ref="J626" tooltip="Xem video 多么" r:id="rId248"/>
    <hyperlink xmlns:r="http://schemas.openxmlformats.org/officeDocument/2006/relationships" ref="I627" tooltip="Nghe phát âm 而且" r:id="rId249"/>
    <hyperlink xmlns:r="http://schemas.openxmlformats.org/officeDocument/2006/relationships" ref="J627" tooltip="Xem video 而且" r:id="rId250"/>
    <hyperlink xmlns:r="http://schemas.openxmlformats.org/officeDocument/2006/relationships" ref="I628" tooltip="Nghe phát âm 耳朵" r:id="rId251"/>
    <hyperlink xmlns:r="http://schemas.openxmlformats.org/officeDocument/2006/relationships" ref="J628" tooltip="Xem video 耳朵" r:id="rId252"/>
    <hyperlink xmlns:r="http://schemas.openxmlformats.org/officeDocument/2006/relationships" ref="I629" tooltip="Nghe phát âm 发" r:id="rId253"/>
    <hyperlink xmlns:r="http://schemas.openxmlformats.org/officeDocument/2006/relationships" ref="J629" tooltip="Xem video 发" r:id="rId254"/>
    <hyperlink xmlns:r="http://schemas.openxmlformats.org/officeDocument/2006/relationships" ref="I630" tooltip="Nghe phát âm 发烧" r:id="rId255"/>
    <hyperlink xmlns:r="http://schemas.openxmlformats.org/officeDocument/2006/relationships" ref="J630" tooltip="Xem video 发烧" r:id="rId256"/>
    <hyperlink xmlns:r="http://schemas.openxmlformats.org/officeDocument/2006/relationships" ref="I631" tooltip="Nghe phát âm 发现" r:id="rId257"/>
    <hyperlink xmlns:r="http://schemas.openxmlformats.org/officeDocument/2006/relationships" ref="J631" tooltip="Xem video 发现" r:id="rId258"/>
    <hyperlink xmlns:r="http://schemas.openxmlformats.org/officeDocument/2006/relationships" ref="I632" tooltip="Nghe phát âm 方便" r:id="rId259"/>
    <hyperlink xmlns:r="http://schemas.openxmlformats.org/officeDocument/2006/relationships" ref="J632" tooltip="Xem video 方便" r:id="rId260"/>
    <hyperlink xmlns:r="http://schemas.openxmlformats.org/officeDocument/2006/relationships" ref="I633" tooltip="Nghe phát âm 放心" r:id="rId261"/>
    <hyperlink xmlns:r="http://schemas.openxmlformats.org/officeDocument/2006/relationships" ref="J633" tooltip="Xem video 放心" r:id="rId262"/>
    <hyperlink xmlns:r="http://schemas.openxmlformats.org/officeDocument/2006/relationships" ref="I634" tooltip="Nghe phát âm 附近" r:id="rId263"/>
    <hyperlink xmlns:r="http://schemas.openxmlformats.org/officeDocument/2006/relationships" ref="J634" tooltip="Xem video 附近" r:id="rId264"/>
    <hyperlink xmlns:r="http://schemas.openxmlformats.org/officeDocument/2006/relationships" ref="I635" tooltip="Nghe phát âm 复习" r:id="rId265"/>
    <hyperlink xmlns:r="http://schemas.openxmlformats.org/officeDocument/2006/relationships" ref="J635" tooltip="Xem video 复习" r:id="rId266"/>
    <hyperlink xmlns:r="http://schemas.openxmlformats.org/officeDocument/2006/relationships" ref="I636" tooltip="Nghe phát âm 敢" r:id="rId267"/>
    <hyperlink xmlns:r="http://schemas.openxmlformats.org/officeDocument/2006/relationships" ref="J636" tooltip="Xem video 敢" r:id="rId268"/>
    <hyperlink xmlns:r="http://schemas.openxmlformats.org/officeDocument/2006/relationships" ref="I637" tooltip="Nghe phát âm 感冒" r:id="rId269"/>
    <hyperlink xmlns:r="http://schemas.openxmlformats.org/officeDocument/2006/relationships" ref="J637" tooltip="Xem video 感冒" r:id="rId270"/>
    <hyperlink xmlns:r="http://schemas.openxmlformats.org/officeDocument/2006/relationships" ref="I638" tooltip="Nghe phát âm 感兴趣" r:id="rId271"/>
    <hyperlink xmlns:r="http://schemas.openxmlformats.org/officeDocument/2006/relationships" ref="J638" tooltip="Xem video 感兴趣" r:id="rId272"/>
    <hyperlink xmlns:r="http://schemas.openxmlformats.org/officeDocument/2006/relationships" ref="I639" tooltip="Nghe phát âm 刚才" r:id="rId273"/>
    <hyperlink xmlns:r="http://schemas.openxmlformats.org/officeDocument/2006/relationships" ref="J639" tooltip="Xem video 刚才" r:id="rId274"/>
    <hyperlink xmlns:r="http://schemas.openxmlformats.org/officeDocument/2006/relationships" ref="I640" tooltip="Nghe phát âm 个子" r:id="rId275"/>
    <hyperlink xmlns:r="http://schemas.openxmlformats.org/officeDocument/2006/relationships" ref="J640" tooltip="Xem video 个子" r:id="rId276"/>
    <hyperlink xmlns:r="http://schemas.openxmlformats.org/officeDocument/2006/relationships" ref="I641" tooltip="Nghe phát âm 根据" r:id="rId277"/>
    <hyperlink xmlns:r="http://schemas.openxmlformats.org/officeDocument/2006/relationships" ref="J641" tooltip="Xem video 根据" r:id="rId278"/>
    <hyperlink xmlns:r="http://schemas.openxmlformats.org/officeDocument/2006/relationships" ref="I642" tooltip="Nghe phát âm 更" r:id="rId279"/>
    <hyperlink xmlns:r="http://schemas.openxmlformats.org/officeDocument/2006/relationships" ref="J642" tooltip="Xem video 更" r:id="rId280"/>
    <hyperlink xmlns:r="http://schemas.openxmlformats.org/officeDocument/2006/relationships" ref="I643" tooltip="Nghe phát âm 公斤" r:id="rId281"/>
    <hyperlink xmlns:r="http://schemas.openxmlformats.org/officeDocument/2006/relationships" ref="J643" tooltip="Xem video 公斤" r:id="rId282"/>
    <hyperlink xmlns:r="http://schemas.openxmlformats.org/officeDocument/2006/relationships" ref="I644" tooltip="Nghe phát âm 公园" r:id="rId283"/>
    <hyperlink xmlns:r="http://schemas.openxmlformats.org/officeDocument/2006/relationships" ref="J644" tooltip="Xem video 公园" r:id="rId284"/>
    <hyperlink xmlns:r="http://schemas.openxmlformats.org/officeDocument/2006/relationships" ref="I645" tooltip="Nghe phát âm 故事" r:id="rId285"/>
    <hyperlink xmlns:r="http://schemas.openxmlformats.org/officeDocument/2006/relationships" ref="J645" tooltip="Xem video 故事" r:id="rId286"/>
    <hyperlink xmlns:r="http://schemas.openxmlformats.org/officeDocument/2006/relationships" ref="I646" tooltip="Nghe phát âm 刮风" r:id="rId287"/>
    <hyperlink xmlns:r="http://schemas.openxmlformats.org/officeDocument/2006/relationships" ref="J646" tooltip="Xem video 刮风" r:id="rId288"/>
    <hyperlink xmlns:r="http://schemas.openxmlformats.org/officeDocument/2006/relationships" ref="I647" tooltip="Nghe phát âm 关系" r:id="rId289"/>
    <hyperlink xmlns:r="http://schemas.openxmlformats.org/officeDocument/2006/relationships" ref="J647" tooltip="Xem video 关系" r:id="rId290"/>
    <hyperlink xmlns:r="http://schemas.openxmlformats.org/officeDocument/2006/relationships" ref="I648" tooltip="Nghe phát âm 关心" r:id="rId291"/>
    <hyperlink xmlns:r="http://schemas.openxmlformats.org/officeDocument/2006/relationships" ref="J648" tooltip="Xem video 关心" r:id="rId292"/>
    <hyperlink xmlns:r="http://schemas.openxmlformats.org/officeDocument/2006/relationships" ref="I649" tooltip="Nghe phát âm 关于" r:id="rId293"/>
    <hyperlink xmlns:r="http://schemas.openxmlformats.org/officeDocument/2006/relationships" ref="J649" tooltip="Xem video 关于" r:id="rId294"/>
    <hyperlink xmlns:r="http://schemas.openxmlformats.org/officeDocument/2006/relationships" ref="I650" tooltip="Nghe phát âm 过去" r:id="rId295"/>
    <hyperlink xmlns:r="http://schemas.openxmlformats.org/officeDocument/2006/relationships" ref="J650" tooltip="Xem video 过去" r:id="rId296"/>
    <hyperlink xmlns:r="http://schemas.openxmlformats.org/officeDocument/2006/relationships" ref="I651" tooltip="Nghe phát âm 害怕" r:id="rId297"/>
    <hyperlink xmlns:r="http://schemas.openxmlformats.org/officeDocument/2006/relationships" ref="J651" tooltip="Xem video 害怕" r:id="rId298"/>
    <hyperlink xmlns:r="http://schemas.openxmlformats.org/officeDocument/2006/relationships" ref="I652" tooltip="Nghe phát âm 黑板" r:id="rId299"/>
    <hyperlink xmlns:r="http://schemas.openxmlformats.org/officeDocument/2006/relationships" ref="J652" tooltip="Xem video 黑板" r:id="rId300"/>
    <hyperlink xmlns:r="http://schemas.openxmlformats.org/officeDocument/2006/relationships" ref="I653" tooltip="Nghe phát âm 后来" r:id="rId301"/>
    <hyperlink xmlns:r="http://schemas.openxmlformats.org/officeDocument/2006/relationships" ref="J653" tooltip="Xem video 后来" r:id="rId302"/>
    <hyperlink xmlns:r="http://schemas.openxmlformats.org/officeDocument/2006/relationships" ref="I654" tooltip="Nghe phát âm 护照" r:id="rId303"/>
    <hyperlink xmlns:r="http://schemas.openxmlformats.org/officeDocument/2006/relationships" ref="J654" tooltip="Xem video 护照" r:id="rId304"/>
    <hyperlink xmlns:r="http://schemas.openxmlformats.org/officeDocument/2006/relationships" ref="I655" tooltip="Nghe phát âm 画" r:id="rId305"/>
    <hyperlink xmlns:r="http://schemas.openxmlformats.org/officeDocument/2006/relationships" ref="J655" tooltip="Xem video 画" r:id="rId306"/>
    <hyperlink xmlns:r="http://schemas.openxmlformats.org/officeDocument/2006/relationships" ref="I656" tooltip="Nghe phát âm 欢迎" r:id="rId307"/>
    <hyperlink xmlns:r="http://schemas.openxmlformats.org/officeDocument/2006/relationships" ref="J656" tooltip="Xem video 欢迎" r:id="rId308"/>
    <hyperlink xmlns:r="http://schemas.openxmlformats.org/officeDocument/2006/relationships" ref="I657" tooltip="Nghe phát âm 环境" r:id="rId309"/>
    <hyperlink xmlns:r="http://schemas.openxmlformats.org/officeDocument/2006/relationships" ref="J657" tooltip="Xem video 环境" r:id="rId310"/>
    <hyperlink xmlns:r="http://schemas.openxmlformats.org/officeDocument/2006/relationships" ref="I658" tooltip="Nghe phát âm 换" r:id="rId311"/>
    <hyperlink xmlns:r="http://schemas.openxmlformats.org/officeDocument/2006/relationships" ref="J658" tooltip="Xem video 换" r:id="rId312"/>
    <hyperlink xmlns:r="http://schemas.openxmlformats.org/officeDocument/2006/relationships" ref="I659" tooltip="Nghe phát âm 黄河" r:id="rId313"/>
    <hyperlink xmlns:r="http://schemas.openxmlformats.org/officeDocument/2006/relationships" ref="J659" tooltip="Xem video 黄河" r:id="rId314"/>
    <hyperlink xmlns:r="http://schemas.openxmlformats.org/officeDocument/2006/relationships" ref="I660" tooltip="Nghe phát âm 会议" r:id="rId315"/>
    <hyperlink xmlns:r="http://schemas.openxmlformats.org/officeDocument/2006/relationships" ref="J660" tooltip="Xem video 会议" r:id="rId316"/>
    <hyperlink xmlns:r="http://schemas.openxmlformats.org/officeDocument/2006/relationships" ref="I661" tooltip="Nghe phát âm 或者" r:id="rId317"/>
    <hyperlink xmlns:r="http://schemas.openxmlformats.org/officeDocument/2006/relationships" ref="J661" tooltip="Xem video 或者" r:id="rId318"/>
    <hyperlink xmlns:r="http://schemas.openxmlformats.org/officeDocument/2006/relationships" ref="I662" tooltip="Nghe phát âm 几乎" r:id="rId319"/>
    <hyperlink xmlns:r="http://schemas.openxmlformats.org/officeDocument/2006/relationships" ref="J662" tooltip="Xem video 几乎" r:id="rId320"/>
    <hyperlink xmlns:r="http://schemas.openxmlformats.org/officeDocument/2006/relationships" ref="I663" tooltip="Nghe phát âm 机会" r:id="rId321"/>
    <hyperlink xmlns:r="http://schemas.openxmlformats.org/officeDocument/2006/relationships" ref="J663" tooltip="Xem video 机会" r:id="rId322"/>
    <hyperlink xmlns:r="http://schemas.openxmlformats.org/officeDocument/2006/relationships" ref="I664" tooltip="Nghe phát âm 极" r:id="rId323"/>
    <hyperlink xmlns:r="http://schemas.openxmlformats.org/officeDocument/2006/relationships" ref="J664" tooltip="Xem video 极" r:id="rId324"/>
    <hyperlink xmlns:r="http://schemas.openxmlformats.org/officeDocument/2006/relationships" ref="I665" tooltip="Nghe phát âm 季节" r:id="rId325"/>
    <hyperlink xmlns:r="http://schemas.openxmlformats.org/officeDocument/2006/relationships" ref="J665" tooltip="Xem video 季节" r:id="rId326"/>
    <hyperlink xmlns:r="http://schemas.openxmlformats.org/officeDocument/2006/relationships" ref="I666" tooltip="Nghe phát âm 检查" r:id="rId327"/>
    <hyperlink xmlns:r="http://schemas.openxmlformats.org/officeDocument/2006/relationships" ref="J666" tooltip="Xem video 检查" r:id="rId328"/>
    <hyperlink xmlns:r="http://schemas.openxmlformats.org/officeDocument/2006/relationships" ref="I667" tooltip="Nghe phát âm 简单" r:id="rId329"/>
    <hyperlink xmlns:r="http://schemas.openxmlformats.org/officeDocument/2006/relationships" ref="J667" tooltip="Xem video 简单" r:id="rId330"/>
    <hyperlink xmlns:r="http://schemas.openxmlformats.org/officeDocument/2006/relationships" ref="I668" tooltip="Nghe phát âm 健康" r:id="rId331"/>
    <hyperlink xmlns:r="http://schemas.openxmlformats.org/officeDocument/2006/relationships" ref="J668" tooltip="Xem video 健康" r:id="rId332"/>
    <hyperlink xmlns:r="http://schemas.openxmlformats.org/officeDocument/2006/relationships" ref="I669" tooltip="Nghe phát âm 讲" r:id="rId333"/>
    <hyperlink xmlns:r="http://schemas.openxmlformats.org/officeDocument/2006/relationships" ref="J669" tooltip="Xem video 讲" r:id="rId334"/>
    <hyperlink xmlns:r="http://schemas.openxmlformats.org/officeDocument/2006/relationships" ref="I670" tooltip="Nghe phát âm 角" r:id="rId335"/>
    <hyperlink xmlns:r="http://schemas.openxmlformats.org/officeDocument/2006/relationships" ref="J670" tooltip="Xem video 角" r:id="rId336"/>
    <hyperlink xmlns:r="http://schemas.openxmlformats.org/officeDocument/2006/relationships" ref="I671" tooltip="Nghe phát âm 脚" r:id="rId337"/>
    <hyperlink xmlns:r="http://schemas.openxmlformats.org/officeDocument/2006/relationships" ref="J671" tooltip="Xem video 脚" r:id="rId338"/>
    <hyperlink xmlns:r="http://schemas.openxmlformats.org/officeDocument/2006/relationships" ref="I672" tooltip="Nghe phát âm 街道" r:id="rId339"/>
    <hyperlink xmlns:r="http://schemas.openxmlformats.org/officeDocument/2006/relationships" ref="J672" tooltip="Xem video 街道" r:id="rId340"/>
    <hyperlink xmlns:r="http://schemas.openxmlformats.org/officeDocument/2006/relationships" ref="I673" tooltip="Nghe phát âm 结婚" r:id="rId341"/>
    <hyperlink xmlns:r="http://schemas.openxmlformats.org/officeDocument/2006/relationships" ref="J673" tooltip="Xem video 结婚" r:id="rId342"/>
    <hyperlink xmlns:r="http://schemas.openxmlformats.org/officeDocument/2006/relationships" ref="I674" tooltip="Nghe phát âm 结束" r:id="rId343"/>
    <hyperlink xmlns:r="http://schemas.openxmlformats.org/officeDocument/2006/relationships" ref="J674" tooltip="Xem video 结束" r:id="rId344"/>
    <hyperlink xmlns:r="http://schemas.openxmlformats.org/officeDocument/2006/relationships" ref="I675" tooltip="Nghe phát âm 节目" r:id="rId345"/>
    <hyperlink xmlns:r="http://schemas.openxmlformats.org/officeDocument/2006/relationships" ref="J675" tooltip="Xem video 节目" r:id="rId346"/>
    <hyperlink xmlns:r="http://schemas.openxmlformats.org/officeDocument/2006/relationships" ref="I676" tooltip="Nghe phát âm 节日" r:id="rId347"/>
    <hyperlink xmlns:r="http://schemas.openxmlformats.org/officeDocument/2006/relationships" ref="J676" tooltip="Xem video 节日" r:id="rId348"/>
    <hyperlink xmlns:r="http://schemas.openxmlformats.org/officeDocument/2006/relationships" ref="I677" tooltip="Nghe phát âm 解决" r:id="rId349"/>
    <hyperlink xmlns:r="http://schemas.openxmlformats.org/officeDocument/2006/relationships" ref="J677" tooltip="Xem video 解决" r:id="rId350"/>
    <hyperlink xmlns:r="http://schemas.openxmlformats.org/officeDocument/2006/relationships" ref="I678" tooltip="Nghe phát âm 借" r:id="rId351"/>
    <hyperlink xmlns:r="http://schemas.openxmlformats.org/officeDocument/2006/relationships" ref="J678" tooltip="Xem video 借" r:id="rId352"/>
    <hyperlink xmlns:r="http://schemas.openxmlformats.org/officeDocument/2006/relationships" ref="I679" tooltip="Nghe phát âm 经常" r:id="rId353"/>
    <hyperlink xmlns:r="http://schemas.openxmlformats.org/officeDocument/2006/relationships" ref="J679" tooltip="Xem video 经常" r:id="rId354"/>
    <hyperlink xmlns:r="http://schemas.openxmlformats.org/officeDocument/2006/relationships" ref="I680" tooltip="Nghe phát âm 经过" r:id="rId355"/>
    <hyperlink xmlns:r="http://schemas.openxmlformats.org/officeDocument/2006/relationships" ref="J680" tooltip="Xem video 经过" r:id="rId356"/>
    <hyperlink xmlns:r="http://schemas.openxmlformats.org/officeDocument/2006/relationships" ref="I681" tooltip="Nghe phát âm 经理" r:id="rId357"/>
    <hyperlink xmlns:r="http://schemas.openxmlformats.org/officeDocument/2006/relationships" ref="J681" tooltip="Xem video 经理" r:id="rId358"/>
    <hyperlink xmlns:r="http://schemas.openxmlformats.org/officeDocument/2006/relationships" ref="I682" tooltip="Nghe phát âm 久" r:id="rId359"/>
    <hyperlink xmlns:r="http://schemas.openxmlformats.org/officeDocument/2006/relationships" ref="J682" tooltip="Xem video 久" r:id="rId360"/>
    <hyperlink xmlns:r="http://schemas.openxmlformats.org/officeDocument/2006/relationships" ref="I683" tooltip="Nghe phát âm 旧" r:id="rId361"/>
    <hyperlink xmlns:r="http://schemas.openxmlformats.org/officeDocument/2006/relationships" ref="J683" tooltip="Xem video 旧" r:id="rId362"/>
    <hyperlink xmlns:r="http://schemas.openxmlformats.org/officeDocument/2006/relationships" ref="I684" tooltip="Nghe phát âm 举行" r:id="rId363"/>
    <hyperlink xmlns:r="http://schemas.openxmlformats.org/officeDocument/2006/relationships" ref="J684" tooltip="Xem video 举行" r:id="rId364"/>
    <hyperlink xmlns:r="http://schemas.openxmlformats.org/officeDocument/2006/relationships" ref="I685" tooltip="Nghe phát âm 句子" r:id="rId365"/>
    <hyperlink xmlns:r="http://schemas.openxmlformats.org/officeDocument/2006/relationships" ref="J685" tooltip="Xem video 句子" r:id="rId366"/>
    <hyperlink xmlns:r="http://schemas.openxmlformats.org/officeDocument/2006/relationships" ref="I686" tooltip="Nghe phát âm 决定" r:id="rId367"/>
    <hyperlink xmlns:r="http://schemas.openxmlformats.org/officeDocument/2006/relationships" ref="J686" tooltip="Xem video 决定" r:id="rId368"/>
    <hyperlink xmlns:r="http://schemas.openxmlformats.org/officeDocument/2006/relationships" ref="I687" tooltip="Nghe phát âm 可爱" r:id="rId369"/>
    <hyperlink xmlns:r="http://schemas.openxmlformats.org/officeDocument/2006/relationships" ref="J687" tooltip="Xem video 可爱" r:id="rId370"/>
    <hyperlink xmlns:r="http://schemas.openxmlformats.org/officeDocument/2006/relationships" ref="I688" tooltip="Nghe phát âm 刻" r:id="rId371"/>
    <hyperlink xmlns:r="http://schemas.openxmlformats.org/officeDocument/2006/relationships" ref="J688" tooltip="Xem video 刻" r:id="rId372"/>
    <hyperlink xmlns:r="http://schemas.openxmlformats.org/officeDocument/2006/relationships" ref="I689" tooltip="Nghe phát âm 客人" r:id="rId373"/>
    <hyperlink xmlns:r="http://schemas.openxmlformats.org/officeDocument/2006/relationships" ref="J689" tooltip="Xem video 客人" r:id="rId374"/>
    <hyperlink xmlns:r="http://schemas.openxmlformats.org/officeDocument/2006/relationships" ref="I690" tooltip="Nghe phát âm 空调" r:id="rId375"/>
    <hyperlink xmlns:r="http://schemas.openxmlformats.org/officeDocument/2006/relationships" ref="J690" tooltip="Xem video 空调" r:id="rId376"/>
    <hyperlink xmlns:r="http://schemas.openxmlformats.org/officeDocument/2006/relationships" ref="I691" tooltip="Nghe phát âm 裤子" r:id="rId377"/>
    <hyperlink xmlns:r="http://schemas.openxmlformats.org/officeDocument/2006/relationships" ref="J691" tooltip="Xem video 裤子" r:id="rId378"/>
    <hyperlink xmlns:r="http://schemas.openxmlformats.org/officeDocument/2006/relationships" ref="I692" tooltip="Nghe phát âm 筷子" r:id="rId379"/>
    <hyperlink xmlns:r="http://schemas.openxmlformats.org/officeDocument/2006/relationships" ref="J692" tooltip="Xem video 筷子" r:id="rId380"/>
    <hyperlink xmlns:r="http://schemas.openxmlformats.org/officeDocument/2006/relationships" ref="I693" tooltip="Nghe phát âm 蓝" r:id="rId381"/>
    <hyperlink xmlns:r="http://schemas.openxmlformats.org/officeDocument/2006/relationships" ref="J693" tooltip="Xem video 蓝" r:id="rId382"/>
    <hyperlink xmlns:r="http://schemas.openxmlformats.org/officeDocument/2006/relationships" ref="I694" tooltip="Nghe phát âm 离开" r:id="rId383"/>
    <hyperlink xmlns:r="http://schemas.openxmlformats.org/officeDocument/2006/relationships" ref="J694" tooltip="Xem video 离开" r:id="rId384"/>
    <hyperlink xmlns:r="http://schemas.openxmlformats.org/officeDocument/2006/relationships" ref="I695" tooltip="Nghe phát âm 礼物" r:id="rId385"/>
    <hyperlink xmlns:r="http://schemas.openxmlformats.org/officeDocument/2006/relationships" ref="J695" tooltip="Xem video 礼物" r:id="rId386"/>
    <hyperlink xmlns:r="http://schemas.openxmlformats.org/officeDocument/2006/relationships" ref="I696" tooltip="Nghe phát âm 历史" r:id="rId387"/>
    <hyperlink xmlns:r="http://schemas.openxmlformats.org/officeDocument/2006/relationships" ref="J696" tooltip="Xem video 历史" r:id="rId388"/>
    <hyperlink xmlns:r="http://schemas.openxmlformats.org/officeDocument/2006/relationships" ref="I697" tooltip="Nghe phát âm 脸" r:id="rId389"/>
    <hyperlink xmlns:r="http://schemas.openxmlformats.org/officeDocument/2006/relationships" ref="J697" tooltip="Xem video 脸" r:id="rId390"/>
    <hyperlink xmlns:r="http://schemas.openxmlformats.org/officeDocument/2006/relationships" ref="I698" tooltip="Nghe phát âm 练习" r:id="rId391"/>
    <hyperlink xmlns:r="http://schemas.openxmlformats.org/officeDocument/2006/relationships" ref="J698" tooltip="Xem video 练习" r:id="rId392"/>
    <hyperlink xmlns:r="http://schemas.openxmlformats.org/officeDocument/2006/relationships" ref="I699" tooltip="Nghe phát âm 辆" r:id="rId393"/>
    <hyperlink xmlns:r="http://schemas.openxmlformats.org/officeDocument/2006/relationships" ref="J699" tooltip="Xem video 辆" r:id="rId394"/>
    <hyperlink xmlns:r="http://schemas.openxmlformats.org/officeDocument/2006/relationships" ref="I700" tooltip="Nghe phát âm 聊天" r:id="rId395"/>
    <hyperlink xmlns:r="http://schemas.openxmlformats.org/officeDocument/2006/relationships" ref="J700" tooltip="Xem video 聊天" r:id="rId396"/>
    <hyperlink xmlns:r="http://schemas.openxmlformats.org/officeDocument/2006/relationships" ref="I701" tooltip="Nghe phát âm 了解" r:id="rId397"/>
    <hyperlink xmlns:r="http://schemas.openxmlformats.org/officeDocument/2006/relationships" ref="J701" tooltip="Xem video 了解" r:id="rId398"/>
    <hyperlink xmlns:r="http://schemas.openxmlformats.org/officeDocument/2006/relationships" ref="I702" tooltip="Nghe phát âm 邻居" r:id="rId399"/>
    <hyperlink xmlns:r="http://schemas.openxmlformats.org/officeDocument/2006/relationships" ref="J702" tooltip="Xem video 邻居" r:id="rId400"/>
    <hyperlink xmlns:r="http://schemas.openxmlformats.org/officeDocument/2006/relationships" ref="I703" tooltip="Nghe phát âm 绿" r:id="rId401"/>
    <hyperlink xmlns:r="http://schemas.openxmlformats.org/officeDocument/2006/relationships" ref="J703" tooltip="Xem video 绿" r:id="rId402"/>
    <hyperlink xmlns:r="http://schemas.openxmlformats.org/officeDocument/2006/relationships" ref="I704" tooltip="Nghe phát âm 满意" r:id="rId403"/>
    <hyperlink xmlns:r="http://schemas.openxmlformats.org/officeDocument/2006/relationships" ref="J704" tooltip="Xem video 满意" r:id="rId404"/>
    <hyperlink xmlns:r="http://schemas.openxmlformats.org/officeDocument/2006/relationships" ref="I705" tooltip="Nghe phát âm 帽子" r:id="rId405"/>
    <hyperlink xmlns:r="http://schemas.openxmlformats.org/officeDocument/2006/relationships" ref="J705" tooltip="Xem video 帽子" r:id="rId406"/>
    <hyperlink xmlns:r="http://schemas.openxmlformats.org/officeDocument/2006/relationships" ref="I706" tooltip="Nghe phát âm 难过" r:id="rId407"/>
    <hyperlink xmlns:r="http://schemas.openxmlformats.org/officeDocument/2006/relationships" ref="J706" tooltip="Xem video 难过" r:id="rId408"/>
    <hyperlink xmlns:r="http://schemas.openxmlformats.org/officeDocument/2006/relationships" ref="I707" tooltip="Nghe phát âm 年轻" r:id="rId409"/>
    <hyperlink xmlns:r="http://schemas.openxmlformats.org/officeDocument/2006/relationships" ref="J707" tooltip="Xem video 年轻" r:id="rId410"/>
    <hyperlink xmlns:r="http://schemas.openxmlformats.org/officeDocument/2006/relationships" ref="I708" tooltip="Nghe phát âm 鸟" r:id="rId411"/>
    <hyperlink xmlns:r="http://schemas.openxmlformats.org/officeDocument/2006/relationships" ref="J708" tooltip="Xem video 鸟" r:id="rId412"/>
    <hyperlink xmlns:r="http://schemas.openxmlformats.org/officeDocument/2006/relationships" ref="I709" tooltip="Nghe phát âm 努力" r:id="rId413"/>
    <hyperlink xmlns:r="http://schemas.openxmlformats.org/officeDocument/2006/relationships" ref="J709" tooltip="Xem video 努力" r:id="rId414"/>
    <hyperlink xmlns:r="http://schemas.openxmlformats.org/officeDocument/2006/relationships" ref="I710" tooltip="Nghe phát âm 爬山" r:id="rId415"/>
    <hyperlink xmlns:r="http://schemas.openxmlformats.org/officeDocument/2006/relationships" ref="J710" tooltip="Xem video 爬山" r:id="rId416"/>
    <hyperlink xmlns:r="http://schemas.openxmlformats.org/officeDocument/2006/relationships" ref="I711" tooltip="Nghe phát âm 盘子" r:id="rId417"/>
    <hyperlink xmlns:r="http://schemas.openxmlformats.org/officeDocument/2006/relationships" ref="J711" tooltip="Xem video 盘子" r:id="rId418"/>
    <hyperlink xmlns:r="http://schemas.openxmlformats.org/officeDocument/2006/relationships" ref="I712" tooltip="Nghe phát âm 胖" r:id="rId419"/>
    <hyperlink xmlns:r="http://schemas.openxmlformats.org/officeDocument/2006/relationships" ref="J712" tooltip="Xem video 胖" r:id="rId420"/>
    <hyperlink xmlns:r="http://schemas.openxmlformats.org/officeDocument/2006/relationships" ref="I713" tooltip="Nghe phát âm 皮鞋" r:id="rId421"/>
    <hyperlink xmlns:r="http://schemas.openxmlformats.org/officeDocument/2006/relationships" ref="J713" tooltip="Xem video 皮鞋" r:id="rId422"/>
    <hyperlink xmlns:r="http://schemas.openxmlformats.org/officeDocument/2006/relationships" ref="I714" tooltip="Nghe phát âm 啤酒" r:id="rId423"/>
    <hyperlink xmlns:r="http://schemas.openxmlformats.org/officeDocument/2006/relationships" ref="J714" tooltip="Xem video 啤酒" r:id="rId424"/>
    <hyperlink xmlns:r="http://schemas.openxmlformats.org/officeDocument/2006/relationships" ref="I715" tooltip="Nghe phát âm 葡萄" r:id="rId425"/>
    <hyperlink xmlns:r="http://schemas.openxmlformats.org/officeDocument/2006/relationships" ref="J715" tooltip="Xem video 葡萄" r:id="rId426"/>
    <hyperlink xmlns:r="http://schemas.openxmlformats.org/officeDocument/2006/relationships" ref="I716" tooltip="Nghe phát âm 普通话" r:id="rId427"/>
    <hyperlink xmlns:r="http://schemas.openxmlformats.org/officeDocument/2006/relationships" ref="J716" tooltip="Xem video 普通话" r:id="rId428"/>
    <hyperlink xmlns:r="http://schemas.openxmlformats.org/officeDocument/2006/relationships" ref="I717" tooltip="Nghe phát âm 骑" r:id="rId429"/>
    <hyperlink xmlns:r="http://schemas.openxmlformats.org/officeDocument/2006/relationships" ref="J717" tooltip="Xem video 骑" r:id="rId430"/>
    <hyperlink xmlns:r="http://schemas.openxmlformats.org/officeDocument/2006/relationships" ref="I718" tooltip="Nghe phát âm 其实" r:id="rId431"/>
    <hyperlink xmlns:r="http://schemas.openxmlformats.org/officeDocument/2006/relationships" ref="J718" tooltip="Xem video 其实" r:id="rId432"/>
    <hyperlink xmlns:r="http://schemas.openxmlformats.org/officeDocument/2006/relationships" ref="I719" tooltip="Nghe phát âm 其他" r:id="rId433"/>
    <hyperlink xmlns:r="http://schemas.openxmlformats.org/officeDocument/2006/relationships" ref="J719" tooltip="Xem video 其他" r:id="rId434"/>
    <hyperlink xmlns:r="http://schemas.openxmlformats.org/officeDocument/2006/relationships" ref="I720" tooltip="Nghe phát âm 奇怪" r:id="rId435"/>
    <hyperlink xmlns:r="http://schemas.openxmlformats.org/officeDocument/2006/relationships" ref="J720" tooltip="Xem video 奇怪" r:id="rId436"/>
    <hyperlink xmlns:r="http://schemas.openxmlformats.org/officeDocument/2006/relationships" ref="I721" tooltip="Nghe phát âm 起飞" r:id="rId437"/>
    <hyperlink xmlns:r="http://schemas.openxmlformats.org/officeDocument/2006/relationships" ref="J721" tooltip="Xem video 起飞" r:id="rId438"/>
    <hyperlink xmlns:r="http://schemas.openxmlformats.org/officeDocument/2006/relationships" ref="I722" tooltip="Nghe phát âm 清楚" r:id="rId439"/>
    <hyperlink xmlns:r="http://schemas.openxmlformats.org/officeDocument/2006/relationships" ref="J722" tooltip="Xem video 清楚" r:id="rId440"/>
    <hyperlink xmlns:r="http://schemas.openxmlformats.org/officeDocument/2006/relationships" ref="I723" tooltip="Nghe phát âm 秋" r:id="rId441"/>
    <hyperlink xmlns:r="http://schemas.openxmlformats.org/officeDocument/2006/relationships" ref="J723" tooltip="Xem video 秋" r:id="rId442"/>
    <hyperlink xmlns:r="http://schemas.openxmlformats.org/officeDocument/2006/relationships" ref="I724" tooltip="Nghe phát âm 裙子" r:id="rId443"/>
    <hyperlink xmlns:r="http://schemas.openxmlformats.org/officeDocument/2006/relationships" ref="J724" tooltip="Xem video 裙子" r:id="rId444"/>
    <hyperlink xmlns:r="http://schemas.openxmlformats.org/officeDocument/2006/relationships" ref="I725" tooltip="Nghe phát âm 然后" r:id="rId445"/>
    <hyperlink xmlns:r="http://schemas.openxmlformats.org/officeDocument/2006/relationships" ref="J725" tooltip="Xem video 然后" r:id="rId446"/>
    <hyperlink xmlns:r="http://schemas.openxmlformats.org/officeDocument/2006/relationships" ref="I726" tooltip="Nghe phát âm 热情" r:id="rId447"/>
    <hyperlink xmlns:r="http://schemas.openxmlformats.org/officeDocument/2006/relationships" ref="J726" tooltip="Xem video 热情" r:id="rId448"/>
    <hyperlink xmlns:r="http://schemas.openxmlformats.org/officeDocument/2006/relationships" ref="I727" tooltip="Nghe phát âm 认为" r:id="rId449"/>
    <hyperlink xmlns:r="http://schemas.openxmlformats.org/officeDocument/2006/relationships" ref="J727" tooltip="Xem video 认为" r:id="rId450"/>
    <hyperlink xmlns:r="http://schemas.openxmlformats.org/officeDocument/2006/relationships" ref="I728" tooltip="Nghe phát âm 容易" r:id="rId451"/>
    <hyperlink xmlns:r="http://schemas.openxmlformats.org/officeDocument/2006/relationships" ref="J728" tooltip="Xem video 容易" r:id="rId452"/>
    <hyperlink xmlns:r="http://schemas.openxmlformats.org/officeDocument/2006/relationships" ref="I729" tooltip="Nghe phát âm 如果" r:id="rId453"/>
    <hyperlink xmlns:r="http://schemas.openxmlformats.org/officeDocument/2006/relationships" ref="J729" tooltip="Xem video 如果" r:id="rId454"/>
    <hyperlink xmlns:r="http://schemas.openxmlformats.org/officeDocument/2006/relationships" ref="I730" tooltip="Nghe phát âm 伞" r:id="rId455"/>
    <hyperlink xmlns:r="http://schemas.openxmlformats.org/officeDocument/2006/relationships" ref="J730" tooltip="Xem video 伞" r:id="rId456"/>
    <hyperlink xmlns:r="http://schemas.openxmlformats.org/officeDocument/2006/relationships" ref="I731" tooltip="Nghe phát âm 声音" r:id="rId457"/>
    <hyperlink xmlns:r="http://schemas.openxmlformats.org/officeDocument/2006/relationships" ref="J731" tooltip="Xem video 声音" r:id="rId458"/>
    <hyperlink xmlns:r="http://schemas.openxmlformats.org/officeDocument/2006/relationships" ref="I732" tooltip="Nghe phát âm 世界" r:id="rId459"/>
    <hyperlink xmlns:r="http://schemas.openxmlformats.org/officeDocument/2006/relationships" ref="J732" tooltip="Xem video 世界" r:id="rId460"/>
    <hyperlink xmlns:r="http://schemas.openxmlformats.org/officeDocument/2006/relationships" ref="I733" tooltip="Nghe phát âm 瘦" r:id="rId461"/>
    <hyperlink xmlns:r="http://schemas.openxmlformats.org/officeDocument/2006/relationships" ref="J733" tooltip="Xem video 瘦" r:id="rId462"/>
    <hyperlink xmlns:r="http://schemas.openxmlformats.org/officeDocument/2006/relationships" ref="I734" tooltip="Nghe phát âm 叔叔" r:id="rId463"/>
    <hyperlink xmlns:r="http://schemas.openxmlformats.org/officeDocument/2006/relationships" ref="J734" tooltip="Xem video 叔叔" r:id="rId464"/>
    <hyperlink xmlns:r="http://schemas.openxmlformats.org/officeDocument/2006/relationships" ref="I735" tooltip="Nghe phát âm 舒服" r:id="rId465"/>
    <hyperlink xmlns:r="http://schemas.openxmlformats.org/officeDocument/2006/relationships" ref="J735" tooltip="Xem video 舒服" r:id="rId466"/>
    <hyperlink xmlns:r="http://schemas.openxmlformats.org/officeDocument/2006/relationships" ref="I736" tooltip="Nghe phát âm 数学" r:id="rId467"/>
    <hyperlink xmlns:r="http://schemas.openxmlformats.org/officeDocument/2006/relationships" ref="J736" tooltip="Xem video 数学" r:id="rId468"/>
    <hyperlink xmlns:r="http://schemas.openxmlformats.org/officeDocument/2006/relationships" ref="I737" tooltip="Nghe phát âm 刷牙" r:id="rId469"/>
    <hyperlink xmlns:r="http://schemas.openxmlformats.org/officeDocument/2006/relationships" ref="J737" tooltip="Xem video 刷牙" r:id="rId470"/>
    <hyperlink xmlns:r="http://schemas.openxmlformats.org/officeDocument/2006/relationships" ref="I738" tooltip="Nghe phát âm 双" r:id="rId471"/>
    <hyperlink xmlns:r="http://schemas.openxmlformats.org/officeDocument/2006/relationships" ref="J738" tooltip="Xem video 双" r:id="rId472"/>
    <hyperlink xmlns:r="http://schemas.openxmlformats.org/officeDocument/2006/relationships" ref="I739" tooltip="Nghe phát âm 水平" r:id="rId473"/>
    <hyperlink xmlns:r="http://schemas.openxmlformats.org/officeDocument/2006/relationships" ref="J739" tooltip="Xem video 水平" r:id="rId474"/>
    <hyperlink xmlns:r="http://schemas.openxmlformats.org/officeDocument/2006/relationships" ref="I740" tooltip="Nghe phát âm 司机" r:id="rId475"/>
    <hyperlink xmlns:r="http://schemas.openxmlformats.org/officeDocument/2006/relationships" ref="J740" tooltip="Xem video 司机" r:id="rId476"/>
    <hyperlink xmlns:r="http://schemas.openxmlformats.org/officeDocument/2006/relationships" ref="I741" tooltip="Nghe phát âm 太阳" r:id="rId477"/>
    <hyperlink xmlns:r="http://schemas.openxmlformats.org/officeDocument/2006/relationships" ref="J741" tooltip="Xem video 太阳" r:id="rId478"/>
    <hyperlink xmlns:r="http://schemas.openxmlformats.org/officeDocument/2006/relationships" ref="I742" tooltip="Nghe phát âm 特别" r:id="rId479"/>
    <hyperlink xmlns:r="http://schemas.openxmlformats.org/officeDocument/2006/relationships" ref="J742" tooltip="Xem video 特别" r:id="rId480"/>
    <hyperlink xmlns:r="http://schemas.openxmlformats.org/officeDocument/2006/relationships" ref="I743" tooltip="Nghe phát âm 疼" r:id="rId481"/>
    <hyperlink xmlns:r="http://schemas.openxmlformats.org/officeDocument/2006/relationships" ref="J743" tooltip="Xem video 疼" r:id="rId482"/>
    <hyperlink xmlns:r="http://schemas.openxmlformats.org/officeDocument/2006/relationships" ref="I744" tooltip="Nghe phát âm 提高" r:id="rId483"/>
    <hyperlink xmlns:r="http://schemas.openxmlformats.org/officeDocument/2006/relationships" ref="J744" tooltip="Xem video 提高" r:id="rId484"/>
    <hyperlink xmlns:r="http://schemas.openxmlformats.org/officeDocument/2006/relationships" ref="I745" tooltip="Nghe phát âm 体育" r:id="rId485"/>
    <hyperlink xmlns:r="http://schemas.openxmlformats.org/officeDocument/2006/relationships" ref="J745" tooltip="Xem video 体育" r:id="rId486"/>
    <hyperlink xmlns:r="http://schemas.openxmlformats.org/officeDocument/2006/relationships" ref="I746" tooltip="Nghe phát âm 甜" r:id="rId487"/>
    <hyperlink xmlns:r="http://schemas.openxmlformats.org/officeDocument/2006/relationships" ref="J746" tooltip="Xem video 甜" r:id="rId488"/>
    <hyperlink xmlns:r="http://schemas.openxmlformats.org/officeDocument/2006/relationships" ref="I747" tooltip="Nghe phát âm 条" r:id="rId489"/>
    <hyperlink xmlns:r="http://schemas.openxmlformats.org/officeDocument/2006/relationships" ref="J747" tooltip="Xem video 条" r:id="rId490"/>
    <hyperlink xmlns:r="http://schemas.openxmlformats.org/officeDocument/2006/relationships" ref="I748" tooltip="Nghe phát âm 同事" r:id="rId491"/>
    <hyperlink xmlns:r="http://schemas.openxmlformats.org/officeDocument/2006/relationships" ref="J748" tooltip="Xem video 同事" r:id="rId492"/>
    <hyperlink xmlns:r="http://schemas.openxmlformats.org/officeDocument/2006/relationships" ref="I749" tooltip="Nghe phát âm 同意" r:id="rId493"/>
    <hyperlink xmlns:r="http://schemas.openxmlformats.org/officeDocument/2006/relationships" ref="J749" tooltip="Xem video 同意" r:id="rId494"/>
    <hyperlink xmlns:r="http://schemas.openxmlformats.org/officeDocument/2006/relationships" ref="I750" tooltip="Nghe phát âm 头发" r:id="rId495"/>
    <hyperlink xmlns:r="http://schemas.openxmlformats.org/officeDocument/2006/relationships" ref="J750" tooltip="Xem video 头发" r:id="rId496"/>
    <hyperlink xmlns:r="http://schemas.openxmlformats.org/officeDocument/2006/relationships" ref="I751" tooltip="Nghe phát âm 突然" r:id="rId497"/>
    <hyperlink xmlns:r="http://schemas.openxmlformats.org/officeDocument/2006/relationships" ref="J751" tooltip="Xem video 突然" r:id="rId498"/>
    <hyperlink xmlns:r="http://schemas.openxmlformats.org/officeDocument/2006/relationships" ref="I752" tooltip="Nghe phát âm 腿" r:id="rId499"/>
    <hyperlink xmlns:r="http://schemas.openxmlformats.org/officeDocument/2006/relationships" ref="J752" tooltip="Xem video 腿" r:id="rId500"/>
    <hyperlink xmlns:r="http://schemas.openxmlformats.org/officeDocument/2006/relationships" ref="I753" tooltip="Nghe phát âm 完成" r:id="rId501"/>
    <hyperlink xmlns:r="http://schemas.openxmlformats.org/officeDocument/2006/relationships" ref="J753" tooltip="Xem video 完成" r:id="rId502"/>
    <hyperlink xmlns:r="http://schemas.openxmlformats.org/officeDocument/2006/relationships" ref="I754" tooltip="Nghe phát âm 碗" r:id="rId503"/>
    <hyperlink xmlns:r="http://schemas.openxmlformats.org/officeDocument/2006/relationships" ref="J754" tooltip="Xem video 碗" r:id="rId504"/>
    <hyperlink xmlns:r="http://schemas.openxmlformats.org/officeDocument/2006/relationships" ref="I755" tooltip="Nghe phát âm 万" r:id="rId505"/>
    <hyperlink xmlns:r="http://schemas.openxmlformats.org/officeDocument/2006/relationships" ref="J755" tooltip="Xem video 万" r:id="rId506"/>
    <hyperlink xmlns:r="http://schemas.openxmlformats.org/officeDocument/2006/relationships" ref="I756" tooltip="Nghe phát âm 为" r:id="rId507"/>
    <hyperlink xmlns:r="http://schemas.openxmlformats.org/officeDocument/2006/relationships" ref="J756" tooltip="Xem video 为" r:id="rId508"/>
    <hyperlink xmlns:r="http://schemas.openxmlformats.org/officeDocument/2006/relationships" ref="I757" tooltip="Nghe phát âm 为了" r:id="rId509"/>
    <hyperlink xmlns:r="http://schemas.openxmlformats.org/officeDocument/2006/relationships" ref="J757" tooltip="Xem video 为了" r:id="rId510"/>
    <hyperlink xmlns:r="http://schemas.openxmlformats.org/officeDocument/2006/relationships" ref="I758" tooltip="Nghe phát âm 位" r:id="rId511"/>
    <hyperlink xmlns:r="http://schemas.openxmlformats.org/officeDocument/2006/relationships" ref="J758" tooltip="Xem video 位" r:id="rId512"/>
    <hyperlink xmlns:r="http://schemas.openxmlformats.org/officeDocument/2006/relationships" ref="I759" tooltip="Nghe phát âm 文化" r:id="rId513"/>
    <hyperlink xmlns:r="http://schemas.openxmlformats.org/officeDocument/2006/relationships" ref="J759" tooltip="Xem video 文化" r:id="rId514"/>
    <hyperlink xmlns:r="http://schemas.openxmlformats.org/officeDocument/2006/relationships" ref="I760" tooltip="Nghe phát âm 习惯" r:id="rId515"/>
    <hyperlink xmlns:r="http://schemas.openxmlformats.org/officeDocument/2006/relationships" ref="J760" tooltip="Xem video 习惯" r:id="rId516"/>
    <hyperlink xmlns:r="http://schemas.openxmlformats.org/officeDocument/2006/relationships" ref="I761" tooltip="Nghe phát âm 洗澡" r:id="rId517"/>
    <hyperlink xmlns:r="http://schemas.openxmlformats.org/officeDocument/2006/relationships" ref="J761" tooltip="Xem video 洗澡" r:id="rId518"/>
    <hyperlink xmlns:r="http://schemas.openxmlformats.org/officeDocument/2006/relationships" ref="I762" tooltip="Nghe phát âm 夏" r:id="rId519"/>
    <hyperlink xmlns:r="http://schemas.openxmlformats.org/officeDocument/2006/relationships" ref="J762" tooltip="Xem video 夏" r:id="rId520"/>
    <hyperlink xmlns:r="http://schemas.openxmlformats.org/officeDocument/2006/relationships" ref="I763" tooltip="Nghe phát âm 相信" r:id="rId521"/>
    <hyperlink xmlns:r="http://schemas.openxmlformats.org/officeDocument/2006/relationships" ref="J763" tooltip="Xem video 相信" r:id="rId522"/>
    <hyperlink xmlns:r="http://schemas.openxmlformats.org/officeDocument/2006/relationships" ref="I764" tooltip="Nghe phát âm 香蕉" r:id="rId523"/>
    <hyperlink xmlns:r="http://schemas.openxmlformats.org/officeDocument/2006/relationships" ref="J764" tooltip="Xem video 香蕉" r:id="rId524"/>
    <hyperlink xmlns:r="http://schemas.openxmlformats.org/officeDocument/2006/relationships" ref="I765" tooltip="Nghe phát âm 向" r:id="rId525"/>
    <hyperlink xmlns:r="http://schemas.openxmlformats.org/officeDocument/2006/relationships" ref="J765" tooltip="Xem video 向" r:id="rId526"/>
    <hyperlink xmlns:r="http://schemas.openxmlformats.org/officeDocument/2006/relationships" ref="I766" tooltip="Nghe phát âm 像" r:id="rId527"/>
    <hyperlink xmlns:r="http://schemas.openxmlformats.org/officeDocument/2006/relationships" ref="J766" tooltip="Xem video 像" r:id="rId528"/>
    <hyperlink xmlns:r="http://schemas.openxmlformats.org/officeDocument/2006/relationships" ref="I767" tooltip="Nghe phát âm 小心" r:id="rId529"/>
    <hyperlink xmlns:r="http://schemas.openxmlformats.org/officeDocument/2006/relationships" ref="J767" tooltip="Xem video 小心" r:id="rId530"/>
    <hyperlink xmlns:r="http://schemas.openxmlformats.org/officeDocument/2006/relationships" ref="I768" tooltip="Nghe phát âm 校长" r:id="rId531"/>
    <hyperlink xmlns:r="http://schemas.openxmlformats.org/officeDocument/2006/relationships" ref="J768" tooltip="Xem video 校长" r:id="rId532"/>
    <hyperlink xmlns:r="http://schemas.openxmlformats.org/officeDocument/2006/relationships" ref="I769" tooltip="Nghe phát âm 新闻" r:id="rId533"/>
    <hyperlink xmlns:r="http://schemas.openxmlformats.org/officeDocument/2006/relationships" ref="J769" tooltip="Xem video 新闻" r:id="rId534"/>
    <hyperlink xmlns:r="http://schemas.openxmlformats.org/officeDocument/2006/relationships" ref="I770" tooltip="Nghe phát âm 新鲜" r:id="rId535"/>
    <hyperlink xmlns:r="http://schemas.openxmlformats.org/officeDocument/2006/relationships" ref="J770" tooltip="Xem video 新鲜" r:id="rId536"/>
    <hyperlink xmlns:r="http://schemas.openxmlformats.org/officeDocument/2006/relationships" ref="I771" tooltip="Nghe phát âm 信用卡" r:id="rId537"/>
    <hyperlink xmlns:r="http://schemas.openxmlformats.org/officeDocument/2006/relationships" ref="J771" tooltip="Xem video 信用卡" r:id="rId538"/>
    <hyperlink xmlns:r="http://schemas.openxmlformats.org/officeDocument/2006/relationships" ref="I772" tooltip="Nghe phát âm 行李箱" r:id="rId539"/>
    <hyperlink xmlns:r="http://schemas.openxmlformats.org/officeDocument/2006/relationships" ref="J772" tooltip="Xem video 行李箱" r:id="rId540"/>
    <hyperlink xmlns:r="http://schemas.openxmlformats.org/officeDocument/2006/relationships" ref="I773" tooltip="Nghe phát âm 熊猫" r:id="rId541"/>
    <hyperlink xmlns:r="http://schemas.openxmlformats.org/officeDocument/2006/relationships" ref="J773" tooltip="Xem video 熊猫" r:id="rId542"/>
    <hyperlink xmlns:r="http://schemas.openxmlformats.org/officeDocument/2006/relationships" ref="I774" tooltip="Nghe phát âm 需要" r:id="rId543"/>
    <hyperlink xmlns:r="http://schemas.openxmlformats.org/officeDocument/2006/relationships" ref="J774" tooltip="Xem video 需要" r:id="rId544"/>
    <hyperlink xmlns:r="http://schemas.openxmlformats.org/officeDocument/2006/relationships" ref="I775" tooltip="Nghe phát âm 选择" r:id="rId545"/>
    <hyperlink xmlns:r="http://schemas.openxmlformats.org/officeDocument/2006/relationships" ref="J775" tooltip="Xem video 选择" r:id="rId546"/>
    <hyperlink xmlns:r="http://schemas.openxmlformats.org/officeDocument/2006/relationships" ref="I776" tooltip="Nghe phát âm 要求" r:id="rId547"/>
    <hyperlink xmlns:r="http://schemas.openxmlformats.org/officeDocument/2006/relationships" ref="J776" tooltip="Xem video 要求" r:id="rId548"/>
    <hyperlink xmlns:r="http://schemas.openxmlformats.org/officeDocument/2006/relationships" ref="I777" tooltip="Nghe phát âm 一定" r:id="rId549"/>
    <hyperlink xmlns:r="http://schemas.openxmlformats.org/officeDocument/2006/relationships" ref="J777" tooltip="Xem video 一定" r:id="rId550"/>
    <hyperlink xmlns:r="http://schemas.openxmlformats.org/officeDocument/2006/relationships" ref="I778" tooltip="Nghe phát âm 一共" r:id="rId551"/>
    <hyperlink xmlns:r="http://schemas.openxmlformats.org/officeDocument/2006/relationships" ref="J778" tooltip="Xem video 一共" r:id="rId552"/>
    <hyperlink xmlns:r="http://schemas.openxmlformats.org/officeDocument/2006/relationships" ref="I779" tooltip="Nghe phát âm 一直" r:id="rId553"/>
    <hyperlink xmlns:r="http://schemas.openxmlformats.org/officeDocument/2006/relationships" ref="J779" tooltip="Xem video 一直" r:id="rId554"/>
    <hyperlink xmlns:r="http://schemas.openxmlformats.org/officeDocument/2006/relationships" ref="I780" tooltip="Nghe phát âm 以前" r:id="rId555"/>
    <hyperlink xmlns:r="http://schemas.openxmlformats.org/officeDocument/2006/relationships" ref="J780" tooltip="Xem video 以前" r:id="rId556"/>
    <hyperlink xmlns:r="http://schemas.openxmlformats.org/officeDocument/2006/relationships" ref="I781" tooltip="Nghe phát âm 一般" r:id="rId557"/>
    <hyperlink xmlns:r="http://schemas.openxmlformats.org/officeDocument/2006/relationships" ref="J781" tooltip="Xem video 一般" r:id="rId558"/>
    <hyperlink xmlns:r="http://schemas.openxmlformats.org/officeDocument/2006/relationships" ref="I782" tooltip="Nghe phát âm 音乐" r:id="rId559"/>
    <hyperlink xmlns:r="http://schemas.openxmlformats.org/officeDocument/2006/relationships" ref="J782" tooltip="Xem video 音乐" r:id="rId560"/>
    <hyperlink xmlns:r="http://schemas.openxmlformats.org/officeDocument/2006/relationships" ref="I783" tooltip="Nghe phát âm 银行" r:id="rId561"/>
    <hyperlink xmlns:r="http://schemas.openxmlformats.org/officeDocument/2006/relationships" ref="J783" tooltip="Xem video 银行" r:id="rId562"/>
    <hyperlink xmlns:r="http://schemas.openxmlformats.org/officeDocument/2006/relationships" ref="I784" tooltip="Nghe phát âm 应该" r:id="rId563"/>
    <hyperlink xmlns:r="http://schemas.openxmlformats.org/officeDocument/2006/relationships" ref="J784" tooltip="Xem video 应该" r:id="rId564"/>
    <hyperlink xmlns:r="http://schemas.openxmlformats.org/officeDocument/2006/relationships" ref="I785" tooltip="Nghe phát âm 影响" r:id="rId565"/>
    <hyperlink xmlns:r="http://schemas.openxmlformats.org/officeDocument/2006/relationships" ref="J785" tooltip="Xem video 影响" r:id="rId566"/>
    <hyperlink xmlns:r="http://schemas.openxmlformats.org/officeDocument/2006/relationships" ref="I786" tooltip="Nghe phát âm 游戏" r:id="rId567"/>
    <hyperlink xmlns:r="http://schemas.openxmlformats.org/officeDocument/2006/relationships" ref="J786" tooltip="Xem video 游戏" r:id="rId568"/>
    <hyperlink xmlns:r="http://schemas.openxmlformats.org/officeDocument/2006/relationships" ref="I787" tooltip="Nghe phát âm 又" r:id="rId569"/>
    <hyperlink xmlns:r="http://schemas.openxmlformats.org/officeDocument/2006/relationships" ref="J787" tooltip="Xem video 又" r:id="rId570"/>
    <hyperlink xmlns:r="http://schemas.openxmlformats.org/officeDocument/2006/relationships" ref="I788" tooltip="Nghe phát âm 遇到" r:id="rId571"/>
    <hyperlink xmlns:r="http://schemas.openxmlformats.org/officeDocument/2006/relationships" ref="J788" tooltip="Xem video 遇到" r:id="rId572"/>
    <hyperlink xmlns:r="http://schemas.openxmlformats.org/officeDocument/2006/relationships" ref="I789" tooltip="Nghe phát âm 愿意" r:id="rId573"/>
    <hyperlink xmlns:r="http://schemas.openxmlformats.org/officeDocument/2006/relationships" ref="J789" tooltip="Xem video 愿意" r:id="rId574"/>
    <hyperlink xmlns:r="http://schemas.openxmlformats.org/officeDocument/2006/relationships" ref="I790" tooltip="Nghe phát âm 月亮" r:id="rId575"/>
    <hyperlink xmlns:r="http://schemas.openxmlformats.org/officeDocument/2006/relationships" ref="J790" tooltip="Xem video 月亮" r:id="rId576"/>
    <hyperlink xmlns:r="http://schemas.openxmlformats.org/officeDocument/2006/relationships" ref="I791" tooltip="Nghe phát âm 越" r:id="rId577"/>
    <hyperlink xmlns:r="http://schemas.openxmlformats.org/officeDocument/2006/relationships" ref="J791" tooltip="Xem video 越" r:id="rId578"/>
    <hyperlink xmlns:r="http://schemas.openxmlformats.org/officeDocument/2006/relationships" ref="I792" tooltip="Nghe phát âm 澡" r:id="rId579"/>
    <hyperlink xmlns:r="http://schemas.openxmlformats.org/officeDocument/2006/relationships" ref="J792" tooltip="Xem video 澡" r:id="rId580"/>
    <hyperlink xmlns:r="http://schemas.openxmlformats.org/officeDocument/2006/relationships" ref="I793" tooltip="Nghe phát âm 张" r:id="rId581"/>
    <hyperlink xmlns:r="http://schemas.openxmlformats.org/officeDocument/2006/relationships" ref="J793" tooltip="Xem video 张" r:id="rId582"/>
    <hyperlink xmlns:r="http://schemas.openxmlformats.org/officeDocument/2006/relationships" ref="I794" tooltip="Nghe phát âm 着急" r:id="rId583"/>
    <hyperlink xmlns:r="http://schemas.openxmlformats.org/officeDocument/2006/relationships" ref="J794" tooltip="Xem video 着急" r:id="rId584"/>
    <hyperlink xmlns:r="http://schemas.openxmlformats.org/officeDocument/2006/relationships" ref="I795" tooltip="Nghe phát âm 照顾" r:id="rId585"/>
    <hyperlink xmlns:r="http://schemas.openxmlformats.org/officeDocument/2006/relationships" ref="J795" tooltip="Xem video 照顾" r:id="rId586"/>
    <hyperlink xmlns:r="http://schemas.openxmlformats.org/officeDocument/2006/relationships" ref="I796" tooltip="Nghe phát âm 照片" r:id="rId587"/>
    <hyperlink xmlns:r="http://schemas.openxmlformats.org/officeDocument/2006/relationships" ref="J796" tooltip="Xem video 照片" r:id="rId588"/>
    <hyperlink xmlns:r="http://schemas.openxmlformats.org/officeDocument/2006/relationships" ref="I797" tooltip="Nghe phát âm 照相机" r:id="rId589"/>
    <hyperlink xmlns:r="http://schemas.openxmlformats.org/officeDocument/2006/relationships" ref="J797" tooltip="Xem video 照相机" r:id="rId590"/>
    <hyperlink xmlns:r="http://schemas.openxmlformats.org/officeDocument/2006/relationships" ref="I798" tooltip="Nghe phát âm 只" r:id="rId591"/>
    <hyperlink xmlns:r="http://schemas.openxmlformats.org/officeDocument/2006/relationships" ref="J798" tooltip="Xem video 只" r:id="rId592"/>
    <hyperlink xmlns:r="http://schemas.openxmlformats.org/officeDocument/2006/relationships" ref="I799" tooltip="Nghe phát âm 终于" r:id="rId593"/>
    <hyperlink xmlns:r="http://schemas.openxmlformats.org/officeDocument/2006/relationships" ref="J799" tooltip="Xem video 终于" r:id="rId594"/>
    <hyperlink xmlns:r="http://schemas.openxmlformats.org/officeDocument/2006/relationships" ref="I800" tooltip="Nghe phát âm 种" r:id="rId595"/>
    <hyperlink xmlns:r="http://schemas.openxmlformats.org/officeDocument/2006/relationships" ref="J800" tooltip="Xem video 种" r:id="rId596"/>
    <hyperlink xmlns:r="http://schemas.openxmlformats.org/officeDocument/2006/relationships" ref="I801" tooltip="Nghe phát âm 周末" r:id="rId597"/>
    <hyperlink xmlns:r="http://schemas.openxmlformats.org/officeDocument/2006/relationships" ref="J801" tooltip="Xem video 周末" r:id="rId598"/>
    <hyperlink xmlns:r="http://schemas.openxmlformats.org/officeDocument/2006/relationships" ref="I802" tooltip="Nghe phát âm 主要" r:id="rId599"/>
    <hyperlink xmlns:r="http://schemas.openxmlformats.org/officeDocument/2006/relationships" ref="J802" tooltip="Xem video 主要" r:id="rId600"/>
    <hyperlink xmlns:r="http://schemas.openxmlformats.org/officeDocument/2006/relationships" ref="I803" tooltip="Nghe phát âm 注意" r:id="rId601"/>
    <hyperlink xmlns:r="http://schemas.openxmlformats.org/officeDocument/2006/relationships" ref="J803" tooltip="Xem video 注意" r:id="rId602"/>
    <hyperlink xmlns:r="http://schemas.openxmlformats.org/officeDocument/2006/relationships" ref="I804" tooltip="Nghe phát âm 自己" r:id="rId603"/>
    <hyperlink xmlns:r="http://schemas.openxmlformats.org/officeDocument/2006/relationships" ref="J804" tooltip="Xem video 自己" r:id="rId604"/>
    <hyperlink xmlns:r="http://schemas.openxmlformats.org/officeDocument/2006/relationships" ref="I805" tooltip="Nghe phát âm 总是" r:id="rId605"/>
    <hyperlink xmlns:r="http://schemas.openxmlformats.org/officeDocument/2006/relationships" ref="J805" tooltip="Xem video 总是" r:id="rId606"/>
    <hyperlink xmlns:r="http://schemas.openxmlformats.org/officeDocument/2006/relationships" ref="I806" tooltip="Nghe phát âm 嘴" r:id="rId607"/>
    <hyperlink xmlns:r="http://schemas.openxmlformats.org/officeDocument/2006/relationships" ref="J806" tooltip="Xem video 嘴" r:id="rId608"/>
    <hyperlink xmlns:r="http://schemas.openxmlformats.org/officeDocument/2006/relationships" ref="I807" tooltip="Nghe phát âm 最近" r:id="rId609"/>
    <hyperlink xmlns:r="http://schemas.openxmlformats.org/officeDocument/2006/relationships" ref="J807" tooltip="Xem video 最近" r:id="rId610"/>
    <hyperlink xmlns:r="http://schemas.openxmlformats.org/officeDocument/2006/relationships" ref="I808" tooltip="Nghe phát âm 作业" r:id="rId611"/>
    <hyperlink xmlns:r="http://schemas.openxmlformats.org/officeDocument/2006/relationships" ref="J808" tooltip="Xem video 作业" r:id="rId612"/>
    <hyperlink xmlns:r="http://schemas.openxmlformats.org/officeDocument/2006/relationships" ref="I809" tooltip="Nghe phát âm 座" r:id="rId613"/>
    <hyperlink xmlns:r="http://schemas.openxmlformats.org/officeDocument/2006/relationships" ref="J809" tooltip="Xem video 座" r:id="rId614"/>
    <hyperlink xmlns:r="http://schemas.openxmlformats.org/officeDocument/2006/relationships" ref="I810" tooltip="Nghe phát âm 座位" r:id="rId615"/>
    <hyperlink xmlns:r="http://schemas.openxmlformats.org/officeDocument/2006/relationships" ref="J810" tooltip="Xem video 座位" r:id="rId616"/>
    <hyperlink xmlns:r="http://schemas.openxmlformats.org/officeDocument/2006/relationships" ref="I811" tooltip="Nghe phát âm 企业" r:id="rId617"/>
    <hyperlink xmlns:r="http://schemas.openxmlformats.org/officeDocument/2006/relationships" ref="J811" tooltip="Xem video 企业" r:id="rId618"/>
    <hyperlink xmlns:r="http://schemas.openxmlformats.org/officeDocument/2006/relationships" ref="I812" tooltip="Nghe phát âm 工厂" r:id="rId619"/>
    <hyperlink xmlns:r="http://schemas.openxmlformats.org/officeDocument/2006/relationships" ref="J812" tooltip="Xem video 工厂" r:id="rId620"/>
    <hyperlink xmlns:r="http://schemas.openxmlformats.org/officeDocument/2006/relationships" ref="I813" tooltip="Nghe phát âm 办公室" r:id="rId621"/>
    <hyperlink xmlns:r="http://schemas.openxmlformats.org/officeDocument/2006/relationships" ref="J813" tooltip="Xem video 办公室" r:id="rId622"/>
    <hyperlink xmlns:r="http://schemas.openxmlformats.org/officeDocument/2006/relationships" ref="I814" tooltip="Nghe phát âm 总经理" r:id="rId623"/>
    <hyperlink xmlns:r="http://schemas.openxmlformats.org/officeDocument/2006/relationships" ref="J814" tooltip="Xem video 总经理" r:id="rId624"/>
    <hyperlink xmlns:r="http://schemas.openxmlformats.org/officeDocument/2006/relationships" ref="I815" tooltip="Nghe phát âm 董事长" r:id="rId625"/>
    <hyperlink xmlns:r="http://schemas.openxmlformats.org/officeDocument/2006/relationships" ref="J815" tooltip="Xem video 董事长" r:id="rId626"/>
    <hyperlink xmlns:r="http://schemas.openxmlformats.org/officeDocument/2006/relationships" ref="I816" tooltip="Nghe phát âm 老板" r:id="rId627"/>
    <hyperlink xmlns:r="http://schemas.openxmlformats.org/officeDocument/2006/relationships" ref="J816" tooltip="Xem video 老板" r:id="rId628"/>
    <hyperlink xmlns:r="http://schemas.openxmlformats.org/officeDocument/2006/relationships" ref="I817" tooltip="Nghe phát âm 员工" r:id="rId629"/>
    <hyperlink xmlns:r="http://schemas.openxmlformats.org/officeDocument/2006/relationships" ref="J817" tooltip="Xem video 员工" r:id="rId630"/>
    <hyperlink xmlns:r="http://schemas.openxmlformats.org/officeDocument/2006/relationships" ref="I818" tooltip="Nghe phát âm 职员" r:id="rId631"/>
    <hyperlink xmlns:r="http://schemas.openxmlformats.org/officeDocument/2006/relationships" ref="J818" tooltip="Xem video 职员" r:id="rId632"/>
    <hyperlink xmlns:r="http://schemas.openxmlformats.org/officeDocument/2006/relationships" ref="I819" tooltip="Nghe phát âm 秘书" r:id="rId633"/>
    <hyperlink xmlns:r="http://schemas.openxmlformats.org/officeDocument/2006/relationships" ref="J819" tooltip="Xem video 秘书" r:id="rId634"/>
    <hyperlink xmlns:r="http://schemas.openxmlformats.org/officeDocument/2006/relationships" ref="I820" tooltip="Nghe phát âm 部门" r:id="rId635"/>
    <hyperlink xmlns:r="http://schemas.openxmlformats.org/officeDocument/2006/relationships" ref="J820" tooltip="Xem video 部门" r:id="rId636"/>
    <hyperlink xmlns:r="http://schemas.openxmlformats.org/officeDocument/2006/relationships" ref="I821" tooltip="Nghe phát âm 人事部" r:id="rId637"/>
    <hyperlink xmlns:r="http://schemas.openxmlformats.org/officeDocument/2006/relationships" ref="J821" tooltip="Xem video 人事部" r:id="rId638"/>
    <hyperlink xmlns:r="http://schemas.openxmlformats.org/officeDocument/2006/relationships" ref="I822" tooltip="Nghe phát âm 财务部" r:id="rId639"/>
    <hyperlink xmlns:r="http://schemas.openxmlformats.org/officeDocument/2006/relationships" ref="J822" tooltip="Xem video 财务部" r:id="rId640"/>
    <hyperlink xmlns:r="http://schemas.openxmlformats.org/officeDocument/2006/relationships" ref="I823" tooltip="Nghe phát âm 销售部" r:id="rId641"/>
    <hyperlink xmlns:r="http://schemas.openxmlformats.org/officeDocument/2006/relationships" ref="J823" tooltip="Xem video 销售部" r:id="rId642"/>
    <hyperlink xmlns:r="http://schemas.openxmlformats.org/officeDocument/2006/relationships" ref="I824" tooltip="Nghe phát âm 职位" r:id="rId643"/>
    <hyperlink xmlns:r="http://schemas.openxmlformats.org/officeDocument/2006/relationships" ref="J824" tooltip="Xem video 职位" r:id="rId644"/>
    <hyperlink xmlns:r="http://schemas.openxmlformats.org/officeDocument/2006/relationships" ref="I825" tooltip="Nghe phát âm 简历" r:id="rId645"/>
    <hyperlink xmlns:r="http://schemas.openxmlformats.org/officeDocument/2006/relationships" ref="J825" tooltip="Xem video 简历" r:id="rId646"/>
    <hyperlink xmlns:r="http://schemas.openxmlformats.org/officeDocument/2006/relationships" ref="I826" tooltip="Nghe phát âm 面试" r:id="rId647"/>
    <hyperlink xmlns:r="http://schemas.openxmlformats.org/officeDocument/2006/relationships" ref="J826" tooltip="Xem video 面试" r:id="rId648"/>
    <hyperlink xmlns:r="http://schemas.openxmlformats.org/officeDocument/2006/relationships" ref="I827" tooltip="Nghe phát âm 招聘" r:id="rId649"/>
    <hyperlink xmlns:r="http://schemas.openxmlformats.org/officeDocument/2006/relationships" ref="J827" tooltip="Xem video 招聘" r:id="rId650"/>
    <hyperlink xmlns:r="http://schemas.openxmlformats.org/officeDocument/2006/relationships" ref="I828" tooltip="Nghe phát âm 应聘" r:id="rId651"/>
    <hyperlink xmlns:r="http://schemas.openxmlformats.org/officeDocument/2006/relationships" ref="J828" tooltip="Xem video 应聘" r:id="rId652"/>
    <hyperlink xmlns:r="http://schemas.openxmlformats.org/officeDocument/2006/relationships" ref="I829" tooltip="Nghe phát âm 合同" r:id="rId653"/>
    <hyperlink xmlns:r="http://schemas.openxmlformats.org/officeDocument/2006/relationships" ref="J829" tooltip="Xem video 合同" r:id="rId654"/>
    <hyperlink xmlns:r="http://schemas.openxmlformats.org/officeDocument/2006/relationships" ref="I830" tooltip="Nghe phát âm 签合同" r:id="rId655"/>
    <hyperlink xmlns:r="http://schemas.openxmlformats.org/officeDocument/2006/relationships" ref="J830" tooltip="Xem video 签合同" r:id="rId656"/>
    <hyperlink xmlns:r="http://schemas.openxmlformats.org/officeDocument/2006/relationships" ref="I831" tooltip="Nghe phát âm 签字" r:id="rId657"/>
    <hyperlink xmlns:r="http://schemas.openxmlformats.org/officeDocument/2006/relationships" ref="J831" tooltip="Xem video 签字" r:id="rId658"/>
    <hyperlink xmlns:r="http://schemas.openxmlformats.org/officeDocument/2006/relationships" ref="I832" tooltip="Nghe phát âm 盖章" r:id="rId659"/>
    <hyperlink xmlns:r="http://schemas.openxmlformats.org/officeDocument/2006/relationships" ref="J832" tooltip="Xem video 盖章" r:id="rId660"/>
    <hyperlink xmlns:r="http://schemas.openxmlformats.org/officeDocument/2006/relationships" ref="I833" tooltip="Nghe phát âm 工资" r:id="rId661"/>
    <hyperlink xmlns:r="http://schemas.openxmlformats.org/officeDocument/2006/relationships" ref="J833" tooltip="Xem video 工资" r:id="rId662"/>
    <hyperlink xmlns:r="http://schemas.openxmlformats.org/officeDocument/2006/relationships" ref="I834" tooltip="Nghe phát âm 奖金" r:id="rId663"/>
    <hyperlink xmlns:r="http://schemas.openxmlformats.org/officeDocument/2006/relationships" ref="J834" tooltip="Xem video 奖金" r:id="rId664"/>
    <hyperlink xmlns:r="http://schemas.openxmlformats.org/officeDocument/2006/relationships" ref="I835" tooltip="Nghe phát âm 加班" r:id="rId665"/>
    <hyperlink xmlns:r="http://schemas.openxmlformats.org/officeDocument/2006/relationships" ref="J835" tooltip="Xem video 加班" r:id="rId666"/>
    <hyperlink xmlns:r="http://schemas.openxmlformats.org/officeDocument/2006/relationships" ref="I836" tooltip="Nghe phát âm 出差" r:id="rId667"/>
    <hyperlink xmlns:r="http://schemas.openxmlformats.org/officeDocument/2006/relationships" ref="J836" tooltip="Xem video 出差" r:id="rId668"/>
    <hyperlink xmlns:r="http://schemas.openxmlformats.org/officeDocument/2006/relationships" ref="I837" tooltip="Nghe phát âm 辞职" r:id="rId669"/>
    <hyperlink xmlns:r="http://schemas.openxmlformats.org/officeDocument/2006/relationships" ref="J837" tooltip="Xem video 辞职" r:id="rId670"/>
    <hyperlink xmlns:r="http://schemas.openxmlformats.org/officeDocument/2006/relationships" ref="I838" tooltip="Nghe phát âm 升职" r:id="rId671"/>
    <hyperlink xmlns:r="http://schemas.openxmlformats.org/officeDocument/2006/relationships" ref="J838" tooltip="Xem video 升职" r:id="rId672"/>
    <hyperlink xmlns:r="http://schemas.openxmlformats.org/officeDocument/2006/relationships" ref="I839" tooltip="Nghe phát âm 培训" r:id="rId673"/>
    <hyperlink xmlns:r="http://schemas.openxmlformats.org/officeDocument/2006/relationships" ref="J839" tooltip="Xem video 培训" r:id="rId674"/>
    <hyperlink xmlns:r="http://schemas.openxmlformats.org/officeDocument/2006/relationships" ref="I840" tooltip="Nghe phát âm 会议室" r:id="rId675"/>
    <hyperlink xmlns:r="http://schemas.openxmlformats.org/officeDocument/2006/relationships" ref="J840" tooltip="Xem video 会议室" r:id="rId676"/>
    <hyperlink xmlns:r="http://schemas.openxmlformats.org/officeDocument/2006/relationships" ref="I841" tooltip="Nghe phát âm 报告" r:id="rId677"/>
    <hyperlink xmlns:r="http://schemas.openxmlformats.org/officeDocument/2006/relationships" ref="J841" tooltip="Xem video 报告" r:id="rId678"/>
    <hyperlink xmlns:r="http://schemas.openxmlformats.org/officeDocument/2006/relationships" ref="I842" tooltip="Nghe phát âm 计划" r:id="rId679"/>
    <hyperlink xmlns:r="http://schemas.openxmlformats.org/officeDocument/2006/relationships" ref="J842" tooltip="Xem video 计划" r:id="rId680"/>
    <hyperlink xmlns:r="http://schemas.openxmlformats.org/officeDocument/2006/relationships" ref="I843" tooltip="Nghe phát âm 方案" r:id="rId681"/>
    <hyperlink xmlns:r="http://schemas.openxmlformats.org/officeDocument/2006/relationships" ref="J843" tooltip="Xem video 方案" r:id="rId682"/>
    <hyperlink xmlns:r="http://schemas.openxmlformats.org/officeDocument/2006/relationships" ref="I844" tooltip="Nghe phát âm 项目" r:id="rId683"/>
    <hyperlink xmlns:r="http://schemas.openxmlformats.org/officeDocument/2006/relationships" ref="J844" tooltip="Xem video 项目" r:id="rId684"/>
    <hyperlink xmlns:r="http://schemas.openxmlformats.org/officeDocument/2006/relationships" ref="I845" tooltip="Nghe phát âm 任务" r:id="rId685"/>
    <hyperlink xmlns:r="http://schemas.openxmlformats.org/officeDocument/2006/relationships" ref="J845" tooltip="Xem video 任务" r:id="rId686"/>
    <hyperlink xmlns:r="http://schemas.openxmlformats.org/officeDocument/2006/relationships" ref="I846" tooltip="Nghe phát âm 效率" r:id="rId687"/>
    <hyperlink xmlns:r="http://schemas.openxmlformats.org/officeDocument/2006/relationships" ref="J846" tooltip="Xem video 效率" r:id="rId688"/>
    <hyperlink xmlns:r="http://schemas.openxmlformats.org/officeDocument/2006/relationships" ref="I847" tooltip="Nghe phát âm 业绩" r:id="rId689"/>
    <hyperlink xmlns:r="http://schemas.openxmlformats.org/officeDocument/2006/relationships" ref="J847" tooltip="Xem video 业绩" r:id="rId690"/>
    <hyperlink xmlns:r="http://schemas.openxmlformats.org/officeDocument/2006/relationships" ref="I848" tooltip="Nghe phát âm 市场" r:id="rId691"/>
    <hyperlink xmlns:r="http://schemas.openxmlformats.org/officeDocument/2006/relationships" ref="J848" tooltip="Xem video 市场" r:id="rId692"/>
    <hyperlink xmlns:r="http://schemas.openxmlformats.org/officeDocument/2006/relationships" ref="I849" tooltip="Nghe phát âm 市场调查" r:id="rId693"/>
    <hyperlink xmlns:r="http://schemas.openxmlformats.org/officeDocument/2006/relationships" ref="J849" tooltip="Xem video 市场调查" r:id="rId694"/>
    <hyperlink xmlns:r="http://schemas.openxmlformats.org/officeDocument/2006/relationships" ref="I850" tooltip="Nghe phát âm 客户" r:id="rId695"/>
    <hyperlink xmlns:r="http://schemas.openxmlformats.org/officeDocument/2006/relationships" ref="J850" tooltip="Xem video 客户" r:id="rId696"/>
    <hyperlink xmlns:r="http://schemas.openxmlformats.org/officeDocument/2006/relationships" ref="I851" tooltip="Nghe phát âm 供应商" r:id="rId697"/>
    <hyperlink xmlns:r="http://schemas.openxmlformats.org/officeDocument/2006/relationships" ref="J851" tooltip="Xem video 供应商" r:id="rId698"/>
    <hyperlink xmlns:r="http://schemas.openxmlformats.org/officeDocument/2006/relationships" ref="I852" tooltip="Nghe phát âm 合作" r:id="rId699"/>
    <hyperlink xmlns:r="http://schemas.openxmlformats.org/officeDocument/2006/relationships" ref="J852" tooltip="Xem video 合作" r:id="rId700"/>
    <hyperlink xmlns:r="http://schemas.openxmlformats.org/officeDocument/2006/relationships" ref="I853" tooltip="Nghe phát âm 谈判" r:id="rId701"/>
    <hyperlink xmlns:r="http://schemas.openxmlformats.org/officeDocument/2006/relationships" ref="J853" tooltip="Xem video 谈判" r:id="rId702"/>
    <hyperlink xmlns:r="http://schemas.openxmlformats.org/officeDocument/2006/relationships" ref="I854" tooltip="Nghe phát âm 报价" r:id="rId703"/>
    <hyperlink xmlns:r="http://schemas.openxmlformats.org/officeDocument/2006/relationships" ref="J854" tooltip="Xem video 报价" r:id="rId704"/>
    <hyperlink xmlns:r="http://schemas.openxmlformats.org/officeDocument/2006/relationships" ref="I855" tooltip="Nghe phát âm 价格" r:id="rId705"/>
    <hyperlink xmlns:r="http://schemas.openxmlformats.org/officeDocument/2006/relationships" ref="J855" tooltip="Xem video 价格" r:id="rId706"/>
    <hyperlink xmlns:r="http://schemas.openxmlformats.org/officeDocument/2006/relationships" ref="I856" tooltip="Nghe phát âm 折扣" r:id="rId707"/>
    <hyperlink xmlns:r="http://schemas.openxmlformats.org/officeDocument/2006/relationships" ref="J856" tooltip="Xem video 折扣" r:id="rId708"/>
    <hyperlink xmlns:r="http://schemas.openxmlformats.org/officeDocument/2006/relationships" ref="I857" tooltip="Nghe phát âm 订单" r:id="rId709"/>
    <hyperlink xmlns:r="http://schemas.openxmlformats.org/officeDocument/2006/relationships" ref="J857" tooltip="Xem video 订单" r:id="rId710"/>
    <hyperlink xmlns:r="http://schemas.openxmlformats.org/officeDocument/2006/relationships" ref="I858" tooltip="Nghe phát âm 下订单" r:id="rId711"/>
    <hyperlink xmlns:r="http://schemas.openxmlformats.org/officeDocument/2006/relationships" ref="J858" tooltip="Xem video 下订单" r:id="rId712"/>
    <hyperlink xmlns:r="http://schemas.openxmlformats.org/officeDocument/2006/relationships" ref="I859" tooltip="Nghe phát âm 发货" r:id="rId713"/>
    <hyperlink xmlns:r="http://schemas.openxmlformats.org/officeDocument/2006/relationships" ref="J859" tooltip="Xem video 发货" r:id="rId714"/>
    <hyperlink xmlns:r="http://schemas.openxmlformats.org/officeDocument/2006/relationships" ref="I860" tooltip="Nghe phát âm 交货" r:id="rId715"/>
    <hyperlink xmlns:r="http://schemas.openxmlformats.org/officeDocument/2006/relationships" ref="J860" tooltip="Xem video 交货" r:id="rId716"/>
    <hyperlink xmlns:r="http://schemas.openxmlformats.org/officeDocument/2006/relationships" ref="I861" tooltip="Nghe phát âm 库存" r:id="rId717"/>
    <hyperlink xmlns:r="http://schemas.openxmlformats.org/officeDocument/2006/relationships" ref="J861" tooltip="Xem video 库存" r:id="rId718"/>
    <hyperlink xmlns:r="http://schemas.openxmlformats.org/officeDocument/2006/relationships" ref="I862" tooltip="Nghe phát âm 样品" r:id="rId719"/>
    <hyperlink xmlns:r="http://schemas.openxmlformats.org/officeDocument/2006/relationships" ref="J862" tooltip="Xem video 样品" r:id="rId720"/>
    <hyperlink xmlns:r="http://schemas.openxmlformats.org/officeDocument/2006/relationships" ref="I863" tooltip="Nghe phát âm 质量" r:id="rId721"/>
    <hyperlink xmlns:r="http://schemas.openxmlformats.org/officeDocument/2006/relationships" ref="J863" tooltip="Xem video 质量" r:id="rId722"/>
    <hyperlink xmlns:r="http://schemas.openxmlformats.org/officeDocument/2006/relationships" ref="I864" tooltip="Nghe phát âm 数量" r:id="rId723"/>
    <hyperlink xmlns:r="http://schemas.openxmlformats.org/officeDocument/2006/relationships" ref="J864" tooltip="Xem video 数量" r:id="rId724"/>
    <hyperlink xmlns:r="http://schemas.openxmlformats.org/officeDocument/2006/relationships" ref="I865" tooltip="Nghe phát âm 包装" r:id="rId725"/>
    <hyperlink xmlns:r="http://schemas.openxmlformats.org/officeDocument/2006/relationships" ref="J865" tooltip="Xem video 包装" r:id="rId726"/>
    <hyperlink xmlns:r="http://schemas.openxmlformats.org/officeDocument/2006/relationships" ref="I866" tooltip="Nghe phát âm 物流" r:id="rId727"/>
    <hyperlink xmlns:r="http://schemas.openxmlformats.org/officeDocument/2006/relationships" ref="J866" tooltip="Xem video 物流" r:id="rId728"/>
    <hyperlink xmlns:r="http://schemas.openxmlformats.org/officeDocument/2006/relationships" ref="I867" tooltip="Nghe phát âm 运输" r:id="rId729"/>
    <hyperlink xmlns:r="http://schemas.openxmlformats.org/officeDocument/2006/relationships" ref="J867" tooltip="Xem video 运输" r:id="rId730"/>
    <hyperlink xmlns:r="http://schemas.openxmlformats.org/officeDocument/2006/relationships" ref="I868" tooltip="Nghe phát âm 海运" r:id="rId731"/>
    <hyperlink xmlns:r="http://schemas.openxmlformats.org/officeDocument/2006/relationships" ref="J868" tooltip="Xem video 海运" r:id="rId732"/>
    <hyperlink xmlns:r="http://schemas.openxmlformats.org/officeDocument/2006/relationships" ref="I869" tooltip="Nghe phát âm 空运" r:id="rId733"/>
    <hyperlink xmlns:r="http://schemas.openxmlformats.org/officeDocument/2006/relationships" ref="J869" tooltip="Xem video 空运" r:id="rId734"/>
    <hyperlink xmlns:r="http://schemas.openxmlformats.org/officeDocument/2006/relationships" ref="I870" tooltip="Nghe phát âm 集装箱" r:id="rId735"/>
    <hyperlink xmlns:r="http://schemas.openxmlformats.org/officeDocument/2006/relationships" ref="J870" tooltip="Xem video 集装箱" r:id="rId736"/>
    <hyperlink xmlns:r="http://schemas.openxmlformats.org/officeDocument/2006/relationships" ref="I871" tooltip="Nghe phát âm 报关" r:id="rId737"/>
    <hyperlink xmlns:r="http://schemas.openxmlformats.org/officeDocument/2006/relationships" ref="J871" tooltip="Xem video 报关" r:id="rId738"/>
    <hyperlink xmlns:r="http://schemas.openxmlformats.org/officeDocument/2006/relationships" ref="I872" tooltip="Nghe phát âm 海关" r:id="rId739"/>
    <hyperlink xmlns:r="http://schemas.openxmlformats.org/officeDocument/2006/relationships" ref="J872" tooltip="Xem video 海关" r:id="rId740"/>
    <hyperlink xmlns:r="http://schemas.openxmlformats.org/officeDocument/2006/relationships" ref="I873" tooltip="Nghe phát âm 关税" r:id="rId741"/>
    <hyperlink xmlns:r="http://schemas.openxmlformats.org/officeDocument/2006/relationships" ref="J873" tooltip="Xem video 关税" r:id="rId742"/>
    <hyperlink xmlns:r="http://schemas.openxmlformats.org/officeDocument/2006/relationships" ref="I874" tooltip="Nghe phát âm 出口" r:id="rId743"/>
    <hyperlink xmlns:r="http://schemas.openxmlformats.org/officeDocument/2006/relationships" ref="J874" tooltip="Xem video 出口" r:id="rId744"/>
    <hyperlink xmlns:r="http://schemas.openxmlformats.org/officeDocument/2006/relationships" ref="I875" tooltip="Nghe phát âm 进口" r:id="rId745"/>
    <hyperlink xmlns:r="http://schemas.openxmlformats.org/officeDocument/2006/relationships" ref="J875" tooltip="Xem video 进口" r:id="rId746"/>
    <hyperlink xmlns:r="http://schemas.openxmlformats.org/officeDocument/2006/relationships" ref="I876" tooltip="Nghe phát âm 贸易" r:id="rId747"/>
    <hyperlink xmlns:r="http://schemas.openxmlformats.org/officeDocument/2006/relationships" ref="J876" tooltip="Xem video 贸易" r:id="rId748"/>
    <hyperlink xmlns:r="http://schemas.openxmlformats.org/officeDocument/2006/relationships" ref="I877" tooltip="Nghe phát âm 国际贸易" r:id="rId749"/>
    <hyperlink xmlns:r="http://schemas.openxmlformats.org/officeDocument/2006/relationships" ref="J877" tooltip="Xem video 国际贸易" r:id="rId750"/>
    <hyperlink xmlns:r="http://schemas.openxmlformats.org/officeDocument/2006/relationships" ref="I878" tooltip="Nghe phát âm 外贸" r:id="rId751"/>
    <hyperlink xmlns:r="http://schemas.openxmlformats.org/officeDocument/2006/relationships" ref="J878" tooltip="Xem video 外贸" r:id="rId752"/>
    <hyperlink xmlns:r="http://schemas.openxmlformats.org/officeDocument/2006/relationships" ref="I879" tooltip="Nghe phát âm 进出口" r:id="rId753"/>
    <hyperlink xmlns:r="http://schemas.openxmlformats.org/officeDocument/2006/relationships" ref="J879" tooltip="Xem video 进出口" r:id="rId754"/>
    <hyperlink xmlns:r="http://schemas.openxmlformats.org/officeDocument/2006/relationships" ref="I880" tooltip="Nghe phát âm 汇率" r:id="rId755"/>
    <hyperlink xmlns:r="http://schemas.openxmlformats.org/officeDocument/2006/relationships" ref="J880" tooltip="Xem video 汇率" r:id="rId756"/>
    <hyperlink xmlns:r="http://schemas.openxmlformats.org/officeDocument/2006/relationships" ref="I881" tooltip="Nghe phát âm 外汇" r:id="rId757"/>
    <hyperlink xmlns:r="http://schemas.openxmlformats.org/officeDocument/2006/relationships" ref="J881" tooltip="Xem video 外汇" r:id="rId758"/>
    <hyperlink xmlns:r="http://schemas.openxmlformats.org/officeDocument/2006/relationships" ref="I882" tooltip="Nghe phát âm 人民币" r:id="rId759"/>
    <hyperlink xmlns:r="http://schemas.openxmlformats.org/officeDocument/2006/relationships" ref="J882" tooltip="Xem video 人民币" r:id="rId760"/>
    <hyperlink xmlns:r="http://schemas.openxmlformats.org/officeDocument/2006/relationships" ref="I883" tooltip="Nghe phát âm 美元" r:id="rId761"/>
    <hyperlink xmlns:r="http://schemas.openxmlformats.org/officeDocument/2006/relationships" ref="J883" tooltip="Xem video 美元" r:id="rId762"/>
    <hyperlink xmlns:r="http://schemas.openxmlformats.org/officeDocument/2006/relationships" ref="I884" tooltip="Nghe phát âm 付款" r:id="rId763"/>
    <hyperlink xmlns:r="http://schemas.openxmlformats.org/officeDocument/2006/relationships" ref="J884" tooltip="Xem video 付款" r:id="rId764"/>
    <hyperlink xmlns:r="http://schemas.openxmlformats.org/officeDocument/2006/relationships" ref="I885" tooltip="Nghe phát âm 转账" r:id="rId765"/>
    <hyperlink xmlns:r="http://schemas.openxmlformats.org/officeDocument/2006/relationships" ref="J885" tooltip="Xem video 转账" r:id="rId766"/>
    <hyperlink xmlns:r="http://schemas.openxmlformats.org/officeDocument/2006/relationships" ref="I886" tooltip="Nghe phát âm 发票" r:id="rId767"/>
    <hyperlink xmlns:r="http://schemas.openxmlformats.org/officeDocument/2006/relationships" ref="J886" tooltip="Xem video 发票" r:id="rId768"/>
    <hyperlink xmlns:r="http://schemas.openxmlformats.org/officeDocument/2006/relationships" ref="I887" tooltip="Nghe phát âm 收据" r:id="rId769"/>
    <hyperlink xmlns:r="http://schemas.openxmlformats.org/officeDocument/2006/relationships" ref="J887" tooltip="Xem video 收据" r:id="rId770"/>
    <hyperlink xmlns:r="http://schemas.openxmlformats.org/officeDocument/2006/relationships" ref="I888" tooltip="Nghe phát âm 预算" r:id="rId771"/>
    <hyperlink xmlns:r="http://schemas.openxmlformats.org/officeDocument/2006/relationships" ref="J888" tooltip="Xem video 预算" r:id="rId772"/>
    <hyperlink xmlns:r="http://schemas.openxmlformats.org/officeDocument/2006/relationships" ref="I889" tooltip="Nghe phát âm 成本" r:id="rId773"/>
    <hyperlink xmlns:r="http://schemas.openxmlformats.org/officeDocument/2006/relationships" ref="J889" tooltip="Xem video 成本" r:id="rId774"/>
    <hyperlink xmlns:r="http://schemas.openxmlformats.org/officeDocument/2006/relationships" ref="I890" tooltip="Nghe phát âm 利润" r:id="rId775"/>
    <hyperlink xmlns:r="http://schemas.openxmlformats.org/officeDocument/2006/relationships" ref="J890" tooltip="Xem video 利润" r:id="rId776"/>
    <hyperlink xmlns:r="http://schemas.openxmlformats.org/officeDocument/2006/relationships" ref="I891" tooltip="Nghe phát âm 收入" r:id="rId777"/>
    <hyperlink xmlns:r="http://schemas.openxmlformats.org/officeDocument/2006/relationships" ref="J891" tooltip="Xem video 收入" r:id="rId778"/>
    <hyperlink xmlns:r="http://schemas.openxmlformats.org/officeDocument/2006/relationships" ref="I892" tooltip="Nghe phát âm 支出" r:id="rId779"/>
    <hyperlink xmlns:r="http://schemas.openxmlformats.org/officeDocument/2006/relationships" ref="J892" tooltip="Xem video 支出" r:id="rId780"/>
    <hyperlink xmlns:r="http://schemas.openxmlformats.org/officeDocument/2006/relationships" ref="I893" tooltip="Nghe phát âm 投资" r:id="rId781"/>
    <hyperlink xmlns:r="http://schemas.openxmlformats.org/officeDocument/2006/relationships" ref="J893" tooltip="Xem video 投资" r:id="rId782"/>
    <hyperlink xmlns:r="http://schemas.openxmlformats.org/officeDocument/2006/relationships" ref="I894" tooltip="Nghe phát âm 股份" r:id="rId783"/>
    <hyperlink xmlns:r="http://schemas.openxmlformats.org/officeDocument/2006/relationships" ref="J894" tooltip="Xem video 股份" r:id="rId784"/>
    <hyperlink xmlns:r="http://schemas.openxmlformats.org/officeDocument/2006/relationships" ref="I895" tooltip="Nghe phát âm 股票" r:id="rId785"/>
    <hyperlink xmlns:r="http://schemas.openxmlformats.org/officeDocument/2006/relationships" ref="J895" tooltip="Xem video 股票" r:id="rId786"/>
    <hyperlink xmlns:r="http://schemas.openxmlformats.org/officeDocument/2006/relationships" ref="I896" tooltip="Nghe phát âm 贷款" r:id="rId787"/>
    <hyperlink xmlns:r="http://schemas.openxmlformats.org/officeDocument/2006/relationships" ref="J896" tooltip="Xem video 贷款" r:id="rId788"/>
    <hyperlink xmlns:r="http://schemas.openxmlformats.org/officeDocument/2006/relationships" ref="I897" tooltip="Nghe phát âm 利息" r:id="rId789"/>
    <hyperlink xmlns:r="http://schemas.openxmlformats.org/officeDocument/2006/relationships" ref="J897" tooltip="Xem video 利息" r:id="rId790"/>
    <hyperlink xmlns:r="http://schemas.openxmlformats.org/officeDocument/2006/relationships" ref="I898" tooltip="Nghe phát âm 保险" r:id="rId791"/>
    <hyperlink xmlns:r="http://schemas.openxmlformats.org/officeDocument/2006/relationships" ref="J898" tooltip="Xem video 保险" r:id="rId792"/>
    <hyperlink xmlns:r="http://schemas.openxmlformats.org/officeDocument/2006/relationships" ref="I899" tooltip="Nghe phát âm 风险" r:id="rId793"/>
    <hyperlink xmlns:r="http://schemas.openxmlformats.org/officeDocument/2006/relationships" ref="J899" tooltip="Xem video 风险" r:id="rId794"/>
    <hyperlink xmlns:r="http://schemas.openxmlformats.org/officeDocument/2006/relationships" ref="I900" tooltip="Nghe phát âm 税" r:id="rId795"/>
    <hyperlink xmlns:r="http://schemas.openxmlformats.org/officeDocument/2006/relationships" ref="J900" tooltip="Xem video 税" r:id="rId796"/>
    <hyperlink xmlns:r="http://schemas.openxmlformats.org/officeDocument/2006/relationships" ref="I901" tooltip="Nghe phát âm 账户" r:id="rId797"/>
    <hyperlink xmlns:r="http://schemas.openxmlformats.org/officeDocument/2006/relationships" ref="J901" tooltip="Xem video 账户" r:id="rId798"/>
    <hyperlink xmlns:r="http://schemas.openxmlformats.org/officeDocument/2006/relationships" ref="I902" tooltip="Nghe phát âm 广告" r:id="rId799"/>
    <hyperlink xmlns:r="http://schemas.openxmlformats.org/officeDocument/2006/relationships" ref="J902" tooltip="Xem video 广告" r:id="rId800"/>
    <hyperlink xmlns:r="http://schemas.openxmlformats.org/officeDocument/2006/relationships" ref="I903" tooltip="Nghe phát âm 品牌" r:id="rId801"/>
    <hyperlink xmlns:r="http://schemas.openxmlformats.org/officeDocument/2006/relationships" ref="J903" tooltip="Xem video 品牌" r:id="rId802"/>
    <hyperlink xmlns:r="http://schemas.openxmlformats.org/officeDocument/2006/relationships" ref="I904" tooltip="Nghe phát âm 产品" r:id="rId803"/>
    <hyperlink xmlns:r="http://schemas.openxmlformats.org/officeDocument/2006/relationships" ref="J904" tooltip="Xem video 产品" r:id="rId804"/>
    <hyperlink xmlns:r="http://schemas.openxmlformats.org/officeDocument/2006/relationships" ref="I905" tooltip="Nghe phát âm 生产" r:id="rId805"/>
    <hyperlink xmlns:r="http://schemas.openxmlformats.org/officeDocument/2006/relationships" ref="J905" tooltip="Xem video 生产" r:id="rId806"/>
    <hyperlink xmlns:r="http://schemas.openxmlformats.org/officeDocument/2006/relationships" ref="I906" tooltip="Nghe phát âm 服务" r:id="rId807"/>
    <hyperlink xmlns:r="http://schemas.openxmlformats.org/officeDocument/2006/relationships" ref="J906" tooltip="Xem video 服务" r:id="rId808"/>
    <hyperlink xmlns:r="http://schemas.openxmlformats.org/officeDocument/2006/relationships" ref="I907" tooltip="Nghe phát âm 竞争" r:id="rId809"/>
    <hyperlink xmlns:r="http://schemas.openxmlformats.org/officeDocument/2006/relationships" ref="J907" tooltip="Xem video 竞争" r:id="rId810"/>
    <hyperlink xmlns:r="http://schemas.openxmlformats.org/officeDocument/2006/relationships" ref="I908" tooltip="Nghe phát âm 合资" r:id="rId811"/>
    <hyperlink xmlns:r="http://schemas.openxmlformats.org/officeDocument/2006/relationships" ref="J908" tooltip="Xem video 合资" r:id="rId812"/>
    <hyperlink xmlns:r="http://schemas.openxmlformats.org/officeDocument/2006/relationships" ref="I909" tooltip="Nghe phát âm 代理" r:id="rId813"/>
    <hyperlink xmlns:r="http://schemas.openxmlformats.org/officeDocument/2006/relationships" ref="J909" tooltip="Xem video 代理" r:id="rId814"/>
    <hyperlink xmlns:r="http://schemas.openxmlformats.org/officeDocument/2006/relationships" ref="I910" tooltip="Nghe phát âm 批发" r:id="rId815"/>
    <hyperlink xmlns:r="http://schemas.openxmlformats.org/officeDocument/2006/relationships" ref="J910" tooltip="Xem video 批发" r:id="rId816"/>
    <hyperlink xmlns:r="http://schemas.openxmlformats.org/officeDocument/2006/relationships" ref="I911" tooltip="Nghe phát âm 零售" r:id="rId817"/>
    <hyperlink xmlns:r="http://schemas.openxmlformats.org/officeDocument/2006/relationships" ref="J911" tooltip="Xem video 零售" r:id="rId818"/>
    <hyperlink xmlns:r="http://schemas.openxmlformats.org/officeDocument/2006/relationships" ref="I912" tooltip="Nghe phát âm 名片" r:id="rId819"/>
    <hyperlink xmlns:r="http://schemas.openxmlformats.org/officeDocument/2006/relationships" ref="J912" tooltip="Xem video 名片" r:id="rId820"/>
    <hyperlink xmlns:r="http://schemas.openxmlformats.org/officeDocument/2006/relationships" ref="I913" tooltip="Nghe phát âm 邮件" r:id="rId821"/>
    <hyperlink xmlns:r="http://schemas.openxmlformats.org/officeDocument/2006/relationships" ref="J913" tooltip="Xem video 邮件" r:id="rId822"/>
    <hyperlink xmlns:r="http://schemas.openxmlformats.org/officeDocument/2006/relationships" ref="I914" tooltip="Nghe phát âm 附件" r:id="rId823"/>
    <hyperlink xmlns:r="http://schemas.openxmlformats.org/officeDocument/2006/relationships" ref="J914" tooltip="Xem video 附件" r:id="rId824"/>
    <hyperlink xmlns:r="http://schemas.openxmlformats.org/officeDocument/2006/relationships" ref="I915" tooltip="Nghe phát âm 通知" r:id="rId825"/>
    <hyperlink xmlns:r="http://schemas.openxmlformats.org/officeDocument/2006/relationships" ref="J915" tooltip="Xem video 通知" r:id="rId826"/>
    <hyperlink xmlns:r="http://schemas.openxmlformats.org/officeDocument/2006/relationships" ref="I916" tooltip="Nghe phát âm 申请" r:id="rId827"/>
    <hyperlink xmlns:r="http://schemas.openxmlformats.org/officeDocument/2006/relationships" ref="J916" tooltip="Xem video 申请" r:id="rId828"/>
    <hyperlink xmlns:r="http://schemas.openxmlformats.org/officeDocument/2006/relationships" ref="I917" tooltip="Nghe phát âm 批准" r:id="rId829"/>
    <hyperlink xmlns:r="http://schemas.openxmlformats.org/officeDocument/2006/relationships" ref="J917" tooltip="Xem video 批准" r:id="rId830"/>
    <hyperlink xmlns:r="http://schemas.openxmlformats.org/officeDocument/2006/relationships" ref="I918" tooltip="Nghe phát âm 负责" r:id="rId831"/>
    <hyperlink xmlns:r="http://schemas.openxmlformats.org/officeDocument/2006/relationships" ref="J918" tooltip="Xem video 负责" r:id="rId832"/>
    <hyperlink xmlns:r="http://schemas.openxmlformats.org/officeDocument/2006/relationships" ref="I919" tooltip="Nghe phát âm 安排" r:id="rId833"/>
    <hyperlink xmlns:r="http://schemas.openxmlformats.org/officeDocument/2006/relationships" ref="J919" tooltip="Xem video 安排" r:id="rId834"/>
    <hyperlink xmlns:r="http://schemas.openxmlformats.org/officeDocument/2006/relationships" ref="I920" tooltip="Nghe phát âm 确认" r:id="rId835"/>
    <hyperlink xmlns:r="http://schemas.openxmlformats.org/officeDocument/2006/relationships" ref="J920" tooltip="Xem video 确认" r:id="rId836"/>
    <hyperlink xmlns:r="http://schemas.openxmlformats.org/officeDocument/2006/relationships" ref="I921" tooltip="Nghe phát âm 联系" r:id="rId837"/>
    <hyperlink xmlns:r="http://schemas.openxmlformats.org/officeDocument/2006/relationships" ref="J921" tooltip="Xem video 联系" r:id="rId838"/>
    <hyperlink xmlns:r="http://schemas.openxmlformats.org/officeDocument/2006/relationships" ref="I922" tooltip="Nghe phát âm 讨论" r:id="rId839"/>
    <hyperlink xmlns:r="http://schemas.openxmlformats.org/officeDocument/2006/relationships" ref="J922" tooltip="Xem video 讨论" r:id="rId840"/>
    <hyperlink xmlns:r="http://schemas.openxmlformats.org/officeDocument/2006/relationships" ref="I923" tooltip="Nghe phát âm 建议" r:id="rId841"/>
    <hyperlink xmlns:r="http://schemas.openxmlformats.org/officeDocument/2006/relationships" ref="J923" tooltip="Xem video 建议" r:id="rId842"/>
    <hyperlink xmlns:r="http://schemas.openxmlformats.org/officeDocument/2006/relationships" ref="I924" tooltip="Nghe phát âm 签署" r:id="rId843"/>
    <hyperlink xmlns:r="http://schemas.openxmlformats.org/officeDocument/2006/relationships" ref="J924" tooltip="Xem video 签署" r:id="rId844"/>
    <hyperlink xmlns:r="http://schemas.openxmlformats.org/officeDocument/2006/relationships" ref="I925" tooltip="Nghe phát âm 延期" r:id="rId845"/>
    <hyperlink xmlns:r="http://schemas.openxmlformats.org/officeDocument/2006/relationships" ref="J925" tooltip="Xem video 延期" r:id="rId846"/>
    <hyperlink xmlns:r="http://schemas.openxmlformats.org/officeDocument/2006/relationships" ref="I926" tooltip="Nghe phát âm 取消" r:id="rId847"/>
    <hyperlink xmlns:r="http://schemas.openxmlformats.org/officeDocument/2006/relationships" ref="J926" tooltip="Xem video 取消" r:id="rId848"/>
    <hyperlink xmlns:r="http://schemas.openxmlformats.org/officeDocument/2006/relationships" ref="I927" tooltip="Nghe phát âm 赔偿" r:id="rId849"/>
    <hyperlink xmlns:r="http://schemas.openxmlformats.org/officeDocument/2006/relationships" ref="J927" tooltip="Xem video 赔偿" r:id="rId850"/>
    <hyperlink xmlns:r="http://schemas.openxmlformats.org/officeDocument/2006/relationships" ref="I928" tooltip="Nghe phát âm 索赔" r:id="rId851"/>
    <hyperlink xmlns:r="http://schemas.openxmlformats.org/officeDocument/2006/relationships" ref="J928" tooltip="Xem video 索赔" r:id="rId852"/>
    <hyperlink xmlns:r="http://schemas.openxmlformats.org/officeDocument/2006/relationships" ref="I929" tooltip="Nghe phát âm 仓库" r:id="rId853"/>
    <hyperlink xmlns:r="http://schemas.openxmlformats.org/officeDocument/2006/relationships" ref="J929" tooltip="Xem video 仓库" r:id="rId854"/>
    <hyperlink xmlns:r="http://schemas.openxmlformats.org/officeDocument/2006/relationships" ref="I930" r:id="rId855"/>
    <hyperlink xmlns:r="http://schemas.openxmlformats.org/officeDocument/2006/relationships" ref="J930" r:id="rId856"/>
    <hyperlink xmlns:r="http://schemas.openxmlformats.org/officeDocument/2006/relationships" ref="U930" r:id="rId857"/>
    <hyperlink xmlns:r="http://schemas.openxmlformats.org/officeDocument/2006/relationships" ref="I931" r:id="rId858"/>
    <hyperlink xmlns:r="http://schemas.openxmlformats.org/officeDocument/2006/relationships" ref="J931" r:id="rId859"/>
    <hyperlink xmlns:r="http://schemas.openxmlformats.org/officeDocument/2006/relationships" ref="U931" r:id="rId860"/>
    <hyperlink xmlns:r="http://schemas.openxmlformats.org/officeDocument/2006/relationships" ref="I932" r:id="rId861"/>
    <hyperlink xmlns:r="http://schemas.openxmlformats.org/officeDocument/2006/relationships" ref="J932" r:id="rId862"/>
    <hyperlink xmlns:r="http://schemas.openxmlformats.org/officeDocument/2006/relationships" ref="U932" r:id="rId863"/>
    <hyperlink xmlns:r="http://schemas.openxmlformats.org/officeDocument/2006/relationships" ref="I933" r:id="rId864"/>
    <hyperlink xmlns:r="http://schemas.openxmlformats.org/officeDocument/2006/relationships" ref="J933" r:id="rId865"/>
    <hyperlink xmlns:r="http://schemas.openxmlformats.org/officeDocument/2006/relationships" ref="U933" r:id="rId866"/>
    <hyperlink xmlns:r="http://schemas.openxmlformats.org/officeDocument/2006/relationships" ref="I934" r:id="rId867"/>
    <hyperlink xmlns:r="http://schemas.openxmlformats.org/officeDocument/2006/relationships" ref="J934" r:id="rId868"/>
    <hyperlink xmlns:r="http://schemas.openxmlformats.org/officeDocument/2006/relationships" ref="U934" r:id="rId869"/>
    <hyperlink xmlns:r="http://schemas.openxmlformats.org/officeDocument/2006/relationships" ref="I935" r:id="rId870"/>
    <hyperlink xmlns:r="http://schemas.openxmlformats.org/officeDocument/2006/relationships" ref="J935" r:id="rId871"/>
    <hyperlink xmlns:r="http://schemas.openxmlformats.org/officeDocument/2006/relationships" ref="U935" r:id="rId872"/>
    <hyperlink xmlns:r="http://schemas.openxmlformats.org/officeDocument/2006/relationships" ref="I936" r:id="rId873"/>
    <hyperlink xmlns:r="http://schemas.openxmlformats.org/officeDocument/2006/relationships" ref="J936" r:id="rId874"/>
    <hyperlink xmlns:r="http://schemas.openxmlformats.org/officeDocument/2006/relationships" ref="U936" r:id="rId875"/>
    <hyperlink xmlns:r="http://schemas.openxmlformats.org/officeDocument/2006/relationships" ref="I937" r:id="rId876"/>
    <hyperlink xmlns:r="http://schemas.openxmlformats.org/officeDocument/2006/relationships" ref="J937" r:id="rId877"/>
    <hyperlink xmlns:r="http://schemas.openxmlformats.org/officeDocument/2006/relationships" ref="U937" r:id="rId878"/>
    <hyperlink xmlns:r="http://schemas.openxmlformats.org/officeDocument/2006/relationships" ref="I938" r:id="rId879"/>
    <hyperlink xmlns:r="http://schemas.openxmlformats.org/officeDocument/2006/relationships" ref="J938" r:id="rId880"/>
    <hyperlink xmlns:r="http://schemas.openxmlformats.org/officeDocument/2006/relationships" ref="U938" r:id="rId881"/>
    <hyperlink xmlns:r="http://schemas.openxmlformats.org/officeDocument/2006/relationships" ref="I939" r:id="rId882"/>
    <hyperlink xmlns:r="http://schemas.openxmlformats.org/officeDocument/2006/relationships" ref="J939" r:id="rId883"/>
    <hyperlink xmlns:r="http://schemas.openxmlformats.org/officeDocument/2006/relationships" ref="U939" r:id="rId884"/>
    <hyperlink xmlns:r="http://schemas.openxmlformats.org/officeDocument/2006/relationships" ref="I940" r:id="rId885"/>
    <hyperlink xmlns:r="http://schemas.openxmlformats.org/officeDocument/2006/relationships" ref="J940" r:id="rId886"/>
    <hyperlink xmlns:r="http://schemas.openxmlformats.org/officeDocument/2006/relationships" ref="U940" r:id="rId887"/>
    <hyperlink xmlns:r="http://schemas.openxmlformats.org/officeDocument/2006/relationships" ref="I941" r:id="rId888"/>
    <hyperlink xmlns:r="http://schemas.openxmlformats.org/officeDocument/2006/relationships" ref="J941" r:id="rId889"/>
    <hyperlink xmlns:r="http://schemas.openxmlformats.org/officeDocument/2006/relationships" ref="U941" r:id="rId890"/>
    <hyperlink xmlns:r="http://schemas.openxmlformats.org/officeDocument/2006/relationships" ref="I942" r:id="rId891"/>
    <hyperlink xmlns:r="http://schemas.openxmlformats.org/officeDocument/2006/relationships" ref="J942" r:id="rId892"/>
    <hyperlink xmlns:r="http://schemas.openxmlformats.org/officeDocument/2006/relationships" ref="U942" r:id="rId893"/>
    <hyperlink xmlns:r="http://schemas.openxmlformats.org/officeDocument/2006/relationships" ref="I943" r:id="rId894"/>
    <hyperlink xmlns:r="http://schemas.openxmlformats.org/officeDocument/2006/relationships" ref="J943" r:id="rId895"/>
    <hyperlink xmlns:r="http://schemas.openxmlformats.org/officeDocument/2006/relationships" ref="U943" r:id="rId896"/>
    <hyperlink xmlns:r="http://schemas.openxmlformats.org/officeDocument/2006/relationships" ref="I944" r:id="rId897"/>
    <hyperlink xmlns:r="http://schemas.openxmlformats.org/officeDocument/2006/relationships" ref="J944" r:id="rId898"/>
    <hyperlink xmlns:r="http://schemas.openxmlformats.org/officeDocument/2006/relationships" ref="U944" r:id="rId899"/>
    <hyperlink xmlns:r="http://schemas.openxmlformats.org/officeDocument/2006/relationships" ref="I945" r:id="rId900"/>
    <hyperlink xmlns:r="http://schemas.openxmlformats.org/officeDocument/2006/relationships" ref="J945" r:id="rId901"/>
    <hyperlink xmlns:r="http://schemas.openxmlformats.org/officeDocument/2006/relationships" ref="U945" r:id="rId902"/>
    <hyperlink xmlns:r="http://schemas.openxmlformats.org/officeDocument/2006/relationships" ref="I946" r:id="rId903"/>
    <hyperlink xmlns:r="http://schemas.openxmlformats.org/officeDocument/2006/relationships" ref="J946" r:id="rId904"/>
    <hyperlink xmlns:r="http://schemas.openxmlformats.org/officeDocument/2006/relationships" ref="U946" r:id="rId905"/>
    <hyperlink xmlns:r="http://schemas.openxmlformats.org/officeDocument/2006/relationships" ref="I947" r:id="rId906"/>
    <hyperlink xmlns:r="http://schemas.openxmlformats.org/officeDocument/2006/relationships" ref="J947" r:id="rId907"/>
    <hyperlink xmlns:r="http://schemas.openxmlformats.org/officeDocument/2006/relationships" ref="U947" r:id="rId908"/>
    <hyperlink xmlns:r="http://schemas.openxmlformats.org/officeDocument/2006/relationships" ref="I948" r:id="rId909"/>
    <hyperlink xmlns:r="http://schemas.openxmlformats.org/officeDocument/2006/relationships" ref="J948" r:id="rId910"/>
    <hyperlink xmlns:r="http://schemas.openxmlformats.org/officeDocument/2006/relationships" ref="U948" r:id="rId911"/>
    <hyperlink xmlns:r="http://schemas.openxmlformats.org/officeDocument/2006/relationships" ref="I949" r:id="rId912"/>
    <hyperlink xmlns:r="http://schemas.openxmlformats.org/officeDocument/2006/relationships" ref="J949" r:id="rId913"/>
    <hyperlink xmlns:r="http://schemas.openxmlformats.org/officeDocument/2006/relationships" ref="U949" r:id="rId914"/>
    <hyperlink xmlns:r="http://schemas.openxmlformats.org/officeDocument/2006/relationships" ref="I950" r:id="rId915"/>
    <hyperlink xmlns:r="http://schemas.openxmlformats.org/officeDocument/2006/relationships" ref="J950" r:id="rId916"/>
    <hyperlink xmlns:r="http://schemas.openxmlformats.org/officeDocument/2006/relationships" ref="U950" r:id="rId917"/>
    <hyperlink xmlns:r="http://schemas.openxmlformats.org/officeDocument/2006/relationships" ref="I951" r:id="rId918"/>
    <hyperlink xmlns:r="http://schemas.openxmlformats.org/officeDocument/2006/relationships" ref="J951" r:id="rId919"/>
    <hyperlink xmlns:r="http://schemas.openxmlformats.org/officeDocument/2006/relationships" ref="U951" r:id="rId920"/>
    <hyperlink xmlns:r="http://schemas.openxmlformats.org/officeDocument/2006/relationships" ref="I952" r:id="rId921"/>
    <hyperlink xmlns:r="http://schemas.openxmlformats.org/officeDocument/2006/relationships" ref="J952" r:id="rId922"/>
    <hyperlink xmlns:r="http://schemas.openxmlformats.org/officeDocument/2006/relationships" ref="U952" r:id="rId923"/>
    <hyperlink xmlns:r="http://schemas.openxmlformats.org/officeDocument/2006/relationships" ref="I953" r:id="rId924"/>
    <hyperlink xmlns:r="http://schemas.openxmlformats.org/officeDocument/2006/relationships" ref="J953" r:id="rId925"/>
    <hyperlink xmlns:r="http://schemas.openxmlformats.org/officeDocument/2006/relationships" ref="U953" r:id="rId926"/>
    <hyperlink xmlns:r="http://schemas.openxmlformats.org/officeDocument/2006/relationships" ref="I954" r:id="rId927"/>
    <hyperlink xmlns:r="http://schemas.openxmlformats.org/officeDocument/2006/relationships" ref="J954" r:id="rId928"/>
    <hyperlink xmlns:r="http://schemas.openxmlformats.org/officeDocument/2006/relationships" ref="U954" r:id="rId929"/>
    <hyperlink xmlns:r="http://schemas.openxmlformats.org/officeDocument/2006/relationships" ref="I955" r:id="rId930"/>
    <hyperlink xmlns:r="http://schemas.openxmlformats.org/officeDocument/2006/relationships" ref="J955" r:id="rId931"/>
    <hyperlink xmlns:r="http://schemas.openxmlformats.org/officeDocument/2006/relationships" ref="U955" r:id="rId932"/>
    <hyperlink xmlns:r="http://schemas.openxmlformats.org/officeDocument/2006/relationships" ref="I956" r:id="rId933"/>
    <hyperlink xmlns:r="http://schemas.openxmlformats.org/officeDocument/2006/relationships" ref="J956" r:id="rId934"/>
    <hyperlink xmlns:r="http://schemas.openxmlformats.org/officeDocument/2006/relationships" ref="U956" r:id="rId935"/>
    <hyperlink xmlns:r="http://schemas.openxmlformats.org/officeDocument/2006/relationships" ref="I957" r:id="rId936"/>
    <hyperlink xmlns:r="http://schemas.openxmlformats.org/officeDocument/2006/relationships" ref="J957" r:id="rId937"/>
    <hyperlink xmlns:r="http://schemas.openxmlformats.org/officeDocument/2006/relationships" ref="U957" r:id="rId938"/>
    <hyperlink xmlns:r="http://schemas.openxmlformats.org/officeDocument/2006/relationships" ref="I958" r:id="rId939"/>
    <hyperlink xmlns:r="http://schemas.openxmlformats.org/officeDocument/2006/relationships" ref="J958" r:id="rId940"/>
    <hyperlink xmlns:r="http://schemas.openxmlformats.org/officeDocument/2006/relationships" ref="U958" r:id="rId941"/>
    <hyperlink xmlns:r="http://schemas.openxmlformats.org/officeDocument/2006/relationships" ref="I959" r:id="rId942"/>
    <hyperlink xmlns:r="http://schemas.openxmlformats.org/officeDocument/2006/relationships" ref="J959" r:id="rId943"/>
    <hyperlink xmlns:r="http://schemas.openxmlformats.org/officeDocument/2006/relationships" ref="U959" r:id="rId944"/>
    <hyperlink xmlns:r="http://schemas.openxmlformats.org/officeDocument/2006/relationships" ref="I960" r:id="rId945"/>
    <hyperlink xmlns:r="http://schemas.openxmlformats.org/officeDocument/2006/relationships" ref="J960" r:id="rId946"/>
    <hyperlink xmlns:r="http://schemas.openxmlformats.org/officeDocument/2006/relationships" ref="U960" r:id="rId947"/>
    <hyperlink xmlns:r="http://schemas.openxmlformats.org/officeDocument/2006/relationships" ref="I961" r:id="rId948"/>
    <hyperlink xmlns:r="http://schemas.openxmlformats.org/officeDocument/2006/relationships" ref="J961" r:id="rId949"/>
    <hyperlink xmlns:r="http://schemas.openxmlformats.org/officeDocument/2006/relationships" ref="U961" r:id="rId950"/>
    <hyperlink xmlns:r="http://schemas.openxmlformats.org/officeDocument/2006/relationships" ref="I962" r:id="rId951"/>
    <hyperlink xmlns:r="http://schemas.openxmlformats.org/officeDocument/2006/relationships" ref="J962" r:id="rId952"/>
    <hyperlink xmlns:r="http://schemas.openxmlformats.org/officeDocument/2006/relationships" ref="U962" r:id="rId953"/>
    <hyperlink xmlns:r="http://schemas.openxmlformats.org/officeDocument/2006/relationships" ref="I963" r:id="rId954"/>
    <hyperlink xmlns:r="http://schemas.openxmlformats.org/officeDocument/2006/relationships" ref="J963" r:id="rId955"/>
    <hyperlink xmlns:r="http://schemas.openxmlformats.org/officeDocument/2006/relationships" ref="U963" r:id="rId956"/>
    <hyperlink xmlns:r="http://schemas.openxmlformats.org/officeDocument/2006/relationships" ref="I964" r:id="rId957"/>
    <hyperlink xmlns:r="http://schemas.openxmlformats.org/officeDocument/2006/relationships" ref="J964" r:id="rId958"/>
    <hyperlink xmlns:r="http://schemas.openxmlformats.org/officeDocument/2006/relationships" ref="U964" r:id="rId959"/>
    <hyperlink xmlns:r="http://schemas.openxmlformats.org/officeDocument/2006/relationships" ref="I965" r:id="rId960"/>
    <hyperlink xmlns:r="http://schemas.openxmlformats.org/officeDocument/2006/relationships" ref="J965" r:id="rId961"/>
    <hyperlink xmlns:r="http://schemas.openxmlformats.org/officeDocument/2006/relationships" ref="U965" r:id="rId962"/>
    <hyperlink xmlns:r="http://schemas.openxmlformats.org/officeDocument/2006/relationships" ref="I966" r:id="rId963"/>
    <hyperlink xmlns:r="http://schemas.openxmlformats.org/officeDocument/2006/relationships" ref="J966" r:id="rId964"/>
    <hyperlink xmlns:r="http://schemas.openxmlformats.org/officeDocument/2006/relationships" ref="U966" r:id="rId965"/>
    <hyperlink xmlns:r="http://schemas.openxmlformats.org/officeDocument/2006/relationships" ref="I967" r:id="rId966"/>
    <hyperlink xmlns:r="http://schemas.openxmlformats.org/officeDocument/2006/relationships" ref="J967" r:id="rId967"/>
    <hyperlink xmlns:r="http://schemas.openxmlformats.org/officeDocument/2006/relationships" ref="U967" r:id="rId968"/>
    <hyperlink xmlns:r="http://schemas.openxmlformats.org/officeDocument/2006/relationships" ref="I968" r:id="rId969"/>
    <hyperlink xmlns:r="http://schemas.openxmlformats.org/officeDocument/2006/relationships" ref="J968" r:id="rId970"/>
    <hyperlink xmlns:r="http://schemas.openxmlformats.org/officeDocument/2006/relationships" ref="U968" r:id="rId971"/>
    <hyperlink xmlns:r="http://schemas.openxmlformats.org/officeDocument/2006/relationships" ref="I969" r:id="rId972"/>
    <hyperlink xmlns:r="http://schemas.openxmlformats.org/officeDocument/2006/relationships" ref="J969" r:id="rId973"/>
    <hyperlink xmlns:r="http://schemas.openxmlformats.org/officeDocument/2006/relationships" ref="U969" r:id="rId974"/>
    <hyperlink xmlns:r="http://schemas.openxmlformats.org/officeDocument/2006/relationships" ref="I970" r:id="rId975"/>
    <hyperlink xmlns:r="http://schemas.openxmlformats.org/officeDocument/2006/relationships" ref="J970" r:id="rId976"/>
    <hyperlink xmlns:r="http://schemas.openxmlformats.org/officeDocument/2006/relationships" ref="U970" r:id="rId977"/>
    <hyperlink xmlns:r="http://schemas.openxmlformats.org/officeDocument/2006/relationships" ref="I971" r:id="rId978"/>
    <hyperlink xmlns:r="http://schemas.openxmlformats.org/officeDocument/2006/relationships" ref="J971" r:id="rId979"/>
    <hyperlink xmlns:r="http://schemas.openxmlformats.org/officeDocument/2006/relationships" ref="U971" r:id="rId980"/>
    <hyperlink xmlns:r="http://schemas.openxmlformats.org/officeDocument/2006/relationships" ref="I972" r:id="rId981"/>
    <hyperlink xmlns:r="http://schemas.openxmlformats.org/officeDocument/2006/relationships" ref="J972" r:id="rId982"/>
    <hyperlink xmlns:r="http://schemas.openxmlformats.org/officeDocument/2006/relationships" ref="U972" r:id="rId983"/>
    <hyperlink xmlns:r="http://schemas.openxmlformats.org/officeDocument/2006/relationships" ref="I973" r:id="rId984"/>
    <hyperlink xmlns:r="http://schemas.openxmlformats.org/officeDocument/2006/relationships" ref="J973" r:id="rId985"/>
    <hyperlink xmlns:r="http://schemas.openxmlformats.org/officeDocument/2006/relationships" ref="U973" r:id="rId986"/>
    <hyperlink xmlns:r="http://schemas.openxmlformats.org/officeDocument/2006/relationships" ref="I974" r:id="rId987"/>
    <hyperlink xmlns:r="http://schemas.openxmlformats.org/officeDocument/2006/relationships" ref="J974" r:id="rId988"/>
    <hyperlink xmlns:r="http://schemas.openxmlformats.org/officeDocument/2006/relationships" ref="U974" r:id="rId989"/>
    <hyperlink xmlns:r="http://schemas.openxmlformats.org/officeDocument/2006/relationships" ref="I975" r:id="rId990"/>
    <hyperlink xmlns:r="http://schemas.openxmlformats.org/officeDocument/2006/relationships" ref="J975" r:id="rId991"/>
    <hyperlink xmlns:r="http://schemas.openxmlformats.org/officeDocument/2006/relationships" ref="U975" r:id="rId992"/>
    <hyperlink xmlns:r="http://schemas.openxmlformats.org/officeDocument/2006/relationships" ref="I976" r:id="rId993"/>
    <hyperlink xmlns:r="http://schemas.openxmlformats.org/officeDocument/2006/relationships" ref="J976" r:id="rId994"/>
    <hyperlink xmlns:r="http://schemas.openxmlformats.org/officeDocument/2006/relationships" ref="U976" r:id="rId995"/>
    <hyperlink xmlns:r="http://schemas.openxmlformats.org/officeDocument/2006/relationships" ref="I977" r:id="rId996"/>
    <hyperlink xmlns:r="http://schemas.openxmlformats.org/officeDocument/2006/relationships" ref="J977" r:id="rId997"/>
    <hyperlink xmlns:r="http://schemas.openxmlformats.org/officeDocument/2006/relationships" ref="U977" r:id="rId998"/>
    <hyperlink xmlns:r="http://schemas.openxmlformats.org/officeDocument/2006/relationships" ref="I978" r:id="rId999"/>
    <hyperlink xmlns:r="http://schemas.openxmlformats.org/officeDocument/2006/relationships" ref="J978" r:id="rId1000"/>
    <hyperlink xmlns:r="http://schemas.openxmlformats.org/officeDocument/2006/relationships" ref="U978" r:id="rId1001"/>
    <hyperlink xmlns:r="http://schemas.openxmlformats.org/officeDocument/2006/relationships" ref="I979" r:id="rId1002"/>
    <hyperlink xmlns:r="http://schemas.openxmlformats.org/officeDocument/2006/relationships" ref="J979" r:id="rId1003"/>
    <hyperlink xmlns:r="http://schemas.openxmlformats.org/officeDocument/2006/relationships" ref="U979" r:id="rId1004"/>
    <hyperlink xmlns:r="http://schemas.openxmlformats.org/officeDocument/2006/relationships" ref="I980" r:id="rId1005"/>
    <hyperlink xmlns:r="http://schemas.openxmlformats.org/officeDocument/2006/relationships" ref="J980" r:id="rId1006"/>
    <hyperlink xmlns:r="http://schemas.openxmlformats.org/officeDocument/2006/relationships" ref="U980" r:id="rId1007"/>
    <hyperlink xmlns:r="http://schemas.openxmlformats.org/officeDocument/2006/relationships" ref="I981" r:id="rId1008"/>
    <hyperlink xmlns:r="http://schemas.openxmlformats.org/officeDocument/2006/relationships" ref="J981" r:id="rId1009"/>
    <hyperlink xmlns:r="http://schemas.openxmlformats.org/officeDocument/2006/relationships" ref="U981" r:id="rId1010"/>
    <hyperlink xmlns:r="http://schemas.openxmlformats.org/officeDocument/2006/relationships" ref="I982" r:id="rId1011"/>
    <hyperlink xmlns:r="http://schemas.openxmlformats.org/officeDocument/2006/relationships" ref="J982" r:id="rId1012"/>
    <hyperlink xmlns:r="http://schemas.openxmlformats.org/officeDocument/2006/relationships" ref="U982" r:id="rId1013"/>
    <hyperlink xmlns:r="http://schemas.openxmlformats.org/officeDocument/2006/relationships" ref="I983" r:id="rId1014"/>
    <hyperlink xmlns:r="http://schemas.openxmlformats.org/officeDocument/2006/relationships" ref="J983" r:id="rId1015"/>
    <hyperlink xmlns:r="http://schemas.openxmlformats.org/officeDocument/2006/relationships" ref="U983" r:id="rId1016"/>
    <hyperlink xmlns:r="http://schemas.openxmlformats.org/officeDocument/2006/relationships" ref="I984" r:id="rId1017"/>
    <hyperlink xmlns:r="http://schemas.openxmlformats.org/officeDocument/2006/relationships" ref="J984" r:id="rId1018"/>
    <hyperlink xmlns:r="http://schemas.openxmlformats.org/officeDocument/2006/relationships" ref="U984" r:id="rId1019"/>
    <hyperlink xmlns:r="http://schemas.openxmlformats.org/officeDocument/2006/relationships" ref="I985" r:id="rId1020"/>
    <hyperlink xmlns:r="http://schemas.openxmlformats.org/officeDocument/2006/relationships" ref="J985" r:id="rId1021"/>
    <hyperlink xmlns:r="http://schemas.openxmlformats.org/officeDocument/2006/relationships" ref="U985" r:id="rId1022"/>
    <hyperlink xmlns:r="http://schemas.openxmlformats.org/officeDocument/2006/relationships" ref="I986" r:id="rId1023"/>
    <hyperlink xmlns:r="http://schemas.openxmlformats.org/officeDocument/2006/relationships" ref="J986" r:id="rId1024"/>
    <hyperlink xmlns:r="http://schemas.openxmlformats.org/officeDocument/2006/relationships" ref="U986" r:id="rId1025"/>
    <hyperlink xmlns:r="http://schemas.openxmlformats.org/officeDocument/2006/relationships" ref="I987" r:id="rId1026"/>
    <hyperlink xmlns:r="http://schemas.openxmlformats.org/officeDocument/2006/relationships" ref="J987" r:id="rId1027"/>
    <hyperlink xmlns:r="http://schemas.openxmlformats.org/officeDocument/2006/relationships" ref="U987" r:id="rId1028"/>
    <hyperlink xmlns:r="http://schemas.openxmlformats.org/officeDocument/2006/relationships" ref="I988" r:id="rId1029"/>
    <hyperlink xmlns:r="http://schemas.openxmlformats.org/officeDocument/2006/relationships" ref="J988" r:id="rId1030"/>
    <hyperlink xmlns:r="http://schemas.openxmlformats.org/officeDocument/2006/relationships" ref="U988" r:id="rId1031"/>
    <hyperlink xmlns:r="http://schemas.openxmlformats.org/officeDocument/2006/relationships" ref="I989" r:id="rId1032"/>
    <hyperlink xmlns:r="http://schemas.openxmlformats.org/officeDocument/2006/relationships" ref="J989" r:id="rId1033"/>
    <hyperlink xmlns:r="http://schemas.openxmlformats.org/officeDocument/2006/relationships" ref="U989" r:id="rId1034"/>
    <hyperlink xmlns:r="http://schemas.openxmlformats.org/officeDocument/2006/relationships" ref="I990" r:id="rId1035"/>
    <hyperlink xmlns:r="http://schemas.openxmlformats.org/officeDocument/2006/relationships" ref="J990" r:id="rId1036"/>
    <hyperlink xmlns:r="http://schemas.openxmlformats.org/officeDocument/2006/relationships" ref="U990" r:id="rId1037"/>
    <hyperlink xmlns:r="http://schemas.openxmlformats.org/officeDocument/2006/relationships" ref="I991" r:id="rId1038"/>
    <hyperlink xmlns:r="http://schemas.openxmlformats.org/officeDocument/2006/relationships" ref="J991" r:id="rId1039"/>
    <hyperlink xmlns:r="http://schemas.openxmlformats.org/officeDocument/2006/relationships" ref="U991" r:id="rId1040"/>
    <hyperlink xmlns:r="http://schemas.openxmlformats.org/officeDocument/2006/relationships" ref="I992" r:id="rId1041"/>
    <hyperlink xmlns:r="http://schemas.openxmlformats.org/officeDocument/2006/relationships" ref="J992" r:id="rId1042"/>
    <hyperlink xmlns:r="http://schemas.openxmlformats.org/officeDocument/2006/relationships" ref="U992" r:id="rId1043"/>
    <hyperlink xmlns:r="http://schemas.openxmlformats.org/officeDocument/2006/relationships" ref="I993" r:id="rId1044"/>
    <hyperlink xmlns:r="http://schemas.openxmlformats.org/officeDocument/2006/relationships" ref="J993" r:id="rId1045"/>
    <hyperlink xmlns:r="http://schemas.openxmlformats.org/officeDocument/2006/relationships" ref="U993" r:id="rId1046"/>
    <hyperlink xmlns:r="http://schemas.openxmlformats.org/officeDocument/2006/relationships" ref="I994" r:id="rId1047"/>
    <hyperlink xmlns:r="http://schemas.openxmlformats.org/officeDocument/2006/relationships" ref="J994" r:id="rId1048"/>
    <hyperlink xmlns:r="http://schemas.openxmlformats.org/officeDocument/2006/relationships" ref="U994" r:id="rId1049"/>
    <hyperlink xmlns:r="http://schemas.openxmlformats.org/officeDocument/2006/relationships" ref="I995" r:id="rId1050"/>
    <hyperlink xmlns:r="http://schemas.openxmlformats.org/officeDocument/2006/relationships" ref="J995" r:id="rId1051"/>
    <hyperlink xmlns:r="http://schemas.openxmlformats.org/officeDocument/2006/relationships" ref="U995" r:id="rId1052"/>
    <hyperlink xmlns:r="http://schemas.openxmlformats.org/officeDocument/2006/relationships" ref="I996" r:id="rId1053"/>
    <hyperlink xmlns:r="http://schemas.openxmlformats.org/officeDocument/2006/relationships" ref="J996" r:id="rId1054"/>
    <hyperlink xmlns:r="http://schemas.openxmlformats.org/officeDocument/2006/relationships" ref="U996" r:id="rId1055"/>
    <hyperlink xmlns:r="http://schemas.openxmlformats.org/officeDocument/2006/relationships" ref="I997" r:id="rId1056"/>
    <hyperlink xmlns:r="http://schemas.openxmlformats.org/officeDocument/2006/relationships" ref="J997" r:id="rId1057"/>
    <hyperlink xmlns:r="http://schemas.openxmlformats.org/officeDocument/2006/relationships" ref="U997" r:id="rId1058"/>
    <hyperlink xmlns:r="http://schemas.openxmlformats.org/officeDocument/2006/relationships" ref="I998" r:id="rId1059"/>
    <hyperlink xmlns:r="http://schemas.openxmlformats.org/officeDocument/2006/relationships" ref="J998" r:id="rId1060"/>
    <hyperlink xmlns:r="http://schemas.openxmlformats.org/officeDocument/2006/relationships" ref="U998" r:id="rId1061"/>
    <hyperlink xmlns:r="http://schemas.openxmlformats.org/officeDocument/2006/relationships" ref="I999" r:id="rId1062"/>
    <hyperlink xmlns:r="http://schemas.openxmlformats.org/officeDocument/2006/relationships" ref="J999" r:id="rId1063"/>
    <hyperlink xmlns:r="http://schemas.openxmlformats.org/officeDocument/2006/relationships" ref="U999" r:id="rId1064"/>
    <hyperlink xmlns:r="http://schemas.openxmlformats.org/officeDocument/2006/relationships" ref="I1000" r:id="rId1065"/>
    <hyperlink xmlns:r="http://schemas.openxmlformats.org/officeDocument/2006/relationships" ref="J1000" r:id="rId1066"/>
    <hyperlink xmlns:r="http://schemas.openxmlformats.org/officeDocument/2006/relationships" ref="U1000" r:id="rId1067"/>
    <hyperlink xmlns:r="http://schemas.openxmlformats.org/officeDocument/2006/relationships" ref="I1001" r:id="rId1068"/>
    <hyperlink xmlns:r="http://schemas.openxmlformats.org/officeDocument/2006/relationships" ref="J1001" r:id="rId1069"/>
    <hyperlink xmlns:r="http://schemas.openxmlformats.org/officeDocument/2006/relationships" ref="U1001" r:id="rId1070"/>
    <hyperlink xmlns:r="http://schemas.openxmlformats.org/officeDocument/2006/relationships" ref="I1002" r:id="rId1071"/>
    <hyperlink xmlns:r="http://schemas.openxmlformats.org/officeDocument/2006/relationships" ref="J1002" r:id="rId1072"/>
    <hyperlink xmlns:r="http://schemas.openxmlformats.org/officeDocument/2006/relationships" ref="U1002" r:id="rId1073"/>
    <hyperlink xmlns:r="http://schemas.openxmlformats.org/officeDocument/2006/relationships" ref="I1003" r:id="rId1074"/>
    <hyperlink xmlns:r="http://schemas.openxmlformats.org/officeDocument/2006/relationships" ref="J1003" r:id="rId1075"/>
    <hyperlink xmlns:r="http://schemas.openxmlformats.org/officeDocument/2006/relationships" ref="U1003" r:id="rId1076"/>
    <hyperlink xmlns:r="http://schemas.openxmlformats.org/officeDocument/2006/relationships" ref="I1004" r:id="rId1077"/>
    <hyperlink xmlns:r="http://schemas.openxmlformats.org/officeDocument/2006/relationships" ref="J1004" r:id="rId1078"/>
    <hyperlink xmlns:r="http://schemas.openxmlformats.org/officeDocument/2006/relationships" ref="U1004" r:id="rId1079"/>
    <hyperlink xmlns:r="http://schemas.openxmlformats.org/officeDocument/2006/relationships" ref="I1005" r:id="rId1080"/>
    <hyperlink xmlns:r="http://schemas.openxmlformats.org/officeDocument/2006/relationships" ref="J1005" r:id="rId1081"/>
    <hyperlink xmlns:r="http://schemas.openxmlformats.org/officeDocument/2006/relationships" ref="U1005" r:id="rId1082"/>
    <hyperlink xmlns:r="http://schemas.openxmlformats.org/officeDocument/2006/relationships" ref="I1006" r:id="rId1083"/>
    <hyperlink xmlns:r="http://schemas.openxmlformats.org/officeDocument/2006/relationships" ref="J1006" r:id="rId1084"/>
    <hyperlink xmlns:r="http://schemas.openxmlformats.org/officeDocument/2006/relationships" ref="U1006" r:id="rId1085"/>
    <hyperlink xmlns:r="http://schemas.openxmlformats.org/officeDocument/2006/relationships" ref="I1007" r:id="rId1086"/>
    <hyperlink xmlns:r="http://schemas.openxmlformats.org/officeDocument/2006/relationships" ref="J1007" r:id="rId1087"/>
    <hyperlink xmlns:r="http://schemas.openxmlformats.org/officeDocument/2006/relationships" ref="U1007" r:id="rId1088"/>
    <hyperlink xmlns:r="http://schemas.openxmlformats.org/officeDocument/2006/relationships" ref="I1008" r:id="rId1089"/>
    <hyperlink xmlns:r="http://schemas.openxmlformats.org/officeDocument/2006/relationships" ref="J1008" r:id="rId1090"/>
    <hyperlink xmlns:r="http://schemas.openxmlformats.org/officeDocument/2006/relationships" ref="U1008" r:id="rId1091"/>
    <hyperlink xmlns:r="http://schemas.openxmlformats.org/officeDocument/2006/relationships" ref="I1009" r:id="rId1092"/>
    <hyperlink xmlns:r="http://schemas.openxmlformats.org/officeDocument/2006/relationships" ref="J1009" r:id="rId1093"/>
    <hyperlink xmlns:r="http://schemas.openxmlformats.org/officeDocument/2006/relationships" ref="U1009" r:id="rId1094"/>
    <hyperlink xmlns:r="http://schemas.openxmlformats.org/officeDocument/2006/relationships" ref="I1010" r:id="rId1095"/>
    <hyperlink xmlns:r="http://schemas.openxmlformats.org/officeDocument/2006/relationships" ref="J1010" r:id="rId1096"/>
    <hyperlink xmlns:r="http://schemas.openxmlformats.org/officeDocument/2006/relationships" ref="U1010" r:id="rId1097"/>
    <hyperlink xmlns:r="http://schemas.openxmlformats.org/officeDocument/2006/relationships" ref="I1011" r:id="rId1098"/>
    <hyperlink xmlns:r="http://schemas.openxmlformats.org/officeDocument/2006/relationships" ref="J1011" r:id="rId1099"/>
    <hyperlink xmlns:r="http://schemas.openxmlformats.org/officeDocument/2006/relationships" ref="U1011" r:id="rId1100"/>
    <hyperlink xmlns:r="http://schemas.openxmlformats.org/officeDocument/2006/relationships" ref="I1012" r:id="rId1101"/>
    <hyperlink xmlns:r="http://schemas.openxmlformats.org/officeDocument/2006/relationships" ref="J1012" r:id="rId1102"/>
    <hyperlink xmlns:r="http://schemas.openxmlformats.org/officeDocument/2006/relationships" ref="U1012" r:id="rId1103"/>
    <hyperlink xmlns:r="http://schemas.openxmlformats.org/officeDocument/2006/relationships" ref="I1013" r:id="rId1104"/>
    <hyperlink xmlns:r="http://schemas.openxmlformats.org/officeDocument/2006/relationships" ref="J1013" r:id="rId1105"/>
    <hyperlink xmlns:r="http://schemas.openxmlformats.org/officeDocument/2006/relationships" ref="U1013" r:id="rId1106"/>
    <hyperlink xmlns:r="http://schemas.openxmlformats.org/officeDocument/2006/relationships" ref="I1014" r:id="rId1107"/>
    <hyperlink xmlns:r="http://schemas.openxmlformats.org/officeDocument/2006/relationships" ref="J1014" r:id="rId1108"/>
    <hyperlink xmlns:r="http://schemas.openxmlformats.org/officeDocument/2006/relationships" ref="U1014" r:id="rId1109"/>
    <hyperlink xmlns:r="http://schemas.openxmlformats.org/officeDocument/2006/relationships" ref="I1015" r:id="rId1110"/>
    <hyperlink xmlns:r="http://schemas.openxmlformats.org/officeDocument/2006/relationships" ref="J1015" r:id="rId1111"/>
    <hyperlink xmlns:r="http://schemas.openxmlformats.org/officeDocument/2006/relationships" ref="U1015" r:id="rId1112"/>
    <hyperlink xmlns:r="http://schemas.openxmlformats.org/officeDocument/2006/relationships" ref="I1016" r:id="rId1113"/>
    <hyperlink xmlns:r="http://schemas.openxmlformats.org/officeDocument/2006/relationships" ref="J1016" r:id="rId1114"/>
    <hyperlink xmlns:r="http://schemas.openxmlformats.org/officeDocument/2006/relationships" ref="U1016" r:id="rId1115"/>
    <hyperlink xmlns:r="http://schemas.openxmlformats.org/officeDocument/2006/relationships" ref="I1017" r:id="rId1116"/>
    <hyperlink xmlns:r="http://schemas.openxmlformats.org/officeDocument/2006/relationships" ref="J1017" r:id="rId1117"/>
    <hyperlink xmlns:r="http://schemas.openxmlformats.org/officeDocument/2006/relationships" ref="U1017" r:id="rId1118"/>
    <hyperlink xmlns:r="http://schemas.openxmlformats.org/officeDocument/2006/relationships" ref="I1018" r:id="rId1119"/>
    <hyperlink xmlns:r="http://schemas.openxmlformats.org/officeDocument/2006/relationships" ref="J1018" r:id="rId1120"/>
    <hyperlink xmlns:r="http://schemas.openxmlformats.org/officeDocument/2006/relationships" ref="U1018" r:id="rId1121"/>
    <hyperlink xmlns:r="http://schemas.openxmlformats.org/officeDocument/2006/relationships" ref="I1019" r:id="rId1122"/>
    <hyperlink xmlns:r="http://schemas.openxmlformats.org/officeDocument/2006/relationships" ref="J1019" r:id="rId1123"/>
    <hyperlink xmlns:r="http://schemas.openxmlformats.org/officeDocument/2006/relationships" ref="U1019" r:id="rId1124"/>
    <hyperlink xmlns:r="http://schemas.openxmlformats.org/officeDocument/2006/relationships" ref="I1020" r:id="rId1125"/>
    <hyperlink xmlns:r="http://schemas.openxmlformats.org/officeDocument/2006/relationships" ref="J1020" r:id="rId1126"/>
    <hyperlink xmlns:r="http://schemas.openxmlformats.org/officeDocument/2006/relationships" ref="U1020" r:id="rId1127"/>
    <hyperlink xmlns:r="http://schemas.openxmlformats.org/officeDocument/2006/relationships" ref="I1021" r:id="rId1128"/>
    <hyperlink xmlns:r="http://schemas.openxmlformats.org/officeDocument/2006/relationships" ref="J1021" r:id="rId1129"/>
    <hyperlink xmlns:r="http://schemas.openxmlformats.org/officeDocument/2006/relationships" ref="U1021" r:id="rId1130"/>
    <hyperlink xmlns:r="http://schemas.openxmlformats.org/officeDocument/2006/relationships" ref="I1022" r:id="rId1131"/>
    <hyperlink xmlns:r="http://schemas.openxmlformats.org/officeDocument/2006/relationships" ref="J1022" r:id="rId1132"/>
    <hyperlink xmlns:r="http://schemas.openxmlformats.org/officeDocument/2006/relationships" ref="U1022" r:id="rId1133"/>
    <hyperlink xmlns:r="http://schemas.openxmlformats.org/officeDocument/2006/relationships" ref="I1023" r:id="rId1134"/>
    <hyperlink xmlns:r="http://schemas.openxmlformats.org/officeDocument/2006/relationships" ref="J1023" r:id="rId1135"/>
    <hyperlink xmlns:r="http://schemas.openxmlformats.org/officeDocument/2006/relationships" ref="U1023" r:id="rId1136"/>
    <hyperlink xmlns:r="http://schemas.openxmlformats.org/officeDocument/2006/relationships" ref="I1024" r:id="rId1137"/>
    <hyperlink xmlns:r="http://schemas.openxmlformats.org/officeDocument/2006/relationships" ref="J1024" r:id="rId1138"/>
    <hyperlink xmlns:r="http://schemas.openxmlformats.org/officeDocument/2006/relationships" ref="U1024" r:id="rId1139"/>
    <hyperlink xmlns:r="http://schemas.openxmlformats.org/officeDocument/2006/relationships" ref="I1025" r:id="rId1140"/>
    <hyperlink xmlns:r="http://schemas.openxmlformats.org/officeDocument/2006/relationships" ref="J1025" r:id="rId1141"/>
    <hyperlink xmlns:r="http://schemas.openxmlformats.org/officeDocument/2006/relationships" ref="U1025" r:id="rId1142"/>
  </hyperlinks>
  <pageMargins left="0.75" right="0.75" top="1" bottom="1" header="0.5" footer="0.5"/>
  <pageSetup orientation="portrait"/>
</worksheet>
</file>

<file path=xl/worksheets/sheet4.xml><?xml version="1.0" encoding="utf-8"?>
<worksheet xmlns="http://schemas.openxmlformats.org/spreadsheetml/2006/main">
  <sheetPr>
    <outlinePr summaryBelow="1" summaryRight="1"/>
    <pageSetUpPr/>
  </sheetPr>
  <dimension ref="A1:F3331"/>
  <sheetViews>
    <sheetView tabSelected="1" workbookViewId="0">
      <pane ySplit="1" topLeftCell="A20" activePane="bottomLeft" state="frozen"/>
      <selection pane="bottomLeft" activeCell="A6" sqref="A6"/>
    </sheetView>
  </sheetViews>
  <sheetFormatPr baseColWidth="8" defaultRowHeight="14.25"/>
  <cols>
    <col width="34" customWidth="1" style="99" min="1" max="1"/>
    <col width="6" customWidth="1" style="99" min="2" max="2"/>
    <col width="26" customWidth="1" style="99" min="3" max="3"/>
    <col width="60" customWidth="1" style="99" min="4" max="5"/>
    <col width="11" customWidth="1" style="99" min="6" max="6"/>
  </cols>
  <sheetData>
    <row r="1" ht="15.75" customHeight="1" s="99">
      <c r="A1" s="90" t="inlineStr">
        <is>
          <t>Nguồn</t>
        </is>
      </c>
      <c r="B1" s="90" t="inlineStr">
        <is>
          <t>STT</t>
        </is>
      </c>
      <c r="C1" s="91" t="inlineStr">
        <is>
          <t>🀄 Hán tự</t>
        </is>
      </c>
      <c r="D1" s="90" t="inlineStr">
        <is>
          <t>🔤 Pinyin &amp; Nghĩa</t>
        </is>
      </c>
      <c r="E1" s="90" t="inlineStr">
        <is>
          <t>📄 Câu gốc (nguyên văn)</t>
        </is>
      </c>
      <c r="F1" s="113" t="inlineStr">
        <is>
          <t>🌐 YOUGLISH</t>
        </is>
      </c>
    </row>
    <row r="2">
      <c r="A2" s="92" t="inlineStr">
        <is>
          <t>626 ĐPTM.pdf</t>
        </is>
      </c>
      <c r="B2" s="93" t="inlineStr">
        <is>
          <t>1</t>
        </is>
      </c>
      <c r="C2" s="92" t="inlineStr">
        <is>
          <t>这个价格合理吗？</t>
        </is>
      </c>
      <c r="D2" s="92" t="inlineStr">
        <is>
          <t>Giá cả này hợp lý không? Zhège jiàgé hélǐ ma?</t>
        </is>
      </c>
      <c r="E2" s="92" t="inlineStr">
        <is>
          <t>1 这个价格合理 吗？ Giá cả này hợp lý không? Zhège jiàgé hélǐ ma?</t>
        </is>
      </c>
      <c r="F2" s="114">
        <f>HYPERLINK("https://youglish.com/pronounce/这个价格合理吗/chinese","🔍")</f>
        <v/>
      </c>
    </row>
    <row r="3" ht="42.75" customHeight="1" s="99">
      <c r="A3" s="94" t="inlineStr">
        <is>
          <t>626 ĐPTM.pdf</t>
        </is>
      </c>
      <c r="B3" s="95" t="inlineStr">
        <is>
          <t>2</t>
        </is>
      </c>
      <c r="C3" s="94" t="inlineStr">
        <is>
          <t>我们是否可以协商一些具体的交货日期？</t>
        </is>
      </c>
      <c r="D3" s="94" t="inlineStr">
        <is>
          <t>Chúng ta có thể đàm phán về một số ngày giao hàng cụ thể được không? Wǒmen shìfǒu kěyǐ xiéshāng yīxiē jùtǐ de jiāo huò rìqí?</t>
        </is>
      </c>
      <c r="E3" s="94" t="inlineStr">
        <is>
          <t>2 我们是否可以 协商一些具体 的交货日期？ Chúng ta có thể đàm phán về một số ngày giao hàng cụ thể được không? Wǒmen shìfǒu kěyǐ xiéshāng yīxiē jùtǐ de jiāo huò rìqí?</t>
        </is>
      </c>
      <c r="F3" s="115">
        <f>HYPERLINK("https://youglish.com/pronounce/我们是否可以协商一些具体的交货日期/chinese","🔍")</f>
        <v/>
      </c>
    </row>
    <row r="4" ht="28.5" customHeight="1" s="99">
      <c r="A4" s="92" t="inlineStr">
        <is>
          <t>626 ĐPTM.pdf</t>
        </is>
      </c>
      <c r="B4" s="93" t="inlineStr">
        <is>
          <t>3</t>
        </is>
      </c>
      <c r="C4" s="92" t="inlineStr">
        <is>
          <t>我们需要探讨一下付款方式。</t>
        </is>
      </c>
      <c r="D4" s="92" t="inlineStr">
        <is>
          <t>Chúng ta cần thảo luận về phương thức thanh toán. Wǒmen xūyào tàntǎo yīxià fùkuǎn fāngshì.</t>
        </is>
      </c>
      <c r="E4" s="92" t="inlineStr">
        <is>
          <t>3 我们需要探讨 一下付款方式。 Chúng ta cần thảo luận về phương thức thanh toán. Wǒmen xūyào tàntǎo yīxià fùkuǎn fāngshì.</t>
        </is>
      </c>
      <c r="F4" s="114">
        <f>HYPERLINK("https://youglish.com/pronounce/我们需要探讨一下付款方式/chinese","🔍")</f>
        <v/>
      </c>
    </row>
    <row r="5" ht="28.5" customHeight="1" s="99">
      <c r="A5" s="94" t="inlineStr">
        <is>
          <t>626 ĐPTM.pdf</t>
        </is>
      </c>
      <c r="B5" s="95" t="inlineStr">
        <is>
          <t>4</t>
        </is>
      </c>
      <c r="C5" s="94" t="inlineStr">
        <is>
          <t>我们能否协商一下保险问题？</t>
        </is>
      </c>
      <c r="D5" s="94" t="inlineStr">
        <is>
          <t>Chúng ta có thể đàm phán về vấn đề bảo hiểm không? Wǒmen néng fǒu xiéshāng yīxià bǎoxiǎn wèntí?</t>
        </is>
      </c>
      <c r="E5" s="94" t="inlineStr">
        <is>
          <t>4 我们能否协商 一下保险问 题？ Chúng ta có thể đàm phán về vấn đề bảo hiểm không? Wǒmen néng fǒu xiéshāng yīxià bǎoxiǎn wèntí?</t>
        </is>
      </c>
      <c r="F5" s="115">
        <f>HYPERLINK("https://youglish.com/pronounce/我们能否协商一下保险问题/chinese","🔍")</f>
        <v/>
      </c>
    </row>
    <row r="6" ht="42.75" customHeight="1" s="99">
      <c r="A6" s="92" t="inlineStr">
        <is>
          <t>626 ĐPTM.pdf</t>
        </is>
      </c>
      <c r="B6" s="93" t="inlineStr">
        <is>
          <t>5</t>
        </is>
      </c>
      <c r="C6" s="92" t="inlineStr">
        <is>
          <t>我们需要协商一下产品的质量标准。</t>
        </is>
      </c>
      <c r="D6" s="92" t="inlineStr">
        <is>
          <t>Chúng ta cần đàm phán về tiêu chuẩn chất lượng sản phẩm. Wǒmen xūyào xiéshāng yīxià chǎnpǐn de zhìliàng biāozhǔn.</t>
        </is>
      </c>
      <c r="E6" s="92" t="inlineStr">
        <is>
          <t>5 我们需要协商 一下产品的质 量标准。 Chúng ta cần đàm phán về tiêu chuẩn chất lượng sản phẩm. Wǒmen xūyào xiéshāng yīxià chǎnpǐn de zhìliàng biāozhǔn.</t>
        </is>
      </c>
      <c r="F6" s="114">
        <f>HYPERLINK("https://youglish.com/pronounce/我们需要协商一下产品的质量标准/chinese","🔍")</f>
        <v/>
      </c>
    </row>
    <row r="7" ht="28.5" customHeight="1" s="99">
      <c r="A7" s="94" t="inlineStr">
        <is>
          <t>626 ĐPTM.pdf</t>
        </is>
      </c>
      <c r="B7" s="95" t="inlineStr">
        <is>
          <t>6</t>
        </is>
      </c>
      <c r="C7" s="94" t="inlineStr">
        <is>
          <t>我们是否可以讨论一下价格问题？</t>
        </is>
      </c>
      <c r="D7" s="94" t="inlineStr">
        <is>
          <t>Chúng ta có thể thảo luận về vấn đề giá cả được không? Wǒmen shìfǒu kěyǐ tǎolùn yīxià jiàgé wèntí?</t>
        </is>
      </c>
      <c r="E7" s="94" t="inlineStr">
        <is>
          <t>6 我们是否可以 讨论一下价格 问题？ Chúng ta có thể thảo luận về vấn đề giá cả được không? Wǒmen shìfǒu kěyǐ tǎolùn yīxià jiàgé wèntí?</t>
        </is>
      </c>
      <c r="F7" s="115">
        <f>HYPERLINK("https://youglish.com/pronounce/我们是否可以讨论一下价格问题/chinese","🔍")</f>
        <v/>
      </c>
    </row>
    <row r="8" ht="28.5" customHeight="1" s="99">
      <c r="A8" s="92" t="inlineStr">
        <is>
          <t>626 ĐPTM.pdf</t>
        </is>
      </c>
      <c r="B8" s="93" t="inlineStr">
        <is>
          <t>7</t>
        </is>
      </c>
      <c r="C8" s="92" t="inlineStr">
        <is>
          <t>我们需要进一步确认交货地点。</t>
        </is>
      </c>
      <c r="D8" s="92" t="inlineStr">
        <is>
          <t>Chúng ta cần xác nhận thêm địa điểm giao hàng. Wǒmen xūyào jìnyībù quèrèn jiāo huò dìdiǎn.</t>
        </is>
      </c>
      <c r="E8" s="92" t="inlineStr">
        <is>
          <t>7 我们需要进一 步确认交货地 点。 Chúng ta cần xác nhận thêm địa điểm giao hàng. Wǒmen xūyào jìnyībù quèrèn jiāo huò dìdiǎn.</t>
        </is>
      </c>
      <c r="F8" s="114">
        <f>HYPERLINK("https://youglish.com/pronounce/我们需要进一步确认交货地点/chinese","🔍")</f>
        <v/>
      </c>
    </row>
    <row r="9" ht="42.75" customHeight="1" s="99">
      <c r="A9" s="94" t="inlineStr">
        <is>
          <t>626 ĐPTM.pdf</t>
        </is>
      </c>
      <c r="B9" s="95" t="inlineStr">
        <is>
          <t>8</t>
        </is>
      </c>
      <c r="C9" s="94" t="inlineStr">
        <is>
          <t>我们需要协商一下质量检验的具体细节。</t>
        </is>
      </c>
      <c r="D9" s="94" t="inlineStr">
        <is>
          <t>Chúng ta cần đàm phán về chi tiết kiểm tra chất lượng. Wǒmen xūyào xiéshāng yīxià zhìliàng jiǎnyàn de jùtǐ xìjié.</t>
        </is>
      </c>
      <c r="E9" s="94" t="inlineStr">
        <is>
          <t>8 我们需要协商 一下质量检验 的具体细节。 Chúng ta cần đàm phán về chi tiết kiểm tra chất lượng. Wǒmen xūyào xiéshāng yīxià zhìliàng jiǎnyàn de jùtǐ xìjié.</t>
        </is>
      </c>
      <c r="F9" s="115">
        <f>HYPERLINK("https://youglish.com/pronounce/我们需要协商一下质量检验的具体细节/chinese","🔍")</f>
        <v/>
      </c>
    </row>
    <row r="10" ht="42.75" customHeight="1" s="99">
      <c r="A10" s="92" t="inlineStr">
        <is>
          <t>626 ĐPTM.pdf</t>
        </is>
      </c>
      <c r="B10" s="93" t="inlineStr">
        <is>
          <t>9</t>
        </is>
      </c>
      <c r="C10" s="92" t="inlineStr">
        <is>
          <t>我们是否可以讨论一下运输方式？</t>
        </is>
      </c>
      <c r="D10" s="92" t="inlineStr">
        <is>
          <t>Chúng ta có thể thảo luận về phương thức vận chuyển được không? Wǒmen shìfǒu kěyǐ tǎolùn yīxià yùnshū fāngshì?</t>
        </is>
      </c>
      <c r="E10" s="92" t="inlineStr">
        <is>
          <t>9 我们是否可以 讨论一下运输 方式？ Chúng ta có thể thảo luận về phương thức vận chuyển được không? Wǒmen shìfǒu kěyǐ tǎolùn yīxià yùnshū fāngshì?</t>
        </is>
      </c>
      <c r="F10" s="114">
        <f>HYPERLINK("https://youglish.com/pronounce/我们是否可以讨论一下运输方式/chinese","🔍")</f>
        <v/>
      </c>
    </row>
    <row r="11" ht="28.5" customHeight="1" s="99">
      <c r="A11" s="94" t="inlineStr">
        <is>
          <t>626 ĐPTM.pdf</t>
        </is>
      </c>
      <c r="B11" s="95" t="inlineStr">
        <is>
          <t>10</t>
        </is>
      </c>
      <c r="C11" s="94" t="inlineStr">
        <is>
          <t>我们需要探讨一下退换货政策。</t>
        </is>
      </c>
      <c r="D11" s="94" t="inlineStr">
        <is>
          <t>Chúng ta cần thảo luận về chính sách đổi trả hàng. Wǒmen xūyào tàntǎo yīxià tuìhuàn huò zhèngcè.</t>
        </is>
      </c>
      <c r="E11" s="94" t="inlineStr">
        <is>
          <t>10 我们需要探讨 一下退换货政 策。 Chúng ta cần thảo luận về chính sách đổi trả hàng. Wǒmen xūyào tàntǎo yīxià tuìhuàn huò zhèngcè.</t>
        </is>
      </c>
      <c r="F11" s="115">
        <f>HYPERLINK("https://youglish.com/pronounce/我们需要探讨一下退换货政策/chinese","🔍")</f>
        <v/>
      </c>
    </row>
    <row r="12" ht="28.5" customHeight="1" s="99">
      <c r="A12" s="92" t="inlineStr">
        <is>
          <t>626 ĐPTM.pdf</t>
        </is>
      </c>
      <c r="B12" s="93" t="inlineStr">
        <is>
          <t>11</t>
        </is>
      </c>
      <c r="C12" s="92" t="inlineStr">
        <is>
          <t>我们需要确认一下合同的有效期。</t>
        </is>
      </c>
      <c r="D12" s="92" t="inlineStr">
        <is>
          <t>Chúng ta cần xác nhận thời hạn hiệu lực của hợp đồng. Wǒmen xūyào quèrèn yīxià hétóng de yǒuxiàoqí.</t>
        </is>
      </c>
      <c r="E12" s="92" t="inlineStr">
        <is>
          <t>11 我们需要确认 一下合同的有 效期。 Chúng ta cần xác nhận thời hạn hiệu lực của hợp đồng. Wǒmen xūyào quèrèn yīxià hétóng de yǒuxiàoqí.</t>
        </is>
      </c>
      <c r="F12" s="114">
        <f>HYPERLINK("https://youglish.com/pronounce/我们需要确认一下合同的有效期/chinese","🔍")</f>
        <v/>
      </c>
    </row>
    <row r="13" ht="42.75" customHeight="1" s="99">
      <c r="A13" s="94" t="inlineStr">
        <is>
          <t>626 ĐPTM.pdf</t>
        </is>
      </c>
      <c r="B13" s="95" t="inlineStr">
        <is>
          <t>12</t>
        </is>
      </c>
      <c r="C13" s="94" t="inlineStr">
        <is>
          <t>我们是否可以讨论一下产品包装的问题？</t>
        </is>
      </c>
      <c r="D13" s="94" t="inlineStr">
        <is>
          <t>Chúng ta có thể thảo luận về vấn đề đóng gói sản phẩm được không? Wǒmen shìfǒu kěyǐ tǎolùn yīxià chǎnpǐn bāozhuāng de wèntí?</t>
        </is>
      </c>
      <c r="E13" s="94" t="inlineStr">
        <is>
          <t>12 我们是否可以 讨论一下产品 包装的问题？ Chúng ta có thể thảo luận về vấn đề đóng gói sản phẩm được không? Wǒmen shìfǒu kěyǐ tǎolùn yīxià chǎnpǐn bāozhuāng de wèntí?</t>
        </is>
      </c>
      <c r="F13" s="115">
        <f>HYPERLINK("https://youglish.com/pronounce/我们是否可以讨论一下产品包装的问题/chinese","🔍")</f>
        <v/>
      </c>
    </row>
    <row r="14" ht="28.5" customHeight="1" s="99">
      <c r="A14" s="92" t="inlineStr">
        <is>
          <t>626 ĐPTM.pdf</t>
        </is>
      </c>
      <c r="B14" s="93" t="inlineStr">
        <is>
          <t>13</t>
        </is>
      </c>
      <c r="C14" s="92" t="inlineStr">
        <is>
          <t>我们需要协商一下付款期限。</t>
        </is>
      </c>
      <c r="D14" s="92" t="inlineStr">
        <is>
          <t>Chúng ta cần đàm phán về thời hạn thanh toán. Wǒmen xūyào xiéshāng yīxià fùkuǎn qíxiàn.</t>
        </is>
      </c>
      <c r="E14" s="92" t="inlineStr">
        <is>
          <t>13 我们需要协商 一下付款期限。 Chúng ta cần đàm phán về thời hạn thanh toán. Wǒmen xūyào xiéshāng yīxià fùkuǎn qíxiàn.</t>
        </is>
      </c>
      <c r="F14" s="114">
        <f>HYPERLINK("https://youglish.com/pronounce/我们需要协商一下付款期限/chinese","🔍")</f>
        <v/>
      </c>
    </row>
    <row r="15" ht="28.5" customHeight="1" s="99">
      <c r="A15" s="94" t="inlineStr">
        <is>
          <t>626 ĐPTM.pdf</t>
        </is>
      </c>
      <c r="B15" s="95" t="inlineStr">
        <is>
          <t>14</t>
        </is>
      </c>
      <c r="C15" s="94" t="inlineStr">
        <is>
          <t>我们需要确认一下发票的具体要求。</t>
        </is>
      </c>
      <c r="D15" s="94" t="inlineStr">
        <is>
          <t>Chúng ta cần xác nhận yêu cầu cụ thể về hóa đơn. Wǒmen xūyào quèrèn yīxià fāpiào de jùtǐ yāoqiú.</t>
        </is>
      </c>
      <c r="E15" s="94" t="inlineStr">
        <is>
          <t>14 我们需要确认 一下发票的具 体要求。 Chúng ta cần xác nhận yêu cầu cụ thể về hóa đơn. Wǒmen xūyào quèrèn yīxià fāpiào de jùtǐ yāoqiú.</t>
        </is>
      </c>
      <c r="F15" s="115">
        <f>HYPERLINK("https://youglish.com/pronounce/我们需要确认一下发票的具体要求/chinese","🔍")</f>
        <v/>
      </c>
    </row>
    <row r="16" ht="42.75" customHeight="1" s="99">
      <c r="A16" s="92" t="inlineStr">
        <is>
          <t>626 ĐPTM.pdf</t>
        </is>
      </c>
      <c r="B16" s="93" t="inlineStr">
        <is>
          <t>15</t>
        </is>
      </c>
      <c r="C16" s="92" t="inlineStr">
        <is>
          <t>我们是否可以讨论一下产品的规格要求？</t>
        </is>
      </c>
      <c r="D16" s="92" t="inlineStr">
        <is>
          <t>Chúng ta có thể thảo luận về yêu cầu kỹ thuật của sản phẩm được không? Wǒmen shìfǒu kěyǐ tǎolùn yīxià chǎnpǐn de guīgé yāoqiú?</t>
        </is>
      </c>
      <c r="E16" s="92" t="inlineStr">
        <is>
          <t>15 我们是否可以 讨论一下产品 的规格要求？ Chúng ta có thể thảo luận về yêu cầu kỹ thuật của sản phẩm được không? Wǒmen shìfǒu kěyǐ tǎolùn yīxià chǎnpǐn de guīgé yāoqiú?</t>
        </is>
      </c>
      <c r="F16" s="114">
        <f>HYPERLINK("https://youglish.com/pronounce/我们是否可以讨论一下产品的规格要求/chinese","🔍")</f>
        <v/>
      </c>
    </row>
    <row r="17" ht="42.75" customHeight="1" s="99">
      <c r="A17" s="94" t="inlineStr">
        <is>
          <t>626 ĐPTM.pdf</t>
        </is>
      </c>
      <c r="B17" s="95" t="inlineStr">
        <is>
          <t>16</t>
        </is>
      </c>
      <c r="C17" s="94" t="inlineStr">
        <is>
          <t>我们需要协商一下产品数量的具体要求。</t>
        </is>
      </c>
      <c r="D17" s="94" t="inlineStr">
        <is>
          <t>Chúng ta cần đàm phán về yêu cầu cụ thể về số lượng sản phẩm. Wǒmen xūyào xiéshāng yīxià chǎnpǐn shùliàng de jùtǐ yāoqiú.</t>
        </is>
      </c>
      <c r="E17" s="94" t="inlineStr">
        <is>
          <t>16 我们需要协商 一下产品数量 的具体要求。 Chúng ta cần đàm phán về yêu cầu cụ thể về số lượng sản phẩm. Wǒmen xūyào xiéshāng yīxià chǎnpǐn shùliàng de jùtǐ yāoqiú.</t>
        </is>
      </c>
      <c r="F17" s="115">
        <f>HYPERLINK("https://youglish.com/pronounce/我们需要协商一下产品数量的具体要求/chinese","🔍")</f>
        <v/>
      </c>
    </row>
    <row r="18" ht="42.75" customHeight="1" s="99">
      <c r="A18" s="92" t="inlineStr">
        <is>
          <t>626 ĐPTM.pdf</t>
        </is>
      </c>
      <c r="B18" s="93" t="inlineStr">
        <is>
          <t>17</t>
        </is>
      </c>
      <c r="C18" s="92" t="inlineStr">
        <is>
          <t>我们是否可以讨论一下产品的交付方式？</t>
        </is>
      </c>
      <c r="D18" s="92" t="inlineStr">
        <is>
          <t>Chúng ta có thể thảo luận về phương thức giao hàng sản phẩm được không? Wǒmen shìfǒu kěyǐ tǎolùn yīxià chǎnpǐn de jiāofù fāngshì?</t>
        </is>
      </c>
      <c r="E18" s="92" t="inlineStr">
        <is>
          <t>17 我们是否可以 讨论一下产品 的交付方式？ Chúng ta có thể thảo luận về phương thức giao hàng sản phẩm được không? Wǒmen shìfǒu kěyǐ tǎolùn yīxià chǎnpǐn de jiāofù fāngshì?</t>
        </is>
      </c>
      <c r="F18" s="114">
        <f>HYPERLINK("https://youglish.com/pronounce/我们是否可以讨论一下产品的交付方式/chinese","🔍")</f>
        <v/>
      </c>
    </row>
    <row r="19" ht="42.75" customHeight="1" s="99">
      <c r="A19" s="94" t="inlineStr">
        <is>
          <t>626 ĐPTM.pdf</t>
        </is>
      </c>
      <c r="B19" s="95" t="inlineStr">
        <is>
          <t>18</t>
        </is>
      </c>
      <c r="C19" s="94" t="inlineStr">
        <is>
          <t>我们需要确认一下产品保质期的具体要求。</t>
        </is>
      </c>
      <c r="D19" s="94" t="inlineStr">
        <is>
          <t>Chúng ta cần xác nhận yêu cầu cụ thể về thời hạn bảo hành sản phẩm. Wǒmen xūyào quèrèn yīxià chǎnpǐn bǎo zhì qí de jùtǐ yāoqiú.</t>
        </is>
      </c>
      <c r="E19" s="94" t="inlineStr">
        <is>
          <t>18 我们需要确认 一下产品保质 期的具体要求。 Chúng ta cần xác nhận yêu cầu cụ thể về thời hạn bảo hành sản phẩm. Wǒmen xūyào quèrèn yīxià chǎnpǐn bǎo zhì qí de jùtǐ yāoqiú.</t>
        </is>
      </c>
      <c r="F19" s="115">
        <f>HYPERLINK("https://youglish.com/pronounce/我们需要确认一下产品保质期的具体要求/chinese","🔍")</f>
        <v/>
      </c>
    </row>
    <row r="20" ht="42.75" customHeight="1" s="99">
      <c r="A20" s="92" t="inlineStr">
        <is>
          <t>626 ĐPTM.pdf</t>
        </is>
      </c>
      <c r="B20" s="93" t="inlineStr">
        <is>
          <t>19</t>
        </is>
      </c>
      <c r="C20" s="92" t="inlineStr">
        <is>
          <t>我们需要协商一下产品的标识要求。</t>
        </is>
      </c>
      <c r="D20" s="92" t="inlineStr">
        <is>
          <t>Chúng ta cần đàm phán về yêu cầu đánh dấu sản phẩm. Wǒmen xūyào xiéshāng yīxià chǎnpǐn de biāozhì yāoqiú.</t>
        </is>
      </c>
      <c r="E20" s="92" t="inlineStr">
        <is>
          <t>19 我们需要协商 一下产品的标 识要求。 Chúng ta cần đàm phán về yêu cầu đánh dấu sản phẩm. Wǒmen xūyào xiéshāng yīxià chǎnpǐn de biāozhì yāoqiú.</t>
        </is>
      </c>
      <c r="F20" s="114">
        <f>HYPERLINK("https://youglish.com/pronounce/我们需要协商一下产品的标识要求/chinese","🔍")</f>
        <v/>
      </c>
    </row>
    <row r="21" ht="42.75" customHeight="1" s="99">
      <c r="A21" s="94" t="inlineStr">
        <is>
          <t>626 ĐPTM.pdf</t>
        </is>
      </c>
      <c r="B21" s="95" t="inlineStr">
        <is>
          <t>20</t>
        </is>
      </c>
      <c r="C21" s="94" t="inlineStr">
        <is>
          <t>我们是否可以讨论一下合同的违约责任问题？</t>
        </is>
      </c>
      <c r="D21" s="94" t="inlineStr">
        <is>
          <t>Chúng ta có thể thảo luận về trách nhiệm vi phạm hợp đồng được không? Wǒmen shìfǒu kěyǐ tǎolùn yīxià hétóng de wéiyuē zérèn wèntí?</t>
        </is>
      </c>
      <c r="E21" s="94" t="inlineStr">
        <is>
          <t>20 我们是否可以 讨论一下合同 的违约责任问 题？ Chúng ta có thể thảo luận về trách nhiệm vi phạm hợp đồng được không? Wǒmen shìfǒu kěyǐ tǎolùn yīxià hétóng de wéiyuē zérèn wèntí?</t>
        </is>
      </c>
      <c r="F21" s="115">
        <f>HYPERLINK("https://youglish.com/pronounce/我们是否可以讨论一下合同的违约责任问题/chinese","🔍")</f>
        <v/>
      </c>
    </row>
    <row r="22" ht="42.75" customHeight="1" s="99">
      <c r="A22" s="92" t="inlineStr">
        <is>
          <t>626 ĐPTM.pdf</t>
        </is>
      </c>
      <c r="B22" s="93" t="inlineStr">
        <is>
          <t>21</t>
        </is>
      </c>
      <c r="C22" s="92" t="inlineStr">
        <is>
          <t>我们需要确认一下产品的测试要求。</t>
        </is>
      </c>
      <c r="D22" s="92" t="inlineStr">
        <is>
          <t>Chúng ta cần xác nhận yêu cầu kiểm tra sản phẩm. Wǒmen xūyào quèrèn yīxià chǎnpǐn de cèshì yāoqiú.</t>
        </is>
      </c>
      <c r="E22" s="92" t="inlineStr">
        <is>
          <t>21 我们需要确认 一下产品的测 试要求。 Chúng ta cần xác nhận yêu cầu kiểm tra sản phẩm. Wǒmen xūyào quèrèn yīxià chǎnpǐn de cèshì yāoqiú.</t>
        </is>
      </c>
      <c r="F22" s="114">
        <f>HYPERLINK("https://youglish.com/pronounce/我们需要确认一下产品的测试要求/chinese","🔍")</f>
        <v/>
      </c>
    </row>
    <row r="23" ht="42.75" customHeight="1" s="99">
      <c r="A23" s="94" t="inlineStr">
        <is>
          <t>626 ĐPTM.pdf</t>
        </is>
      </c>
      <c r="B23" s="95" t="inlineStr">
        <is>
          <t>22</t>
        </is>
      </c>
      <c r="C23" s="94" t="inlineStr">
        <is>
          <t>我们需要探讨一下供应商的资质要求。</t>
        </is>
      </c>
      <c r="D23" s="94" t="inlineStr">
        <is>
          <t>Chúng ta cần thảo luận về yêu cầu chứng nhận và giấy phép của nhà cung cấp. Wǒmen xūyào tàntǎo yīxià gōngyìng shāng de zīzhì yāoqiú.</t>
        </is>
      </c>
      <c r="E23" s="94" t="inlineStr">
        <is>
          <t>22 我们需要探讨 一下供应商的 资质要求。 Chúng ta cần thảo luận về yêu cầu chứng nhận và giấy phép của nhà cung cấp. Wǒmen xūyào tàntǎo yīxià gōngyìng shāng de zīzhì yāoqiú.</t>
        </is>
      </c>
      <c r="F23" s="115">
        <f>HYPERLINK("https://youglish.com/pronounce/我们需要探讨一下供应商的资质要求/chinese","🔍")</f>
        <v/>
      </c>
    </row>
    <row r="24" ht="42.75" customHeight="1" s="99">
      <c r="A24" s="92" t="inlineStr">
        <is>
          <t>626 ĐPTM.pdf</t>
        </is>
      </c>
      <c r="B24" s="93" t="inlineStr">
        <is>
          <t>23</t>
        </is>
      </c>
      <c r="C24" s="92" t="inlineStr">
        <is>
          <t>我们是否可以讨论一下产品的样品要求？</t>
        </is>
      </c>
      <c r="D24" s="92" t="inlineStr">
        <is>
          <t>Chúng ta có thể thảo luận về yêu cầu mẫu sản phẩm được không? Wǒmen shìfǒu kěyǐ tǎolùn yīxià chǎnpǐn de yàngpǐn yāoqiú?</t>
        </is>
      </c>
      <c r="E24" s="92" t="inlineStr">
        <is>
          <t>23 我们是否可以 讨论一下产品 的样品要求？ Chúng ta có thể thảo luận về yêu cầu mẫu sản phẩm được không? Wǒmen shìfǒu kěyǐ tǎolùn yīxià chǎnpǐn de yàngpǐn yāoqiú?</t>
        </is>
      </c>
      <c r="F24" s="114">
        <f>HYPERLINK("https://youglish.com/pronounce/我们是否可以讨论一下产品的样品要求/chinese","🔍")</f>
        <v/>
      </c>
    </row>
    <row r="25" ht="42.75" customHeight="1" s="99">
      <c r="A25" s="94" t="inlineStr">
        <is>
          <t>626 ĐPTM.pdf</t>
        </is>
      </c>
      <c r="B25" s="95" t="inlineStr">
        <is>
          <t>24</t>
        </is>
      </c>
      <c r="C25" s="94" t="inlineStr">
        <is>
          <t>我们需要协商一下合同的解释权。</t>
        </is>
      </c>
      <c r="D25" s="94" t="inlineStr">
        <is>
          <t>Chúng ta cần đàm phán về quyền giải thích hợp đồng. Wǒmen xūyào xiéshāng yīxià hétóng de jiěshì quán.</t>
        </is>
      </c>
      <c r="E25" s="94" t="inlineStr">
        <is>
          <t>24 我们需要协商 一下合同的解 释权。 Chúng ta cần đàm phán về quyền giải thích hợp đồng. Wǒmen xūyào xiéshāng yīxià hétóng de jiěshì quán.</t>
        </is>
      </c>
      <c r="F25" s="115">
        <f>HYPERLINK("https://youglish.com/pronounce/我们需要协商一下合同的解释权/chinese","🔍")</f>
        <v/>
      </c>
    </row>
    <row r="26" ht="42.75" customHeight="1" s="99">
      <c r="A26" s="92" t="inlineStr">
        <is>
          <t>626 ĐPTM.pdf</t>
        </is>
      </c>
      <c r="B26" s="93" t="inlineStr">
        <is>
          <t>25</t>
        </is>
      </c>
      <c r="C26" s="92" t="inlineStr">
        <is>
          <t>我们需要确认一下合同的签订地点。</t>
        </is>
      </c>
      <c r="D26" s="92" t="inlineStr">
        <is>
          <t>Chúng ta cần xác nhận địa điểm ký kết hợp đồng. Wǒmen xūyào quèrèn yīxià hétóng de qiāndìng dìdiǎn.</t>
        </is>
      </c>
      <c r="E26" s="92" t="inlineStr">
        <is>
          <t>25 我们需要确认 一下合同的签 订地点。 Chúng ta cần xác nhận địa điểm ký kết hợp đồng. Wǒmen xūyào quèrèn yīxià hétóng de qiāndìng dìdiǎn.</t>
        </is>
      </c>
      <c r="F26" s="114">
        <f>HYPERLINK("https://youglish.com/pronounce/我们需要确认一下合同的签订地点/chinese","🔍")</f>
        <v/>
      </c>
    </row>
    <row r="27" ht="42.75" customHeight="1" s="99">
      <c r="A27" s="94" t="inlineStr">
        <is>
          <t>626 ĐPTM.pdf</t>
        </is>
      </c>
      <c r="B27" s="95" t="inlineStr">
        <is>
          <t>26</t>
        </is>
      </c>
      <c r="C27" s="94" t="inlineStr">
        <is>
          <t>我们需要协商一下合同的语言版本。</t>
        </is>
      </c>
      <c r="D27" s="94" t="inlineStr">
        <is>
          <t>Chúng ta cần đàm phán về phiên bản ngôn ngữ của hợp đồng. Wǒmen xūyào xiéshāng yīxià hétóng de yǔyán bǎnběn.</t>
        </is>
      </c>
      <c r="E27" s="94" t="inlineStr">
        <is>
          <t>26 我们需要协商 一下合同的语 言版本。 Chúng ta cần đàm phán về phiên bản ngôn ngữ của hợp đồng. Wǒmen xūyào xiéshāng yīxià hétóng de yǔyán bǎnběn.</t>
        </is>
      </c>
      <c r="F27" s="115">
        <f>HYPERLINK("https://youglish.com/pronounce/我们需要协商一下合同的语言版本/chinese","🔍")</f>
        <v/>
      </c>
    </row>
    <row r="28" ht="42.75" customHeight="1" s="99">
      <c r="A28" s="92" t="inlineStr">
        <is>
          <t>626 ĐPTM.pdf</t>
        </is>
      </c>
      <c r="B28" s="93" t="inlineStr">
        <is>
          <t>27</t>
        </is>
      </c>
      <c r="C28" s="92" t="inlineStr">
        <is>
          <t>我们是否可以讨论一下产品的安全要求？</t>
        </is>
      </c>
      <c r="D28" s="92" t="inlineStr">
        <is>
          <t>Chúng ta có thể thảo luận về yêu cầu an toàn của sản phẩm không? Wǒmen shìfǒu kěyǐ tǎolùn yīxià chǎnpǐn de ānquán yāoqiú?</t>
        </is>
      </c>
      <c r="E28" s="92" t="inlineStr">
        <is>
          <t>27 我们是否可以 讨论一下产品 的安全要求？ Chúng ta có thể thảo luận về yêu cầu an toàn của sản phẩm không? Wǒmen shìfǒu kěyǐ tǎolùn yīxià chǎnpǐn de ānquán yāoqiú?</t>
        </is>
      </c>
      <c r="F28" s="114">
        <f>HYPERLINK("https://youglish.com/pronounce/我们是否可以讨论一下产品的安全要求/chinese","🔍")</f>
        <v/>
      </c>
    </row>
    <row r="29" ht="28.5" customHeight="1" s="99">
      <c r="A29" s="94" t="inlineStr">
        <is>
          <t>626 ĐPTM.pdf</t>
        </is>
      </c>
      <c r="B29" s="95" t="inlineStr">
        <is>
          <t>28</t>
        </is>
      </c>
      <c r="C29" s="94" t="inlineStr">
        <is>
          <t>我们需要探讨一下付款的具体细节。</t>
        </is>
      </c>
      <c r="D29" s="94" t="inlineStr">
        <is>
          <t>Chúng ta cần thảo luận chi tiết về việc thanh toán. Wǒmen xūyào tàntǎo yīxià fùkuǎn de jùtǐ xìjié.</t>
        </is>
      </c>
      <c r="E29" s="94" t="inlineStr">
        <is>
          <t>28 我们需要探讨 一下付款的具 体细节。 Chúng ta cần thảo luận chi tiết về việc thanh toán. Wǒmen xūyào tàntǎo yīxià fùkuǎn de jùtǐ xìjié.</t>
        </is>
      </c>
      <c r="F29" s="115">
        <f>HYPERLINK("https://youglish.com/pronounce/我们需要探讨一下付款的具体细节/chinese","🔍")</f>
        <v/>
      </c>
    </row>
    <row r="30" ht="42.75" customHeight="1" s="99">
      <c r="A30" s="92" t="inlineStr">
        <is>
          <t>626 ĐPTM.pdf</t>
        </is>
      </c>
      <c r="B30" s="93" t="inlineStr">
        <is>
          <t>29</t>
        </is>
      </c>
      <c r="C30" s="92" t="inlineStr">
        <is>
          <t>我们需要协商一下运输保险的具体要求。</t>
        </is>
      </c>
      <c r="D30" s="92" t="inlineStr">
        <is>
          <t>Chúng ta cần thương lượng về yêu cầu bảo hiểm vận chuyển cụ thể. Wǒmen xūyào xiéshāng yīxià yùnshū bǎoxiǎn de jùtǐ yāoqiú.</t>
        </is>
      </c>
      <c r="E30" s="92" t="inlineStr">
        <is>
          <t>29 我们需要协商 一下运输保险 的具体要求。 Chúng ta cần thương lượng về yêu cầu bảo hiểm vận chuyển cụ thể. Wǒmen xūyào xiéshāng yīxià yùnshū bǎoxiǎn de jùtǐ yāoqiú.</t>
        </is>
      </c>
      <c r="F30" s="114">
        <f>HYPERLINK("https://youglish.com/pronounce/我们需要协商一下运输保险的具体要求/chinese","🔍")</f>
        <v/>
      </c>
    </row>
    <row r="31" ht="42.75" customHeight="1" s="99">
      <c r="A31" s="94" t="inlineStr">
        <is>
          <t>626 ĐPTM.pdf</t>
        </is>
      </c>
      <c r="B31" s="95" t="inlineStr">
        <is>
          <t>30</t>
        </is>
      </c>
      <c r="C31" s="94" t="inlineStr">
        <is>
          <t>我们需要确认一下产品的产地要求。</t>
        </is>
      </c>
      <c r="D31" s="94" t="inlineStr">
        <is>
          <t>Chúng ta cần xác nhận yêu cầu xuất xứ sản phẩm. Wǒmen xūyào quèrèn yīxià chǎnpǐn de chǎndì yāoqiú.</t>
        </is>
      </c>
      <c r="E31" s="94" t="inlineStr">
        <is>
          <t>30 我们需要确认 一下产品的产 地要求。 Chúng ta cần xác nhận yêu cầu xuất xứ sản phẩm. Wǒmen xūyào quèrèn yīxià chǎnpǐn de chǎndì yāoqiú.</t>
        </is>
      </c>
      <c r="F31" s="115">
        <f>HYPERLINK("https://youglish.com/pronounce/我们需要确认一下产品的产地要求/chinese","🔍")</f>
        <v/>
      </c>
    </row>
    <row r="32" ht="42.75" customHeight="1" s="99">
      <c r="A32" s="92" t="inlineStr">
        <is>
          <t>626 ĐPTM.pdf</t>
        </is>
      </c>
      <c r="B32" s="93" t="inlineStr">
        <is>
          <t>31</t>
        </is>
      </c>
      <c r="C32" s="92" t="inlineStr">
        <is>
          <t>我们是否可以讨论一下产品的包装要求？</t>
        </is>
      </c>
      <c r="D32" s="92" t="inlineStr">
        <is>
          <t>Chúng ta có thể thảo luận về yêu cầu đóng gói sản phẩm không? Wǒmen shìfǒu kěyǐ tǎolùn yīxià chǎnpǐn de bāozhuāng yāoqiú?</t>
        </is>
      </c>
      <c r="E32" s="92" t="inlineStr">
        <is>
          <t>31 我们是否可以 讨论一下产品 的包装要求？ Chúng ta có thể thảo luận về yêu cầu đóng gói sản phẩm không? Wǒmen shìfǒu kěyǐ tǎolùn yīxià chǎnpǐn de bāozhuāng yāoqiú?</t>
        </is>
      </c>
      <c r="F32" s="114">
        <f>HYPERLINK("https://youglish.com/pronounce/我们是否可以讨论一下产品的包装要求/chinese","🔍")</f>
        <v/>
      </c>
    </row>
    <row r="33" ht="42.75" customHeight="1" s="99">
      <c r="A33" s="94" t="inlineStr">
        <is>
          <t>626 ĐPTM.pdf</t>
        </is>
      </c>
      <c r="B33" s="95" t="inlineStr">
        <is>
          <t>32</t>
        </is>
      </c>
      <c r="C33" s="94" t="inlineStr">
        <is>
          <t>我们需要协商一下质量标准的测试方法。</t>
        </is>
      </c>
      <c r="D33" s="94" t="inlineStr">
        <is>
          <t>Chúng ta cần thương lượng về phương pháp kiểm tra tiêu chuẩn chất lượng. Wǒmen xūyào xiéshāng yīxià zhìliàng biāozhǔn dì cèshì fāngfǎ.</t>
        </is>
      </c>
      <c r="E33" s="94" t="inlineStr">
        <is>
          <t>32 我们需要协商 一下质量标准 的测试方法。 Chúng ta cần thương lượng về phương pháp kiểm tra tiêu chuẩn chất lượng. Wǒmen xūyào xiéshāng yīxià zhìliàng biāozhǔn dì cèshì fāngfǎ.</t>
        </is>
      </c>
      <c r="F33" s="115">
        <f>HYPERLINK("https://youglish.com/pronounce/我们需要协商一下质量标准的测试方法/chinese","🔍")</f>
        <v/>
      </c>
    </row>
    <row r="34" ht="42.75" customHeight="1" s="99">
      <c r="A34" s="92" t="inlineStr">
        <is>
          <t>626 ĐPTM.pdf</t>
        </is>
      </c>
      <c r="B34" s="93" t="inlineStr">
        <is>
          <t>33</t>
        </is>
      </c>
      <c r="C34" s="92" t="inlineStr">
        <is>
          <t>我们需要确认一下产品的保修期要求。</t>
        </is>
      </c>
      <c r="D34" s="92" t="inlineStr">
        <is>
          <t>Chúng ta cần xác nhận yêu cầu thời hạn bảo hành sản phẩm. Wǒmen xūyào quèrèn yīxià chǎnpǐn de bǎoxiū qī yāoqiú.</t>
        </is>
      </c>
      <c r="E34" s="92" t="inlineStr">
        <is>
          <t>33 我们需要确认 一下产品的保 修期要求。 Chúng ta cần xác nhận yêu cầu thời hạn bảo hành sản phẩm. Wǒmen xūyào quèrèn yīxià chǎnpǐn de bǎoxiū qī yāoqiú.</t>
        </is>
      </c>
      <c r="F34" s="114">
        <f>HYPERLINK("https://youglish.com/pronounce/我们需要确认一下产品的保修期要求/chinese","🔍")</f>
        <v/>
      </c>
    </row>
    <row r="35" ht="42.75" customHeight="1" s="99">
      <c r="A35" s="94" t="inlineStr">
        <is>
          <t>626 ĐPTM.pdf</t>
        </is>
      </c>
      <c r="B35" s="95" t="inlineStr">
        <is>
          <t>34</t>
        </is>
      </c>
      <c r="C35" s="94" t="inlineStr">
        <is>
          <t>我们需要探讨一下产品的环保要求。</t>
        </is>
      </c>
      <c r="D35" s="94" t="inlineStr">
        <is>
          <t>Chúng ta cần thảo luận về yêu cầu bảo vệ môi trường của sản phẩm. Wǒmen xūyào tàntǎo yīxià chǎnpǐn de huánbǎo yāoqiú.</t>
        </is>
      </c>
      <c r="E35" s="94" t="inlineStr">
        <is>
          <t>34 我们需要探讨 一下产品的环 保要求。 Chúng ta cần thảo luận về yêu cầu bảo vệ môi trường của sản phẩm. Wǒmen xūyào tàntǎo yīxià chǎnpǐn de huánbǎo yāoqiú.</t>
        </is>
      </c>
      <c r="F35" s="115">
        <f>HYPERLINK("https://youglish.com/pronounce/我们需要探讨一下产品的环保要求/chinese","🔍")</f>
        <v/>
      </c>
    </row>
    <row r="36" ht="42.75" customHeight="1" s="99">
      <c r="A36" s="92" t="inlineStr">
        <is>
          <t>626 ĐPTM.pdf</t>
        </is>
      </c>
      <c r="B36" s="93" t="inlineStr">
        <is>
          <t>35</t>
        </is>
      </c>
      <c r="C36" s="92" t="inlineStr">
        <is>
          <t>我们是否可以讨论一下产品的性能要求？</t>
        </is>
      </c>
      <c r="D36" s="92" t="inlineStr">
        <is>
          <t>Chúng ta có thể thảo luận về yêu cầu hiệu suất sản phẩm không? Wǒmen shìfǒu kěyǐ tǎolùn yīxià chǎnpǐn dì xìngnéng yāoqiú?</t>
        </is>
      </c>
      <c r="E36" s="92" t="inlineStr">
        <is>
          <t>35 我们是否可以 讨论一下产品 的性能要求？ Chúng ta có thể thảo luận về yêu cầu hiệu suất sản phẩm không? Wǒmen shìfǒu kěyǐ tǎolùn yīxià chǎnpǐn dì xìngnéng yāoqiú?</t>
        </is>
      </c>
      <c r="F36" s="114">
        <f>HYPERLINK("https://youglish.com/pronounce/我们是否可以讨论一下产品的性能要求/chinese","🔍")</f>
        <v/>
      </c>
    </row>
    <row r="37" ht="42.75" customHeight="1" s="99">
      <c r="A37" s="94" t="inlineStr">
        <is>
          <t>626 ĐPTM.pdf</t>
        </is>
      </c>
      <c r="B37" s="95" t="inlineStr">
        <is>
          <t>36</t>
        </is>
      </c>
      <c r="C37" s="94" t="inlineStr">
        <is>
          <t>我们需要协商一下产品的售后服务。</t>
        </is>
      </c>
      <c r="D37" s="94" t="inlineStr">
        <is>
          <t>Chúng ta cần thương lượng về dịch vụ hậu mãi của sản phẩm. Wǒmen xūyào xiéshāng yīxià chǎnpǐn de shòuhòu fúwù.</t>
        </is>
      </c>
      <c r="E37" s="94" t="inlineStr">
        <is>
          <t>36 我们需要协商 一下产品的售 后服务。 Chúng ta cần thương lượng về dịch vụ hậu mãi của sản phẩm. Wǒmen xūyào xiéshāng yīxià chǎnpǐn de shòuhòu fúwù.</t>
        </is>
      </c>
      <c r="F37" s="115">
        <f>HYPERLINK("https://youglish.com/pronounce/我们需要协商一下产品的售后服务/chinese","🔍")</f>
        <v/>
      </c>
    </row>
    <row r="38" ht="42.75" customHeight="1" s="99">
      <c r="A38" s="92" t="inlineStr">
        <is>
          <t>626 ĐPTM.pdf</t>
        </is>
      </c>
      <c r="B38" s="93" t="inlineStr">
        <is>
          <t>37</t>
        </is>
      </c>
      <c r="C38" s="92" t="inlineStr">
        <is>
          <t>我们需要确认一下产品的生产周期。</t>
        </is>
      </c>
      <c r="D38" s="92" t="inlineStr">
        <is>
          <t>Chúng ta cần xác nhận chu kỳ sản xuất sản phẩm. Wǒmen xūyào quèrèn yīxià chǎnpǐn de shēngchǎn zhōuqí.</t>
        </is>
      </c>
      <c r="E38" s="92" t="inlineStr">
        <is>
          <t>37 我们需要确认 一下产品的生 产周期。 Chúng ta cần xác nhận chu kỳ sản xuất sản phẩm. Wǒmen xūyào quèrèn yīxià chǎnpǐn de shēngchǎn zhōuqí.</t>
        </is>
      </c>
      <c r="F38" s="114">
        <f>HYPERLINK("https://youglish.com/pronounce/我们需要确认一下产品的生产周期/chinese","🔍")</f>
        <v/>
      </c>
    </row>
    <row r="39" ht="42.75" customHeight="1" s="99">
      <c r="A39" s="94" t="inlineStr">
        <is>
          <t>626 ĐPTM.pdf</t>
        </is>
      </c>
      <c r="B39" s="95" t="inlineStr">
        <is>
          <t>38</t>
        </is>
      </c>
      <c r="C39" s="94" t="inlineStr">
        <is>
          <t>我们需要探讨一下合同的生效条件。</t>
        </is>
      </c>
      <c r="D39" s="94" t="inlineStr">
        <is>
          <t>Chúng ta cần thảo luận về điều kiện có hiệu lực của hợp đồng. Wǒmen xūyào tàntǎo yīxià hétóng de shēngxiào tiáojiàn.</t>
        </is>
      </c>
      <c r="E39" s="94" t="inlineStr">
        <is>
          <t>38 我们需要探讨 一下合同的生 效条件。 Chúng ta cần thảo luận về điều kiện có hiệu lực của hợp đồng. Wǒmen xūyào tàntǎo yīxià hétóng de shēngxiào tiáojiàn.</t>
        </is>
      </c>
      <c r="F39" s="115">
        <f>HYPERLINK("https://youglish.com/pronounce/我们需要探讨一下合同的生效条件/chinese","🔍")</f>
        <v/>
      </c>
    </row>
    <row r="40" ht="42.75" customHeight="1" s="99">
      <c r="A40" s="92" t="inlineStr">
        <is>
          <t>626 ĐPTM.pdf</t>
        </is>
      </c>
      <c r="B40" s="93" t="inlineStr">
        <is>
          <t>39</t>
        </is>
      </c>
      <c r="C40" s="92" t="inlineStr">
        <is>
          <t>我们需要协商一下产品的标准包装数量。</t>
        </is>
      </c>
      <c r="D40" s="92" t="inlineStr">
        <is>
          <t>Chúng ta cần thương lượng về số lượng đóng gói tiêu chuẩn của sản phẩm. Wǒmen xūyào xiéshāng yīxià chǎnpǐn de biāozhǔn bāozhuāng shùliàng.</t>
        </is>
      </c>
      <c r="E40" s="92" t="inlineStr">
        <is>
          <t>39 我们需要协商 一下产品的标 准包装数量。 Chúng ta cần thương lượng về số lượng đóng gói tiêu chuẩn của sản phẩm. Wǒmen xūyào xiéshāng yīxià chǎnpǐn de biāozhǔn bāozhuāng shùliàng.</t>
        </is>
      </c>
      <c r="F40" s="114">
        <f>HYPERLINK("https://youglish.com/pronounce/我们需要协商一下产品的标准包装数量/chinese","🔍")</f>
        <v/>
      </c>
    </row>
    <row r="41" ht="42.75" customHeight="1" s="99">
      <c r="A41" s="94" t="inlineStr">
        <is>
          <t>626 ĐPTM.pdf</t>
        </is>
      </c>
      <c r="B41" s="95" t="inlineStr">
        <is>
          <t>40</t>
        </is>
      </c>
      <c r="C41" s="94" t="inlineStr">
        <is>
          <t>我们是否可以讨论一下产品的使用说明书问题？</t>
        </is>
      </c>
      <c r="D41" s="94" t="inlineStr">
        <is>
          <t>Chúng ta có thể thảo luận về vấn đề sách hướng dẫn sử dụng sản phẩm không? Wǒmen shìfǒu kěyǐ tǎolùn yīxià chǎnpǐn de shǐyòng shuōmíngshū wèntí?</t>
        </is>
      </c>
      <c r="E41" s="94" t="inlineStr">
        <is>
          <t>40 我们是否可以 讨论一下产品 的使用说明书 问题？ Chúng ta có thể thảo luận về vấn đề sách hướng dẫn sử dụng sản phẩm không? Wǒmen shìfǒu kěyǐ tǎolùn yīxià chǎnpǐn de shǐyòng shuōmíngshū wèntí?</t>
        </is>
      </c>
      <c r="F41" s="115">
        <f>HYPERLINK("https://youglish.com/pronounce/我们是否可以讨论一下产品的使用说明书问题/chinese","🔍")</f>
        <v/>
      </c>
    </row>
    <row r="42" ht="42.75" customHeight="1" s="99">
      <c r="A42" s="92" t="inlineStr">
        <is>
          <t>626 ĐPTM.pdf</t>
        </is>
      </c>
      <c r="B42" s="93" t="inlineStr">
        <is>
          <t>41</t>
        </is>
      </c>
      <c r="C42" s="92" t="inlineStr">
        <is>
          <t>我们需要达成一个有利于双方的协议。</t>
        </is>
      </c>
      <c r="D42" s="92" t="inlineStr">
        <is>
          <t>Chúng ta cần đạt được một thỏa thuận có lợi cho cả hai bên. Wǒmen xūyào dáchéng yīgè yǒu lìyú shuāngfāng de xiéyì.</t>
        </is>
      </c>
      <c r="E42" s="92" t="inlineStr">
        <is>
          <t>41 我们需要达成 一个有利于双 方的协议。 Chúng ta cần đạt được một thỏa thuận có lợi cho cả hai bên. Wǒmen xūyào dáchéng yīgè yǒu lìyú shuāngfāng de xiéyì.</t>
        </is>
      </c>
      <c r="F42" s="114">
        <f>HYPERLINK("https://youglish.com/pronounce/我们需要达成一个有利于双方的协议/chinese","🔍")</f>
        <v/>
      </c>
    </row>
    <row r="43" ht="57" customHeight="1" s="99">
      <c r="A43" s="94" t="inlineStr">
        <is>
          <t>626 ĐPTM.pdf</t>
        </is>
      </c>
      <c r="B43" s="95" t="inlineStr">
        <is>
          <t>42</t>
        </is>
      </c>
      <c r="C43" s="94" t="inlineStr">
        <is>
          <t>我们需要澄清一些条款以确保我们都理解了它们的含义。</t>
        </is>
      </c>
      <c r="D43" s="94" t="inlineStr">
        <is>
          <t>Chúng ta cần làm rõ một số điều khoản để đảm bảo chúng ta hiểu ý nghĩa của chúng. Wǒmen xūyào chéngqīng yīxiē tiáokuǎn yǐ quèbǎo wǒmen dōu lǐjiěle tāmen de hányì.</t>
        </is>
      </c>
      <c r="E43" s="94" t="inlineStr">
        <is>
          <t>42 我们需要澄清 一些条款以确 保我们都理解 了它们的含 义。 Chúng ta cần làm rõ một số điều khoản để đảm bảo chúng ta hiểu ý nghĩa của chúng. Wǒmen xūyào chéngqīng yīxiē tiáokuǎn yǐ quèbǎo wǒmen dōu lǐjiěle tāmen de hányì.</t>
        </is>
      </c>
      <c r="F43" s="115">
        <f>HYPERLINK("https://youglish.com/pronounce/我们需要澄清一些条款以确保我们都理解了它们的含义/chinese","🔍")</f>
        <v/>
      </c>
    </row>
    <row r="44" ht="28.5" customHeight="1" s="99">
      <c r="A44" s="92" t="inlineStr">
        <is>
          <t>626 ĐPTM.pdf</t>
        </is>
      </c>
      <c r="B44" s="93" t="inlineStr">
        <is>
          <t>43</t>
        </is>
      </c>
      <c r="C44" s="92" t="inlineStr">
        <is>
          <t>我们需要讨论付款方式。</t>
        </is>
      </c>
      <c r="D44" s="92" t="inlineStr">
        <is>
          <t>Chúng ta cần thảo luận về cách thanh toán. Wǒmen xūyào tǎolùn fùkuǎn fāngshì.</t>
        </is>
      </c>
      <c r="E44" s="92" t="inlineStr">
        <is>
          <t>43 我们需要讨论 付款方式。 Chúng ta cần thảo luận về cách thanh toán. Wǒmen xūyào tǎolùn fùkuǎn fāngshì.</t>
        </is>
      </c>
      <c r="F44" s="114">
        <f>HYPERLINK("https://youglish.com/pronounce/我们需要讨论付款方式/chinese","🔍")</f>
        <v/>
      </c>
    </row>
    <row r="45" ht="42.75" customHeight="1" s="99">
      <c r="A45" s="94" t="inlineStr">
        <is>
          <t>626 ĐPTM.pdf</t>
        </is>
      </c>
      <c r="B45" s="95" t="inlineStr">
        <is>
          <t>44</t>
        </is>
      </c>
      <c r="C45" s="94" t="inlineStr">
        <is>
          <t>我们需要确定货物的数量和交付时间。</t>
        </is>
      </c>
      <c r="D45" s="94" t="inlineStr">
        <is>
          <t>Chúng ta cần xác định số lượng hàng hóa và thời gian giao hàng. Wǒmen xūyào quèdìng huòwù de shùliàng hé jiāofù shíjiān.</t>
        </is>
      </c>
      <c r="E45" s="94" t="inlineStr">
        <is>
          <t>44 我们需要确定 货物的数量和 交付时间。 Chúng ta cần xác định số lượng hàng hóa và thời gian giao hàng. Wǒmen xūyào quèdìng huòwù de shùliàng hé jiāofù shíjiān.</t>
        </is>
      </c>
      <c r="F45" s="115">
        <f>HYPERLINK("https://youglish.com/pronounce/我们需要确定货物的数量和交付时间/chinese","🔍")</f>
        <v/>
      </c>
    </row>
    <row r="46" ht="42.75" customHeight="1" s="99">
      <c r="A46" s="92" t="inlineStr">
        <is>
          <t>626 ĐPTM.pdf</t>
        </is>
      </c>
      <c r="B46" s="93" t="inlineStr">
        <is>
          <t>45</t>
        </is>
      </c>
      <c r="C46" s="92" t="inlineStr">
        <is>
          <t>我们需要协商有关货物质量的条款。</t>
        </is>
      </c>
      <c r="D46" s="92" t="inlineStr">
        <is>
          <t>Chúng ta cần đàm phán về điều khoản liên quan đến chất lượng hàng hóa. Wǒmen xūyào xiéshāng yǒuguān huòwù zhí liàng de tiáokuǎn.</t>
        </is>
      </c>
      <c r="E46" s="92" t="inlineStr">
        <is>
          <t>45 我们需要协商 有关货物质量 的条款。 Chúng ta cần đàm phán về điều khoản liên quan đến chất lượng hàng hóa. Wǒmen xūyào xiéshāng yǒuguān huòwù zhí liàng de tiáokuǎn.</t>
        </is>
      </c>
      <c r="F46" s="114">
        <f>HYPERLINK("https://youglish.com/pronounce/我们需要协商有关货物质量的条款/chinese","🔍")</f>
        <v/>
      </c>
    </row>
    <row r="47" ht="28.5" customHeight="1" s="99">
      <c r="A47" s="94" t="inlineStr">
        <is>
          <t>626 ĐPTM.pdf</t>
        </is>
      </c>
      <c r="B47" s="95" t="inlineStr">
        <is>
          <t>46</t>
        </is>
      </c>
      <c r="C47" s="94" t="inlineStr">
        <is>
          <t>我们需要讨论货物的保险责任。</t>
        </is>
      </c>
      <c r="D47" s="94" t="inlineStr">
        <is>
          <t>Chúng ta cần thảo luận về trách nhiệm bảo hiểm hàng hóa. Wǒmen xūyào tǎolùn huòwù de bǎoxiǎn zérèn.</t>
        </is>
      </c>
      <c r="E47" s="94" t="inlineStr">
        <is>
          <t>46 我们需要讨论 货物的保险责 任。 Chúng ta cần thảo luận về trách nhiệm bảo hiểm hàng hóa. Wǒmen xūyào tǎolùn huòwù de bǎoxiǎn zérèn.</t>
        </is>
      </c>
      <c r="F47" s="115">
        <f>HYPERLINK("https://youglish.com/pronounce/我们需要讨论货物的保险责任/chinese","🔍")</f>
        <v/>
      </c>
    </row>
    <row r="48" ht="57" customHeight="1" s="99">
      <c r="A48" s="92" t="inlineStr">
        <is>
          <t>626 ĐPTM.pdf</t>
        </is>
      </c>
      <c r="B48" s="93" t="inlineStr">
        <is>
          <t>47</t>
        </is>
      </c>
      <c r="C48" s="92" t="inlineStr">
        <is>
          <t>我们需要商讨可能的违约和争议解决方案。</t>
        </is>
      </c>
      <c r="D48" s="92" t="inlineStr">
        <is>
          <t>Chúng ta cần thảo luận về các giải pháp có thể xảy ra khi vi phạm hợp đồng và giải quyết tranh chấp. Wǒmen xūyào shāngtǎo kěnéng de wéiyuē hé zhēngyì jiějué fāng'àn.</t>
        </is>
      </c>
      <c r="E48" s="92" t="inlineStr">
        <is>
          <t>47 我们需要商讨 可能的违约和 争议解决方 案。 Chúng ta cần thảo luận về các giải pháp có thể xảy ra khi vi phạm hợp đồng và giải quyết tranh chấp. Wǒmen xūyào shāngtǎo kěnéng de wéiyuē hé zhēngyì jiějué fāng'àn.</t>
        </is>
      </c>
      <c r="F48" s="114">
        <f>HYPERLINK("https://youglish.com/pronounce/我们需要商讨可能的违约和争议解决方案/chinese","🔍")</f>
        <v/>
      </c>
    </row>
    <row r="49" ht="42.75" customHeight="1" s="99">
      <c r="A49" s="94" t="inlineStr">
        <is>
          <t>626 ĐPTM.pdf</t>
        </is>
      </c>
      <c r="B49" s="95" t="inlineStr">
        <is>
          <t>48</t>
        </is>
      </c>
      <c r="C49" s="94" t="inlineStr">
        <is>
          <t>我们需要协商有关配送和运输的条款。</t>
        </is>
      </c>
      <c r="D49" s="94" t="inlineStr">
        <is>
          <t>Chúng ta cần đàm phán về các điều khoản liên quan đến vận chuyển và giao hàng. Wǒmen xūyào xiéshāng yǒuguān pèisòng hé yùnshū de tiáokuǎn.</t>
        </is>
      </c>
      <c r="E49" s="94" t="inlineStr">
        <is>
          <t>48 我们需要协商 有关配送和运 输的条款。 Chúng ta cần đàm phán về các điều khoản liên quan đến vận chuyển và giao hàng. Wǒmen xūyào xiéshāng yǒuguān pèisòng hé yùnshū de tiáokuǎn.</t>
        </is>
      </c>
      <c r="F49" s="115">
        <f>HYPERLINK("https://youglish.com/pronounce/我们需要协商有关配送和运输的条款/chinese","🔍")</f>
        <v/>
      </c>
    </row>
    <row r="50" ht="42.75" customHeight="1" s="99">
      <c r="A50" s="92" t="inlineStr">
        <is>
          <t>626 ĐPTM.pdf</t>
        </is>
      </c>
      <c r="B50" s="93" t="inlineStr">
        <is>
          <t>49</t>
        </is>
      </c>
      <c r="C50" s="92" t="inlineStr">
        <is>
          <t>我们需要讨论可能的延误和遗漏。</t>
        </is>
      </c>
      <c r="D50" s="92" t="inlineStr">
        <is>
          <t>Chúng ta cần thảo luận về khả năng chậm trễ và thiếu sót có thể xảy ra. Wǒmen xūyào tǎolùn kěnéng de yánwù hé yílòu.</t>
        </is>
      </c>
      <c r="E50" s="92" t="inlineStr">
        <is>
          <t>49 我们需要讨论 可能的延误和 遗漏。 Chúng ta cần thảo luận về khả năng chậm trễ và thiếu sót có thể xảy ra. Wǒmen xūyào tǎolùn kěnéng de yánwù hé yílòu.</t>
        </is>
      </c>
      <c r="F50" s="114">
        <f>HYPERLINK("https://youglish.com/pronounce/我们需要讨论可能的延误和遗漏/chinese","🔍")</f>
        <v/>
      </c>
    </row>
    <row r="51" ht="42.75" customHeight="1" s="99">
      <c r="A51" s="94" t="inlineStr">
        <is>
          <t>626 ĐPTM.pdf</t>
        </is>
      </c>
      <c r="B51" s="95" t="inlineStr">
        <is>
          <t>50</t>
        </is>
      </c>
      <c r="C51" s="94" t="inlineStr">
        <is>
          <t>我们需要协商关于商品的规格和质量标准。</t>
        </is>
      </c>
      <c r="D51" s="94" t="inlineStr">
        <is>
          <t>Chúng ta cần đàm phán về các tiêu chuẩn về quy cách và chất lượng hàng hóa. Wǒmen xūyào xiéshāng guānyú shāngpǐn de guīgé hé zhìliàng biāozhǔn.</t>
        </is>
      </c>
      <c r="E51" s="94" t="inlineStr">
        <is>
          <t>50 我们需要协商 关于商品的规 格和质量标 准。 Chúng ta cần đàm phán về các tiêu chuẩn về quy cách và chất lượng hàng hóa. Wǒmen xūyào xiéshāng guānyú shāngpǐn de guīgé hé zhìliàng biāozhǔn.</t>
        </is>
      </c>
      <c r="F51" s="115">
        <f>HYPERLINK("https://youglish.com/pronounce/我们需要协商关于商品的规格和质量标准/chinese","🔍")</f>
        <v/>
      </c>
    </row>
    <row r="52" ht="57" customHeight="1" s="99">
      <c r="A52" s="92" t="inlineStr">
        <is>
          <t>626 ĐPTM.pdf</t>
        </is>
      </c>
      <c r="B52" s="93" t="inlineStr">
        <is>
          <t>51</t>
        </is>
      </c>
      <c r="C52" s="92" t="inlineStr">
        <is>
          <t>我们需要确定责任分配，尤其是在货物损坏或丢失的情况下。</t>
        </is>
      </c>
      <c r="D52" s="92" t="inlineStr">
        <is>
          <t>Chúng ta cần xác định phân chia trách nhiệm, đặc biệt là trong trường hợp hàng hóa bị hư hỏng hoặc bị mất. Wǒmen xūyào quèdìng zérèn fēnpèi, yóuqí shì zài huòwù sǔnhuài huò diūshī de qíngkuàng xià.</t>
        </is>
      </c>
      <c r="E52" s="92" t="inlineStr">
        <is>
          <t>51 我们需要确定 责任分配，尤 其是在货物损 坏或丢失的情 况下。 Chúng ta cần xác định phân chia trách nhiệm, đặc biệt là trong trường hợp hàng hóa bị hư hỏng hoặc bị mất. Wǒmen xūyào quèdìng zérèn fēnpèi, yóuqí shì zài huòwù sǔnhuài huò diūshī de qíngkuàng xià.</t>
        </is>
      </c>
      <c r="F52" s="114">
        <f>HYPERLINK("https://youglish.com/pronounce/我们需要确定责任分配尤其是在货物损坏或丢失的情况下/chinese","🔍")</f>
        <v/>
      </c>
    </row>
    <row r="53" ht="57" customHeight="1" s="99">
      <c r="A53" s="94" t="inlineStr">
        <is>
          <t>626 ĐPTM.pdf</t>
        </is>
      </c>
      <c r="B53" s="95" t="inlineStr">
        <is>
          <t>52</t>
        </is>
      </c>
      <c r="C53" s="94" t="inlineStr">
        <is>
          <t>我们需要讨论有关可能的商品缺陷和退货的条款。</t>
        </is>
      </c>
      <c r="D53" s="94" t="inlineStr">
        <is>
          <t>Chúng ta cần thảo luận về các điều khoản liên quan đến khả năng hàng hóa bị lỗi và chính sách trả hàng. Wǒmen xūyào tǎolùn yǒuguān kěnéng de shāngpǐn quēxiàn hé tuìhuò de tiáokuǎn.</t>
        </is>
      </c>
      <c r="E53" s="94" t="inlineStr">
        <is>
          <t>52 我们需要讨论 有关可能的商 品缺陷和退货 的条款。 Chúng ta cần thảo luận về các điều khoản liên quan đến khả năng hàng hóa bị lỗi và chính sách trả hàng. Wǒmen xūyào tǎolùn yǒuguān kěnéng de shāngpǐn quēxiàn hé tuìhuò de tiáokuǎn.</t>
        </is>
      </c>
      <c r="F53" s="115">
        <f>HYPERLINK("https://youglish.com/pronounce/我们需要讨论有关可能的商品缺陷和退货的条款/chinese","🔍")</f>
        <v/>
      </c>
    </row>
    <row r="54" ht="42.75" customHeight="1" s="99">
      <c r="A54" s="92" t="inlineStr">
        <is>
          <t>626 ĐPTM.pdf</t>
        </is>
      </c>
      <c r="B54" s="93" t="inlineStr">
        <is>
          <t>53</t>
        </is>
      </c>
      <c r="C54" s="92" t="inlineStr">
        <is>
          <t>我们需要确定有关保修和售后服务的条款。</t>
        </is>
      </c>
      <c r="D54" s="92" t="inlineStr">
        <is>
          <t>Chúng ta cần xác định các điều khoản về bảo hành và dịch vụ sau bán hàng. Wǒmen xūyào quèdìng yǒuguān bǎoxiū hé shòuhòu fúwù de tiáokuǎn.</t>
        </is>
      </c>
      <c r="E54" s="92" t="inlineStr">
        <is>
          <t>53 我们需要确定 有关保修和售 后服务的条 款。 Chúng ta cần xác định các điều khoản về bảo hành và dịch vụ sau bán hàng. Wǒmen xūyào quèdìng yǒuguān bǎoxiū hé shòuhòu fúwù de tiáokuǎn.</t>
        </is>
      </c>
      <c r="F54" s="114">
        <f>HYPERLINK("https://youglish.com/pronounce/我们需要确定有关保修和售后服务的条款/chinese","🔍")</f>
        <v/>
      </c>
    </row>
    <row r="55" ht="42.75" customHeight="1" s="99">
      <c r="A55" s="94" t="inlineStr">
        <is>
          <t>626 ĐPTM.pdf</t>
        </is>
      </c>
      <c r="B55" s="95" t="inlineStr">
        <is>
          <t>54</t>
        </is>
      </c>
      <c r="C55" s="94" t="inlineStr">
        <is>
          <t>我们需要讨论货物的验收程序和标准。</t>
        </is>
      </c>
      <c r="D55" s="94" t="inlineStr">
        <is>
          <t>Chúng ta cần thảo luận về quy trình và tiêu chuẩn kiểm tra hàng hóa. Wǒmen xūyào tǎolùn huòwù de yànshōu chéngxù hé biāozhǔn.</t>
        </is>
      </c>
      <c r="E55" s="94" t="inlineStr">
        <is>
          <t>54 我们需要讨论 货物的验收程 序和标准。 Chúng ta cần thảo luận về quy trình và tiêu chuẩn kiểm tra hàng hóa. Wǒmen xūyào tǎolùn huòwù de yànshōu chéngxù hé biāozhǔn.</t>
        </is>
      </c>
      <c r="F55" s="115">
        <f>HYPERLINK("https://youglish.com/pronounce/我们需要讨论货物的验收程序和标准/chinese","🔍")</f>
        <v/>
      </c>
    </row>
    <row r="56" ht="57" customHeight="1" s="99">
      <c r="A56" s="92" t="inlineStr">
        <is>
          <t>626 ĐPTM.pdf</t>
        </is>
      </c>
      <c r="B56" s="93" t="inlineStr">
        <is>
          <t>55</t>
        </is>
      </c>
      <c r="C56" s="92" t="inlineStr">
        <is>
          <t>我们需要协商有关货物来源和生产地的条款。</t>
        </is>
      </c>
      <c r="D56" s="92" t="inlineStr">
        <is>
          <t>Chúng ta cần đàm phán về các điều khoản liên quan đến nguồn gốc và địa điểm sản xuất hàng hóa. Wǒmen xūyào xiéshāng yǒuguān huòwù láiyuán hé shēngchǎndì de tiáokuǎn.</t>
        </is>
      </c>
      <c r="E56" s="92" t="inlineStr">
        <is>
          <t>55 我们需要协商 有关货物来源 和生产地的条 款。 Chúng ta cần đàm phán về các điều khoản liên quan đến nguồn gốc và địa điểm sản xuất hàng hóa. Wǒmen xūyào xiéshāng yǒuguān huòwù láiyuán hé shēngchǎndì de tiáokuǎn.</t>
        </is>
      </c>
      <c r="F56" s="114">
        <f>HYPERLINK("https://youglish.com/pronounce/我们需要协商有关货物来源和生产地的条款/chinese","🔍")</f>
        <v/>
      </c>
    </row>
    <row r="57" ht="42.75" customHeight="1" s="99">
      <c r="A57" s="94" t="inlineStr">
        <is>
          <t>626 ĐPTM.pdf</t>
        </is>
      </c>
      <c r="B57" s="95" t="inlineStr">
        <is>
          <t>56</t>
        </is>
      </c>
      <c r="C57" s="94" t="inlineStr">
        <is>
          <t>我们需要确定有关付款期限和利率的条款。</t>
        </is>
      </c>
      <c r="D57" s="94" t="inlineStr">
        <is>
          <t>Chúng ta cần xác định các điều khoản về thời hạn thanh toán và lãi suất. Wǒmen xūyào quèdìng yǒuguān fùkuǎn qíxiàn hé lìlǜ de tiáokuǎn.</t>
        </is>
      </c>
      <c r="E57" s="94" t="inlineStr">
        <is>
          <t>56 我们需要确定 有关付款期限 和利率的条款。 Chúng ta cần xác định các điều khoản về thời hạn thanh toán và lãi suất. Wǒmen xūyào quèdìng yǒuguān fùkuǎn qíxiàn hé lìlǜ de tiáokuǎn.</t>
        </is>
      </c>
      <c r="F57" s="115">
        <f>HYPERLINK("https://youglish.com/pronounce/我们需要确定有关付款期限和利率的条款/chinese","🔍")</f>
        <v/>
      </c>
    </row>
    <row r="58" ht="57" customHeight="1" s="99">
      <c r="A58" s="92" t="inlineStr">
        <is>
          <t>626 ĐPTM.pdf</t>
        </is>
      </c>
      <c r="B58" s="93" t="inlineStr">
        <is>
          <t>57</t>
        </is>
      </c>
      <c r="C58" s="92" t="inlineStr">
        <is>
          <t>我们需要讨论有关可能的违约和罚款的条款。</t>
        </is>
      </c>
      <c r="D58" s="92" t="inlineStr">
        <is>
          <t>Chúng ta cần thảo luận về các điều khoản liên quan đến khả năng vi phạm hợp đồng và phí phạt. Wǒmen xūyào tǎolùn yǒuguān kěnéng de wéiyuē hé fákuǎn de tiáokuǎn.</t>
        </is>
      </c>
      <c r="E58" s="92" t="inlineStr">
        <is>
          <t>57 我们需要讨论 有关可能的违 约和罚款的条 款。 Chúng ta cần thảo luận về các điều khoản liên quan đến khả năng vi phạm hợp đồng và phí phạt. Wǒmen xūyào tǎolùn yǒuguān kěnéng de wéiyuē hé fákuǎn de tiáokuǎn.</t>
        </is>
      </c>
      <c r="F58" s="114">
        <f>HYPERLINK("https://youglish.com/pronounce/我们需要讨论有关可能的违约和罚款的条款/chinese","🔍")</f>
        <v/>
      </c>
    </row>
    <row r="59" ht="57" customHeight="1" s="99">
      <c r="A59" s="94" t="inlineStr">
        <is>
          <t>626 ĐPTM.pdf</t>
        </is>
      </c>
      <c r="B59" s="95" t="inlineStr">
        <is>
          <t>58</t>
        </is>
      </c>
      <c r="C59" s="94" t="inlineStr">
        <is>
          <t>我们需要协商关于可能的知识产权纠纷的条款。</t>
        </is>
      </c>
      <c r="D59" s="94" t="inlineStr">
        <is>
          <t>Chúng ta cần đàm phán về các điều khoản liên quan đến tranh chấp sở hữu trí tuệ có thể xảy ra. Wǒmen xūyào xiéshāng guānyú kěnéng de zhīshì chǎnquán jiūfēn de tiáokuǎn.</t>
        </is>
      </c>
      <c r="E59" s="94" t="inlineStr">
        <is>
          <t>58 我们需要协商 关于可能的知 识产权纠纷的 条款。 Chúng ta cần đàm phán về các điều khoản liên quan đến tranh chấp sở hữu trí tuệ có thể xảy ra. Wǒmen xūyào xiéshāng guānyú kěnéng de zhīshì chǎnquán jiūfēn de tiáokuǎn.</t>
        </is>
      </c>
      <c r="F59" s="115">
        <f>HYPERLINK("https://youglish.com/pronounce/我们需要协商关于可能的知识产权纠纷的条款/chinese","🔍")</f>
        <v/>
      </c>
    </row>
    <row r="60" ht="57" customHeight="1" s="99">
      <c r="A60" s="92" t="inlineStr">
        <is>
          <t>626 ĐPTM.pdf</t>
        </is>
      </c>
      <c r="B60" s="93" t="inlineStr">
        <is>
          <t>59</t>
        </is>
      </c>
      <c r="C60" s="92" t="inlineStr">
        <is>
          <t>我们需要确定有关保密和保护商业机密的条款。</t>
        </is>
      </c>
      <c r="D60" s="92" t="inlineStr">
        <is>
          <t>Chúng ta cần xác định các điều khoản về bảo mật và bảo vệ bí mật thương mại. Wǒmen xūyào quèdìng yǒuguān bǎomì hé bǎohù shāngyèjīmì de tiáokuǎn.</t>
        </is>
      </c>
      <c r="E60" s="92" t="inlineStr">
        <is>
          <t>59 我们需要确定 有关保密和保 护商业机密的 条款。 Chúng ta cần xác định các điều khoản về bảo mật và bảo vệ bí mật thương mại. Wǒmen xūyào quèdìng yǒuguān bǎomì hé bǎohù shāngyèjīmì de tiáokuǎn.</t>
        </is>
      </c>
      <c r="F60" s="114">
        <f>HYPERLINK("https://youglish.com/pronounce/我们需要确定有关保密和保护商业机密的条款/chinese","🔍")</f>
        <v/>
      </c>
    </row>
    <row r="61" ht="42.75" customHeight="1" s="99">
      <c r="A61" s="94" t="inlineStr">
        <is>
          <t>626 ĐPTM.pdf</t>
        </is>
      </c>
      <c r="B61" s="95" t="inlineStr">
        <is>
          <t>60</t>
        </is>
      </c>
      <c r="C61" s="94" t="inlineStr">
        <is>
          <t>我们需要更改一下付款方式， 您有没有任何建议？</t>
        </is>
      </c>
      <c r="D61" s="94" t="inlineStr">
        <is>
          <t>Chúng tôi cần thay đổi phương thức thanh toán, anh/cô có đề xuất nào không? Wǒmen xūyào gēnggǎi yīxià fùkuǎn fāngshì, nín yǒu méiyǒu rènhé jiànyì?</t>
        </is>
      </c>
      <c r="E61" s="94" t="inlineStr">
        <is>
          <t>60 我们需要更改 一下付款方式， 您有没有任何 建议？ Chúng tôi cần thay đổi phương thức thanh toán, anh/cô có đề xuất nào không? Wǒmen xūyào gēnggǎi yīxià fùkuǎn fāngshì, nín yǒu méiyǒu rènhé jiànyì?</t>
        </is>
      </c>
      <c r="F61" s="115">
        <f>HYPERLINK("https://youglish.com/pronounce/我们需要更改一下付款方式您有没有任何建议/chinese","🔍")</f>
        <v/>
      </c>
    </row>
    <row r="62" ht="57" customHeight="1" s="99">
      <c r="A62" s="92" t="inlineStr">
        <is>
          <t>626 ĐPTM.pdf</t>
        </is>
      </c>
      <c r="B62" s="93" t="inlineStr">
        <is>
          <t>61</t>
        </is>
      </c>
      <c r="C62" s="92" t="inlineStr">
        <is>
          <t>请提供您的货物的详细清单和规格以便我们审核。</t>
        </is>
      </c>
      <c r="D62" s="92" t="inlineStr">
        <is>
          <t>Vui lòng cung cấp danh sách chi tiết và thông số kỹ thuật hàng hoá của anh/cô để chúng tôi có thể kiểm tra. Qǐng tígōng nín de huòwù de xiángxì qīngdān hé guīgé yǐbiàn wǒmen shěnhé.</t>
        </is>
      </c>
      <c r="E62" s="92" t="inlineStr">
        <is>
          <t>61 请提供您的货 物的详细清单 和规格以便我 们审核。 Vui lòng cung cấp danh sách chi tiết và thông số kỹ thuật hàng hoá của anh/cô để chúng tôi có thể kiểm tra. Qǐng tígōng nín de huòwù de xiángxì qīngdān hé guīgé yǐbiàn wǒmen shěnhé.</t>
        </is>
      </c>
      <c r="F62" s="114">
        <f>HYPERLINK("https://youglish.com/pronounce/请提供您的货物的详细清单和规格以便我们审核/chinese","🔍")</f>
        <v/>
      </c>
    </row>
    <row r="63" ht="57" customHeight="1" s="99">
      <c r="A63" s="94" t="inlineStr">
        <is>
          <t>626 ĐPTM.pdf</t>
        </is>
      </c>
      <c r="B63" s="95" t="inlineStr">
        <is>
          <t>62</t>
        </is>
      </c>
      <c r="C63" s="94" t="inlineStr">
        <is>
          <t>我们需要对商品进行检验， 请提供相关检验报告。</t>
        </is>
      </c>
      <c r="D63" s="94" t="inlineStr">
        <is>
          <t>Chúng tôi cần kiểm tra hàng hoá, vui lòng cung cấp báo cáo kiểm định liên quan. Wǒmen xūyào duì shāngpǐn jìnxíng jiǎnyàn, qǐng tígōng xiāngguān jiǎnyàn bàogào.</t>
        </is>
      </c>
      <c r="E63" s="94" t="inlineStr">
        <is>
          <t>62 我们需要对商 品进行检验， 请提供相关检 验报告。 Chúng tôi cần kiểm tra hàng hoá, vui lòng cung cấp báo cáo kiểm định liên quan. Wǒmen xūyào duì shāngpǐn jìnxíng jiǎnyàn, qǐng tígōng xiāngguān jiǎnyàn bàogào.</t>
        </is>
      </c>
      <c r="F63" s="115">
        <f>HYPERLINK("https://youglish.com/pronounce/我们需要对商品进行检验请提供相关检验报告/chinese","🔍")</f>
        <v/>
      </c>
    </row>
    <row r="64" ht="42.75" customHeight="1" s="99">
      <c r="A64" s="92" t="inlineStr">
        <is>
          <t>626 ĐPTM.pdf</t>
        </is>
      </c>
      <c r="B64" s="93" t="inlineStr">
        <is>
          <t>63</t>
        </is>
      </c>
      <c r="C64" s="92" t="inlineStr">
        <is>
          <t>我们需要更改一下交货时间 ，您方便吗？</t>
        </is>
      </c>
      <c r="D64" s="92" t="inlineStr">
        <is>
          <t>Chúng tôi cần thay đổi thời gian giao hàng, anh/cô có thể linh động không? Wǒmen xūyào gēnggǎi yīxià jiāo huò shíjiān, nín fāngbiàn ma?</t>
        </is>
      </c>
      <c r="E64" s="92" t="inlineStr">
        <is>
          <t>63 我们需要更改 一下交货时间 ，您方便吗？ Chúng tôi cần thay đổi thời gian giao hàng, anh/cô có thể linh động không? Wǒmen xūyào gēnggǎi yīxià jiāo huò shíjiān, nín fāngbiàn ma?</t>
        </is>
      </c>
      <c r="F64" s="114">
        <f>HYPERLINK("https://youglish.com/pronounce/我们需要更改一下交货时间您方便吗/chinese","🔍")</f>
        <v/>
      </c>
    </row>
    <row r="65" ht="57" customHeight="1" s="99">
      <c r="A65" s="94" t="inlineStr">
        <is>
          <t>626 ĐPTM.pdf</t>
        </is>
      </c>
      <c r="B65" s="95" t="inlineStr">
        <is>
          <t>64</t>
        </is>
      </c>
      <c r="C65" s="94" t="inlineStr">
        <is>
          <t>请提供您的银行账户信息， 以便我们安排付款。</t>
        </is>
      </c>
      <c r="D65" s="94" t="inlineStr">
        <is>
          <t>Vui lòng cung cấp thông tin tài khoản ngân hàng của anh/cô để chúng tôi có thể sắp xếp thanh toán. Qǐng tígōng nín de yínháng zhànghù xìnxī, yǐbiàn wǒmen ānpái fùkuǎn.</t>
        </is>
      </c>
      <c r="E65" s="94" t="inlineStr">
        <is>
          <t>64 请提供您的银 行账户信息， 以便我们安排 付款。 Vui lòng cung cấp thông tin tài khoản ngân hàng của anh/cô để chúng tôi có thể sắp xếp thanh toán. Qǐng tígōng nín de yínháng zhànghù xìnxī, yǐbiàn wǒmen ānpái fùkuǎn.</t>
        </is>
      </c>
      <c r="F65" s="115">
        <f>HYPERLINK("https://youglish.com/pronounce/请提供您的银行账户信息以便我们安排付款/chinese","🔍")</f>
        <v/>
      </c>
    </row>
    <row r="66" ht="42.75" customHeight="1" s="99">
      <c r="A66" s="92" t="inlineStr">
        <is>
          <t>626 ĐPTM.pdf</t>
        </is>
      </c>
      <c r="B66" s="93" t="inlineStr">
        <is>
          <t>65</t>
        </is>
      </c>
      <c r="C66" s="92" t="inlineStr">
        <is>
          <t>我们需要您提供商品的质量保证书。</t>
        </is>
      </c>
      <c r="D66" s="92" t="inlineStr">
        <is>
          <t>Chúng tôi cần anh/cô cung cấp chứng nhận chất lượng cho hàng hoá. Wǒmen xūyào nín tígōng shāngpǐn de zhìliàng bǎozhèngshū.</t>
        </is>
      </c>
      <c r="E66" s="92" t="inlineStr">
        <is>
          <t>65 我们需要您提 供商品的质量 保证书。 Chúng tôi cần anh/cô cung cấp chứng nhận chất lượng cho hàng hoá. Wǒmen xūyào nín tígōng shāngpǐn de zhìliàng bǎozhèngshū.</t>
        </is>
      </c>
      <c r="F66" s="114">
        <f>HYPERLINK("https://youglish.com/pronounce/我们需要您提供商品的质量保证书/chinese","🔍")</f>
        <v/>
      </c>
    </row>
    <row r="67" ht="42.75" customHeight="1" s="99">
      <c r="A67" s="94" t="inlineStr">
        <is>
          <t>626 ĐPTM.pdf</t>
        </is>
      </c>
      <c r="B67" s="95" t="inlineStr">
        <is>
          <t>66</t>
        </is>
      </c>
      <c r="C67" s="94" t="inlineStr">
        <is>
          <t>您能否为我们提供一些样品以供确认？</t>
        </is>
      </c>
      <c r="D67" s="94" t="inlineStr">
        <is>
          <t>Anh/cô có thể cung cấp mẫu sản phẩm để chúng tôi xác nhận được không? Nín néng fǒu wèi wǒmen tígōng yīxiē yàngpǐn yǐ gōng quèrèn?</t>
        </is>
      </c>
      <c r="E67" s="94" t="inlineStr">
        <is>
          <t>66 您能否为我们 提供一些样品 以供确认？ Anh/cô có thể cung cấp mẫu sản phẩm để chúng tôi xác nhận được không? Nín néng fǒu wèi wǒmen tígōng yīxiē yàngpǐn yǐ gōng quèrèn?</t>
        </is>
      </c>
      <c r="F67" s="115">
        <f>HYPERLINK("https://youglish.com/pronounce/您能否为我们提供一些样品以供确认/chinese","🔍")</f>
        <v/>
      </c>
    </row>
    <row r="68" ht="42.75" customHeight="1" s="99">
      <c r="A68" s="92" t="inlineStr">
        <is>
          <t>626 ĐPTM.pdf</t>
        </is>
      </c>
      <c r="B68" s="93" t="inlineStr">
        <is>
          <t>67</t>
        </is>
      </c>
      <c r="C68" s="92" t="inlineStr">
        <is>
          <t>我们需要您提供商品的产地证明。</t>
        </is>
      </c>
      <c r="D68" s="92" t="inlineStr">
        <is>
          <t>Chúng tôi cần anh/cô cung cấp giấy chứng nhận xuất xứ cho hàng hoá. Wǒmen xūyào nín tígōng shāngpǐn de chǎndì zhèngmíng.</t>
        </is>
      </c>
      <c r="E68" s="92" t="inlineStr">
        <is>
          <t>67 我们需要您提 供商品的产地 证明。 Chúng tôi cần anh/cô cung cấp giấy chứng nhận xuất xứ cho hàng hoá. Wǒmen xūyào nín tígōng shāngpǐn de chǎndì zhèngmíng.</t>
        </is>
      </c>
      <c r="F68" s="114">
        <f>HYPERLINK("https://youglish.com/pronounce/我们需要您提供商品的产地证明/chinese","🔍")</f>
        <v/>
      </c>
    </row>
    <row r="69" ht="42.75" customHeight="1" s="99">
      <c r="A69" s="94" t="inlineStr">
        <is>
          <t>626 ĐPTM.pdf</t>
        </is>
      </c>
      <c r="B69" s="95" t="inlineStr">
        <is>
          <t>68</t>
        </is>
      </c>
      <c r="C69" s="94" t="inlineStr">
        <is>
          <t>我们需要您提供出口许可证和相关文件。</t>
        </is>
      </c>
      <c r="D69" s="94" t="inlineStr">
        <is>
          <t>Chúng tôi cần anh/cô cung cấp giấy phép xuất khẩu và các tài liệu liên quan. Wǒmen xūyào nín tígōng chūkǒu xǔkě zhèng hé xiāngguān wénjiàn.</t>
        </is>
      </c>
      <c r="E69" s="94" t="inlineStr">
        <is>
          <t>68 我们需要您提 供出口许可证 和相关文件。 Chúng tôi cần anh/cô cung cấp giấy phép xuất khẩu và các tài liệu liên quan. Wǒmen xūyào nín tígōng chūkǒu xǔkě zhèng hé xiāngguān wénjiàn.</t>
        </is>
      </c>
      <c r="F69" s="115">
        <f>HYPERLINK("https://youglish.com/pronounce/我们需要您提供出口许可证和相关文件/chinese","🔍")</f>
        <v/>
      </c>
    </row>
    <row r="70" ht="42.75" customHeight="1" s="99">
      <c r="A70" s="92" t="inlineStr">
        <is>
          <t>626 ĐPTM.pdf</t>
        </is>
      </c>
      <c r="B70" s="93" t="inlineStr">
        <is>
          <t>69</t>
        </is>
      </c>
      <c r="C70" s="92" t="inlineStr">
        <is>
          <t>我们需要您提供商品的运输保险证明。</t>
        </is>
      </c>
      <c r="D70" s="92" t="inlineStr">
        <is>
          <t>Chúng tôi cần anh/cô cung cấp chứng nhận bảo hiểm vận chuyển cho hàng hoá. Wǒmen xūyào nín tígōng shāngpǐn de yùnshū bǎoxiǎn zhèngmíng.</t>
        </is>
      </c>
      <c r="E70" s="92" t="inlineStr">
        <is>
          <t>69 我们需要您提 供商品的运输 保险证明。 Chúng tôi cần anh/cô cung cấp chứng nhận bảo hiểm vận chuyển cho hàng hoá. Wǒmen xūyào nín tígōng shāngpǐn de yùnshū bǎoxiǎn zhèngmíng.</t>
        </is>
      </c>
      <c r="F70" s="114">
        <f>HYPERLINK("https://youglish.com/pronounce/我们需要您提供商品的运输保险证明/chinese","🔍")</f>
        <v/>
      </c>
    </row>
    <row r="71" ht="57" customHeight="1" s="99">
      <c r="A71" s="94" t="inlineStr">
        <is>
          <t>626 ĐPTM.pdf</t>
        </is>
      </c>
      <c r="B71" s="95" t="inlineStr">
        <is>
          <t>70</t>
        </is>
      </c>
      <c r="C71" s="94" t="inlineStr">
        <is>
          <t>我们需要对合同条款进行细节的商讨和确认。</t>
        </is>
      </c>
      <c r="D71" s="94" t="inlineStr">
        <is>
          <t>Chúng tôi cần thương lượng và xác nhận các chi tiết liên quan đến điều khoản trong hợp đồng. Wǒmen xūyào duì hétóng tiáokuǎn jìnxíng xìjié de shāngtǎo hé quèrèn.</t>
        </is>
      </c>
      <c r="E71" s="94" t="inlineStr">
        <is>
          <t>70 我们需要对合 同条款进行细 节的商讨和确 认。 Chúng tôi cần thương lượng và xác nhận các chi tiết liên quan đến điều khoản trong hợp đồng. Wǒmen xūyào duì hétóng tiáokuǎn jìnxíng xìjié de shāngtǎo hé quèrèn.</t>
        </is>
      </c>
      <c r="F71" s="115">
        <f>HYPERLINK("https://youglish.com/pronounce/我们需要对合同条款进行细节的商讨和确认/chinese","🔍")</f>
        <v/>
      </c>
    </row>
    <row r="72" ht="42.75" customHeight="1" s="99">
      <c r="A72" s="92" t="inlineStr">
        <is>
          <t>626 ĐPTM.pdf</t>
        </is>
      </c>
      <c r="B72" s="93" t="inlineStr">
        <is>
          <t>71</t>
        </is>
      </c>
      <c r="C72" s="92" t="inlineStr">
        <is>
          <t>我们需要您在合同中明确规定质量保证期限。</t>
        </is>
      </c>
      <c r="D72" s="92" t="inlineStr">
        <is>
          <t>Chúng tôi cần anh/cô chỉ rõ thời hạn bảo hành trong hợp đồng. Wǒmen xūyào nín zài hétóng zhōng míngquè guīdìng zhí liàng bǎozhèng qíxiàn.</t>
        </is>
      </c>
      <c r="E72" s="92" t="inlineStr">
        <is>
          <t>71 我们需要您在 合同中明确规 定质量保证期 限。 Chúng tôi cần anh/cô chỉ rõ thời hạn bảo hành trong hợp đồng. Wǒmen xūyào nín zài hétóng zhōng míngquè guīdìng zhí liàng bǎozhèng qíxiàn.</t>
        </is>
      </c>
      <c r="F72" s="114">
        <f>HYPERLINK("https://youglish.com/pronounce/我们需要您在合同中明确规定质量保证期限/chinese","🔍")</f>
        <v/>
      </c>
    </row>
    <row r="73" ht="57" customHeight="1" s="99">
      <c r="A73" s="94" t="inlineStr">
        <is>
          <t>626 ĐPTM.pdf</t>
        </is>
      </c>
      <c r="B73" s="95" t="inlineStr">
        <is>
          <t>72</t>
        </is>
      </c>
      <c r="C73" s="94" t="inlineStr">
        <is>
          <t>请提供您的公司营业执照和税务登记证明。</t>
        </is>
      </c>
      <c r="D73" s="94" t="inlineStr">
        <is>
          <t>Vui lòng cung cấp giấy phép kinh doanh và giấy chứng nhận đăng ký thuế của công ty anh/cô. Qǐng tígōng nín de gōngsī yíngyè zhízhào hé shuìwù dēngjì zhèngmíng.</t>
        </is>
      </c>
      <c r="E73" s="94" t="inlineStr">
        <is>
          <t>72 请提供您的公 司营业执照和 税务登记证 明。 Vui lòng cung cấp giấy phép kinh doanh và giấy chứng nhận đăng ký thuế của công ty anh/cô. Qǐng tígōng nín de gōngsī yíngyè zhízhào hé shuìwù dēngjì zhèngmíng.</t>
        </is>
      </c>
      <c r="F73" s="115">
        <f>HYPERLINK("https://youglish.com/pronounce/请提供您的公司营业执照和税务登记证明/chinese","🔍")</f>
        <v/>
      </c>
    </row>
    <row r="74" ht="42.75" customHeight="1" s="99">
      <c r="A74" s="92" t="inlineStr">
        <is>
          <t>626 ĐPTM.pdf</t>
        </is>
      </c>
      <c r="B74" s="93" t="inlineStr">
        <is>
          <t>73</t>
        </is>
      </c>
      <c r="C74" s="92" t="inlineStr">
        <is>
          <t>我们需要您提供海关报关单和相关文件。</t>
        </is>
      </c>
      <c r="D74" s="92" t="inlineStr">
        <is>
          <t>Chúng tôi cần anh/cô cung cấp biên bản hải quan và các tài liệu liên quan. Wǒmen xūyào nín tígōng hǎiguān bàoguān dān hé xiāngguān wénjiàn.</t>
        </is>
      </c>
      <c r="E74" s="92" t="inlineStr">
        <is>
          <t>73 我们需要您提 供海关报关单 和相关文件。 Chúng tôi cần anh/cô cung cấp biên bản hải quan và các tài liệu liên quan. Wǒmen xūyào nín tígōng hǎiguān bàoguān dān hé xiāngguān wénjiàn.</t>
        </is>
      </c>
      <c r="F74" s="114">
        <f>HYPERLINK("https://youglish.com/pronounce/我们需要您提供海关报关单和相关文件/chinese","🔍")</f>
        <v/>
      </c>
    </row>
    <row r="75" ht="57" customHeight="1" s="99">
      <c r="A75" s="94" t="inlineStr">
        <is>
          <t>626 ĐPTM.pdf</t>
        </is>
      </c>
      <c r="B75" s="95" t="inlineStr">
        <is>
          <t>74</t>
        </is>
      </c>
      <c r="C75" s="94" t="inlineStr">
        <is>
          <t>我们需要您在合同中明确规定支付方式和条款。</t>
        </is>
      </c>
      <c r="D75" s="94" t="inlineStr">
        <is>
          <t>Chúng tôi cần anh/cô chỉ rõ phương thức và điều kiện thanh toán trong hợp đồng. Wǒmen xūyào nín zài hétóng zhōng míngquè guīdìng zhīfù fāngshì hé tiáokuǎn.</t>
        </is>
      </c>
      <c r="E75" s="94" t="inlineStr">
        <is>
          <t>74 我们需要您在 合同中明确规 定支付方式和 条款。 Chúng tôi cần anh/cô chỉ rõ phương thức và điều kiện thanh toán trong hợp đồng. Wǒmen xūyào nín zài hétóng zhōng míngquè guīdìng zhīfù fāngshì hé tiáokuǎn.</t>
        </is>
      </c>
      <c r="F75" s="115">
        <f>HYPERLINK("https://youglish.com/pronounce/我们需要您在合同中明确规定支付方式和条款/chinese","🔍")</f>
        <v/>
      </c>
    </row>
    <row r="76" ht="57" customHeight="1" s="99">
      <c r="A76" s="92" t="inlineStr">
        <is>
          <t>626 ĐPTM.pdf</t>
        </is>
      </c>
      <c r="B76" s="93" t="inlineStr">
        <is>
          <t>75</t>
        </is>
      </c>
      <c r="C76" s="92" t="inlineStr">
        <is>
          <t>请提供您的商品的包装方式和包装材料规格。</t>
        </is>
      </c>
      <c r="D76" s="92" t="inlineStr">
        <is>
          <t>Vui lòng cung cấp thông tin về cách đóng gói và quy cách vật liệu đóng gói của hàng hoá của anh/cô. Qǐng tígōng nín de shāngpǐn de bāozhuāng fāngshì hé bāozhuāng cáiliào guīgé.</t>
        </is>
      </c>
      <c r="E76" s="92" t="inlineStr">
        <is>
          <t>75 请提供您的商 品的包装方式 Vui lòng cung cấp thông tin về cách đóng gói và quy cách vật liệu đóng gói của hàng hoá của anh/cô. Qǐng tígōng nín de shāngpǐn de bāozhuāng fāngshì hé bāozhuāng cáiliào guīgé. 和包装材料规 格。</t>
        </is>
      </c>
      <c r="F76" s="114">
        <f>HYPERLINK("https://youglish.com/pronounce/请提供您的商品的包装方式和包装材料规格/chinese","🔍")</f>
        <v/>
      </c>
    </row>
    <row r="77" ht="57" customHeight="1" s="99">
      <c r="A77" s="94" t="inlineStr">
        <is>
          <t>626 ĐPTM.pdf</t>
        </is>
      </c>
      <c r="B77" s="95" t="inlineStr">
        <is>
          <t>76</t>
        </is>
      </c>
      <c r="C77" s="94" t="inlineStr">
        <is>
          <t>我们需要对货物进行验收， 请提供相关验收标准和流程。</t>
        </is>
      </c>
      <c r="D77" s="94" t="inlineStr">
        <is>
          <t>Chúng tôi cần kiểm tra hàng hoá và yêu cầu anh/cô cung cấp các tiêu chuẩn và quy trình kiểm tra liên quan. Wǒmen xūyào duì huòwù jìnxíng yànshōu, qǐng tígōng xiāngguān yànshōu biāozhǔn hé liúchéng.</t>
        </is>
      </c>
      <c r="E77" s="94" t="inlineStr">
        <is>
          <t>76 我们需要对货 物进行验收， 请提供相关验 收标准和流 程。 Chúng tôi cần kiểm tra hàng hoá và yêu cầu anh/cô cung cấp các tiêu chuẩn và quy trình kiểm tra liên quan. Wǒmen xūyào duì huòwù jìnxíng yànshōu, qǐng tígōng xiāngguān yànshōu biāozhǔn hé liúchéng.</t>
        </is>
      </c>
      <c r="F77" s="115">
        <f>HYPERLINK("https://youglish.com/pronounce/我们需要对货物进行验收请提供相关验收标准和流程/chinese","🔍")</f>
        <v/>
      </c>
    </row>
    <row r="78" ht="57" customHeight="1" s="99">
      <c r="A78" s="92" t="inlineStr">
        <is>
          <t>626 ĐPTM.pdf</t>
        </is>
      </c>
      <c r="B78" s="93" t="inlineStr">
        <is>
          <t>77</t>
        </is>
      </c>
      <c r="C78" s="92" t="inlineStr">
        <is>
          <t>我们需要您提供商品的使用说明和维修保养手册。</t>
        </is>
      </c>
      <c r="D78" s="92" t="inlineStr">
        <is>
          <t>Chúng tôi cần anh/cô cung cấp hướng dẫn sử dụng và sổ tay bảo trì cho hàng hoá. Wǒmen xūyào nín tígōng shāngpǐn de shǐyòng shuōmíng hé wéixiū bǎoyǎng shǒucè.</t>
        </is>
      </c>
      <c r="E78" s="92" t="inlineStr">
        <is>
          <t>77 我们需要您提 供商品的使用 说明和维修保 养手册。 Chúng tôi cần anh/cô cung cấp hướng dẫn sử dụng và sổ tay bảo trì cho hàng hoá. Wǒmen xūyào nín tígōng shāngpǐn de shǐyòng shuōmíng hé wéixiū bǎoyǎng shǒucè.</t>
        </is>
      </c>
      <c r="F78" s="114">
        <f>HYPERLINK("https://youglish.com/pronounce/我们需要您提供商品的使用说明和维修保养手册/chinese","🔍")</f>
        <v/>
      </c>
    </row>
    <row r="79" ht="42.75" customHeight="1" s="99">
      <c r="A79" s="94" t="inlineStr">
        <is>
          <t>626 ĐPTM.pdf</t>
        </is>
      </c>
      <c r="B79" s="95" t="inlineStr">
        <is>
          <t>78</t>
        </is>
      </c>
      <c r="C79" s="94" t="inlineStr">
        <is>
          <t>我们需要您提供商品的价格保证书。</t>
        </is>
      </c>
      <c r="D79" s="94" t="inlineStr">
        <is>
          <t>Chúng tôi cần anh/cô cung cấp giấy chứng nhận giá của hàng hoá. Wǒmen xūyào nín tígōng shāngpǐn de jiàgé bǎozhèngshū.</t>
        </is>
      </c>
      <c r="E79" s="94" t="inlineStr">
        <is>
          <t>78 我们需要您提 供商品的价格 保证书。 Chúng tôi cần anh/cô cung cấp giấy chứng nhận giá của hàng hoá. Wǒmen xūyào nín tígōng shāngpǐn de jiàgé bǎozhèngshū.</t>
        </is>
      </c>
      <c r="F79" s="115">
        <f>HYPERLINK("https://youglish.com/pronounce/我们需要您提供商品的价格保证书/chinese","🔍")</f>
        <v/>
      </c>
    </row>
    <row r="80" ht="42.75" customHeight="1" s="99">
      <c r="A80" s="92" t="inlineStr">
        <is>
          <t>626 ĐPTM.pdf</t>
        </is>
      </c>
      <c r="B80" s="93" t="inlineStr">
        <is>
          <t>79</t>
        </is>
      </c>
      <c r="C80" s="92" t="inlineStr">
        <is>
          <t>请提供您的公司的组织机构代码证明。</t>
        </is>
      </c>
      <c r="D80" s="92" t="inlineStr">
        <is>
          <t>Vui lòng cung cấp giấy chứng nhận tổ chức của công ty anh/cô. Qǐng tígōng nín de gōngsī de zǔzhī jīgòu dàimǎ zhèngmíng.</t>
        </is>
      </c>
      <c r="E80" s="92" t="inlineStr">
        <is>
          <t>79 请提供您的公 司的组织机构 代码证明。 Vui lòng cung cấp giấy chứng nhận tổ chức của công ty anh/cô. Qǐng tígōng nín de gōngsī de zǔzhī jīgòu dàimǎ zhèngmíng.</t>
        </is>
      </c>
      <c r="F80" s="114">
        <f>HYPERLINK("https://youglish.com/pronounce/请提供您的公司的组织机构代码证明/chinese","🔍")</f>
        <v/>
      </c>
    </row>
    <row r="81" ht="57" customHeight="1" s="99">
      <c r="A81" s="94" t="inlineStr">
        <is>
          <t>626 ĐPTM.pdf</t>
        </is>
      </c>
      <c r="B81" s="95" t="inlineStr">
        <is>
          <t>80</t>
        </is>
      </c>
      <c r="C81" s="94" t="inlineStr">
        <is>
          <t>我们需要您在合同中明确规定商品的规格和数量。</t>
        </is>
      </c>
      <c r="D81" s="94" t="inlineStr">
        <is>
          <t>Chúng tôi cần bạn xác định rõ số lượng và quy cách hàng hóa trong hợp đồng. Wǒmen xūyào nín zài hétóng zhōng míngquè guīdìng shāngpǐn de guīgé hé shùliàng.</t>
        </is>
      </c>
      <c r="E81" s="94" t="inlineStr">
        <is>
          <t>80 我们需要您在 合同中明确规 定商品的规格 和数量。 Chúng tôi cần bạn xác định rõ số lượng và quy cách hàng hóa trong hợp đồng. Wǒmen xūyào nín zài hétóng zhōng míngquè guīdìng shāngpǐn de guīgé hé shùliàng.</t>
        </is>
      </c>
      <c r="F81" s="115">
        <f>HYPERLINK("https://youglish.com/pronounce/我们需要您在合同中明确规定商品的规格和数量/chinese","🔍")</f>
        <v/>
      </c>
    </row>
    <row r="82" ht="57" customHeight="1" s="99">
      <c r="A82" s="92" t="inlineStr">
        <is>
          <t>626 ĐPTM.pdf</t>
        </is>
      </c>
      <c r="B82" s="93" t="inlineStr">
        <is>
          <t>81</t>
        </is>
      </c>
      <c r="C82" s="92" t="inlineStr">
        <is>
          <t>请提供您的公司的信用证证明以便我们确认付款方式。</t>
        </is>
      </c>
      <c r="D82" s="92" t="inlineStr">
        <is>
          <t>Vui lòng cung cấp giấy chứng nhận tín dụng của công ty để chúng tôi xác nhận phương thức thanh toán. Qǐng tígōng nín de gōngsī de xìnyòng zhèng zhèngmíng yǐbiàn wǒmen quèrèn fùkuǎn fāngshì.</t>
        </is>
      </c>
      <c r="E82" s="92" t="inlineStr">
        <is>
          <t>81 请提供您的公 司的信用证证 明以便我们确 认付款方式。 Vui lòng cung cấp giấy chứng nhận tín dụng của công ty để chúng tôi xác nhận phương thức thanh toán. Qǐng tígōng nín de gōngsī de xìnyòng zhèng zhèngmíng yǐbiàn wǒmen quèrèn fùkuǎn fāngshì.</t>
        </is>
      </c>
      <c r="F82" s="114">
        <f>HYPERLINK("https://youglish.com/pronounce/请提供您的公司的信用证证明以便我们确认付款方式/chinese","🔍")</f>
        <v/>
      </c>
    </row>
    <row r="83" ht="42.75" customHeight="1" s="99">
      <c r="A83" s="94" t="inlineStr">
        <is>
          <t>626 ĐPTM.pdf</t>
        </is>
      </c>
      <c r="B83" s="95" t="inlineStr">
        <is>
          <t>82</t>
        </is>
      </c>
      <c r="C83" s="94" t="inlineStr">
        <is>
          <t>我们需要您提供商品的外包装和内包装的标识。</t>
        </is>
      </c>
      <c r="D83" s="94" t="inlineStr">
        <is>
          <t>Chúng tôi cần bạn cung cấp nhãn mác bên trong và bên ngoài của hàng hóa. Wǒmen xūyào nín tígōng shāngpǐn de wài bāozhuāng hé nèi bāozhuāng de biāozhì.</t>
        </is>
      </c>
      <c r="E83" s="94" t="inlineStr">
        <is>
          <t>82 我们需要您提 供商品的外包 装和内包装的 标识。 Chúng tôi cần bạn cung cấp nhãn mác bên trong và bên ngoài của hàng hóa. Wǒmen xūyào nín tígōng shāngpǐn de wài bāozhuāng hé nèi bāozhuāng de biāozhì.</t>
        </is>
      </c>
      <c r="F83" s="115">
        <f>HYPERLINK("https://youglish.com/pronounce/我们需要您提供商品的外包装和内包装的标识/chinese","🔍")</f>
        <v/>
      </c>
    </row>
    <row r="84" ht="57" customHeight="1" s="99">
      <c r="A84" s="92" t="inlineStr">
        <is>
          <t>626 ĐPTM.pdf</t>
        </is>
      </c>
      <c r="B84" s="93" t="inlineStr">
        <is>
          <t>83</t>
        </is>
      </c>
      <c r="C84" s="92" t="inlineStr">
        <is>
          <t>我们需要您提供商品的进出口许可证明和相关证明文件。</t>
        </is>
      </c>
      <c r="D84" s="92" t="inlineStr">
        <is>
          <t>Chúng tôi cần bạn cung cấp giấy chứng nhận xuất nhập khẩu và các tài liệu liên quan cho sản phẩm. Wǒmen xūyào nín tígōng shāngpǐn de jìn chūkǒu xǔkě zhèngmíng hé xiāngguān zhèngmíng wénjiàn.</t>
        </is>
      </c>
      <c r="E84" s="92" t="inlineStr">
        <is>
          <t>83 我们需要您提 供商品的进出 口许可证明和 相关证明文 件。 Chúng tôi cần bạn cung cấp giấy chứng nhận xuất nhập khẩu và các tài liệu liên quan cho sản phẩm. Wǒmen xūyào nín tígōng shāngpǐn de jìn chūkǒu xǔkě zhèngmíng hé xiāngguān zhèngmíng wénjiàn.</t>
        </is>
      </c>
      <c r="F84" s="114">
        <f>HYPERLINK("https://youglish.com/pronounce/我们需要您提供商品的进出口许可证明和相关证明文件/chinese","🔍")</f>
        <v/>
      </c>
    </row>
    <row r="85" ht="42.75" customHeight="1" s="99">
      <c r="A85" s="94" t="inlineStr">
        <is>
          <t>626 ĐPTM.pdf</t>
        </is>
      </c>
      <c r="B85" s="95" t="inlineStr">
        <is>
          <t>84</t>
        </is>
      </c>
      <c r="C85" s="94" t="inlineStr">
        <is>
          <t>我们需要您提供商品的售后服务承诺书。</t>
        </is>
      </c>
      <c r="D85" s="94" t="inlineStr">
        <is>
          <t>Chúng tôi cần bạn cung cấp cam kết dịch vụ hậu mãi cho sản phẩm. Wǒmen xūyào nín tígōng shāngpǐn de shòuhòu fúwù chéngnuò shū.</t>
        </is>
      </c>
      <c r="E85" s="94" t="inlineStr">
        <is>
          <t>84 我们需要您提 供商品的售后 服务承诺书。 Chúng tôi cần bạn cung cấp cam kết dịch vụ hậu mãi cho sản phẩm. Wǒmen xūyào nín tígōng shāngpǐn de shòuhòu fúwù chéngnuò shū.</t>
        </is>
      </c>
      <c r="F85" s="115">
        <f>HYPERLINK("https://youglish.com/pronounce/我们需要您提供商品的售后服务承诺书/chinese","🔍")</f>
        <v/>
      </c>
    </row>
    <row r="86" ht="42.75" customHeight="1" s="99">
      <c r="A86" s="92" t="inlineStr">
        <is>
          <t>626 ĐPTM.pdf</t>
        </is>
      </c>
      <c r="B86" s="93" t="inlineStr">
        <is>
          <t>85</t>
        </is>
      </c>
      <c r="C86" s="92" t="inlineStr">
        <is>
          <t>我们需要您提供商品的检验合格证明。</t>
        </is>
      </c>
      <c r="D86" s="92" t="inlineStr">
        <is>
          <t>Chúng tôi cần bạn cung cấp giấy chứng nhận kiểm định cho sản phẩm. Wǒmen xūyào nín tígōng shāngpǐn de jiǎnyàn hégé zhèngmíng.</t>
        </is>
      </c>
      <c r="E86" s="92" t="inlineStr">
        <is>
          <t>85 我们需要您提 供商品的检验 合格证明。 Chúng tôi cần bạn cung cấp giấy chứng nhận kiểm định cho sản phẩm. Wǒmen xūyào nín tígōng shāngpǐn de jiǎnyàn hégé zhèngmíng.</t>
        </is>
      </c>
      <c r="F86" s="114">
        <f>HYPERLINK("https://youglish.com/pronounce/我们需要您提供商品的检验合格证明/chinese","🔍")</f>
        <v/>
      </c>
    </row>
    <row r="87" ht="57" customHeight="1" s="99">
      <c r="A87" s="94" t="inlineStr">
        <is>
          <t>626 ĐPTM.pdf</t>
        </is>
      </c>
      <c r="B87" s="95" t="inlineStr">
        <is>
          <t>86</t>
        </is>
      </c>
      <c r="C87" s="94" t="inlineStr">
        <is>
          <t>我们需要您提供商品的品质保证书和产品质量报告。</t>
        </is>
      </c>
      <c r="D87" s="94" t="inlineStr">
        <is>
          <t>Chúng tôi cần bạn cung cấp giấy chứng nhận chất lượng và báo cáo chất lượng sản phẩm. Wǒmen xūyào nín tígōng shāngpǐn de pǐnzhí bǎozhèngshū hé chǎnpǐnzhí liàng bàogào.</t>
        </is>
      </c>
      <c r="E87" s="94" t="inlineStr">
        <is>
          <t>86 我们需要您提 供商品的品质 保证书和产品 质量报告。 Chúng tôi cần bạn cung cấp giấy chứng nhận chất lượng và báo cáo chất lượng sản phẩm. Wǒmen xūyào nín tígōng shāngpǐn de pǐnzhí bǎozhèngshū hé chǎnpǐnzhí liàng bàogào.</t>
        </is>
      </c>
      <c r="F87" s="115">
        <f>HYPERLINK("https://youglish.com/pronounce/我们需要您提供商品的品质保证书和产品质量报告/chinese","🔍")</f>
        <v/>
      </c>
    </row>
    <row r="88" ht="42.75" customHeight="1" s="99">
      <c r="A88" s="92" t="inlineStr">
        <is>
          <t>626 ĐPTM.pdf</t>
        </is>
      </c>
      <c r="B88" s="93" t="inlineStr">
        <is>
          <t>87</t>
        </is>
      </c>
      <c r="C88" s="92" t="inlineStr">
        <is>
          <t>请提供您的公司的经营范围和注册资本证明。</t>
        </is>
      </c>
      <c r="D88" s="92" t="inlineStr">
        <is>
          <t>Vui lòng cung cấp phạm vi kinh doanh và chứng nhận vốn đăng ký của công ty. Qǐng tígōng nín de gōngsī de jīngyíng fànwéi hé zhùcè zīběn zhèngmíng.</t>
        </is>
      </c>
      <c r="E88" s="92" t="inlineStr">
        <is>
          <t>87 请提供您的公 司的经营范围 和注册资本证 明。 Vui lòng cung cấp phạm vi kinh doanh và chứng nhận vốn đăng ký của công ty. Qǐng tígōng nín de gōngsī de jīngyíng fànwéi hé zhùcè zīběn zhèngmíng.</t>
        </is>
      </c>
      <c r="F88" s="114">
        <f>HYPERLINK("https://youglish.com/pronounce/请提供您的公司的经营范围和注册资本证明/chinese","🔍")</f>
        <v/>
      </c>
    </row>
    <row r="89" ht="42.75" customHeight="1" s="99">
      <c r="A89" s="94" t="inlineStr">
        <is>
          <t>626 ĐPTM.pdf</t>
        </is>
      </c>
      <c r="B89" s="95" t="inlineStr">
        <is>
          <t>88</t>
        </is>
      </c>
      <c r="C89" s="94" t="inlineStr">
        <is>
          <t>我们需要您提供商品的品牌授权证明。</t>
        </is>
      </c>
      <c r="D89" s="94" t="inlineStr">
        <is>
          <t>Chúng tôi cần bạn cung cấp giấy chứng nhận ủy quyền thương hiệu cho sản phẩm. Wǒmen xūyào nín tígōng shāngpǐn de pǐnpái shòuquán zhèngmíng.</t>
        </is>
      </c>
      <c r="E89" s="94" t="inlineStr">
        <is>
          <t>88 我们需要您提 供商品的品牌 授权证明。 Chúng tôi cần bạn cung cấp giấy chứng nhận ủy quyền thương hiệu cho sản phẩm. Wǒmen xūyào nín tígōng shāngpǐn de pǐnpái shòuquán zhèngmíng.</t>
        </is>
      </c>
      <c r="F89" s="115">
        <f>HYPERLINK("https://youglish.com/pronounce/我们需要您提供商品的品牌授权证明/chinese","🔍")</f>
        <v/>
      </c>
    </row>
    <row r="90" ht="71.25" customHeight="1" s="99">
      <c r="A90" s="92" t="inlineStr">
        <is>
          <t>626 ĐPTM.pdf</t>
        </is>
      </c>
      <c r="B90" s="93" t="inlineStr">
        <is>
          <t>89</t>
        </is>
      </c>
      <c r="C90" s="92" t="inlineStr">
        <is>
          <t>我们需要对商品进行重量和数量的核对， 请提供相关证明文件。</t>
        </is>
      </c>
      <c r="D90" s="92" t="inlineStr">
        <is>
          <t>Chúng tôi cần kiểm tra lại trọng lượng và số lượng hàng hóa, vui lòng cung cấp các tài liệu liên quan. Wǒmen xūyào duì shāngpǐn jìnxíng zhòngliàng hé shùliàng de héduì, qǐng tígōng xiāngguān zhèngmíng wénjiàn.</t>
        </is>
      </c>
      <c r="E90" s="92" t="inlineStr">
        <is>
          <t>89 我们需要对商 品进行重量和 数量的核对， 请提供相关证 明文件。 Chúng tôi cần kiểm tra lại trọng lượng và số lượng hàng hóa, vui lòng cung cấp các tài liệu liên quan. Wǒmen xūyào duì shāngpǐn jìnxíng zhòngliàng hé shùliàng de héduì, qǐng tígōng xiāngguān zhèngmíng wénjiàn.</t>
        </is>
      </c>
      <c r="F90" s="114">
        <f>HYPERLINK("https://youglish.com/pronounce/我们需要对商品进行重量和数量的核对请提供相关证明文件/chinese","🔍")</f>
        <v/>
      </c>
    </row>
    <row r="91" ht="42.75" customHeight="1" s="99">
      <c r="A91" s="94" t="inlineStr">
        <is>
          <t>626 ĐPTM.pdf</t>
        </is>
      </c>
      <c r="B91" s="95" t="inlineStr">
        <is>
          <t>90</t>
        </is>
      </c>
      <c r="C91" s="94" t="inlineStr">
        <is>
          <t>我们需要您提供商品的国内销售授权书。</t>
        </is>
      </c>
      <c r="D91" s="94" t="inlineStr">
        <is>
          <t>Chúng tôi cần bạn cung cấp giấy phép bán hàng trong nước cho sản phẩm. Wǒmen xūyào nín tígōng shāngpǐn de guónèi xiāoshòu shòuquán shū.</t>
        </is>
      </c>
      <c r="E91" s="94" t="inlineStr">
        <is>
          <t>90 我们需要您提 供商品的国内 销售授权书。 Chúng tôi cần bạn cung cấp giấy phép bán hàng trong nước cho sản phẩm. Wǒmen xūyào nín tígōng shāngpǐn de guónèi xiāoshòu shòuquán shū.</t>
        </is>
      </c>
      <c r="F91" s="115">
        <f>HYPERLINK("https://youglish.com/pronounce/我们需要您提供商品的国内销售授权书/chinese","🔍")</f>
        <v/>
      </c>
    </row>
    <row r="92" ht="42.75" customHeight="1" s="99">
      <c r="A92" s="92" t="inlineStr">
        <is>
          <t>626 ĐPTM.pdf</t>
        </is>
      </c>
      <c r="B92" s="93" t="inlineStr">
        <is>
          <t>91</t>
        </is>
      </c>
      <c r="C92" s="92" t="inlineStr">
        <is>
          <t>请提供您的公司的税务清单以便我们审核。</t>
        </is>
      </c>
      <c r="D92" s="92" t="inlineStr">
        <is>
          <t>Vui lòng cung cấp danh sách thuế của công ty để chúng tôi kiểm tra. Qǐng tígōng nín de gōngsī de shuìwù qīngdān yǐbiàn wǒmen shěnhé.</t>
        </is>
      </c>
      <c r="E92" s="92" t="inlineStr">
        <is>
          <t>91 请提供您的公 司的税务清单 以便我们审 核。 Vui lòng cung cấp danh sách thuế của công ty để chúng tôi kiểm tra. Qǐng tígōng nín de gōngsī de shuìwù qīngdān yǐbiàn wǒmen shěnhé.</t>
        </is>
      </c>
      <c r="F92" s="114">
        <f>HYPERLINK("https://youglish.com/pronounce/请提供您的公司的税务清单以便我们审核/chinese","🔍")</f>
        <v/>
      </c>
    </row>
    <row r="93" ht="57" customHeight="1" s="99">
      <c r="A93" s="94" t="inlineStr">
        <is>
          <t>626 ĐPTM.pdf</t>
        </is>
      </c>
      <c r="B93" s="95" t="inlineStr">
        <is>
          <t>92</t>
        </is>
      </c>
      <c r="C93" s="94" t="inlineStr">
        <is>
          <t>我们需要您提供商品的相关技术参数和规格说明。</t>
        </is>
      </c>
      <c r="D93" s="94" t="inlineStr">
        <is>
          <t>Chúng tôi cần bạn cung cấp thông số kỹ thuật và mô tả chi tiết quy cách của sản phẩm. Wǒmen xūyào nín tígōng shāngpǐn de xiāngguān jìshù cānshù hé guīgé shuōmíng.</t>
        </is>
      </c>
      <c r="E93" s="94" t="inlineStr">
        <is>
          <t>92 我们需要您提 供商品的相关 技术参数和规 格说明。 Chúng tôi cần bạn cung cấp thông số kỹ thuật và mô tả chi tiết quy cách của sản phẩm. Wǒmen xūyào nín tígōng shāngpǐn de xiāngguān jìshù cānshù hé guīgé shuōmíng.</t>
        </is>
      </c>
      <c r="F93" s="115">
        <f>HYPERLINK("https://youglish.com/pronounce/我们需要您提供商品的相关技术参数和规格说明/chinese","🔍")</f>
        <v/>
      </c>
    </row>
    <row r="94" ht="42.75" customHeight="1" s="99">
      <c r="A94" s="92" t="inlineStr">
        <is>
          <t>626 ĐPTM.pdf</t>
        </is>
      </c>
      <c r="B94" s="93" t="inlineStr">
        <is>
          <t>93</t>
        </is>
      </c>
      <c r="C94" s="92" t="inlineStr">
        <is>
          <t>我们需要您提供商品的厂家出厂合格证明。</t>
        </is>
      </c>
      <c r="D94" s="92" t="inlineStr">
        <is>
          <t>Chúng tôi cần bạn cung cấp giấy chứng nhận xuất xưởng của nhà sản xuất cho sản phẩm. Wǒmen xūyào nín tígōng shāngpǐn de chǎngjiā chūchǎng hégé zhèngmíng.</t>
        </is>
      </c>
      <c r="E94" s="92" t="inlineStr">
        <is>
          <t>93 我们需要您提 供商品的厂家 出厂合格证 明。 Chúng tôi cần bạn cung cấp giấy chứng nhận xuất xưởng của nhà sản xuất cho sản phẩm. Wǒmen xūyào nín tígōng shāngpǐn de chǎngjiā chūchǎng hégé zhèngmíng.</t>
        </is>
      </c>
      <c r="F94" s="114">
        <f>HYPERLINK("https://youglish.com/pronounce/我们需要您提供商品的厂家出厂合格证明/chinese","🔍")</f>
        <v/>
      </c>
    </row>
    <row r="95" ht="42.75" customHeight="1" s="99">
      <c r="A95" s="94" t="inlineStr">
        <is>
          <t>626 ĐPTM.pdf</t>
        </is>
      </c>
      <c r="B95" s="95" t="inlineStr">
        <is>
          <t>94</t>
        </is>
      </c>
      <c r="C95" s="94" t="inlineStr">
        <is>
          <t>我们需要您提供商品的配件和附件清单。</t>
        </is>
      </c>
      <c r="D95" s="94" t="inlineStr">
        <is>
          <t>Chúng tôi cần bạn cung cấp danh sách phụ kiện và bộ phận kèm theo của sản phẩm. Wǒmen xūyào nín tígōng shāngpǐn de pèijiàn hé fùjiàn qīngdān.</t>
        </is>
      </c>
      <c r="E95" s="94" t="inlineStr">
        <is>
          <t>94 我们需要您提 供商品的配件 和附件清单。 Chúng tôi cần bạn cung cấp danh sách phụ kiện và bộ phận kèm theo của sản phẩm. Wǒmen xūyào nín tígōng shāngpǐn de pèijiàn hé fùjiàn qīngdān.</t>
        </is>
      </c>
      <c r="F95" s="115">
        <f>HYPERLINK("https://youglish.com/pronounce/我们需要您提供商品的配件和附件清单/chinese","🔍")</f>
        <v/>
      </c>
    </row>
    <row r="96" ht="57" customHeight="1" s="99">
      <c r="A96" s="92" t="inlineStr">
        <is>
          <t>626 ĐPTM.pdf</t>
        </is>
      </c>
      <c r="B96" s="93" t="inlineStr">
        <is>
          <t>95</t>
        </is>
      </c>
      <c r="C96" s="92" t="inlineStr">
        <is>
          <t>我们需要您提供商品的生产许可证明和生产厂家的资质证书。</t>
        </is>
      </c>
      <c r="D96" s="92" t="inlineStr">
        <is>
          <t>Chúng tôi cần bạn cung cấp giấy phép sản xuất và chứng nhận năng lực sản xuất của nhà sản xuất. Wǒmen xūyào nín tígōng shāngpǐn de shēngchǎn xǔkě zhèngmíng hé shēngchǎn chǎngjiā de zīzhì zhèngshū.</t>
        </is>
      </c>
      <c r="E96" s="92" t="inlineStr">
        <is>
          <t>95 我们需要您提 供商品的生产 许可证明和生 产厂家的资质 证书。 Chúng tôi cần bạn cung cấp giấy phép sản xuất và chứng nhận năng lực sản xuất của nhà sản xuất. Wǒmen xūyào nín tígōng shāngpǐn de shēngchǎn xǔkě zhèngmíng hé shēngchǎn chǎngjiā de zīzhì zhèngshū.</t>
        </is>
      </c>
      <c r="F96" s="114">
        <f>HYPERLINK("https://youglish.com/pronounce/我们需要您提供商品的生产许可证明和生产厂家的资质证书/chinese","🔍")</f>
        <v/>
      </c>
    </row>
    <row r="97" ht="42.75" customHeight="1" s="99">
      <c r="A97" s="94" t="inlineStr">
        <is>
          <t>626 ĐPTM.pdf</t>
        </is>
      </c>
      <c r="B97" s="95" t="inlineStr">
        <is>
          <t>96</t>
        </is>
      </c>
      <c r="C97" s="94" t="inlineStr">
        <is>
          <t>请提供您的公司的财务报表和资产负债表。</t>
        </is>
      </c>
      <c r="D97" s="94" t="inlineStr">
        <is>
          <t>Vui lòng cung cấp báo cáo tài chính và bảng cân đối kế toán của công ty. Qǐng tígōng nín de gōngsī de cáiwù bàobiǎo hé zīchǎn fùzhài biǎo.</t>
        </is>
      </c>
      <c r="E97" s="94" t="inlineStr">
        <is>
          <t>96 请提供您的公 司的财务报表 和资产负债 表。 Vui lòng cung cấp báo cáo tài chính và bảng cân đối kế toán của công ty. Qǐng tígōng nín de gōngsī de cáiwù bàobiǎo hé zīchǎn fùzhài biǎo.</t>
        </is>
      </c>
      <c r="F97" s="115">
        <f>HYPERLINK("https://youglish.com/pronounce/请提供您的公司的财务报表和资产负债表/chinese","🔍")</f>
        <v/>
      </c>
    </row>
    <row r="98" ht="57" customHeight="1" s="99">
      <c r="A98" s="92" t="inlineStr">
        <is>
          <t>626 ĐPTM.pdf</t>
        </is>
      </c>
      <c r="B98" s="93" t="inlineStr">
        <is>
          <t>97</t>
        </is>
      </c>
      <c r="C98" s="92" t="inlineStr">
        <is>
          <t>我们需要您提供商品的库存证明和库存清单。</t>
        </is>
      </c>
      <c r="D98" s="92" t="inlineStr">
        <is>
          <t>Chúng tôi cần bạn cung cấp giấy chứng nhận kho của sản phẩm và danh sách hàng tồn kho. Wǒmen xūyào nín tígōng shāngpǐn de kùcún zhèngmíng hé kùcún qīngdān.</t>
        </is>
      </c>
      <c r="E98" s="92" t="inlineStr">
        <is>
          <t>97 我们需要您提 供商品的库存 证明和库存清 单。 Chúng tôi cần bạn cung cấp giấy chứng nhận kho của sản phẩm và danh sách hàng tồn kho. Wǒmen xūyào nín tígōng shāngpǐn de kùcún zhèngmíng hé kùcún qīngdān.</t>
        </is>
      </c>
      <c r="F98" s="114">
        <f>HYPERLINK("https://youglish.com/pronounce/我们需要您提供商品的库存证明和库存清单/chinese","🔍")</f>
        <v/>
      </c>
    </row>
    <row r="99" ht="71.25" customHeight="1" s="99">
      <c r="A99" s="94" t="inlineStr">
        <is>
          <t>626 ĐPTM.pdf</t>
        </is>
      </c>
      <c r="B99" s="95" t="inlineStr">
        <is>
          <t>98</t>
        </is>
      </c>
      <c r="C99" s="94" t="inlineStr">
        <is>
          <t>我们需要您提供商品的安全生产许可证明和环境保护许可证明。</t>
        </is>
      </c>
      <c r="D99" s="94" t="inlineStr">
        <is>
          <t>Chúng tôi cần bạn cung cấp giấy chứng nhận an toàn sản xuất và giấy phép bảo vệ môi trường của sản phẩm. Wǒmen xūyào nín tígōng shāngpǐn de ānquán shēngchǎn xǔkě zhèngmíng hé huánjìng bǎohù xǔkě zhèngmíng.</t>
        </is>
      </c>
      <c r="E99" s="94" t="inlineStr">
        <is>
          <t>98 我们需要您提 供商品的安全 生产许可证明 和环境保护许 可证明。 Chúng tôi cần bạn cung cấp giấy chứng nhận an toàn sản xuất và giấy phép bảo vệ môi trường của sản phẩm. Wǒmen xūyào nín tígōng shāngpǐn de ānquán shēngchǎn xǔkě zhèngmíng hé huánjìng bǎohù xǔkě zhèngmíng.</t>
        </is>
      </c>
      <c r="F99" s="115">
        <f>HYPERLINK("https://youglish.com/pronounce/我们需要您提供商品的安全生产许可证明和环境保护许可证明/chinese","🔍")</f>
        <v/>
      </c>
    </row>
    <row r="100" ht="57" customHeight="1" s="99">
      <c r="A100" s="92" t="inlineStr">
        <is>
          <t>626 ĐPTM.pdf</t>
        </is>
      </c>
      <c r="B100" s="93" t="inlineStr">
        <is>
          <t>99</t>
        </is>
      </c>
      <c r="C100" s="92" t="inlineStr">
        <is>
          <t>我们需要您提供商品的专利和商标授权证明。</t>
        </is>
      </c>
      <c r="D100" s="92" t="inlineStr">
        <is>
          <t>Chúng tôi cần bạn cung cấp giấy chứng nhận sở hữu trí tuệ và ủy quyền thương hiệu của sản phẩm. Wǒmen xūyào nín tígōng shāngpǐn de zhuānlì hé shāngbiāo shòuquán zhèngmíng.</t>
        </is>
      </c>
      <c r="E100" s="92" t="inlineStr">
        <is>
          <t>99 我们需要您提 供商品的专利 和商标授权证 明。 Chúng tôi cần bạn cung cấp giấy chứng nhận sở hữu trí tuệ và ủy quyền thương hiệu của sản phẩm. Wǒmen xūyào nín tígōng shāngpǐn de zhuānlì hé shāngbiāo shòuquán zhèngmíng.</t>
        </is>
      </c>
      <c r="F100" s="114">
        <f>HYPERLINK("https://youglish.com/pronounce/我们需要您提供商品的专利和商标授权证明/chinese","🔍")</f>
        <v/>
      </c>
    </row>
    <row r="101" ht="42.75" customHeight="1" s="99">
      <c r="A101" s="94" t="inlineStr">
        <is>
          <t>626 ĐPTM.pdf</t>
        </is>
      </c>
      <c r="B101" s="95" t="inlineStr">
        <is>
          <t>100</t>
        </is>
      </c>
      <c r="C101" s="94" t="inlineStr">
        <is>
          <t>请提供您的公司的营业额和利润率报告。</t>
        </is>
      </c>
      <c r="D101" s="94" t="inlineStr">
        <is>
          <t>Vui lòng cung cấp báo cáo doanh thu và lợi nhuận của công ty. Qǐng tígōng nín de gōngsī de yíngyè é hé lìrùn lǜ bàogào.</t>
        </is>
      </c>
      <c r="E101" s="94" t="inlineStr">
        <is>
          <t>100 请提供您的公 司的营业额和 利润率报告。 Vui lòng cung cấp báo cáo doanh thu và lợi nhuận của công ty. Qǐng tígōng nín de gōngsī de yíngyè é hé lìrùn lǜ bàogào.</t>
        </is>
      </c>
      <c r="F101" s="115">
        <f>HYPERLINK("https://youglish.com/pronounce/请提供您的公司的营业额和利润率报告/chinese","🔍")</f>
        <v/>
      </c>
    </row>
    <row r="102" ht="57" customHeight="1" s="99">
      <c r="A102" s="92" t="inlineStr">
        <is>
          <t>626 ĐPTM.pdf</t>
        </is>
      </c>
      <c r="B102" s="93" t="inlineStr">
        <is>
          <t>101</t>
        </is>
      </c>
      <c r="C102" s="92" t="inlineStr">
        <is>
          <t>我们需要您提供商品的产地、生产工艺和原材料来源证明。</t>
        </is>
      </c>
      <c r="D102" s="92" t="inlineStr">
        <is>
          <t>Chúng tôi cần bạn cung cấp chứng nhận nguồn gốc sản phẩm, quy trình sản xuất và nguồn vật liệu. Wǒmen xūyào nín tígōng shāngpǐn de chǎndì, shēngchǎn gōngyì hé yuáncáiliào láiyuán zhèngmíng.</t>
        </is>
      </c>
      <c r="E102" s="92" t="inlineStr">
        <is>
          <t>101 我们需要您提 供商品的产 地、生产工艺 和原材料来源 证明。 Chúng tôi cần bạn cung cấp chứng nhận nguồn gốc sản phẩm, quy trình sản xuất và nguồn vật liệu. Wǒmen xūyào nín tígōng shāngpǐn de chǎndì, shēngchǎn gōngyì hé yuáncáiliào láiyuán zhèngmíng.</t>
        </is>
      </c>
      <c r="F102" s="114">
        <f>HYPERLINK("https://youglish.com/pronounce/我们需要您提供商品的产地生产工艺和原材料来源证明/chinese","🔍")</f>
        <v/>
      </c>
    </row>
    <row r="103" ht="57" customHeight="1" s="99">
      <c r="A103" s="94" t="inlineStr">
        <is>
          <t>626 ĐPTM.pdf</t>
        </is>
      </c>
      <c r="B103" s="95" t="inlineStr">
        <is>
          <t>102</t>
        </is>
      </c>
      <c r="C103" s="94" t="inlineStr">
        <is>
          <t>我们需要您提供商品的售后服务电话和联系方式。</t>
        </is>
      </c>
      <c r="D103" s="94" t="inlineStr">
        <is>
          <t>Chúng tôi cần bạn cung cấp số điện thoại và thông tin liên hệ cho dịch vụ hậu mãi sản phẩm. Wǒmen xūyào nín tígōng shāngpǐn de shòuhòu fúwù diànhuà hé liánxì fāngshì.</t>
        </is>
      </c>
      <c r="E103" s="94" t="inlineStr">
        <is>
          <t>102 我们需要您提 供商品的售后 服务电话和联 系方式。 Chúng tôi cần bạn cung cấp số điện thoại và thông tin liên hệ cho dịch vụ hậu mãi sản phẩm. Wǒmen xūyào nín tígōng shāngpǐn de shòuhòu fúwù diànhuà hé liánxì fāngshì.</t>
        </is>
      </c>
      <c r="F103" s="115">
        <f>HYPERLINK("https://youglish.com/pronounce/我们需要您提供商品的售后服务电话和联系方式/chinese","🔍")</f>
        <v/>
      </c>
    </row>
    <row r="104" ht="57" customHeight="1" s="99">
      <c r="A104" s="92" t="inlineStr">
        <is>
          <t>626 ĐPTM.pdf</t>
        </is>
      </c>
      <c r="B104" s="93" t="inlineStr">
        <is>
          <t>103</t>
        </is>
      </c>
      <c r="C104" s="92" t="inlineStr">
        <is>
          <t>我们需要您提供商品的使用效果和品质反馈报告。</t>
        </is>
      </c>
      <c r="D104" s="92" t="inlineStr">
        <is>
          <t>Chúng tôi cần bạn cung cấp báo cáo phản hồi về chất lượng và hiệu quả sử dụng của sản phẩm. Wǒmen xūyào nín tígōng shāngpǐn de shǐyòng xiàoguǒ hé pǐn zhí fǎnkuì bàogào.</t>
        </is>
      </c>
      <c r="E104" s="92" t="inlineStr">
        <is>
          <t>103 我们需要您提 供商品的使用 效果和品质反 馈报告。 Chúng tôi cần bạn cung cấp báo cáo phản hồi về chất lượng và hiệu quả sử dụng của sản phẩm. Wǒmen xūyào nín tígōng shāngpǐn de shǐyòng xiàoguǒ hé pǐn zhí fǎnkuì bàogào.</t>
        </is>
      </c>
      <c r="F104" s="114">
        <f>HYPERLINK("https://youglish.com/pronounce/我们需要您提供商品的使用效果和品质反馈报告/chinese","🔍")</f>
        <v/>
      </c>
    </row>
    <row r="105" ht="42.75" customHeight="1" s="99">
      <c r="A105" s="94" t="inlineStr">
        <is>
          <t>626 ĐPTM.pdf</t>
        </is>
      </c>
      <c r="B105" s="95" t="inlineStr">
        <is>
          <t>104</t>
        </is>
      </c>
      <c r="C105" s="94" t="inlineStr">
        <is>
          <t>我们需要您提供商品的退换货政策和标准。</t>
        </is>
      </c>
      <c r="D105" s="94" t="inlineStr">
        <is>
          <t>Chúng tôi cần bạn cung cấp chính sách và tiêu chuẩn đổi trả hàng hóa. Wǒmen xūyào nín tígōng shāngpǐn de tuìhuàn huò zhèngcè hé biāozhǔn.</t>
        </is>
      </c>
      <c r="E105" s="94" t="inlineStr">
        <is>
          <t>104 我们需要您提 供商品的退换 货政策和标 准。 Chúng tôi cần bạn cung cấp chính sách và tiêu chuẩn đổi trả hàng hóa. Wǒmen xūyào nín tígōng shāngpǐn de tuìhuàn huò zhèngcè hé biāozhǔn.</t>
        </is>
      </c>
      <c r="F105" s="115">
        <f>HYPERLINK("https://youglish.com/pronounce/我们需要您提供商品的退换货政策和标准/chinese","🔍")</f>
        <v/>
      </c>
    </row>
    <row r="106" ht="42.75" customHeight="1" s="99">
      <c r="A106" s="92" t="inlineStr">
        <is>
          <t>626 ĐPTM.pdf</t>
        </is>
      </c>
      <c r="B106" s="93" t="inlineStr">
        <is>
          <t>105</t>
        </is>
      </c>
      <c r="C106" s="92" t="inlineStr">
        <is>
          <t>请提供您的公司的信誉和业绩证明。</t>
        </is>
      </c>
      <c r="D106" s="92" t="inlineStr">
        <is>
          <t>Vui lòng cung cấp chứng nhận uy tín và thành tích của công ty bạn. Qǐng tígōng nín de gōngsī de xìnyù hé yè jī zhèngmíng.</t>
        </is>
      </c>
      <c r="E106" s="92" t="inlineStr">
        <is>
          <t>105 请提供您的公 司的信誉和业 绩证明。 Vui lòng cung cấp chứng nhận uy tín và thành tích của công ty bạn. Qǐng tígōng nín de gōngsī de xìnyù hé yè jī zhèngmíng.</t>
        </is>
      </c>
      <c r="F106" s="114">
        <f>HYPERLINK("https://youglish.com/pronounce/请提供您的公司的信誉和业绩证明/chinese","🔍")</f>
        <v/>
      </c>
    </row>
    <row r="107" ht="57" customHeight="1" s="99">
      <c r="A107" s="94" t="inlineStr">
        <is>
          <t>626 ĐPTM.pdf</t>
        </is>
      </c>
      <c r="B107" s="95" t="inlineStr">
        <is>
          <t>106</t>
        </is>
      </c>
      <c r="C107" s="94" t="inlineStr">
        <is>
          <t>我们需要您提供商品的保修期和保修范围说明。</t>
        </is>
      </c>
      <c r="D107" s="94" t="inlineStr">
        <is>
          <t>Chúng tôi cần bạn cung cấp thông tin về thời gian bảo hành và phạm vi bảo hành của sản phẩm. Wǒmen xūyào nín tígōng shāngpǐn de bǎoxiū qī hé bǎoxiū fànwéi shuōmíng.</t>
        </is>
      </c>
      <c r="E107" s="94" t="inlineStr">
        <is>
          <t>106 我们需要您提 供商品的保修 期和保修范围 说明。 Chúng tôi cần bạn cung cấp thông tin về thời gian bảo hành và phạm vi bảo hành của sản phẩm. Wǒmen xūyào nín tígōng shāngpǐn de bǎoxiū qī hé bǎoxiū fànwéi shuōmíng.</t>
        </is>
      </c>
      <c r="F107" s="115">
        <f>HYPERLINK("https://youglish.com/pronounce/我们需要您提供商品的保修期和保修范围说明/chinese","🔍")</f>
        <v/>
      </c>
    </row>
    <row r="108" ht="42.75" customHeight="1" s="99">
      <c r="A108" s="92" t="inlineStr">
        <is>
          <t>626 ĐPTM.pdf</t>
        </is>
      </c>
      <c r="B108" s="93" t="inlineStr">
        <is>
          <t>107</t>
        </is>
      </c>
      <c r="C108" s="92" t="inlineStr">
        <is>
          <t>我们需要您提供商品的价格和付款条款说明。</t>
        </is>
      </c>
      <c r="D108" s="92" t="inlineStr">
        <is>
          <t>Chúng tôi cần bạn cung cấp thông tin về giá cả và điều kiện thanh toán của sản phẩm. Wǒmen xūyào nín tígōng shāngpǐn de jiàgé hé fùkuǎn tiáokuǎn shuōmíng.</t>
        </is>
      </c>
      <c r="E108" s="92" t="inlineStr">
        <is>
          <t>107 我们需要您提 供商品的价格 和付款条款说 明。 Chúng tôi cần bạn cung cấp thông tin về giá cả và điều kiện thanh toán của sản phẩm. Wǒmen xūyào nín tígōng shāngpǐn de jiàgé hé fùkuǎn tiáokuǎn shuōmíng.</t>
        </is>
      </c>
      <c r="F108" s="114">
        <f>HYPERLINK("https://youglish.com/pronounce/我们需要您提供商品的价格和付款条款说明/chinese","🔍")</f>
        <v/>
      </c>
    </row>
    <row r="109" ht="57" customHeight="1" s="99">
      <c r="A109" s="94" t="inlineStr">
        <is>
          <t>626 ĐPTM.pdf</t>
        </is>
      </c>
      <c r="B109" s="95" t="inlineStr">
        <is>
          <t>108</t>
        </is>
      </c>
      <c r="C109" s="94" t="inlineStr">
        <is>
          <t>我们需要您提供商品的运输方式和费用计算规则。</t>
        </is>
      </c>
      <c r="D109" s="94" t="inlineStr">
        <is>
          <t>Chúng tôi cần bạn cung cấp thông tin về phương thức vận chuyển và quy định tính phí. Wǒmen xūyào nín tígōng shāngpǐn de yùnshū fāngshì hé fèiyòng jìsuàn guīzé.</t>
        </is>
      </c>
      <c r="E109" s="94" t="inlineStr">
        <is>
          <t>108 我们需要您提 供商品的运输 方式和费用计 算规则。 Chúng tôi cần bạn cung cấp thông tin về phương thức vận chuyển và quy định tính phí. Wǒmen xūyào nín tígōng shāngpǐn de yùnshū fāngshì hé fèiyòng jìsuàn guīzé.</t>
        </is>
      </c>
      <c r="F109" s="115">
        <f>HYPERLINK("https://youglish.com/pronounce/我们需要您提供商品的运输方式和费用计算规则/chinese","🔍")</f>
        <v/>
      </c>
    </row>
    <row r="110" ht="42.75" customHeight="1" s="99">
      <c r="A110" s="92" t="inlineStr">
        <is>
          <t>626 ĐPTM.pdf</t>
        </is>
      </c>
      <c r="B110" s="93" t="inlineStr">
        <is>
          <t>109</t>
        </is>
      </c>
      <c r="C110" s="92" t="inlineStr">
        <is>
          <t>请提供您的公司的法律事务和诉讼记录。</t>
        </is>
      </c>
      <c r="D110" s="92" t="inlineStr">
        <is>
          <t>Vui lòng cung cấp thông tin về các vấn đề pháp lý và hồ sơ kiện tụng của công ty. Qǐng tígōng nín de gōngsī de fǎlǜ shìwù hé sùsòng jìlù.</t>
        </is>
      </c>
      <c r="E110" s="92" t="inlineStr">
        <is>
          <t>109 请提供您的公 司的法律事务 和诉讼记录。 Vui lòng cung cấp thông tin về các vấn đề pháp lý và hồ sơ kiện tụng của công ty. Qǐng tígōng nín de gōngsī de fǎlǜ shìwù hé sùsòng jìlù.</t>
        </is>
      </c>
      <c r="F110" s="114">
        <f>HYPERLINK("https://youglish.com/pronounce/请提供您的公司的法律事务和诉讼记录/chinese","🔍")</f>
        <v/>
      </c>
    </row>
    <row r="111" ht="42.75" customHeight="1" s="99">
      <c r="A111" s="94" t="inlineStr">
        <is>
          <t>626 ĐPTM.pdf</t>
        </is>
      </c>
      <c r="B111" s="95" t="inlineStr">
        <is>
          <t>110</t>
        </is>
      </c>
      <c r="C111" s="94" t="inlineStr">
        <is>
          <t>我们需要您提供商品的安装和调试服务承诺书。</t>
        </is>
      </c>
      <c r="D111" s="94" t="inlineStr">
        <is>
          <t>Chúng tôi cần bạn cung cấp cam kết dịch vụ lắp đặt và cài đặt sản phẩm. Wǒmen xūyào nín tígōng shāngpǐn de ānzhuāng hé tiáoshì fúwù chéngnuò shū.</t>
        </is>
      </c>
      <c r="E111" s="94" t="inlineStr">
        <is>
          <t>110 我们需要您提 供商品的安装 和调试服务承 诺书。 Chúng tôi cần bạn cung cấp cam kết dịch vụ lắp đặt và cài đặt sản phẩm. Wǒmen xūyào nín tígōng shāngpǐn de ānzhuāng hé tiáoshì fúwù chéngnuò shū.</t>
        </is>
      </c>
      <c r="F111" s="115">
        <f>HYPERLINK("https://youglish.com/pronounce/我们需要您提供商品的安装和调试服务承诺书/chinese","🔍")</f>
        <v/>
      </c>
    </row>
    <row r="112" ht="28.5" customHeight="1" s="99">
      <c r="A112" s="92" t="inlineStr">
        <is>
          <t>626 ĐPTM.pdf</t>
        </is>
      </c>
      <c r="B112" s="93" t="inlineStr">
        <is>
          <t>111</t>
        </is>
      </c>
      <c r="C112" s="92" t="inlineStr">
        <is>
          <t>我们需要重新商谈价格。</t>
        </is>
      </c>
      <c r="D112" s="92" t="inlineStr">
        <is>
          <t>Chúng tôi cần thương lượng lại giá cả. Wǒmen xūyào chóngxīn shāngtán jiàgé.</t>
        </is>
      </c>
      <c r="E112" s="92" t="inlineStr">
        <is>
          <t>111 我们需要重新 商谈价格。 Chúng tôi cần thương lượng lại giá cả. Wǒmen xūyào chóngxīn shāngtán jiàgé.</t>
        </is>
      </c>
      <c r="F112" s="114">
        <f>HYPERLINK("https://youglish.com/pronounce/我们需要重新商谈价格/chinese","🔍")</f>
        <v/>
      </c>
    </row>
    <row r="113" ht="28.5" customHeight="1" s="99">
      <c r="A113" s="94" t="inlineStr">
        <is>
          <t>626 ĐPTM.pdf</t>
        </is>
      </c>
      <c r="B113" s="95" t="inlineStr">
        <is>
          <t>112</t>
        </is>
      </c>
      <c r="C113" s="94" t="inlineStr">
        <is>
          <t>这份合同需要在下周前签署。</t>
        </is>
      </c>
      <c r="D113" s="94" t="inlineStr">
        <is>
          <t>Hợp đồng này cần được ký kết trước tuần sau. Zhè fèn hétóng xūyào zàixià zhōu qián qiānshǔ.</t>
        </is>
      </c>
      <c r="E113" s="94" t="inlineStr">
        <is>
          <t>112 这份合同需要 在下周前签 署。 Hợp đồng này cần được ký kết trước tuần sau. Zhè fèn hétóng xūyào zàixià zhōu qián qiānshǔ.</t>
        </is>
      </c>
      <c r="F113" s="115">
        <f>HYPERLINK("https://youglish.com/pronounce/这份合同需要在下周前签署/chinese","🔍")</f>
        <v/>
      </c>
    </row>
    <row r="114" ht="28.5" customHeight="1" s="99">
      <c r="A114" s="92" t="inlineStr">
        <is>
          <t>626 ĐPTM.pdf</t>
        </is>
      </c>
      <c r="B114" s="93" t="inlineStr">
        <is>
          <t>113</t>
        </is>
      </c>
      <c r="C114" s="92" t="inlineStr">
        <is>
          <t>我们需要你提供更多的细节信息。</t>
        </is>
      </c>
      <c r="D114" s="92" t="inlineStr">
        <is>
          <t>Chúng tôi cần bạn cung cấp thêm thông tin chi tiết. Wǒmen xūyào nǐ tígōng gèng duō de xìjié xìnxī.</t>
        </is>
      </c>
      <c r="E114" s="92" t="inlineStr">
        <is>
          <t>113 我们需要你提 供更多的细节 信息。 Chúng tôi cần bạn cung cấp thêm thông tin chi tiết. Wǒmen xūyào nǐ tígōng gèng duō de xìjié xìnxī.</t>
        </is>
      </c>
      <c r="F114" s="114">
        <f>HYPERLINK("https://youglish.com/pronounce/我们需要你提供更多的细节信息/chinese","🔍")</f>
        <v/>
      </c>
    </row>
    <row r="115" ht="42.75" customHeight="1" s="99">
      <c r="A115" s="94" t="inlineStr">
        <is>
          <t>626 ĐPTM.pdf</t>
        </is>
      </c>
      <c r="B115" s="95" t="inlineStr">
        <is>
          <t>114</t>
        </is>
      </c>
      <c r="C115" s="94" t="inlineStr">
        <is>
          <t>我们需要你提供货运方式的详细信息。</t>
        </is>
      </c>
      <c r="D115" s="94" t="inlineStr">
        <is>
          <t>Chúng tôi cần bạn cung cấp thông tin chi tiết về phương thức vận chuyển hàng hóa. Wǒmen xūyào nǐ tígōng huòyùn fāngshì de xiángxì xìnxī.</t>
        </is>
      </c>
      <c r="E115" s="94" t="inlineStr">
        <is>
          <t>114 我们需要你提 供货运方式的 详细信息。 Chúng tôi cần bạn cung cấp thông tin chi tiết về phương thức vận chuyển hàng hóa. Wǒmen xūyào nǐ tígōng huòyùn fāngshì de xiángxì xìnxī.</t>
        </is>
      </c>
      <c r="F115" s="115">
        <f>HYPERLINK("https://youglish.com/pronounce/我们需要你提供货运方式的详细信息/chinese","🔍")</f>
        <v/>
      </c>
    </row>
    <row r="116" ht="28.5" customHeight="1" s="99">
      <c r="A116" s="92" t="inlineStr">
        <is>
          <t>626 ĐPTM.pdf</t>
        </is>
      </c>
      <c r="B116" s="93" t="inlineStr">
        <is>
          <t>115</t>
        </is>
      </c>
      <c r="C116" s="92" t="inlineStr">
        <is>
          <t>我们希望在价格上有所让步。</t>
        </is>
      </c>
      <c r="D116" s="92" t="inlineStr">
        <is>
          <t>Chúng tôi mong muốn có thể thỏa hiệp về giá cả. Wǒmen xīwàng zài jiàgé shàng yǒu suǒ ràngbù.</t>
        </is>
      </c>
      <c r="E116" s="92" t="inlineStr">
        <is>
          <t>115 我们希望在价 格上有所让 步。 Chúng tôi mong muốn có thể thỏa hiệp về giá cả. Wǒmen xīwàng zài jiàgé shàng yǒu suǒ ràngbù.</t>
        </is>
      </c>
      <c r="F116" s="114">
        <f>HYPERLINK("https://youglish.com/pronounce/我们希望在价格上有所让步/chinese","🔍")</f>
        <v/>
      </c>
    </row>
    <row r="117" ht="42.75" customHeight="1" s="99">
      <c r="A117" s="94" t="inlineStr">
        <is>
          <t>626 ĐPTM.pdf</t>
        </is>
      </c>
      <c r="B117" s="95" t="inlineStr">
        <is>
          <t>116</t>
        </is>
      </c>
      <c r="C117" s="94" t="inlineStr">
        <is>
          <t>我们需要在发货前检查质量。</t>
        </is>
      </c>
      <c r="D117" s="94" t="inlineStr">
        <is>
          <t>Chúng tôi cần kiểm tra chất lượng sản phẩm trước khi giao hàng. Wǒmen xūyào zài fā huò qián jiǎnchá zhìliàng.</t>
        </is>
      </c>
      <c r="E117" s="94" t="inlineStr">
        <is>
          <t>116 我们需要在发 货前检查质 量。 Chúng tôi cần kiểm tra chất lượng sản phẩm trước khi giao hàng. Wǒmen xūyào zài fā huò qián jiǎnchá zhìliàng.</t>
        </is>
      </c>
      <c r="F117" s="115">
        <f>HYPERLINK("https://youglish.com/pronounce/我们需要在发货前检查质量/chinese","🔍")</f>
        <v/>
      </c>
    </row>
    <row r="118" ht="42.75" customHeight="1" s="99">
      <c r="A118" s="92" t="inlineStr">
        <is>
          <t>626 ĐPTM.pdf</t>
        </is>
      </c>
      <c r="B118" s="93" t="inlineStr">
        <is>
          <t>117</t>
        </is>
      </c>
      <c r="C118" s="92" t="inlineStr">
        <is>
          <t>我们需要付款之前检查质量。</t>
        </is>
      </c>
      <c r="D118" s="92" t="inlineStr">
        <is>
          <t>Chúng tôi cần kiểm tra chất lượng sản phẩm trước khi thanh toán. Wǒmen xūyào fùkuǎn zhīqián jiǎnchá zhìliàng.</t>
        </is>
      </c>
      <c r="E118" s="92" t="inlineStr">
        <is>
          <t>117 我们需要付款 之前检查质 量。 Chúng tôi cần kiểm tra chất lượng sản phẩm trước khi thanh toán. Wǒmen xūyào fùkuǎn zhīqián jiǎnchá zhìliàng.</t>
        </is>
      </c>
      <c r="F118" s="114">
        <f>HYPERLINK("https://youglish.com/pronounce/我们需要付款之前检查质量/chinese","🔍")</f>
        <v/>
      </c>
    </row>
    <row r="119" ht="28.5" customHeight="1" s="99">
      <c r="A119" s="94" t="inlineStr">
        <is>
          <t>626 ĐPTM.pdf</t>
        </is>
      </c>
      <c r="B119" s="95" t="inlineStr">
        <is>
          <t>118</t>
        </is>
      </c>
      <c r="C119" s="94" t="inlineStr">
        <is>
          <t>我们需要协商付款方式。</t>
        </is>
      </c>
      <c r="D119" s="94" t="inlineStr">
        <is>
          <t>Chúng tôi cần thương lượng về phương thức thanh toán. Wǒmen xūyào xiéshāng fùkuǎn fāngshì.</t>
        </is>
      </c>
      <c r="E119" s="94" t="inlineStr">
        <is>
          <t>118 我们需要协商 付款方式。 Chúng tôi cần thương lượng về phương thức thanh toán. Wǒmen xūyào xiéshāng fùkuǎn fāngshì.</t>
        </is>
      </c>
      <c r="F119" s="115">
        <f>HYPERLINK("https://youglish.com/pronounce/我们需要协商付款方式/chinese","🔍")</f>
        <v/>
      </c>
    </row>
    <row r="120" ht="28.5" customHeight="1" s="99">
      <c r="A120" s="92" t="inlineStr">
        <is>
          <t>626 ĐPTM.pdf</t>
        </is>
      </c>
      <c r="B120" s="93" t="inlineStr">
        <is>
          <t>119</t>
        </is>
      </c>
      <c r="C120" s="92" t="inlineStr">
        <is>
          <t>我们需要讨论质量问题。</t>
        </is>
      </c>
      <c r="D120" s="92" t="inlineStr">
        <is>
          <t>Chúng tôi cần thảo luận về vấn đề chất lượng sản phẩm. Wǒmen xūyào tǎolùn zhìliàng wèntí.</t>
        </is>
      </c>
      <c r="E120" s="92" t="inlineStr">
        <is>
          <t>119 我们需要讨论 质量问题。 Chúng tôi cần thảo luận về vấn đề chất lượng sản phẩm. Wǒmen xūyào tǎolùn zhìliàng wèntí.</t>
        </is>
      </c>
      <c r="F120" s="114">
        <f>HYPERLINK("https://youglish.com/pronounce/我们需要讨论质量问题/chinese","🔍")</f>
        <v/>
      </c>
    </row>
    <row r="121" ht="28.5" customHeight="1" s="99">
      <c r="A121" s="94" t="inlineStr">
        <is>
          <t>626 ĐPTM.pdf</t>
        </is>
      </c>
      <c r="B121" s="95" t="inlineStr">
        <is>
          <t>120</t>
        </is>
      </c>
      <c r="C121" s="94" t="inlineStr">
        <is>
          <t>我们需要协商退款政策。</t>
        </is>
      </c>
      <c r="D121" s="94" t="inlineStr">
        <is>
          <t>Chúng tôi cần thương lượng về chính sách đổi trả hàng. Wǒmen xūyào xiéshāng tuì kuǎn zhèngcè.</t>
        </is>
      </c>
      <c r="E121" s="94" t="inlineStr">
        <is>
          <t>120 我们需要协商 退款政策。 Chúng tôi cần thương lượng về chính sách đổi trả hàng. Wǒmen xūyào xiéshāng tuì kuǎn zhèngcè.</t>
        </is>
      </c>
      <c r="F121" s="115">
        <f>HYPERLINK("https://youglish.com/pronounce/我们需要协商退款政策/chinese","🔍")</f>
        <v/>
      </c>
    </row>
    <row r="122" ht="28.5" customHeight="1" s="99">
      <c r="A122" s="92" t="inlineStr">
        <is>
          <t>626 ĐPTM.pdf</t>
        </is>
      </c>
      <c r="B122" s="93" t="inlineStr">
        <is>
          <t>121</t>
        </is>
      </c>
      <c r="C122" s="92" t="inlineStr">
        <is>
          <t>我们需要解决价格分歧。</t>
        </is>
      </c>
      <c r="D122" s="92" t="inlineStr">
        <is>
          <t>Chúng tôi cần giải quyết sự khác biệt về giá cả. Wǒmen xūyào jiějué jiàgé fēnqí.</t>
        </is>
      </c>
      <c r="E122" s="92" t="inlineStr">
        <is>
          <t>121 我们需要解决 价格分歧。 Chúng tôi cần giải quyết sự khác biệt về giá cả. Wǒmen xūyào jiějué jiàgé fēnqí.</t>
        </is>
      </c>
      <c r="F122" s="114">
        <f>HYPERLINK("https://youglish.com/pronounce/我们需要解决价格分歧/chinese","🔍")</f>
        <v/>
      </c>
    </row>
    <row r="123" ht="28.5" customHeight="1" s="99">
      <c r="A123" s="94" t="inlineStr">
        <is>
          <t>626 ĐPTM.pdf</t>
        </is>
      </c>
      <c r="B123" s="95" t="inlineStr">
        <is>
          <t>122</t>
        </is>
      </c>
      <c r="C123" s="94" t="inlineStr">
        <is>
          <t>我们需要协商交货日期。</t>
        </is>
      </c>
      <c r="D123" s="94" t="inlineStr">
        <is>
          <t>Chúng tôi cần thương lượng về ngày giao hàng. Wǒmen xūyào xiéshāng jiāo huò rìqí.</t>
        </is>
      </c>
      <c r="E123" s="94" t="inlineStr">
        <is>
          <t>122 我们需要协商 交货日期。 Chúng tôi cần thương lượng về ngày giao hàng. Wǒmen xūyào xiéshāng jiāo huò rìqí.</t>
        </is>
      </c>
      <c r="F123" s="115">
        <f>HYPERLINK("https://youglish.com/pronounce/我们需要协商交货日期/chinese","🔍")</f>
        <v/>
      </c>
    </row>
    <row r="124" ht="28.5" customHeight="1" s="99">
      <c r="A124" s="92" t="inlineStr">
        <is>
          <t>626 ĐPTM.pdf</t>
        </is>
      </c>
      <c r="B124" s="93" t="inlineStr">
        <is>
          <t>123</t>
        </is>
      </c>
      <c r="C124" s="92" t="inlineStr">
        <is>
          <t>我们需要协商包装方式。</t>
        </is>
      </c>
      <c r="D124" s="92" t="inlineStr">
        <is>
          <t>Chúng tôi cần thương lượng về phương thức đóng gói hàng hóa. Wǒmen xūyào xiéshāng bāozhuāng fāngshì.</t>
        </is>
      </c>
      <c r="E124" s="92" t="inlineStr">
        <is>
          <t>123 我们需要协商 包装方式。 Chúng tôi cần thương lượng về phương thức đóng gói hàng hóa. Wǒmen xūyào xiéshāng bāozhuāng fāngshì.</t>
        </is>
      </c>
      <c r="F124" s="114">
        <f>HYPERLINK("https://youglish.com/pronounce/我们需要协商包装方式/chinese","🔍")</f>
        <v/>
      </c>
    </row>
    <row r="125" ht="28.5" customHeight="1" s="99">
      <c r="A125" s="94" t="inlineStr">
        <is>
          <t>626 ĐPTM.pdf</t>
        </is>
      </c>
      <c r="B125" s="95" t="inlineStr">
        <is>
          <t>124</t>
        </is>
      </c>
      <c r="C125" s="94" t="inlineStr">
        <is>
          <t>我们需要你提供合同的草案。</t>
        </is>
      </c>
      <c r="D125" s="94" t="inlineStr">
        <is>
          <t>Vui lòng cung cấp bản thảo hợp đồng. Wǒmen xūyào nǐ tígōng hétóng de cǎo'àn.</t>
        </is>
      </c>
      <c r="E125" s="94" t="inlineStr">
        <is>
          <t>124 我们需要你提 供合同的草案。 Vui lòng cung cấp bản thảo hợp đồng. Wǒmen xūyào nǐ tígōng hétóng de cǎo'àn.</t>
        </is>
      </c>
      <c r="F125" s="115">
        <f>HYPERLINK("https://youglish.com/pronounce/我们需要你提供合同的草案/chinese","🔍")</f>
        <v/>
      </c>
    </row>
    <row r="126" ht="28.5" customHeight="1" s="99">
      <c r="A126" s="92" t="inlineStr">
        <is>
          <t>626 ĐPTM.pdf</t>
        </is>
      </c>
      <c r="B126" s="93" t="inlineStr">
        <is>
          <t>125</t>
        </is>
      </c>
      <c r="C126" s="92" t="inlineStr">
        <is>
          <t>我们需要你签署保密协议。</t>
        </is>
      </c>
      <c r="D126" s="92" t="inlineStr">
        <is>
          <t>Chúng tôi cần bạn ký kết thỏa thuận bảo mật. Wǒmen xūyào nǐ qiānshǔ bǎomì xiéyì.</t>
        </is>
      </c>
      <c r="E126" s="92" t="inlineStr">
        <is>
          <t>125 我们需要你签 署保密协议。 Chúng tôi cần bạn ký kết thỏa thuận bảo mật. Wǒmen xūyào nǐ qiānshǔ bǎomì xiéyì.</t>
        </is>
      </c>
      <c r="F126" s="114">
        <f>HYPERLINK("https://youglish.com/pronounce/我们需要你签署保密协议/chinese","🔍")</f>
        <v/>
      </c>
    </row>
    <row r="127" ht="28.5" customHeight="1" s="99">
      <c r="A127" s="94" t="inlineStr">
        <is>
          <t>626 ĐPTM.pdf</t>
        </is>
      </c>
      <c r="B127" s="95" t="inlineStr">
        <is>
          <t>126</t>
        </is>
      </c>
      <c r="C127" s="94" t="inlineStr">
        <is>
          <t>我们需要你签署独家代理协议。</t>
        </is>
      </c>
      <c r="D127" s="94" t="inlineStr">
        <is>
          <t>Chúng tôi cần bạn ký kết hợp đồng đại lý độc quyền. Wǒmen xūyào nǐ qiānshǔ dújiā dàilǐ xiéyì.</t>
        </is>
      </c>
      <c r="E127" s="94" t="inlineStr">
        <is>
          <t>126 我们需要你签 署独家代理协 议。 Chúng tôi cần bạn ký kết hợp đồng đại lý độc quyền. Wǒmen xūyào nǐ qiānshǔ dújiā dàilǐ xiéyì.</t>
        </is>
      </c>
      <c r="F127" s="115">
        <f>HYPERLINK("https://youglish.com/pronounce/我们需要你签署独家代理协议/chinese","🔍")</f>
        <v/>
      </c>
    </row>
    <row r="128" ht="42.75" customHeight="1" s="99">
      <c r="A128" s="92" t="inlineStr">
        <is>
          <t>626 ĐPTM.pdf</t>
        </is>
      </c>
      <c r="B128" s="93" t="inlineStr">
        <is>
          <t>127</t>
        </is>
      </c>
      <c r="C128" s="92" t="inlineStr">
        <is>
          <t>我们需要你签署售后服务协议。</t>
        </is>
      </c>
      <c r="D128" s="92" t="inlineStr">
        <is>
          <t>Chúng tôi cần bạn ký kết hợp đồng dịch vụ bảo hành sau bán hàng. Wǒmen xūyào nǐ qiānshǔ shòuhòu fúwù xiéyì.</t>
        </is>
      </c>
      <c r="E128" s="92" t="inlineStr">
        <is>
          <t>127 我们需要你签 署售后服务协 议。 Chúng tôi cần bạn ký kết hợp đồng dịch vụ bảo hành sau bán hàng. Wǒmen xūyào nǐ qiānshǔ shòuhòu fúwù xiéyì.</t>
        </is>
      </c>
      <c r="F128" s="114">
        <f>HYPERLINK("https://youglish.com/pronounce/我们需要你签署售后服务协议/chinese","🔍")</f>
        <v/>
      </c>
    </row>
    <row r="129" ht="42.75" customHeight="1" s="99">
      <c r="A129" s="94" t="inlineStr">
        <is>
          <t>626 ĐPTM.pdf</t>
        </is>
      </c>
      <c r="B129" s="95" t="inlineStr">
        <is>
          <t>128</t>
        </is>
      </c>
      <c r="C129" s="94" t="inlineStr">
        <is>
          <t>我们需要你签署质量保证协议。</t>
        </is>
      </c>
      <c r="D129" s="94" t="inlineStr">
        <is>
          <t>Chúng tôi cần bạn ký kết hợp đồng đảm bảo chất lượng sản phẩm. Wǒmen xūyào nǐ qiānshǔ zhìliàng bǎozhèng xiéyì.</t>
        </is>
      </c>
      <c r="E129" s="94" t="inlineStr">
        <is>
          <t>128 我们需要你签 署质量保证协 议。 Chúng tôi cần bạn ký kết hợp đồng đảm bảo chất lượng sản phẩm. Wǒmen xūyào nǐ qiānshǔ zhìliàng bǎozhèng xiéyì.</t>
        </is>
      </c>
      <c r="F129" s="115">
        <f>HYPERLINK("https://youglish.com/pronounce/我们需要你签署质量保证协议/chinese","🔍")</f>
        <v/>
      </c>
    </row>
    <row r="130" ht="42.75" customHeight="1" s="99">
      <c r="A130" s="92" t="inlineStr">
        <is>
          <t>626 ĐPTM.pdf</t>
        </is>
      </c>
      <c r="B130" s="93" t="inlineStr">
        <is>
          <t>129</t>
        </is>
      </c>
      <c r="C130" s="92" t="inlineStr">
        <is>
          <t>我们需要你提供公司注册证书。</t>
        </is>
      </c>
      <c r="D130" s="92" t="inlineStr">
        <is>
          <t>Chúng tôi cần bạn cung cấp giấy chứng nhận đăng ký công ty. Wǒmen xūyào nǐ tígōng gōngsī zhùcè zhèngshū.</t>
        </is>
      </c>
      <c r="E130" s="92" t="inlineStr">
        <is>
          <t>129 我们需要你提 供公司注册证 书。 Chúng tôi cần bạn cung cấp giấy chứng nhận đăng ký công ty. Wǒmen xūyào nǐ tígōng gōngsī zhùcè zhèngshū.</t>
        </is>
      </c>
      <c r="F130" s="114">
        <f>HYPERLINK("https://youglish.com/pronounce/我们需要你提供公司注册证书/chinese","🔍")</f>
        <v/>
      </c>
    </row>
    <row r="131" ht="28.5" customHeight="1" s="99">
      <c r="A131" s="94" t="inlineStr">
        <is>
          <t>626 ĐPTM.pdf</t>
        </is>
      </c>
      <c r="B131" s="95" t="inlineStr">
        <is>
          <t>130</t>
        </is>
      </c>
      <c r="C131" s="94" t="inlineStr">
        <is>
          <t>我们需要你提供出口许可证。</t>
        </is>
      </c>
      <c r="D131" s="94" t="inlineStr">
        <is>
          <t>Chúng tôi cần bạn cung cấp giấy phép xuất khẩu. Wǒmen xūyào nǐ tígōng chūkǒu xǔkě zhèng.</t>
        </is>
      </c>
      <c r="E131" s="94" t="inlineStr">
        <is>
          <t>130 我们需要你提 供出口许可 证。 Chúng tôi cần bạn cung cấp giấy phép xuất khẩu. Wǒmen xūyào nǐ tígōng chūkǒu xǔkě zhèng.</t>
        </is>
      </c>
      <c r="F131" s="115">
        <f>HYPERLINK("https://youglish.com/pronounce/我们需要你提供出口许可证/chinese","🔍")</f>
        <v/>
      </c>
    </row>
    <row r="132" ht="28.5" customHeight="1" s="99">
      <c r="A132" s="92" t="inlineStr">
        <is>
          <t>626 ĐPTM.pdf</t>
        </is>
      </c>
      <c r="B132" s="93" t="inlineStr">
        <is>
          <t>131</t>
        </is>
      </c>
      <c r="C132" s="92" t="inlineStr">
        <is>
          <t>我们需要你提供检验报告。</t>
        </is>
      </c>
      <c r="D132" s="92" t="inlineStr">
        <is>
          <t>Chúng tôi cần bạn cung cấp báo cáo kiểm định. Wǒmen xūyào nǐ tígōng jiǎnyàn bàogào.</t>
        </is>
      </c>
      <c r="E132" s="92" t="inlineStr">
        <is>
          <t>131 我们需要你提 供检验报告。 Chúng tôi cần bạn cung cấp báo cáo kiểm định. Wǒmen xūyào nǐ tígōng jiǎnyàn bàogào.</t>
        </is>
      </c>
      <c r="F132" s="114">
        <f>HYPERLINK("https://youglish.com/pronounce/我们需要你提供检验报告/chinese","🔍")</f>
        <v/>
      </c>
    </row>
    <row r="133" ht="42.75" customHeight="1" s="99">
      <c r="A133" s="94" t="inlineStr">
        <is>
          <t>626 ĐPTM.pdf</t>
        </is>
      </c>
      <c r="B133" s="95" t="inlineStr">
        <is>
          <t>132</t>
        </is>
      </c>
      <c r="C133" s="94" t="inlineStr">
        <is>
          <t>我们需要你提供运输保险证书。</t>
        </is>
      </c>
      <c r="D133" s="94" t="inlineStr">
        <is>
          <t>Chúng tôi cần bạn cung cấp chứng chỉ bảo hiểm vận chuyển. Wǒmen xūyào nǐ tígōng yùnshū bǎoxiǎn zhèngshū.</t>
        </is>
      </c>
      <c r="E133" s="94" t="inlineStr">
        <is>
          <t>132 我们需要你提 供运输保险证 书。 Chúng tôi cần bạn cung cấp chứng chỉ bảo hiểm vận chuyển. Wǒmen xūyào nǐ tígōng yùnshū bǎoxiǎn zhèngshū.</t>
        </is>
      </c>
      <c r="F133" s="115">
        <f>HYPERLINK("https://youglish.com/pronounce/我们需要你提供运输保险证书/chinese","🔍")</f>
        <v/>
      </c>
    </row>
    <row r="134" ht="28.5" customHeight="1" s="99">
      <c r="A134" s="92" t="inlineStr">
        <is>
          <t>626 ĐPTM.pdf</t>
        </is>
      </c>
      <c r="B134" s="93" t="inlineStr">
        <is>
          <t>133</t>
        </is>
      </c>
      <c r="C134" s="92" t="inlineStr">
        <is>
          <t>我们需要你提供原产地证书。</t>
        </is>
      </c>
      <c r="D134" s="92" t="inlineStr">
        <is>
          <t>Chúng tôi cần bạn cung cấp giấy chứng nhận xuất xứ. Wǒmen xūyào nǐ tígōng yuán chǎndì zhèngshū.</t>
        </is>
      </c>
      <c r="E134" s="92" t="inlineStr">
        <is>
          <t>133 我们需要你提 供原产地证 书。 Chúng tôi cần bạn cung cấp giấy chứng nhận xuất xứ. Wǒmen xūyào nǐ tígōng yuán chǎndì zhèngshū.</t>
        </is>
      </c>
      <c r="F134" s="114">
        <f>HYPERLINK("https://youglish.com/pronounce/我们需要你提供原产地证书/chinese","🔍")</f>
        <v/>
      </c>
    </row>
    <row r="135" ht="28.5" customHeight="1" s="99">
      <c r="A135" s="94" t="inlineStr">
        <is>
          <t>626 ĐPTM.pdf</t>
        </is>
      </c>
      <c r="B135" s="95" t="inlineStr">
        <is>
          <t>134</t>
        </is>
      </c>
      <c r="C135" s="94" t="inlineStr">
        <is>
          <t>我们需要你提供合格证书。</t>
        </is>
      </c>
      <c r="D135" s="94" t="inlineStr">
        <is>
          <t>Chúng tôi cần bạn cung cấp giấy chứng nhận đạt tiêu chuẩn. Wǒmen xūyào nǐ tígōng hégé zhèngshū.</t>
        </is>
      </c>
      <c r="E135" s="94" t="inlineStr">
        <is>
          <t>134 我们需要你提 供合格证书。 Chúng tôi cần bạn cung cấp giấy chứng nhận đạt tiêu chuẩn. Wǒmen xūyào nǐ tígōng hégé zhèngshū.</t>
        </is>
      </c>
      <c r="F135" s="115">
        <f>HYPERLINK("https://youglish.com/pronounce/我们需要你提供合格证书/chinese","🔍")</f>
        <v/>
      </c>
    </row>
    <row r="136" ht="28.5" customHeight="1" s="99">
      <c r="A136" s="92" t="inlineStr">
        <is>
          <t>626 ĐPTM.pdf</t>
        </is>
      </c>
      <c r="B136" s="93" t="inlineStr">
        <is>
          <t>135</t>
        </is>
      </c>
      <c r="C136" s="92" t="inlineStr">
        <is>
          <t>我们需要你提供包装清单。</t>
        </is>
      </c>
      <c r="D136" s="92" t="inlineStr">
        <is>
          <t>Chúng tôi cần bạn cung cấp danh sách đóng gói. Wǒmen xūyào nǐ tígōng bāozhuāng qīngdān.</t>
        </is>
      </c>
      <c r="E136" s="92" t="inlineStr">
        <is>
          <t>135 我们需要你提 供包装清单。 Chúng tôi cần bạn cung cấp danh sách đóng gói. Wǒmen xūyào nǐ tígōng bāozhuāng qīngdān.</t>
        </is>
      </c>
      <c r="F136" s="114">
        <f>HYPERLINK("https://youglish.com/pronounce/我们需要你提供包装清单/chinese","🔍")</f>
        <v/>
      </c>
    </row>
    <row r="137" ht="28.5" customHeight="1" s="99">
      <c r="A137" s="94" t="inlineStr">
        <is>
          <t>626 ĐPTM.pdf</t>
        </is>
      </c>
      <c r="B137" s="95" t="inlineStr">
        <is>
          <t>136</t>
        </is>
      </c>
      <c r="C137" s="94" t="inlineStr">
        <is>
          <t>我们需要你提供报关单。</t>
        </is>
      </c>
      <c r="D137" s="94" t="inlineStr">
        <is>
          <t>Chúng tôi cần bạn cung cấp tờ khai hải quan. Wǒmen xūyào nǐ tígōng bàoguān dān.</t>
        </is>
      </c>
      <c r="E137" s="94" t="inlineStr">
        <is>
          <t>136 我们需要你提 供报关单。 Chúng tôi cần bạn cung cấp tờ khai hải quan. Wǒmen xūyào nǐ tígōng bàoguān dān.</t>
        </is>
      </c>
      <c r="F137" s="115">
        <f>HYPERLINK("https://youglish.com/pronounce/我们需要你提供报关单/chinese","🔍")</f>
        <v/>
      </c>
    </row>
    <row r="138" ht="28.5" customHeight="1" s="99">
      <c r="A138" s="92" t="inlineStr">
        <is>
          <t>626 ĐPTM.pdf</t>
        </is>
      </c>
      <c r="B138" s="93" t="inlineStr">
        <is>
          <t>137</t>
        </is>
      </c>
      <c r="C138" s="92" t="inlineStr">
        <is>
          <t>我们需要你提供装箱单。</t>
        </is>
      </c>
      <c r="D138" s="92" t="inlineStr">
        <is>
          <t>Chúng tôi cần bạn cung cấp danh sách đóng thùng. Wǒmen xūyào nǐ tígōng zhuāng xiāng dān.</t>
        </is>
      </c>
      <c r="E138" s="92" t="inlineStr">
        <is>
          <t>137 我们需要你提 供装箱单。 Chúng tôi cần bạn cung cấp danh sách đóng thùng. Wǒmen xūyào nǐ tígōng zhuāng xiāng dān.</t>
        </is>
      </c>
      <c r="F138" s="114">
        <f>HYPERLINK("https://youglish.com/pronounce/我们需要你提供装箱单/chinese","🔍")</f>
        <v/>
      </c>
    </row>
    <row r="139" ht="28.5" customHeight="1" s="99">
      <c r="A139" s="94" t="inlineStr">
        <is>
          <t>626 ĐPTM.pdf</t>
        </is>
      </c>
      <c r="B139" s="95" t="inlineStr">
        <is>
          <t>138</t>
        </is>
      </c>
      <c r="C139" s="94" t="inlineStr">
        <is>
          <t>我们需要你提供发票。</t>
        </is>
      </c>
      <c r="D139" s="94" t="inlineStr">
        <is>
          <t>Chúng tôi cần bạn cung cấp hóa đơn. Wǒmen xūyào nǐ tígōng fāpiào.</t>
        </is>
      </c>
      <c r="E139" s="94" t="inlineStr">
        <is>
          <t>138 我们需要你提 供发票。 Chúng tôi cần bạn cung cấp hóa đơn. Wǒmen xūyào nǐ tígōng fāpiào.</t>
        </is>
      </c>
      <c r="F139" s="115">
        <f>HYPERLINK("https://youglish.com/pronounce/我们需要你提供发票/chinese","🔍")</f>
        <v/>
      </c>
    </row>
    <row r="140" ht="28.5" customHeight="1" s="99">
      <c r="A140" s="92" t="inlineStr">
        <is>
          <t>626 ĐPTM.pdf</t>
        </is>
      </c>
      <c r="B140" s="93" t="inlineStr">
        <is>
          <t>139</t>
        </is>
      </c>
      <c r="C140" s="92" t="inlineStr">
        <is>
          <t>我们需要你提供商业发票。</t>
        </is>
      </c>
      <c r="D140" s="92" t="inlineStr">
        <is>
          <t>Chúng tôi cần bạn cung cấp hóa đơn thương mại. Wǒmen xūyào nǐ tígōng shāngyè fāpiào.</t>
        </is>
      </c>
      <c r="E140" s="92" t="inlineStr">
        <is>
          <t>139 我们需要你提 供商业发票。 Chúng tôi cần bạn cung cấp hóa đơn thương mại. Wǒmen xūyào nǐ tígōng shāngyè fāpiào.</t>
        </is>
      </c>
      <c r="F140" s="114">
        <f>HYPERLINK("https://youglish.com/pronounce/我们需要你提供商业发票/chinese","🔍")</f>
        <v/>
      </c>
    </row>
    <row r="141" ht="28.5" customHeight="1" s="99">
      <c r="A141" s="94" t="inlineStr">
        <is>
          <t>626 ĐPTM.pdf</t>
        </is>
      </c>
      <c r="B141" s="95" t="inlineStr">
        <is>
          <t>140</t>
        </is>
      </c>
      <c r="C141" s="94" t="inlineStr">
        <is>
          <t>我们需要你提供装运通知书。</t>
        </is>
      </c>
      <c r="D141" s="94" t="inlineStr">
        <is>
          <t>Chúng tôi cần bạn cung cấp thông báo vận chuyển. Wǒmen xūyào nǐ tígōng zhuāngyùn tōngzhī shū.</t>
        </is>
      </c>
      <c r="E141" s="94" t="inlineStr">
        <is>
          <t>140 我们需要你提 供装运通知 书。 Chúng tôi cần bạn cung cấp thông báo vận chuyển. Wǒmen xūyào nǐ tígōng zhuāngyùn tōngzhī shū.</t>
        </is>
      </c>
      <c r="F141" s="115">
        <f>HYPERLINK("https://youglish.com/pronounce/我们需要你提供装运通知书/chinese","🔍")</f>
        <v/>
      </c>
    </row>
    <row r="142" ht="28.5" customHeight="1" s="99">
      <c r="A142" s="92" t="inlineStr">
        <is>
          <t>626 ĐPTM.pdf</t>
        </is>
      </c>
      <c r="B142" s="93" t="inlineStr">
        <is>
          <t>141</t>
        </is>
      </c>
      <c r="C142" s="92" t="inlineStr">
        <is>
          <t>我们需要你提供运输合同。</t>
        </is>
      </c>
      <c r="D142" s="92" t="inlineStr">
        <is>
          <t>Chúng tôi cần bạn cung cấp hợp đồng vận chuyển. Wǒmen xūyào nǐ tígōng yùnshū hétóng.</t>
        </is>
      </c>
      <c r="E142" s="92" t="inlineStr">
        <is>
          <t>141 我们需要你提 供运输合同。 Chúng tôi cần bạn cung cấp hợp đồng vận chuyển. Wǒmen xūyào nǐ tígōng yùnshū hétóng.</t>
        </is>
      </c>
      <c r="F142" s="114">
        <f>HYPERLINK("https://youglish.com/pronounce/我们需要你提供运输合同/chinese","🔍")</f>
        <v/>
      </c>
    </row>
    <row r="143" ht="42.75" customHeight="1" s="99">
      <c r="A143" s="94" t="inlineStr">
        <is>
          <t>626 ĐPTM.pdf</t>
        </is>
      </c>
      <c r="B143" s="95" t="inlineStr">
        <is>
          <t>142</t>
        </is>
      </c>
      <c r="C143" s="94" t="inlineStr">
        <is>
          <t>我们需要你提供付款方式的详细信息。</t>
        </is>
      </c>
      <c r="D143" s="94" t="inlineStr">
        <is>
          <t>Chúng tôi cần bạn cung cấp thông tin chi tiết về phương thức thanh toán. Wǒmen xūyào nǐ tígōng fùkuǎn fāngshì de xiángxì xìnxī.</t>
        </is>
      </c>
      <c r="E143" s="94" t="inlineStr">
        <is>
          <t>142 我们需要你提 供付款方式的 详细信息。 Chúng tôi cần bạn cung cấp thông tin chi tiết về phương thức thanh toán. Wǒmen xūyào nǐ tígōng fùkuǎn fāngshì de xiángxì xìnxī.</t>
        </is>
      </c>
      <c r="F143" s="115">
        <f>HYPERLINK("https://youglish.com/pronounce/我们需要你提供付款方式的详细信息/chinese","🔍")</f>
        <v/>
      </c>
    </row>
    <row r="144" ht="28.5" customHeight="1" s="99">
      <c r="A144" s="92" t="inlineStr">
        <is>
          <t>626 ĐPTM.pdf</t>
        </is>
      </c>
      <c r="B144" s="93" t="inlineStr">
        <is>
          <t>143</t>
        </is>
      </c>
      <c r="C144" s="92" t="inlineStr">
        <is>
          <t>我们需要你提供付款期限。</t>
        </is>
      </c>
      <c r="D144" s="92" t="inlineStr">
        <is>
          <t>Chúng tôi cần bạn cung cấp thời hạn thanh toán. Wǒmen xūyào nǐ tígōng fùkuǎn qíxiàn.</t>
        </is>
      </c>
      <c r="E144" s="92" t="inlineStr">
        <is>
          <t>143 我们需要你提 供付款期限。 Chúng tôi cần bạn cung cấp thời hạn thanh toán. Wǒmen xūyào nǐ tígōng fùkuǎn qíxiàn.</t>
        </is>
      </c>
      <c r="F144" s="114">
        <f>HYPERLINK("https://youglish.com/pronounce/我们需要你提供付款期限/chinese","🔍")</f>
        <v/>
      </c>
    </row>
    <row r="145" ht="42.75" customHeight="1" s="99">
      <c r="A145" s="94" t="inlineStr">
        <is>
          <t>626 ĐPTM.pdf</t>
        </is>
      </c>
      <c r="B145" s="95" t="inlineStr">
        <is>
          <t>144</t>
        </is>
      </c>
      <c r="C145" s="94" t="inlineStr">
        <is>
          <t>我们需要你提供运输方式的详细信息。</t>
        </is>
      </c>
      <c r="D145" s="94" t="inlineStr">
        <is>
          <t>Chúng tôi cần bạn cung cấp thông tin chi tiết về phương tiện vận chuyển. Wǒmen xūyào nǐ tígōng yùnshū fāngshì de xiángxì xìnxī.</t>
        </is>
      </c>
      <c r="E145" s="94" t="inlineStr">
        <is>
          <t>144 我们需要你提 供运输方式的 详细信息。 Chúng tôi cần bạn cung cấp thông tin chi tiết về phương tiện vận chuyển. Wǒmen xūyào nǐ tígōng yùnshū fāngshì de xiángxì xìnxī.</t>
        </is>
      </c>
      <c r="F145" s="115">
        <f>HYPERLINK("https://youglish.com/pronounce/我们需要你提供运输方式的详细信息/chinese","🔍")</f>
        <v/>
      </c>
    </row>
    <row r="146" ht="28.5" customHeight="1" s="99">
      <c r="A146" s="92" t="inlineStr">
        <is>
          <t>626 ĐPTM.pdf</t>
        </is>
      </c>
      <c r="B146" s="93" t="inlineStr">
        <is>
          <t>145</t>
        </is>
      </c>
      <c r="C146" s="92" t="inlineStr">
        <is>
          <t>我们需要你提供发货日期。</t>
        </is>
      </c>
      <c r="D146" s="92" t="inlineStr">
        <is>
          <t>Chúng tôi cần bạn cung cấp ngày giao hàng. Wǒmen xūyào nǐ tígōng fā huò rìqí.</t>
        </is>
      </c>
      <c r="E146" s="92" t="inlineStr">
        <is>
          <t>145 我们需要你提 供发货日期。 Chúng tôi cần bạn cung cấp ngày giao hàng. Wǒmen xūyào nǐ tígōng fā huò rìqí.</t>
        </is>
      </c>
      <c r="F146" s="114">
        <f>HYPERLINK("https://youglish.com/pronounce/我们需要你提供发货日期/chinese","🔍")</f>
        <v/>
      </c>
    </row>
    <row r="147" ht="28.5" customHeight="1" s="99">
      <c r="A147" s="94" t="inlineStr">
        <is>
          <t>626 ĐPTM.pdf</t>
        </is>
      </c>
      <c r="B147" s="95" t="inlineStr">
        <is>
          <t>146</t>
        </is>
      </c>
      <c r="C147" s="94" t="inlineStr">
        <is>
          <t>我们需要你提供目的港口。</t>
        </is>
      </c>
      <c r="D147" s="94" t="inlineStr">
        <is>
          <t>Chúng tôi cần bạn cung cấp cảng đến. Wǒmen xūyào nǐ tígōng mùdì gǎngkǒu.</t>
        </is>
      </c>
      <c r="E147" s="94" t="inlineStr">
        <is>
          <t>146 我们需要你提 供目的港口。 Chúng tôi cần bạn cung cấp cảng đến. Wǒmen xūyào nǐ tígōng mùdì gǎngkǒu.</t>
        </is>
      </c>
      <c r="F147" s="115">
        <f>HYPERLINK("https://youglish.com/pronounce/我们需要你提供目的港口/chinese","🔍")</f>
        <v/>
      </c>
    </row>
    <row r="148" ht="28.5" customHeight="1" s="99">
      <c r="A148" s="92" t="inlineStr">
        <is>
          <t>626 ĐPTM.pdf</t>
        </is>
      </c>
      <c r="B148" s="93" t="inlineStr">
        <is>
          <t>147</t>
        </is>
      </c>
      <c r="C148" s="92" t="inlineStr">
        <is>
          <t>我们需要你提供起运港口。</t>
        </is>
      </c>
      <c r="D148" s="92" t="inlineStr">
        <is>
          <t>Chúng tôi cần bạn cung cấp cảng đi. Wǒmen xūyào nǐ tígōng qǐyùn gǎngkǒu.</t>
        </is>
      </c>
      <c r="E148" s="92" t="inlineStr">
        <is>
          <t>147 我们需要你提 供起运港口。 Chúng tôi cần bạn cung cấp cảng đi. Wǒmen xūyào nǐ tígōng qǐyùn gǎngkǒu.</t>
        </is>
      </c>
      <c r="F148" s="114">
        <f>HYPERLINK("https://youglish.com/pronounce/我们需要你提供起运港口/chinese","🔍")</f>
        <v/>
      </c>
    </row>
    <row r="149" ht="28.5" customHeight="1" s="99">
      <c r="A149" s="94" t="inlineStr">
        <is>
          <t>626 ĐPTM.pdf</t>
        </is>
      </c>
      <c r="B149" s="95" t="inlineStr">
        <is>
          <t>148</t>
        </is>
      </c>
      <c r="C149" s="94" t="inlineStr">
        <is>
          <t>我们需要你提供装运时间。</t>
        </is>
      </c>
      <c r="D149" s="94" t="inlineStr">
        <is>
          <t>Chúng tôi cần bạn cung cấp thời gian đóng gói. Wǒmen xūyào nǐ tígōng zhuāngyùn shíjiān.</t>
        </is>
      </c>
      <c r="E149" s="94" t="inlineStr">
        <is>
          <t>148 我们需要你提 供装运时间。 Chúng tôi cần bạn cung cấp thời gian đóng gói. Wǒmen xūyào nǐ tígōng zhuāngyùn shíjiān.</t>
        </is>
      </c>
      <c r="F149" s="115">
        <f>HYPERLINK("https://youglish.com/pronounce/我们需要你提供装运时间/chinese","🔍")</f>
        <v/>
      </c>
    </row>
    <row r="150" ht="28.5" customHeight="1" s="99">
      <c r="A150" s="92" t="inlineStr">
        <is>
          <t>626 ĐPTM.pdf</t>
        </is>
      </c>
      <c r="B150" s="93" t="inlineStr">
        <is>
          <t>149</t>
        </is>
      </c>
      <c r="C150" s="92" t="inlineStr">
        <is>
          <t>我们需要你提供装运日期。</t>
        </is>
      </c>
      <c r="D150" s="92" t="inlineStr">
        <is>
          <t>Chúng tôi cần bạn cung cấp ngày đóng gói. Wǒmen xūyào nǐ tígōng zhuāngyùn rìqí.</t>
        </is>
      </c>
      <c r="E150" s="92" t="inlineStr">
        <is>
          <t>149 我们需要你提 供装运日期。 Chúng tôi cần bạn cung cấp ngày đóng gói. Wǒmen xūyào nǐ tígōng zhuāngyùn rìqí.</t>
        </is>
      </c>
      <c r="F150" s="114">
        <f>HYPERLINK("https://youglish.com/pronounce/我们需要你提供装运日期/chinese","🔍")</f>
        <v/>
      </c>
    </row>
    <row r="151" ht="28.5" customHeight="1" s="99">
      <c r="A151" s="94" t="inlineStr">
        <is>
          <t>626 ĐPTM.pdf</t>
        </is>
      </c>
      <c r="B151" s="95" t="inlineStr">
        <is>
          <t>150</t>
        </is>
      </c>
      <c r="C151" s="94" t="inlineStr">
        <is>
          <t>我们需要你提供目的地的地址。</t>
        </is>
      </c>
      <c r="D151" s="94" t="inlineStr">
        <is>
          <t>Chúng tôi cần bạn cung cấp địa chỉ đích đến. Wǒmen xūyào nǐ tígōng mùdì dì dì dìzhǐ.</t>
        </is>
      </c>
      <c r="E151" s="94" t="inlineStr">
        <is>
          <t>150 我们需要你提 供目的地的地 址。 Chúng tôi cần bạn cung cấp địa chỉ đích đến. Wǒmen xūyào nǐ tígōng mùdì dì dì dìzhǐ.</t>
        </is>
      </c>
      <c r="F151" s="115">
        <f>HYPERLINK("https://youglish.com/pronounce/我们需要你提供目的地的地址/chinese","🔍")</f>
        <v/>
      </c>
    </row>
    <row r="152" ht="28.5" customHeight="1" s="99">
      <c r="A152" s="92" t="inlineStr">
        <is>
          <t>626 ĐPTM.pdf</t>
        </is>
      </c>
      <c r="B152" s="93" t="inlineStr">
        <is>
          <t>151</t>
        </is>
      </c>
      <c r="C152" s="92" t="inlineStr">
        <is>
          <t>我们需要你提供原产地。</t>
        </is>
      </c>
      <c r="D152" s="92" t="inlineStr">
        <is>
          <t>Chúng tôi cần bạn cung cấp nơi sản xuất. Wǒmen xūyào nǐ tígōng yuán chǎn dì.</t>
        </is>
      </c>
      <c r="E152" s="92" t="inlineStr">
        <is>
          <t>151 我们需要你提 供原产地。 Chúng tôi cần bạn cung cấp nơi sản xuất. Wǒmen xūyào nǐ tígōng yuán chǎn dì.</t>
        </is>
      </c>
      <c r="F152" s="114">
        <f>HYPERLINK("https://youglish.com/pronounce/我们需要你提供原产地/chinese","🔍")</f>
        <v/>
      </c>
    </row>
    <row r="153" ht="42.75" customHeight="1" s="99">
      <c r="A153" s="94" t="inlineStr">
        <is>
          <t>626 ĐPTM.pdf</t>
        </is>
      </c>
      <c r="B153" s="95" t="inlineStr">
        <is>
          <t>152</t>
        </is>
      </c>
      <c r="C153" s="94" t="inlineStr">
        <is>
          <t>我们需要你提供运输费用的详细信息。</t>
        </is>
      </c>
      <c r="D153" s="94" t="inlineStr">
        <is>
          <t>Chúng tôi cần bạn cung cấp thông tin chi tiết về chi phí vận chuyển. Wǒmen xūyào nǐ tígōng yùnshū fèiyòng de xiángxì xìnxī.</t>
        </is>
      </c>
      <c r="E153" s="94" t="inlineStr">
        <is>
          <t>152 我们需要你提 供运输费用的 详细信息。 Chúng tôi cần bạn cung cấp thông tin chi tiết về chi phí vận chuyển. Wǒmen xūyào nǐ tígōng yùnshū fèiyòng de xiángxì xìnxī.</t>
        </is>
      </c>
      <c r="F153" s="115">
        <f>HYPERLINK("https://youglish.com/pronounce/我们需要你提供运输费用的详细信息/chinese","🔍")</f>
        <v/>
      </c>
    </row>
    <row r="154" ht="42.75" customHeight="1" s="99">
      <c r="A154" s="92" t="inlineStr">
        <is>
          <t>626 ĐPTM.pdf</t>
        </is>
      </c>
      <c r="B154" s="93" t="inlineStr">
        <is>
          <t>153</t>
        </is>
      </c>
      <c r="C154" s="92" t="inlineStr">
        <is>
          <t>我们需要你提供货物的详细规格。</t>
        </is>
      </c>
      <c r="D154" s="92" t="inlineStr">
        <is>
          <t>Chúng tôi cần bạn cung cấp thông tin chi tiết về đặc điểm kỹ thuật của hàng hóa. Wǒmen xūyào nǐ tígōng huòwù de xiángxì guīgé.</t>
        </is>
      </c>
      <c r="E154" s="92" t="inlineStr">
        <is>
          <t>153 我们需要你提 供货物的详细 规格。 Chúng tôi cần bạn cung cấp thông tin chi tiết về đặc điểm kỹ thuật của hàng hóa. Wǒmen xūyào nǐ tígōng huòwù de xiángxì guīgé.</t>
        </is>
      </c>
      <c r="F154" s="114">
        <f>HYPERLINK("https://youglish.com/pronounce/我们需要你提供货物的详细规格/chinese","🔍")</f>
        <v/>
      </c>
    </row>
    <row r="155" ht="42.75" customHeight="1" s="99">
      <c r="A155" s="94" t="inlineStr">
        <is>
          <t>626 ĐPTM.pdf</t>
        </is>
      </c>
      <c r="B155" s="95" t="inlineStr">
        <is>
          <t>154</t>
        </is>
      </c>
      <c r="C155" s="94" t="inlineStr">
        <is>
          <t>我们需要你提供合同生效的日期。</t>
        </is>
      </c>
      <c r="D155" s="94" t="inlineStr">
        <is>
          <t>Chúng tôi cần bạn cung cấp ngày có hiệu lực của hợp đồng. Wǒmen xūyào nǐ tígōng hétóng shēngxiào de rìqí.</t>
        </is>
      </c>
      <c r="E155" s="94" t="inlineStr">
        <is>
          <t>154 我们需要你提 供合同生效的 日期。 Chúng tôi cần bạn cung cấp ngày có hiệu lực của hợp đồng. Wǒmen xūyào nǐ tígōng hétóng shēngxiào de rìqí.</t>
        </is>
      </c>
      <c r="F155" s="115">
        <f>HYPERLINK("https://youglish.com/pronounce/我们需要你提供合同生效的日期/chinese","🔍")</f>
        <v/>
      </c>
    </row>
    <row r="156" ht="42.75" customHeight="1" s="99">
      <c r="A156" s="92" t="inlineStr">
        <is>
          <t>626 ĐPTM.pdf</t>
        </is>
      </c>
      <c r="B156" s="93" t="inlineStr">
        <is>
          <t>155</t>
        </is>
      </c>
      <c r="C156" s="92" t="inlineStr">
        <is>
          <t>我们需要你提供合同终止的日期。</t>
        </is>
      </c>
      <c r="D156" s="92" t="inlineStr">
        <is>
          <t>Chúng tôi cần bạn cung cấp ngày kết thúc của hợp đồng. Wǒmen xūyào nǐ tígōng hétóng zhōngzhǐ de rìqí.</t>
        </is>
      </c>
      <c r="E156" s="92" t="inlineStr">
        <is>
          <t>155 我们需要你提 供合同终止的 日期。 Chúng tôi cần bạn cung cấp ngày kết thúc của hợp đồng. Wǒmen xūyào nǐ tígōng hétóng zhōngzhǐ de rìqí.</t>
        </is>
      </c>
      <c r="F156" s="114">
        <f>HYPERLINK("https://youglish.com/pronounce/我们需要你提供合同终止的日期/chinese","🔍")</f>
        <v/>
      </c>
    </row>
    <row r="157" ht="42.75" customHeight="1" s="99">
      <c r="A157" s="94" t="inlineStr">
        <is>
          <t>626 ĐPTM.pdf</t>
        </is>
      </c>
      <c r="B157" s="95" t="inlineStr">
        <is>
          <t>156</t>
        </is>
      </c>
      <c r="C157" s="94" t="inlineStr">
        <is>
          <t>我们需要你提供质量检验标准。</t>
        </is>
      </c>
      <c r="D157" s="94" t="inlineStr">
        <is>
          <t>Chúng tôi cần bạn cung cấp tiêu chuẩn kiểm định chất lượng. Wǒmen xūyào nǐ tígōng zhìliàng jiǎnyàn biāozhǔn.</t>
        </is>
      </c>
      <c r="E157" s="94" t="inlineStr">
        <is>
          <t>156 我们需要你提 供质量检验标 准。 Chúng tôi cần bạn cung cấp tiêu chuẩn kiểm định chất lượng. Wǒmen xūyào nǐ tígōng zhìliàng jiǎnyàn biāozhǔn.</t>
        </is>
      </c>
      <c r="F157" s="115">
        <f>HYPERLINK("https://youglish.com/pronounce/我们需要你提供质量检验标准/chinese","🔍")</f>
        <v/>
      </c>
    </row>
    <row r="158" ht="42.75" customHeight="1" s="99">
      <c r="A158" s="92" t="inlineStr">
        <is>
          <t>626 ĐPTM.pdf</t>
        </is>
      </c>
      <c r="B158" s="93" t="inlineStr">
        <is>
          <t>157</t>
        </is>
      </c>
      <c r="C158" s="92" t="inlineStr">
        <is>
          <t>我们需要你提供质量检验机构的名称。</t>
        </is>
      </c>
      <c r="D158" s="92" t="inlineStr">
        <is>
          <t>Chúng tôi cần bạn cung cấp tên tổ chức kiểm định chất lượng. Wǒmen xūyào nǐ tígōng zhìliàng jiǎnyàn jīgòu de míngchēng.</t>
        </is>
      </c>
      <c r="E158" s="92" t="inlineStr">
        <is>
          <t>157 我们需要你提 供质量检验机 构的名称。 Chúng tôi cần bạn cung cấp tên tổ chức kiểm định chất lượng. Wǒmen xūyào nǐ tígōng zhìliàng jiǎnyàn jīgòu de míngchēng.</t>
        </is>
      </c>
      <c r="F158" s="114">
        <f>HYPERLINK("https://youglish.com/pronounce/我们需要你提供质量检验机构的名称/chinese","🔍")</f>
        <v/>
      </c>
    </row>
    <row r="159" ht="42.75" customHeight="1" s="99">
      <c r="A159" s="94" t="inlineStr">
        <is>
          <t>626 ĐPTM.pdf</t>
        </is>
      </c>
      <c r="B159" s="95" t="inlineStr">
        <is>
          <t>158</t>
        </is>
      </c>
      <c r="C159" s="94" t="inlineStr">
        <is>
          <t>我们已经就合同的条款进行了详细的商讨。</t>
        </is>
      </c>
      <c r="D159" s="94" t="inlineStr">
        <is>
          <t>Chúng tôi đã thảo luận chi tiết về các điều khoản trong hợp đồng. Wǒmen yǐjīng jiù he tóng de tiáokuǎn jìnxíngle xiángxì de shāngtǎo.</t>
        </is>
      </c>
      <c r="E159" s="94" t="inlineStr">
        <is>
          <t>158 我们已经就合 同的条款进行 了详细的商 讨。 Chúng tôi đã thảo luận chi tiết về các điều khoản trong hợp đồng. Wǒmen yǐjīng jiù he tóng de tiáokuǎn jìnxíngle xiángxì de shāngtǎo.</t>
        </is>
      </c>
      <c r="F159" s="115">
        <f>HYPERLINK("https://youglish.com/pronounce/我们已经就合同的条款进行了详细的商讨/chinese","🔍")</f>
        <v/>
      </c>
    </row>
    <row r="160" ht="28.5" customHeight="1" s="99">
      <c r="A160" s="92" t="inlineStr">
        <is>
          <t>626 ĐPTM.pdf</t>
        </is>
      </c>
      <c r="B160" s="93" t="inlineStr">
        <is>
          <t>159</t>
        </is>
      </c>
      <c r="C160" s="92" t="inlineStr">
        <is>
          <t>您对我们的样品是否满意？</t>
        </is>
      </c>
      <c r="D160" s="92" t="inlineStr">
        <is>
          <t>Bạn có hài lòng với mẫu của chúng tôi không? Nín duì wǒmen de yàngpǐn shìfǒu mǎnyì?</t>
        </is>
      </c>
      <c r="E160" s="92" t="inlineStr">
        <is>
          <t>159 您对我们的样 品是否满意？ Bạn có hài lòng với mẫu của chúng tôi không? Nín duì wǒmen de yàngpǐn shìfǒu mǎnyì?</t>
        </is>
      </c>
      <c r="F160" s="114">
        <f>HYPERLINK("https://youglish.com/pronounce/您对我们的样品是否满意/chinese","🔍")</f>
        <v/>
      </c>
    </row>
    <row r="161" ht="28.5" customHeight="1" s="99">
      <c r="A161" s="94" t="inlineStr">
        <is>
          <t>626 ĐPTM.pdf</t>
        </is>
      </c>
      <c r="B161" s="95" t="inlineStr">
        <is>
          <t>160</t>
        </is>
      </c>
      <c r="C161" s="94" t="inlineStr">
        <is>
          <t>请问您对价格有什么看法？</t>
        </is>
      </c>
      <c r="D161" s="94" t="inlineStr">
        <is>
          <t>Bạn có ý kiến gì về giá cả không? Qǐngwèn nín duì jiàgé yǒu shé me kànfǎ?</t>
        </is>
      </c>
      <c r="E161" s="94" t="inlineStr">
        <is>
          <t>160 请问您对价格 有什么看法？ Bạn có ý kiến gì về giá cả không? Qǐngwèn nín duì jiàgé yǒu shé me kànfǎ?</t>
        </is>
      </c>
      <c r="F161" s="115">
        <f>HYPERLINK("https://youglish.com/pronounce/请问您对价格有什么看法/chinese","🔍")</f>
        <v/>
      </c>
    </row>
    <row r="162" ht="28.5" customHeight="1" s="99">
      <c r="A162" s="92" t="inlineStr">
        <is>
          <t>626 ĐPTM.pdf</t>
        </is>
      </c>
      <c r="B162" s="93" t="inlineStr">
        <is>
          <t>161</t>
        </is>
      </c>
      <c r="C162" s="92" t="inlineStr">
        <is>
          <t>我们是否可以继续商谈价格？</t>
        </is>
      </c>
      <c r="D162" s="92" t="inlineStr">
        <is>
          <t>Chúng ta có thể tiếp tục thương lượng giá cả được không? Wǒmen shìfǒu kěyǐ jìxù shāngtán jiàgé?</t>
        </is>
      </c>
      <c r="E162" s="92" t="inlineStr">
        <is>
          <t>161 我们是否可以 继续商谈价 格？ Chúng ta có thể tiếp tục thương lượng giá cả được không? Wǒmen shìfǒu kěyǐ jìxù shāngtán jiàgé?</t>
        </is>
      </c>
      <c r="F162" s="114">
        <f>HYPERLINK("https://youglish.com/pronounce/我们是否可以继续商谈价格/chinese","🔍")</f>
        <v/>
      </c>
    </row>
    <row r="163" ht="42.75" customHeight="1" s="99">
      <c r="A163" s="94" t="inlineStr">
        <is>
          <t>626 ĐPTM.pdf</t>
        </is>
      </c>
      <c r="B163" s="95" t="inlineStr">
        <is>
          <t>162</t>
        </is>
      </c>
      <c r="C163" s="94" t="inlineStr">
        <is>
          <t>我们是否可以在某些条款上进行协商？</t>
        </is>
      </c>
      <c r="D163" s="94" t="inlineStr">
        <is>
          <t>Chúng ta có thể đàm phán về một số điều khoản được không? Wǒmen shìfǒu kěyǐ zài mǒu xiē tiáokuǎn shàng jìnxíng xiéshāng?</t>
        </is>
      </c>
      <c r="E163" s="94" t="inlineStr">
        <is>
          <t>162 我们是否可以 在某些条款上 进行协商？ Chúng ta có thể đàm phán về một số điều khoản được không? Wǒmen shìfǒu kěyǐ zài mǒu xiē tiáokuǎn shàng jìnxíng xiéshāng?</t>
        </is>
      </c>
      <c r="F163" s="115">
        <f>HYPERLINK("https://youglish.com/pronounce/我们是否可以在某些条款上进行协商/chinese","🔍")</f>
        <v/>
      </c>
    </row>
    <row r="164" ht="28.5" customHeight="1" s="99">
      <c r="A164" s="92" t="inlineStr">
        <is>
          <t>626 ĐPTM.pdf</t>
        </is>
      </c>
      <c r="B164" s="93" t="inlineStr">
        <is>
          <t>163</t>
        </is>
      </c>
      <c r="C164" s="92" t="inlineStr">
        <is>
          <t>对于付款方式 ，您有什么要求？</t>
        </is>
      </c>
      <c r="D164" s="92" t="inlineStr">
        <is>
          <t>Bạn có yêu cầu gì về hình thức thanh toán không? Duìyú fùkuǎn fāngshì, nín yǒu shé me yāoqiú?</t>
        </is>
      </c>
      <c r="E164" s="92" t="inlineStr">
        <is>
          <t>163 对于付款方式 ，您有什么要 求？ Bạn có yêu cầu gì về hình thức thanh toán không? Duìyú fùkuǎn fāngshì, nín yǒu shé me yāoqiú?</t>
        </is>
      </c>
      <c r="F164" s="114">
        <f>HYPERLINK("https://youglish.com/pronounce/对于付款方式您有什么要求/chinese","🔍")</f>
        <v/>
      </c>
    </row>
    <row r="165" ht="42.75" customHeight="1" s="99">
      <c r="A165" s="94" t="inlineStr">
        <is>
          <t>626 ĐPTM.pdf</t>
        </is>
      </c>
      <c r="B165" s="95" t="inlineStr">
        <is>
          <t>164</t>
        </is>
      </c>
      <c r="C165" s="94" t="inlineStr">
        <is>
          <t>我们是否可以就质量问题达成一致意见？</t>
        </is>
      </c>
      <c r="D165" s="94" t="inlineStr">
        <is>
          <t>Chúng ta có thể đồng ý về vấn đề chất lượng không? Wǒmen shìfǒu kěyǐ jiù zhìliàng wèntí dáchéng yīzhì yìjiàn?</t>
        </is>
      </c>
      <c r="E165" s="94" t="inlineStr">
        <is>
          <t>164 我们是否可以 就质量问题达 成一致意见？ Chúng ta có thể đồng ý về vấn đề chất lượng không? Wǒmen shìfǒu kěyǐ jiù zhìliàng wèntí dáchéng yīzhì yìjiàn?</t>
        </is>
      </c>
      <c r="F165" s="115">
        <f>HYPERLINK("https://youglish.com/pronounce/我们是否可以就质量问题达成一致意见/chinese","🔍")</f>
        <v/>
      </c>
    </row>
    <row r="166" ht="42.75" customHeight="1" s="99">
      <c r="A166" s="92" t="inlineStr">
        <is>
          <t>626 ĐPTM.pdf</t>
        </is>
      </c>
      <c r="B166" s="93" t="inlineStr">
        <is>
          <t>165</t>
        </is>
      </c>
      <c r="C166" s="92" t="inlineStr">
        <is>
          <t>请问您是否同意提前付款以换取折扣？</t>
        </is>
      </c>
      <c r="D166" s="92" t="inlineStr">
        <is>
          <t>Bạn có đồng ý trả trước để đổi lấy chiết khấu không? Qǐngwèn nín shìfǒu tóngyì tíqián fùkuǎn yǐ huànqǔ zhékòu?</t>
        </is>
      </c>
      <c r="E166" s="92" t="inlineStr">
        <is>
          <t>165 请问您是否同 意提前付款以 换取折扣？ Bạn có đồng ý trả trước để đổi lấy chiết khấu không? Qǐngwèn nín shìfǒu tóngyì tíqián fùkuǎn yǐ huànqǔ zhékòu?</t>
        </is>
      </c>
      <c r="F166" s="114">
        <f>HYPERLINK("https://youglish.com/pronounce/请问您是否同意提前付款以换取折扣/chinese","🔍")</f>
        <v/>
      </c>
    </row>
    <row r="167" ht="42.75" customHeight="1" s="99">
      <c r="A167" s="94" t="inlineStr">
        <is>
          <t>626 ĐPTM.pdf</t>
        </is>
      </c>
      <c r="B167" s="95" t="inlineStr">
        <is>
          <t>166</t>
        </is>
      </c>
      <c r="C167" s="94" t="inlineStr">
        <is>
          <t>我们是否可以就交货日期达成一致？</t>
        </is>
      </c>
      <c r="D167" s="94" t="inlineStr">
        <is>
          <t>Chúng ta có thể đạt được thỏa thuận về ngày giao hàng không? Wǒmen shìfǒu kěyǐ jiù jiāo huò rìqí dáchéng yīzhì?</t>
        </is>
      </c>
      <c r="E167" s="94" t="inlineStr">
        <is>
          <t>166 我们是否可以 就交货日期达 成一致？ Chúng ta có thể đạt được thỏa thuận về ngày giao hàng không? Wǒmen shìfǒu kěyǐ jiù jiāo huò rìqí dáchéng yīzhì?</t>
        </is>
      </c>
      <c r="F167" s="115">
        <f>HYPERLINK("https://youglish.com/pronounce/我们是否可以就交货日期达成一致/chinese","🔍")</f>
        <v/>
      </c>
    </row>
    <row r="168" ht="42.75" customHeight="1" s="99">
      <c r="A168" s="92" t="inlineStr">
        <is>
          <t>626 ĐPTM.pdf</t>
        </is>
      </c>
      <c r="B168" s="93" t="inlineStr">
        <is>
          <t>167</t>
        </is>
      </c>
      <c r="C168" s="92" t="inlineStr">
        <is>
          <t>我们是否可以就运输方式进行协商？</t>
        </is>
      </c>
      <c r="D168" s="92" t="inlineStr">
        <is>
          <t>Chúng ta có thể đàm phán về hình thức vận chuyển không? Wǒmen shìfǒu kěyǐ jiù yùnshū fāngshì jìnxíng xiéshāng?</t>
        </is>
      </c>
      <c r="E168" s="92" t="inlineStr">
        <is>
          <t>167 我们是否可以 就运输方式进 行协商？ Chúng ta có thể đàm phán về hình thức vận chuyển không? Wǒmen shìfǒu kěyǐ jiù yùnshū fāngshì jìnxíng xiéshāng?</t>
        </is>
      </c>
      <c r="F168" s="114">
        <f>HYPERLINK("https://youglish.com/pronounce/我们是否可以就运输方式进行协商/chinese","🔍")</f>
        <v/>
      </c>
    </row>
    <row r="169" ht="42.75" customHeight="1" s="99">
      <c r="A169" s="94" t="inlineStr">
        <is>
          <t>626 ĐPTM.pdf</t>
        </is>
      </c>
      <c r="B169" s="95" t="inlineStr">
        <is>
          <t>168</t>
        </is>
      </c>
      <c r="C169" s="94" t="inlineStr">
        <is>
          <t>我们是否可以就包装细节进行商谈？</t>
        </is>
      </c>
      <c r="D169" s="94" t="inlineStr">
        <is>
          <t>Chúng ta có thể thảo luận về chi tiết đóng gói không? Wǒmen shìfǒu kěyǐ jiù bāozhuāng xìjié jìnxíng shāngtán?</t>
        </is>
      </c>
      <c r="E169" s="94" t="inlineStr">
        <is>
          <t>168 我们是否可以 就包装细节进 行商谈？ Chúng ta có thể thảo luận về chi tiết đóng gói không? Wǒmen shìfǒu kěyǐ jiù bāozhuāng xìjié jìnxíng shāngtán?</t>
        </is>
      </c>
      <c r="F169" s="115">
        <f>HYPERLINK("https://youglish.com/pronounce/我们是否可以就包装细节进行商谈/chinese","🔍")</f>
        <v/>
      </c>
    </row>
    <row r="170" ht="42.75" customHeight="1" s="99">
      <c r="A170" s="92" t="inlineStr">
        <is>
          <t>626 ĐPTM.pdf</t>
        </is>
      </c>
      <c r="B170" s="93" t="inlineStr">
        <is>
          <t>169</t>
        </is>
      </c>
      <c r="C170" s="92" t="inlineStr">
        <is>
          <t>您认为我们应该在合同中明确哪些条款？</t>
        </is>
      </c>
      <c r="D170" s="92" t="inlineStr">
        <is>
          <t>Bạn nghĩ chúng ta nên xác định những điều khoản nào trong hợp đồng? Nín rènwéi wǒmen yīnggāi zài hétóng zhōng míngquè nǎxiē tiáokuǎn?</t>
        </is>
      </c>
      <c r="E170" s="92" t="inlineStr">
        <is>
          <t>169 您认为我们应 该在合同中明 确哪些条款？ Bạn nghĩ chúng ta nên xác định những điều khoản nào trong hợp đồng? Nín rènwéi wǒmen yīnggāi zài hétóng zhōng míngquè nǎxiē tiáokuǎn?</t>
        </is>
      </c>
      <c r="F170" s="114">
        <f>HYPERLINK("https://youglish.com/pronounce/您认为我们应该在合同中明确哪些条款/chinese","🔍")</f>
        <v/>
      </c>
    </row>
    <row r="171" ht="42.75" customHeight="1" s="99">
      <c r="A171" s="94" t="inlineStr">
        <is>
          <t>626 ĐPTM.pdf</t>
        </is>
      </c>
      <c r="B171" s="95" t="inlineStr">
        <is>
          <t>170</t>
        </is>
      </c>
      <c r="C171" s="94" t="inlineStr">
        <is>
          <t>请问您对我们的合同是否有任何疑虑？</t>
        </is>
      </c>
      <c r="D171" s="94" t="inlineStr">
        <is>
          <t>Bạn có bất kỳ nghi ngờ gì về hợp đồng của chúng ta không? Qǐngwèn nín duì wǒmen de hétóng shìfǒu yǒu rènhé yílǜ?</t>
        </is>
      </c>
      <c r="E171" s="94" t="inlineStr">
        <is>
          <t>170 请问您对我们 的合同是否有 任何疑虑？ Bạn có bất kỳ nghi ngờ gì về hợp đồng của chúng ta không? Qǐngwèn nín duì wǒmen de hétóng shìfǒu yǒu rènhé yílǜ?</t>
        </is>
      </c>
      <c r="F171" s="115">
        <f>HYPERLINK("https://youglish.com/pronounce/请问您对我们的合同是否有任何疑虑/chinese","🔍")</f>
        <v/>
      </c>
    </row>
    <row r="172" ht="42.75" customHeight="1" s="99">
      <c r="A172" s="92" t="inlineStr">
        <is>
          <t>626 ĐPTM.pdf</t>
        </is>
      </c>
      <c r="B172" s="93" t="inlineStr">
        <is>
          <t>171</t>
        </is>
      </c>
      <c r="C172" s="92" t="inlineStr">
        <is>
          <t>我们是否可以就合同内容进行最终确认？</t>
        </is>
      </c>
      <c r="D172" s="92" t="inlineStr">
        <is>
          <t>Chúng ta có thể xác nhận lại nội dung hợp đồng không? Wǒmen shìfǒu kěyǐ jiù he tóng nèiróng jìnxíng zuìzhōng quèrèn?</t>
        </is>
      </c>
      <c r="E172" s="92" t="inlineStr">
        <is>
          <t>171 我们是否可以 就合同内容进 行最终确认？ Chúng ta có thể xác nhận lại nội dung hợp đồng không? Wǒmen shìfǒu kěyǐ jiù he tóng nèiróng jìnxíng zuìzhōng quèrèn?</t>
        </is>
      </c>
      <c r="F172" s="114">
        <f>HYPERLINK("https://youglish.com/pronounce/我们是否可以就合同内容进行最终确认/chinese","🔍")</f>
        <v/>
      </c>
    </row>
    <row r="173" ht="28.5" customHeight="1" s="99">
      <c r="A173" s="94" t="inlineStr">
        <is>
          <t>626 ĐPTM.pdf</t>
        </is>
      </c>
      <c r="B173" s="95" t="inlineStr">
        <is>
          <t>172</t>
        </is>
      </c>
      <c r="C173" s="94" t="inlineStr">
        <is>
          <t>您认为我们需要增加哪些条款？</t>
        </is>
      </c>
      <c r="D173" s="94" t="inlineStr">
        <is>
          <t>Bạn nghĩ chúng ta cần thêm những điều khoản nào? Nín rènwéi wǒmen xūyào zēngjiā nǎxiē tiáokuǎn?</t>
        </is>
      </c>
      <c r="E173" s="94" t="inlineStr">
        <is>
          <t>172 您认为我们需 要增加哪些条 款？ Bạn nghĩ chúng ta cần thêm những điều khoản nào? Nín rènwéi wǒmen xūyào zēngjiā nǎxiē tiáokuǎn?</t>
        </is>
      </c>
      <c r="F173" s="115">
        <f>HYPERLINK("https://youglish.com/pronounce/您认为我们需要增加哪些条款/chinese","🔍")</f>
        <v/>
      </c>
    </row>
    <row r="174" ht="42.75" customHeight="1" s="99">
      <c r="A174" s="92" t="inlineStr">
        <is>
          <t>626 ĐPTM.pdf</t>
        </is>
      </c>
      <c r="B174" s="93" t="inlineStr">
        <is>
          <t>173</t>
        </is>
      </c>
      <c r="C174" s="92" t="inlineStr">
        <is>
          <t>请问您对我们的售后服务是否有任何要求？</t>
        </is>
      </c>
      <c r="D174" s="92" t="inlineStr">
        <is>
          <t>Bạn có yêu cầu gì về dịch vụ hậu mãi của chúng tôi không? Qǐngwèn nín duì wǒmen de shòuhòu fúwù shìfǒu yǒu rènhé yāoqiú?</t>
        </is>
      </c>
      <c r="E174" s="92" t="inlineStr">
        <is>
          <t>173 请问您对我们 的售后服务是 否有任何要 求？ Bạn có yêu cầu gì về dịch vụ hậu mãi của chúng tôi không? Qǐngwèn nín duì wǒmen de shòuhòu fúwù shìfǒu yǒu rènhé yāoqiú?</t>
        </is>
      </c>
      <c r="F174" s="114">
        <f>HYPERLINK("https://youglish.com/pronounce/请问您对我们的售后服务是否有任何要求/chinese","🔍")</f>
        <v/>
      </c>
    </row>
    <row r="175" ht="28.5" customHeight="1" s="99">
      <c r="A175" s="94" t="inlineStr">
        <is>
          <t>626 ĐPTM.pdf</t>
        </is>
      </c>
      <c r="B175" s="95" t="inlineStr">
        <is>
          <t>174</t>
        </is>
      </c>
      <c r="C175" s="94" t="inlineStr">
        <is>
          <t>您是否需要我们提供保修？</t>
        </is>
      </c>
      <c r="D175" s="94" t="inlineStr">
        <is>
          <t>Bạn có cần chúng tôi cung cấp bảo hành không? Nín shìfǒu xūyào wǒmen tígōng bǎoxiū?</t>
        </is>
      </c>
      <c r="E175" s="94" t="inlineStr">
        <is>
          <t>174 您是否需要我 们提供保修？ Bạn có cần chúng tôi cung cấp bảo hành không? Nín shìfǒu xūyào wǒmen tígōng bǎoxiū?</t>
        </is>
      </c>
      <c r="F175" s="115">
        <f>HYPERLINK("https://youglish.com/pronounce/您是否需要我们提供保修/chinese","🔍")</f>
        <v/>
      </c>
    </row>
    <row r="176" ht="28.5" customHeight="1" s="99">
      <c r="A176" s="92" t="inlineStr">
        <is>
          <t>626 ĐPTM.pdf</t>
        </is>
      </c>
      <c r="B176" s="93" t="inlineStr">
        <is>
          <t>175</t>
        </is>
      </c>
      <c r="C176" s="92" t="inlineStr">
        <is>
          <t>您对我们的交货期是否满意？</t>
        </is>
      </c>
      <c r="D176" s="92" t="inlineStr">
        <is>
          <t>Bạn có hài lòng với thời gian giao hàng không? Nín duì wǒmen de jiāo huò qí shìfǒu mǎnyì?</t>
        </is>
      </c>
      <c r="E176" s="92" t="inlineStr">
        <is>
          <t>175 您对我们的交 货期是否满 意？ Bạn có hài lòng với thời gian giao hàng không? Nín duì wǒmen de jiāo huò qí shìfǒu mǎnyì?</t>
        </is>
      </c>
      <c r="F176" s="114">
        <f>HYPERLINK("https://youglish.com/pronounce/您对我们的交货期是否满意/chinese","🔍")</f>
        <v/>
      </c>
    </row>
    <row r="177" ht="28.5" customHeight="1" s="99">
      <c r="A177" s="94" t="inlineStr">
        <is>
          <t>626 ĐPTM.pdf</t>
        </is>
      </c>
      <c r="B177" s="95" t="inlineStr">
        <is>
          <t>176</t>
        </is>
      </c>
      <c r="C177" s="94" t="inlineStr">
        <is>
          <t>您认为我们的报价是否公道？</t>
        </is>
      </c>
      <c r="D177" s="94" t="inlineStr">
        <is>
          <t>Bạn nghĩ giá của chúng tôi có hợp lý không? Nín rènwéi wǒmen de bàojià shìfǒu gōngdào?</t>
        </is>
      </c>
      <c r="E177" s="94" t="inlineStr">
        <is>
          <t>176 您认为我们的 报价是否公 道？ Bạn nghĩ giá của chúng tôi có hợp lý không? Nín rènwéi wǒmen de bàojià shìfǒu gōngdào?</t>
        </is>
      </c>
      <c r="F177" s="115">
        <f>HYPERLINK("https://youglish.com/pronounce/您认为我们的报价是否公道/chinese","🔍")</f>
        <v/>
      </c>
    </row>
    <row r="178" ht="28.5" customHeight="1" s="99">
      <c r="A178" s="92" t="inlineStr">
        <is>
          <t>626 ĐPTM.pdf</t>
        </is>
      </c>
      <c r="B178" s="93" t="inlineStr">
        <is>
          <t>177</t>
        </is>
      </c>
      <c r="C178" s="92" t="inlineStr">
        <is>
          <t>您是否需要我们提供更多的样品？</t>
        </is>
      </c>
      <c r="D178" s="92" t="inlineStr">
        <is>
          <t>Bạn có cần chúng tôi cung cấp thêm mẫu không? Nín shìfǒu xūyào wǒmen tígōng gèng duō de yàngpǐn?</t>
        </is>
      </c>
      <c r="E178" s="92" t="inlineStr">
        <is>
          <t>177 您是否需要我 们提供更多的 样品？ Bạn có cần chúng tôi cung cấp thêm mẫu không? Nín shìfǒu xūyào wǒmen tígōng gèng duō de yàngpǐn?</t>
        </is>
      </c>
      <c r="F178" s="114">
        <f>HYPERLINK("https://youglish.com/pronounce/您是否需要我们提供更多的样品/chinese","🔍")</f>
        <v/>
      </c>
    </row>
    <row r="179" ht="42.75" customHeight="1" s="99">
      <c r="A179" s="94" t="inlineStr">
        <is>
          <t>626 ĐPTM.pdf</t>
        </is>
      </c>
      <c r="B179" s="95" t="inlineStr">
        <is>
          <t>178</t>
        </is>
      </c>
      <c r="C179" s="94" t="inlineStr">
        <is>
          <t>请问您对我们的支付方式有任何意见？</t>
        </is>
      </c>
      <c r="D179" s="94" t="inlineStr">
        <is>
          <t>Xin hỏi ý kiến của quý khách về phương thức thanh toán của chúng tôi? Qǐngwèn nín duì wǒmen de zhīfù fāngshì yǒu rènhé yìjiàn?</t>
        </is>
      </c>
      <c r="E179" s="94" t="inlineStr">
        <is>
          <t>178 请问您对我们 的支付方式有 任何意见？ Xin hỏi ý kiến của quý khách về phương thức thanh toán của chúng tôi? Qǐngwèn nín duì wǒmen de zhīfù fāngshì yǒu rènhé yìjiàn?</t>
        </is>
      </c>
      <c r="F179" s="115">
        <f>HYPERLINK("https://youglish.com/pronounce/请问您对我们的支付方式有任何意见/chinese","🔍")</f>
        <v/>
      </c>
    </row>
    <row r="180" ht="42.75" customHeight="1" s="99">
      <c r="A180" s="92" t="inlineStr">
        <is>
          <t>626 ĐPTM.pdf</t>
        </is>
      </c>
      <c r="B180" s="93" t="inlineStr">
        <is>
          <t>179</t>
        </is>
      </c>
      <c r="C180" s="92" t="inlineStr">
        <is>
          <t>我们是否可以就包装方式达成一致？</t>
        </is>
      </c>
      <c r="D180" s="92" t="inlineStr">
        <is>
          <t>Chúng ta có thể đạt được thỏa thuận về phương thức đóng gói không? Wǒmen shìfǒu kěyǐ jiù bāozhuāng fāngshì dáchéng yīzhì?</t>
        </is>
      </c>
      <c r="E180" s="92" t="inlineStr">
        <is>
          <t>179 我们是否可以 就包装方式达 成一致？ Chúng ta có thể đạt được thỏa thuận về phương thức đóng gói không? Wǒmen shìfǒu kěyǐ jiù bāozhuāng fāngshì dáchéng yīzhì?</t>
        </is>
      </c>
      <c r="F180" s="114">
        <f>HYPERLINK("https://youglish.com/pronounce/我们是否可以就包装方式达成一致/chinese","🔍")</f>
        <v/>
      </c>
    </row>
    <row r="181" ht="42.75" customHeight="1" s="99">
      <c r="A181" s="94" t="inlineStr">
        <is>
          <t>626 ĐPTM.pdf</t>
        </is>
      </c>
      <c r="B181" s="95" t="inlineStr">
        <is>
          <t>180</t>
        </is>
      </c>
      <c r="C181" s="94" t="inlineStr">
        <is>
          <t>您是否需要我们提供更多的技术支持？</t>
        </is>
      </c>
      <c r="D181" s="94" t="inlineStr">
        <is>
          <t>Quý khách có cần thêm hỗ trợ kỹ thuật từ chúng tôi không? Nín shìfǒu xūyào wǒmen tígōng gèng duō de jìshù zhīchí?</t>
        </is>
      </c>
      <c r="E181" s="94" t="inlineStr">
        <is>
          <t>180 您是否需要我 们提供更多的 技术支持？ Quý khách có cần thêm hỗ trợ kỹ thuật từ chúng tôi không? Nín shìfǒu xūyào wǒmen tígōng gèng duō de jìshù zhīchí?</t>
        </is>
      </c>
      <c r="F181" s="115">
        <f>HYPERLINK("https://youglish.com/pronounce/您是否需要我们提供更多的技术支持/chinese","🔍")</f>
        <v/>
      </c>
    </row>
    <row r="182" ht="42.75" customHeight="1" s="99">
      <c r="A182" s="92" t="inlineStr">
        <is>
          <t>626 ĐPTM.pdf</t>
        </is>
      </c>
      <c r="B182" s="93" t="inlineStr">
        <is>
          <t>181</t>
        </is>
      </c>
      <c r="C182" s="92" t="inlineStr">
        <is>
          <t>我们是否可以就售后服务的具体内容进行商谈？</t>
        </is>
      </c>
      <c r="D182" s="92" t="inlineStr">
        <is>
          <t>Chúng ta có thể thảo luận cụ thể về nội dung dịch vụ sau bán hàng không? Wǒmen shìfǒu kěyǐ jiù shòuhòu fúwù de jùtǐ nèiróng jìnxíng shāngtán?</t>
        </is>
      </c>
      <c r="E182" s="92" t="inlineStr">
        <is>
          <t>181 我们是否可以 就售后服务的 具体内容进行 商谈？ Chúng ta có thể thảo luận cụ thể về nội dung dịch vụ sau bán hàng không? Wǒmen shìfǒu kěyǐ jiù shòuhòu fúwù de jùtǐ nèiróng jìnxíng shāngtán?</t>
        </is>
      </c>
      <c r="F182" s="114">
        <f>HYPERLINK("https://youglish.com/pronounce/我们是否可以就售后服务的具体内容进行商谈/chinese","🔍")</f>
        <v/>
      </c>
    </row>
    <row r="183" ht="42.75" customHeight="1" s="99">
      <c r="A183" s="94" t="inlineStr">
        <is>
          <t>626 ĐPTM.pdf</t>
        </is>
      </c>
      <c r="B183" s="95" t="inlineStr">
        <is>
          <t>182</t>
        </is>
      </c>
      <c r="C183" s="94" t="inlineStr">
        <is>
          <t>请问您对我们的样品有何评价？</t>
        </is>
      </c>
      <c r="D183" s="94" t="inlineStr">
        <is>
          <t>Xin hỏi quý khách đánh giá như thế nào về mẫu sản phẩm của chúng tôi? Qǐngwèn nín duì wǒmen de yàngpǐn yǒu hé píngjià?</t>
        </is>
      </c>
      <c r="E183" s="94" t="inlineStr">
        <is>
          <t>182 请问您对我们 的样品有何评 价？ Xin hỏi quý khách đánh giá như thế nào về mẫu sản phẩm của chúng tôi? Qǐngwèn nín duì wǒmen de yàngpǐn yǒu hé píngjià?</t>
        </is>
      </c>
      <c r="F183" s="115">
        <f>HYPERLINK("https://youglish.com/pronounce/请问您对我们的样品有何评价/chinese","🔍")</f>
        <v/>
      </c>
    </row>
    <row r="184" ht="57" customHeight="1" s="99">
      <c r="A184" s="92" t="inlineStr">
        <is>
          <t>626 ĐPTM.pdf</t>
        </is>
      </c>
      <c r="B184" s="93" t="inlineStr">
        <is>
          <t>183</t>
        </is>
      </c>
      <c r="C184" s="92" t="inlineStr">
        <is>
          <t>您是否同意在合同中规定相关的质量标准？</t>
        </is>
      </c>
      <c r="D184" s="92" t="inlineStr">
        <is>
          <t>Quý khách có đồng ý quy định các tiêu chuẩn chất lượng liên quan trong hợp đồng không? Nín shìfǒu tóngyì zài hétóng zhōng guīdìng xiāngguān de zhìliàng biāozhǔn?</t>
        </is>
      </c>
      <c r="E184" s="92" t="inlineStr">
        <is>
          <t>183 您是否同意在 合同中规定相 关的质量标 准？ Quý khách có đồng ý quy định các tiêu chuẩn chất lượng liên quan trong hợp đồng không? Nín shìfǒu tóngyì zài hétóng zhōng guīdìng xiāngguān de zhìliàng biāozhǔn?</t>
        </is>
      </c>
      <c r="F184" s="114">
        <f>HYPERLINK("https://youglish.com/pronounce/您是否同意在合同中规定相关的质量标准/chinese","🔍")</f>
        <v/>
      </c>
    </row>
    <row r="185" ht="42.75" customHeight="1" s="99">
      <c r="A185" s="94" t="inlineStr">
        <is>
          <t>626 ĐPTM.pdf</t>
        </is>
      </c>
      <c r="B185" s="95" t="inlineStr">
        <is>
          <t>184</t>
        </is>
      </c>
      <c r="C185" s="94" t="inlineStr">
        <is>
          <t>我们是否可以就产品的检验问题进行商谈？</t>
        </is>
      </c>
      <c r="D185" s="94" t="inlineStr">
        <is>
          <t>Chúng ta có thể thảo luận về vấn đề kiểm tra sản phẩm không? Wǒmen shìfǒu kěyǐ jiù chǎnpǐn de jiǎnyàn wèntí jìnxíng shāngtán?</t>
        </is>
      </c>
      <c r="E185" s="94" t="inlineStr">
        <is>
          <t>184 我们是否可以 就产品的检验 问题进行商 谈？ Chúng ta có thể thảo luận về vấn đề kiểm tra sản phẩm không? Wǒmen shìfǒu kěyǐ jiù chǎnpǐn de jiǎnyàn wèntí jìnxíng shāngtán?</t>
        </is>
      </c>
      <c r="F185" s="115">
        <f>HYPERLINK("https://youglish.com/pronounce/我们是否可以就产品的检验问题进行商谈/chinese","🔍")</f>
        <v/>
      </c>
    </row>
    <row r="186" ht="42.75" customHeight="1" s="99">
      <c r="A186" s="92" t="inlineStr">
        <is>
          <t>626 ĐPTM.pdf</t>
        </is>
      </c>
      <c r="B186" s="93" t="inlineStr">
        <is>
          <t>185</t>
        </is>
      </c>
      <c r="C186" s="92" t="inlineStr">
        <is>
          <t>请问您对我们的价格有任何疑虑？</t>
        </is>
      </c>
      <c r="D186" s="92" t="inlineStr">
        <is>
          <t>Xin hỏi quý khách có bất kỳ nghi ngờ nào về giá của chúng tôi không? Qǐngwèn nín duì wǒmen de jiàgé yǒu rènhé yílǜ?</t>
        </is>
      </c>
      <c r="E186" s="92" t="inlineStr">
        <is>
          <t>185 请问您对我们 的价格有任何 疑虑？ Xin hỏi quý khách có bất kỳ nghi ngờ nào về giá của chúng tôi không? Qǐngwèn nín duì wǒmen de jiàgé yǒu rènhé yílǜ?</t>
        </is>
      </c>
      <c r="F186" s="114">
        <f>HYPERLINK("https://youglish.com/pronounce/请问您对我们的价格有任何疑虑/chinese","🔍")</f>
        <v/>
      </c>
    </row>
    <row r="187" ht="42.75" customHeight="1" s="99">
      <c r="A187" s="94" t="inlineStr">
        <is>
          <t>626 ĐPTM.pdf</t>
        </is>
      </c>
      <c r="B187" s="95" t="inlineStr">
        <is>
          <t>186</t>
        </is>
      </c>
      <c r="C187" s="94" t="inlineStr">
        <is>
          <t>您是否需要我们提供更多的市场支持？</t>
        </is>
      </c>
      <c r="D187" s="94" t="inlineStr">
        <is>
          <t>Quý khách có cần thêm hỗ trợ tiếp thị từ chúng tôi không? Nín shìfǒu xūyào wǒmen tígōng gèng duō de shìchǎng zhīchí?</t>
        </is>
      </c>
      <c r="E187" s="94" t="inlineStr">
        <is>
          <t>186 您是否需要我 们提供更多的 市场支持？ Quý khách có cần thêm hỗ trợ tiếp thị từ chúng tôi không? Nín shìfǒu xūyào wǒmen tígōng gèng duō de shìchǎng zhīchí?</t>
        </is>
      </c>
      <c r="F187" s="115">
        <f>HYPERLINK("https://youglish.com/pronounce/您是否需要我们提供更多的市场支持/chinese","🔍")</f>
        <v/>
      </c>
    </row>
    <row r="188" ht="42.75" customHeight="1" s="99">
      <c r="A188" s="92" t="inlineStr">
        <is>
          <t>626 ĐPTM.pdf</t>
        </is>
      </c>
      <c r="B188" s="93" t="inlineStr">
        <is>
          <t>187</t>
        </is>
      </c>
      <c r="C188" s="92" t="inlineStr">
        <is>
          <t>我们是否可以就合同的具体执行细节进行商谈？</t>
        </is>
      </c>
      <c r="D188" s="92" t="inlineStr">
        <is>
          <t>Chúng ta có thể thảo luận cụ thể về chi tiết thực hiện hợp đồng không? Wǒmen shìfǒu kěyǐ jiù he tóng de jùtǐ zhíxíng xìjié jìnxíng shāngtán?</t>
        </is>
      </c>
      <c r="E188" s="92" t="inlineStr">
        <is>
          <t>187 我们是否可以 就合同的具体 执行细节进行 商谈？ Chúng ta có thể thảo luận cụ thể về chi tiết thực hiện hợp đồng không? Wǒmen shìfǒu kěyǐ jiù he tóng de jùtǐ zhíxíng xìjié jìnxíng shāngtán?</t>
        </is>
      </c>
      <c r="F188" s="114">
        <f>HYPERLINK("https://youglish.com/pronounce/我们是否可以就合同的具体执行细节进行商谈/chinese","🔍")</f>
        <v/>
      </c>
    </row>
    <row r="189" ht="42.75" customHeight="1" s="99">
      <c r="A189" s="94" t="inlineStr">
        <is>
          <t>626 ĐPTM.pdf</t>
        </is>
      </c>
      <c r="B189" s="95" t="inlineStr">
        <is>
          <t>188</t>
        </is>
      </c>
      <c r="C189" s="94" t="inlineStr">
        <is>
          <t>请问您对我们的售后服务是否满意？</t>
        </is>
      </c>
      <c r="D189" s="94" t="inlineStr">
        <is>
          <t>Xin hỏi quý khách có hài lòng với dịch vụ sau bán hàng của chúng tôi không? Qǐngwèn nín duì wǒmen de shòuhòu fúwù shìfǒu mǎnyì?</t>
        </is>
      </c>
      <c r="E189" s="94" t="inlineStr">
        <is>
          <t>188 请问您对我们 的售后服务是 否满意？ Xin hỏi quý khách có hài lòng với dịch vụ sau bán hàng của chúng tôi không? Qǐngwèn nín duì wǒmen de shòuhòu fúwù shìfǒu mǎnyì?</t>
        </is>
      </c>
      <c r="F189" s="115">
        <f>HYPERLINK("https://youglish.com/pronounce/请问您对我们的售后服务是否满意/chinese","🔍")</f>
        <v/>
      </c>
    </row>
    <row r="190" ht="42.75" customHeight="1" s="99">
      <c r="A190" s="92" t="inlineStr">
        <is>
          <t>626 ĐPTM.pdf</t>
        </is>
      </c>
      <c r="B190" s="93" t="inlineStr">
        <is>
          <t>189</t>
        </is>
      </c>
      <c r="C190" s="92" t="inlineStr">
        <is>
          <t>您是否需要我们提供更多的技术培训？</t>
        </is>
      </c>
      <c r="D190" s="92" t="inlineStr">
        <is>
          <t>Quý khách có cần thêm đào tạo kỹ thuật từ chúng tôi không? Nín shìfǒu xūyào wǒmen tígōng gèng duō de jìshù péixùn?</t>
        </is>
      </c>
      <c r="E190" s="92" t="inlineStr">
        <is>
          <t>189 您是否需要我 们提供更多的 技术培训？ Quý khách có cần thêm đào tạo kỹ thuật từ chúng tôi không? Nín shìfǒu xūyào wǒmen tígōng gèng duō de jìshù péixùn?</t>
        </is>
      </c>
      <c r="F190" s="114">
        <f>HYPERLINK("https://youglish.com/pronounce/您是否需要我们提供更多的技术培训/chinese","🔍")</f>
        <v/>
      </c>
    </row>
    <row r="191" ht="42.75" customHeight="1" s="99">
      <c r="A191" s="94" t="inlineStr">
        <is>
          <t>626 ĐPTM.pdf</t>
        </is>
      </c>
      <c r="B191" s="95" t="inlineStr">
        <is>
          <t>190</t>
        </is>
      </c>
      <c r="C191" s="94" t="inlineStr">
        <is>
          <t>我们是否可以就质量问题达成共识？</t>
        </is>
      </c>
      <c r="D191" s="94" t="inlineStr">
        <is>
          <t>Chúng ta có thể đạt được thỏa thuận về vấn đề chất lượng không? Wǒmen shìfǒu kěyǐ jiù zhìliàng wèntí dáchéng gòngshì?</t>
        </is>
      </c>
      <c r="E191" s="94" t="inlineStr">
        <is>
          <t>190 我们是否可以 就质量问题达 成共识？ Chúng ta có thể đạt được thỏa thuận về vấn đề chất lượng không? Wǒmen shìfǒu kěyǐ jiù zhìliàng wèntí dáchéng gòngshì?</t>
        </is>
      </c>
      <c r="F191" s="115">
        <f>HYPERLINK("https://youglish.com/pronounce/我们是否可以就质量问题达成共识/chinese","🔍")</f>
        <v/>
      </c>
    </row>
    <row r="192" ht="42.75" customHeight="1" s="99">
      <c r="A192" s="92" t="inlineStr">
        <is>
          <t>626 ĐPTM.pdf</t>
        </is>
      </c>
      <c r="B192" s="93" t="inlineStr">
        <is>
          <t>191</t>
        </is>
      </c>
      <c r="C192" s="92" t="inlineStr">
        <is>
          <t>请问您对我们的合作方式有任何意见？</t>
        </is>
      </c>
      <c r="D192" s="92" t="inlineStr">
        <is>
          <t>Xin hỏi ý kiến của quý khách về cách chúng ta hợp tác? Qǐngwèn nín duì wǒmen de hézuò fāngshì yǒu rènhé yìjiàn?</t>
        </is>
      </c>
      <c r="E192" s="92" t="inlineStr">
        <is>
          <t>191 请问您对我们 的合作方式有 任何意见？ Xin hỏi ý kiến của quý khách về cách chúng ta hợp tác? Qǐngwèn nín duì wǒmen de hézuò fāngshì yǒu rènhé yìjiàn?</t>
        </is>
      </c>
      <c r="F192" s="114">
        <f>HYPERLINK("https://youglish.com/pronounce/请问您对我们的合作方式有任何意见/chinese","🔍")</f>
        <v/>
      </c>
    </row>
    <row r="193" ht="42.75" customHeight="1" s="99">
      <c r="A193" s="94" t="inlineStr">
        <is>
          <t>626 ĐPTM.pdf</t>
        </is>
      </c>
      <c r="B193" s="95" t="inlineStr">
        <is>
          <t>192</t>
        </is>
      </c>
      <c r="C193" s="94" t="inlineStr">
        <is>
          <t>您对我们的合作前景有何看法？</t>
        </is>
      </c>
      <c r="D193" s="94" t="inlineStr">
        <is>
          <t>Quý khách đánh giá thế nào về triển vọng hợp tác của chúng ta? Nín duì wǒmen de hézuò qiánjǐng yǒu hé kànfǎ?</t>
        </is>
      </c>
      <c r="E193" s="94" t="inlineStr">
        <is>
          <t>192 您对我们的合 作前景有何看 法？ Quý khách đánh giá thế nào về triển vọng hợp tác của chúng ta? Nín duì wǒmen de hézuò qiánjǐng yǒu hé kànfǎ?</t>
        </is>
      </c>
      <c r="F193" s="115">
        <f>HYPERLINK("https://youglish.com/pronounce/您对我们的合作前景有何看法/chinese","🔍")</f>
        <v/>
      </c>
    </row>
    <row r="194" ht="42.75" customHeight="1" s="99">
      <c r="A194" s="92" t="inlineStr">
        <is>
          <t>626 ĐPTM.pdf</t>
        </is>
      </c>
      <c r="B194" s="93" t="inlineStr">
        <is>
          <t>193</t>
        </is>
      </c>
      <c r="C194" s="92" t="inlineStr">
        <is>
          <t>我们是否可以就价格问题进行最后的商讨？</t>
        </is>
      </c>
      <c r="D194" s="92" t="inlineStr">
        <is>
          <t>Chúng ta có thể thảo luận cuối cùng về vấn đề giá cả không? Wǒmen shìfǒu kěyǐ jiù jiàgé wèntí jìnxíng zuìhòu de shāngtǎo?</t>
        </is>
      </c>
      <c r="E194" s="92" t="inlineStr">
        <is>
          <t>193 我们是否可以 就价格问题进 行最后的商 讨？ Chúng ta có thể thảo luận cuối cùng về vấn đề giá cả không? Wǒmen shìfǒu kěyǐ jiù jiàgé wèntí jìnxíng zuìhòu de shāngtǎo?</t>
        </is>
      </c>
      <c r="F194" s="114">
        <f>HYPERLINK("https://youglish.com/pronounce/我们是否可以就价格问题进行最后的商讨/chinese","🔍")</f>
        <v/>
      </c>
    </row>
    <row r="195" ht="42.75" customHeight="1" s="99">
      <c r="A195" s="94" t="inlineStr">
        <is>
          <t>626 ĐPTM.pdf</t>
        </is>
      </c>
      <c r="B195" s="95" t="inlineStr">
        <is>
          <t>194</t>
        </is>
      </c>
      <c r="C195" s="94" t="inlineStr">
        <is>
          <t>您对我们的产品质量是否有任何疑虑？</t>
        </is>
      </c>
      <c r="D195" s="94" t="inlineStr">
        <is>
          <t>Quý khách có bất kỳ nghi ngờ nào về chất lượng sản phẩm của chúng tôi không? Nín duì wǒmen de chǎnpǐn zhí liàng shìfǒu yǒu rènhé yílǜ?</t>
        </is>
      </c>
      <c r="E195" s="94" t="inlineStr">
        <is>
          <t>194 您对我们的产 品质量是否有 任何疑虑？ Quý khách có bất kỳ nghi ngờ nào về chất lượng sản phẩm của chúng tôi không? Nín duì wǒmen de chǎnpǐn zhí liàng shìfǒu yǒu rènhé yílǜ?</t>
        </is>
      </c>
      <c r="F195" s="115">
        <f>HYPERLINK("https://youglish.com/pronounce/您对我们的产品质量是否有任何疑虑/chinese","🔍")</f>
        <v/>
      </c>
    </row>
    <row r="196" ht="42.75" customHeight="1" s="99">
      <c r="A196" s="92" t="inlineStr">
        <is>
          <t>626 ĐPTM.pdf</t>
        </is>
      </c>
      <c r="B196" s="93" t="inlineStr">
        <is>
          <t>195</t>
        </is>
      </c>
      <c r="C196" s="92" t="inlineStr">
        <is>
          <t>您是否需要我们提供更多的销售支持？</t>
        </is>
      </c>
      <c r="D196" s="92" t="inlineStr">
        <is>
          <t>Quý khách có cần thêm hỗ trợ bán hàng từ chúng tôi không? Nín shìfǒu xūyào wǒmen tígōng gèng duō de xiāoshòu zhīchí?</t>
        </is>
      </c>
      <c r="E196" s="92" t="inlineStr">
        <is>
          <t>195 您是否需要我 们提供更多的 销售支持？ Quý khách có cần thêm hỗ trợ bán hàng từ chúng tôi không? Nín shìfǒu xūyào wǒmen tígōng gèng duō de xiāoshòu zhīchí?</t>
        </is>
      </c>
      <c r="F196" s="114">
        <f>HYPERLINK("https://youglish.com/pronounce/您是否需要我们提供更多的销售支持/chinese","🔍")</f>
        <v/>
      </c>
    </row>
    <row r="197" ht="42.75" customHeight="1" s="99">
      <c r="A197" s="94" t="inlineStr">
        <is>
          <t>626 ĐPTM.pdf</t>
        </is>
      </c>
      <c r="B197" s="95" t="inlineStr">
        <is>
          <t>196</t>
        </is>
      </c>
      <c r="C197" s="94" t="inlineStr">
        <is>
          <t>我们是否可以就售后服务的具体细节进行协商？</t>
        </is>
      </c>
      <c r="D197" s="94" t="inlineStr">
        <is>
          <t>Chúng ta có thể thảo luận cụ thể về chi tiết dịch vụ sau bán hàng không? Wǒmen shìfǒu kěyǐ jiù shòuhòu fúwù de jùtǐ xìjié jìnxíng xiéshāng?</t>
        </is>
      </c>
      <c r="E197" s="94" t="inlineStr">
        <is>
          <t>196 我们是否可以 就售后服务的 具体细节进行 协商？ Chúng ta có thể thảo luận cụ thể về chi tiết dịch vụ sau bán hàng không? Wǒmen shìfǒu kěyǐ jiù shòuhòu fúwù de jùtǐ xìjié jìnxíng xiéshāng?</t>
        </is>
      </c>
      <c r="F197" s="115">
        <f>HYPERLINK("https://youglish.com/pronounce/我们是否可以就售后服务的具体细节进行协商/chinese","🔍")</f>
        <v/>
      </c>
    </row>
    <row r="198" ht="57" customHeight="1" s="99">
      <c r="A198" s="92" t="inlineStr">
        <is>
          <t>626 ĐPTM.pdf</t>
        </is>
      </c>
      <c r="B198" s="93" t="inlineStr">
        <is>
          <t>197</t>
        </is>
      </c>
      <c r="C198" s="92" t="inlineStr">
        <is>
          <t>请问您对我们的售后服务是否有任何改进建议？</t>
        </is>
      </c>
      <c r="D198" s="92" t="inlineStr">
        <is>
          <t>Xin hỏi quý khách có đề xuất nào để cải thiện dịch vụ sau bán hàng của chúng tôi không? Qǐngwèn nín duì wǒmen de shòuhòu fúwù shìfǒu yǒu rènhé gǎijìn jiànyì?</t>
        </is>
      </c>
      <c r="E198" s="92" t="inlineStr">
        <is>
          <t>197 请问您对我们 的售后服务是 否有任何改进 建议？ Xin hỏi quý khách có đề xuất nào để cải thiện dịch vụ sau bán hàng của chúng tôi không? Qǐngwèn nín duì wǒmen de shòuhòu fúwù shìfǒu yǒu rènhé gǎijìn jiànyì?</t>
        </is>
      </c>
      <c r="F198" s="114">
        <f>HYPERLINK("https://youglish.com/pronounce/请问您对我们的售后服务是否有任何改进建议/chinese","🔍")</f>
        <v/>
      </c>
    </row>
    <row r="199" ht="28.5" customHeight="1" s="99">
      <c r="A199" s="94" t="inlineStr">
        <is>
          <t>626 ĐPTM.pdf</t>
        </is>
      </c>
      <c r="B199" s="95" t="inlineStr">
        <is>
          <t>198</t>
        </is>
      </c>
      <c r="C199" s="94" t="inlineStr">
        <is>
          <t>我们需要再商量一下价格问题。</t>
        </is>
      </c>
      <c r="D199" s="94" t="inlineStr">
        <is>
          <t>Chúng ta cần thảo luận lại về vấn đề giá cả. Wǒmen xūyào zài shāngliáng yīxià jiàgé wèntí.</t>
        </is>
      </c>
      <c r="E199" s="94" t="inlineStr">
        <is>
          <t>198 我们需要再商 量一下价格问 题。 Chúng ta cần thảo luận lại về vấn đề giá cả. Wǒmen xūyào zài shāngliáng yīxià jiàgé wèntí.</t>
        </is>
      </c>
      <c r="F199" s="115">
        <f>HYPERLINK("https://youglish.com/pronounce/我们需要再商量一下价格问题/chinese","🔍")</f>
        <v/>
      </c>
    </row>
    <row r="200" ht="42.75" customHeight="1" s="99">
      <c r="A200" s="92" t="inlineStr">
        <is>
          <t>626 ĐPTM.pdf</t>
        </is>
      </c>
      <c r="B200" s="93" t="inlineStr">
        <is>
          <t>199</t>
        </is>
      </c>
      <c r="C200" s="92" t="inlineStr">
        <is>
          <t>如果价格能够接受，我们可以考虑达成协议。</t>
        </is>
      </c>
      <c r="D200" s="92" t="inlineStr">
        <is>
          <t>Nếu giá cả chấp nhận được, chúng ta có thể xem xét đạt được thỏa thuận. Rúguǒ jiàgé nénggòu jiēshòu, wǒmen kěyǐ kǎolǜ dáchéng xiéyì.</t>
        </is>
      </c>
      <c r="E200" s="92" t="inlineStr">
        <is>
          <t>199 如果价格能够 接受，我们可 以考虑达成协 议。 Nếu giá cả chấp nhận được, chúng ta có thể xem xét đạt được thỏa thuận. Rúguǒ jiàgé nénggòu jiēshòu, wǒmen kěyǐ kǎolǜ dáchéng xiéyì.</t>
        </is>
      </c>
      <c r="F200" s="114">
        <f>HYPERLINK("https://youglish.com/pronounce/如果价格能够接受我们可以考虑达成协议/chinese","🔍")</f>
        <v/>
      </c>
    </row>
    <row r="201" ht="42.75" customHeight="1" s="99">
      <c r="A201" s="94" t="inlineStr">
        <is>
          <t>626 ĐPTM.pdf</t>
        </is>
      </c>
      <c r="B201" s="95" t="inlineStr">
        <is>
          <t>200</t>
        </is>
      </c>
      <c r="C201" s="94" t="inlineStr">
        <is>
          <t>我们希望你们能够给予更优惠的价格。</t>
        </is>
      </c>
      <c r="D201" s="94" t="inlineStr">
        <is>
          <t>Chúng tôi hy vọng quý khách có thể cung cấp giá ưu đãi hơn cho chúng tôi. Wǒmen xīwàng nǐmen nénggòu jǐyǔ gèng yōuhuì de jiàgé.</t>
        </is>
      </c>
      <c r="E201" s="94" t="inlineStr">
        <is>
          <t>200 我们希望你们 能够给予更优 惠的价格。 Chúng tôi hy vọng quý khách có thể cung cấp giá ưu đãi hơn cho chúng tôi. Wǒmen xīwàng nǐmen nénggòu jǐyǔ gèng yōuhuì de jiàgé.</t>
        </is>
      </c>
      <c r="F201" s="115">
        <f>HYPERLINK("https://youglish.com/pronounce/我们希望你们能够给予更优惠的价格/chinese","🔍")</f>
        <v/>
      </c>
    </row>
    <row r="202" ht="42.75" customHeight="1" s="99">
      <c r="A202" s="92" t="inlineStr">
        <is>
          <t>626 ĐPTM.pdf</t>
        </is>
      </c>
      <c r="B202" s="93" t="inlineStr">
        <is>
          <t>201</t>
        </is>
      </c>
      <c r="C202" s="92" t="inlineStr">
        <is>
          <t>你们的报价略高，我们需要考虑一下。</t>
        </is>
      </c>
      <c r="D202" s="92" t="inlineStr">
        <is>
          <t>Báo giá của quý khách hơi cao, chúng tôi cần suy nghĩ lại. Nǐmen de bàojià lüè gāo, wǒmen xūyào kǎolǜ yīxià.</t>
        </is>
      </c>
      <c r="E202" s="92" t="inlineStr">
        <is>
          <t>201 你们的报价略 高，我们需要 考虑一下。 Báo giá của quý khách hơi cao, chúng tôi cần suy nghĩ lại. Nǐmen de bàojià lüè gāo, wǒmen xūyào kǎolǜ yīxià.</t>
        </is>
      </c>
      <c r="F202" s="114">
        <f>HYPERLINK("https://youglish.com/pronounce/你们的报价略高我们需要考虑一下/chinese","🔍")</f>
        <v/>
      </c>
    </row>
    <row r="203" ht="42.75" customHeight="1" s="99">
      <c r="A203" s="94" t="inlineStr">
        <is>
          <t>626 ĐPTM.pdf</t>
        </is>
      </c>
      <c r="B203" s="95" t="inlineStr">
        <is>
          <t>202</t>
        </is>
      </c>
      <c r="C203" s="94" t="inlineStr">
        <is>
          <t>我们想知道这个价格是否包含了所有费用。</t>
        </is>
      </c>
      <c r="D203" s="94" t="inlineStr">
        <is>
          <t>Chúng tôi muốn biết giá bao gồm tất cả các chi phí hay không. Wǒmen xiǎng zhīdào zhège jiàgé shìfǒu bāohánle suǒyǒu fèiyòng.</t>
        </is>
      </c>
      <c r="E203" s="94" t="inlineStr">
        <is>
          <t>202 我们想知道这 个价格是否包 含了所有费 用。 Chúng tôi muốn biết giá bao gồm tất cả các chi phí hay không. Wǒmen xiǎng zhīdào zhège jiàgé shìfǒu bāohánle suǒyǒu fèiyòng.</t>
        </is>
      </c>
      <c r="F203" s="115">
        <f>HYPERLINK("https://youglish.com/pronounce/我们想知道这个价格是否包含了所有费用/chinese","🔍")</f>
        <v/>
      </c>
    </row>
    <row r="204" ht="28.5" customHeight="1" s="99">
      <c r="A204" s="92" t="inlineStr">
        <is>
          <t>626 ĐPTM.pdf</t>
        </is>
      </c>
      <c r="B204" s="93" t="inlineStr">
        <is>
          <t>203</t>
        </is>
      </c>
      <c r="C204" s="92" t="inlineStr">
        <is>
          <t>能否对价格进行一定的调整？</t>
        </is>
      </c>
      <c r="D204" s="92" t="inlineStr">
        <is>
          <t>Có thể điều chỉnh giá một chút được không? Néng fǒu duì jiàgé jìnxíng yīdìng de tiáozhěng?</t>
        </is>
      </c>
      <c r="E204" s="92" t="inlineStr">
        <is>
          <t>203 能否对价格进 行一定的调 整？ Có thể điều chỉnh giá một chút được không? Néng fǒu duì jiàgé jìnxíng yīdìng de tiáozhěng?</t>
        </is>
      </c>
      <c r="F204" s="114">
        <f>HYPERLINK("https://youglish.com/pronounce/能否对价格进行一定的调整/chinese","🔍")</f>
        <v/>
      </c>
    </row>
    <row r="205" ht="28.5" customHeight="1" s="99">
      <c r="A205" s="94" t="inlineStr">
        <is>
          <t>626 ĐPTM.pdf</t>
        </is>
      </c>
      <c r="B205" s="95" t="inlineStr">
        <is>
          <t>204</t>
        </is>
      </c>
      <c r="C205" s="94" t="inlineStr">
        <is>
          <t>我们需要更具体的价格明细。</t>
        </is>
      </c>
      <c r="D205" s="94" t="inlineStr">
        <is>
          <t>Chúng tôi cần chi tiết hơn về thông tin giá cả. Wǒmen xūyào gèng jùtǐ de jiàgé míngxì.</t>
        </is>
      </c>
      <c r="E205" s="94" t="inlineStr">
        <is>
          <t>204 我们需要更具 体的价格明 细。 Chúng tôi cần chi tiết hơn về thông tin giá cả. Wǒmen xūyào gèng jùtǐ de jiàgé míngxì.</t>
        </is>
      </c>
      <c r="F205" s="115">
        <f>HYPERLINK("https://youglish.com/pronounce/我们需要更具体的价格明细/chinese","🔍")</f>
        <v/>
      </c>
    </row>
    <row r="206" ht="42.75" customHeight="1" s="99">
      <c r="A206" s="92" t="inlineStr">
        <is>
          <t>626 ĐPTM.pdf</t>
        </is>
      </c>
      <c r="B206" s="93" t="inlineStr">
        <is>
          <t>205</t>
        </is>
      </c>
      <c r="C206" s="92" t="inlineStr">
        <is>
          <t>我们需要了解交货期限和付款方式。</t>
        </is>
      </c>
      <c r="D206" s="92" t="inlineStr">
        <is>
          <t>Chúng tôi cần biết về thời gian giao hàng và phương thức thanh toán. Wǒmen xūyào liǎojiě jiāo huò qíxiàn hé fùkuǎn fāngshì.</t>
        </is>
      </c>
      <c r="E206" s="92" t="inlineStr">
        <is>
          <t>205 我们需要了解 交货期限和付 款方式。 Chúng tôi cần biết về thời gian giao hàng và phương thức thanh toán. Wǒmen xūyào liǎojiě jiāo huò qíxiàn hé fùkuǎn fāngshì.</t>
        </is>
      </c>
      <c r="F206" s="114">
        <f>HYPERLINK("https://youglish.com/pronounce/我们需要了解交货期限和付款方式/chinese","🔍")</f>
        <v/>
      </c>
    </row>
    <row r="207" ht="57" customHeight="1" s="99">
      <c r="A207" s="94" t="inlineStr">
        <is>
          <t>626 ĐPTM.pdf</t>
        </is>
      </c>
      <c r="B207" s="95" t="inlineStr">
        <is>
          <t>206</t>
        </is>
      </c>
      <c r="C207" s="94" t="inlineStr">
        <is>
          <t>如果您能够提供更好的价格和服务，我们可以考虑和您合作。</t>
        </is>
      </c>
      <c r="D207" s="94" t="inlineStr">
        <is>
          <t>Nếu bạn có thể cung cấp giá và dịch vụ tốt hơn, chúng tôi có thể cân nhắc hợp tác với bạn. Rúguǒ nín nénggòu tígōng gèng hǎo de jiàgé hé fúwù, wǒmen kěyǐ kǎolǜ hé nín hézuò.</t>
        </is>
      </c>
      <c r="E207" s="94" t="inlineStr">
        <is>
          <t>206 如果您能够提 供更好的价格 和服务，我们 可以考虑和您 合作。 Nếu bạn có thể cung cấp giá và dịch vụ tốt hơn, chúng tôi có thể cân nhắc hợp tác với bạn. Rúguǒ nín nénggòu tígōng gèng hǎo de jiàgé hé fúwù, wǒmen kěyǐ kǎolǜ hé nín hézuò.</t>
        </is>
      </c>
      <c r="F207" s="115">
        <f>HYPERLINK("https://youglish.com/pronounce/如果您能够提供更好的价格和服务我们可以考虑和您合作/chinese","🔍")</f>
        <v/>
      </c>
    </row>
    <row r="208" ht="42.75" customHeight="1" s="99">
      <c r="A208" s="92" t="inlineStr">
        <is>
          <t>626 ĐPTM.pdf</t>
        </is>
      </c>
      <c r="B208" s="93" t="inlineStr">
        <is>
          <t>207</t>
        </is>
      </c>
      <c r="C208" s="92" t="inlineStr">
        <is>
          <t>请确认产品的保质期和质量保证。</t>
        </is>
      </c>
      <c r="D208" s="92" t="inlineStr">
        <is>
          <t>Vui lòng xác nhận thời hạn bảo hành sản phẩm và cam kết chất lượng. Qǐng quèrèn chǎnpǐn de bǎozhìqī hé zhìliàng bǎozhèng.</t>
        </is>
      </c>
      <c r="E208" s="92" t="inlineStr">
        <is>
          <t>207 请确认产品的 保质期和质量 保证。 Vui lòng xác nhận thời hạn bảo hành sản phẩm và cam kết chất lượng. Qǐng quèrèn chǎnpǐn de bǎozhìqī hé zhìliàng bǎozhèng.</t>
        </is>
      </c>
      <c r="F208" s="114">
        <f>HYPERLINK("https://youglish.com/pronounce/请确认产品的保质期和质量保证/chinese","🔍")</f>
        <v/>
      </c>
    </row>
    <row r="209" ht="42.75" customHeight="1" s="99">
      <c r="A209" s="94" t="inlineStr">
        <is>
          <t>626 ĐPTM.pdf</t>
        </is>
      </c>
      <c r="B209" s="95" t="inlineStr">
        <is>
          <t>208</t>
        </is>
      </c>
      <c r="C209" s="94" t="inlineStr">
        <is>
          <t>我们需要您提供完整的产品规格和参数。</t>
        </is>
      </c>
      <c r="D209" s="94" t="inlineStr">
        <is>
          <t>Chúng tôi cần bạn cung cấp đầy đủ thông số kỹ thuật và thông tin sản phẩm. Wǒmen xūyào nín tígōng wánzhěng de chǎnpǐn guīgé hé cānshù.</t>
        </is>
      </c>
      <c r="E209" s="94" t="inlineStr">
        <is>
          <t>208 我们需要您提 供完整的产品 规格和参数。 Chúng tôi cần bạn cung cấp đầy đủ thông số kỹ thuật và thông tin sản phẩm. Wǒmen xūyào nín tígōng wánzhěng de chǎnpǐn guīgé hé cānshù.</t>
        </is>
      </c>
      <c r="F209" s="115">
        <f>HYPERLINK("https://youglish.com/pronounce/我们需要您提供完整的产品规格和参数/chinese","🔍")</f>
        <v/>
      </c>
    </row>
    <row r="210" ht="42.75" customHeight="1" s="99">
      <c r="A210" s="92" t="inlineStr">
        <is>
          <t>626 ĐPTM.pdf</t>
        </is>
      </c>
      <c r="B210" s="93" t="inlineStr">
        <is>
          <t>209</t>
        </is>
      </c>
      <c r="C210" s="92" t="inlineStr">
        <is>
          <t>请提供更详细的产品图片和介绍。</t>
        </is>
      </c>
      <c r="D210" s="92" t="inlineStr">
        <is>
          <t>Vui lòng cung cấp hình ảnh và thông tin chi tiết sản phẩm. Qǐng tígōng gèng xiángxì de chǎnpǐn túpiàn hé jièshào.</t>
        </is>
      </c>
      <c r="E210" s="92" t="inlineStr">
        <is>
          <t>209 请提供更详细 的产品图片和 介绍。 Vui lòng cung cấp hình ảnh và thông tin chi tiết sản phẩm. Qǐng tígōng gèng xiángxì de chǎnpǐn túpiàn hé jièshào.</t>
        </is>
      </c>
      <c r="F210" s="114">
        <f>HYPERLINK("https://youglish.com/pronounce/请提供更详细的产品图片和介绍/chinese","🔍")</f>
        <v/>
      </c>
    </row>
    <row r="211" ht="42.75" customHeight="1" s="99">
      <c r="A211" s="94" t="inlineStr">
        <is>
          <t>626 ĐPTM.pdf</t>
        </is>
      </c>
      <c r="B211" s="95" t="inlineStr">
        <is>
          <t>210</t>
        </is>
      </c>
      <c r="C211" s="94" t="inlineStr">
        <is>
          <t>您是否能够为我们提供样品进行确认？</t>
        </is>
      </c>
      <c r="D211" s="94" t="inlineStr">
        <is>
          <t>Bạn có thể cung cấp cho chúng tôi mẫu để xác nhận không? Nín shìfǒu nénggòu wèi wǒmen tígōng yàngpǐn jìnxíng quèrèn?</t>
        </is>
      </c>
      <c r="E211" s="94" t="inlineStr">
        <is>
          <t>210 您是否能够为 我们提供样品 进行确认？ Bạn có thể cung cấp cho chúng tôi mẫu để xác nhận không? Nín shìfǒu nénggòu wèi wǒmen tígōng yàngpǐn jìnxíng quèrèn?</t>
        </is>
      </c>
      <c r="F211" s="115">
        <f>HYPERLINK("https://youglish.com/pronounce/您是否能够为我们提供样品进行确认/chinese","🔍")</f>
        <v/>
      </c>
    </row>
    <row r="212" ht="57" customHeight="1" s="99">
      <c r="A212" s="92" t="inlineStr">
        <is>
          <t>626 ĐPTM.pdf</t>
        </is>
      </c>
      <c r="B212" s="93" t="inlineStr">
        <is>
          <t>211</t>
        </is>
      </c>
      <c r="C212" s="92" t="inlineStr">
        <is>
          <t>我们需要您提供相关的质检证明和合格证书。</t>
        </is>
      </c>
      <c r="D212" s="92" t="inlineStr">
        <is>
          <t>Chúng tôi cần bạn cung cấp các chứng nhận kiểm định và giấy chứng nhận phù hợp. Wǒmen xūyào nín tígōng xiāngguān de zhì jiǎn zhèngmíng hé hégé zhèngshū.</t>
        </is>
      </c>
      <c r="E212" s="92" t="inlineStr">
        <is>
          <t>211 我们需要您提 供相关的质检 证明和合格证 书。 Chúng tôi cần bạn cung cấp các chứng nhận kiểm định và giấy chứng nhận phù hợp. Wǒmen xūyào nín tígōng xiāngguān de zhì jiǎn zhèngmíng hé hégé zhèngshū.</t>
        </is>
      </c>
      <c r="F212" s="114">
        <f>HYPERLINK("https://youglish.com/pronounce/我们需要您提供相关的质检证明和合格证书/chinese","🔍")</f>
        <v/>
      </c>
    </row>
    <row r="213" ht="42.75" customHeight="1" s="99">
      <c r="A213" s="94" t="inlineStr">
        <is>
          <t>626 ĐPTM.pdf</t>
        </is>
      </c>
      <c r="B213" s="95" t="inlineStr">
        <is>
          <t>212</t>
        </is>
      </c>
      <c r="C213" s="94" t="inlineStr">
        <is>
          <t>我们需要了解产品的包装和运输方式。</t>
        </is>
      </c>
      <c r="D213" s="94" t="inlineStr">
        <is>
          <t>Chúng tôi cần biết về phương thức đóng gói và vận chuyển sản phẩm. Wǒmen xūyào liǎojiě chǎnpǐn de bāozhuāng hé yùnshū fāngshì.</t>
        </is>
      </c>
      <c r="E213" s="94" t="inlineStr">
        <is>
          <t>212 我们需要了解 产品的包装和 运输方式。 Chúng tôi cần biết về phương thức đóng gói và vận chuyển sản phẩm. Wǒmen xūyào liǎojiě chǎnpǐn de bāozhuāng hé yùnshū fāngshì.</t>
        </is>
      </c>
      <c r="F213" s="115">
        <f>HYPERLINK("https://youglish.com/pronounce/我们需要了解产品的包装和运输方式/chinese","🔍")</f>
        <v/>
      </c>
    </row>
    <row r="214" ht="42.75" customHeight="1" s="99">
      <c r="A214" s="92" t="inlineStr">
        <is>
          <t>626 ĐPTM.pdf</t>
        </is>
      </c>
      <c r="B214" s="93" t="inlineStr">
        <is>
          <t>213</t>
        </is>
      </c>
      <c r="C214" s="92" t="inlineStr">
        <is>
          <t>您是否能够提供相应的运输保险？</t>
        </is>
      </c>
      <c r="D214" s="92" t="inlineStr">
        <is>
          <t>Bạn có thể cung cấp bảo hiểm vận chuyển tương ứng không? Nín shìfǒu nénggòu tígōng xiāngyìng de yùnshū bǎoxiǎn?</t>
        </is>
      </c>
      <c r="E214" s="92" t="inlineStr">
        <is>
          <t>213 您是否能够提 供相应的运输 保险？ Bạn có thể cung cấp bảo hiểm vận chuyển tương ứng không? Nín shìfǒu nénggòu tígōng xiāngyìng de yùnshū bǎoxiǎn?</t>
        </is>
      </c>
      <c r="F214" s="114">
        <f>HYPERLINK("https://youglish.com/pronounce/您是否能够提供相应的运输保险/chinese","🔍")</f>
        <v/>
      </c>
    </row>
    <row r="215" ht="42.75" customHeight="1" s="99">
      <c r="A215" s="94" t="inlineStr">
        <is>
          <t>626 ĐPTM.pdf</t>
        </is>
      </c>
      <c r="B215" s="95" t="inlineStr">
        <is>
          <t>214</t>
        </is>
      </c>
      <c r="C215" s="94" t="inlineStr">
        <is>
          <t>我们需要了解退换货和售后服务政策。</t>
        </is>
      </c>
      <c r="D215" s="94" t="inlineStr">
        <is>
          <t>Chúng tôi cần biết về chính sách đổi trả hàng và dịch vụ sau bán hàng. Wǒmen xūyào liǎojiě tuìhuàn huò hé shòuhòu fúwù zhèngcè.</t>
        </is>
      </c>
      <c r="E215" s="94" t="inlineStr">
        <is>
          <t>214 我们需要了解 退换货和售后 服务政策。 Chúng tôi cần biết về chính sách đổi trả hàng và dịch vụ sau bán hàng. Wǒmen xūyào liǎojiě tuìhuàn huò hé shòuhòu fúwù zhèngcè.</t>
        </is>
      </c>
      <c r="F215" s="115">
        <f>HYPERLINK("https://youglish.com/pronounce/我们需要了解退换货和售后服务政策/chinese","🔍")</f>
        <v/>
      </c>
    </row>
    <row r="216" ht="42.75" customHeight="1" s="99">
      <c r="A216" s="92" t="inlineStr">
        <is>
          <t>626 ĐPTM.pdf</t>
        </is>
      </c>
      <c r="B216" s="93" t="inlineStr">
        <is>
          <t>215</t>
        </is>
      </c>
      <c r="C216" s="92" t="inlineStr">
        <is>
          <t>我们希望能够签订长期合作协议。</t>
        </is>
      </c>
      <c r="D216" s="92" t="inlineStr">
        <is>
          <t>Chúng tôi mong muốn ký kết hợp đồng hợp tác lâu dài. Wǒmen xīwàng nénggòu qiāndìng chángqí hézuò xiéyì.</t>
        </is>
      </c>
      <c r="E216" s="92" t="inlineStr">
        <is>
          <t>215 我们希望能够 签订长期合作 协议。 Chúng tôi mong muốn ký kết hợp đồng hợp tác lâu dài. Wǒmen xīwàng nénggòu qiāndìng chángqí hézuò xiéyì.</t>
        </is>
      </c>
      <c r="F216" s="114">
        <f>HYPERLINK("https://youglish.com/pronounce/我们希望能够签订长期合作协议/chinese","🔍")</f>
        <v/>
      </c>
    </row>
    <row r="217" ht="42.75" customHeight="1" s="99">
      <c r="A217" s="94" t="inlineStr">
        <is>
          <t>626 ĐPTM.pdf</t>
        </is>
      </c>
      <c r="B217" s="95" t="inlineStr">
        <is>
          <t>216</t>
        </is>
      </c>
      <c r="C217" s="94" t="inlineStr">
        <is>
          <t>我们需要双方签订正式的合同。</t>
        </is>
      </c>
      <c r="D217" s="94" t="inlineStr">
        <is>
          <t>Chúng tôi cần ký hợp đồng chính thức giữa hai bên. Wǒmen xūyào shuāngfāng qiāndìng zhèngshì de hétóng.</t>
        </is>
      </c>
      <c r="E217" s="94" t="inlineStr">
        <is>
          <t>216 我们需要双方 签订正式的合 同。 Chúng tôi cần ký hợp đồng chính thức giữa hai bên. Wǒmen xūyào shuāngfāng qiāndìng zhèngshì de hétóng.</t>
        </is>
      </c>
      <c r="F217" s="115">
        <f>HYPERLINK("https://youglish.com/pronounce/我们需要双方签订正式的合同/chinese","🔍")</f>
        <v/>
      </c>
    </row>
    <row r="218" ht="42.75" customHeight="1" s="99">
      <c r="A218" s="92" t="inlineStr">
        <is>
          <t>626 ĐPTM.pdf</t>
        </is>
      </c>
      <c r="B218" s="93" t="inlineStr">
        <is>
          <t>217</t>
        </is>
      </c>
      <c r="C218" s="92" t="inlineStr">
        <is>
          <t>合同内容需要在双方协商下达成。</t>
        </is>
      </c>
      <c r="D218" s="92" t="inlineStr">
        <is>
          <t>Nội dung hợp đồng cần được thống nhất dưới sự thương lượng của hai bên. Hétóng nèiróng xūyào zài shuāngfāng xiéshāng xià dáchéng.</t>
        </is>
      </c>
      <c r="E218" s="92" t="inlineStr">
        <is>
          <t>217 合同内容需要 在双方协商下 达成。 Nội dung hợp đồng cần được thống nhất dưới sự thương lượng của hai bên. Hétóng nèiróng xūyào zài shuāngfāng xiéshāng xià dáchéng.</t>
        </is>
      </c>
      <c r="F218" s="114">
        <f>HYPERLINK("https://youglish.com/pronounce/合同内容需要在双方协商下达成/chinese","🔍")</f>
        <v/>
      </c>
    </row>
    <row r="219" ht="57" customHeight="1" s="99">
      <c r="A219" s="94" t="inlineStr">
        <is>
          <t>626 ĐPTM.pdf</t>
        </is>
      </c>
      <c r="B219" s="95" t="inlineStr">
        <is>
          <t>218</t>
        </is>
      </c>
      <c r="C219" s="94" t="inlineStr">
        <is>
          <t>我们需要您提供公司的营业执照和税务登记证明。</t>
        </is>
      </c>
      <c r="D219" s="94" t="inlineStr">
        <is>
          <t>Chúng tôi cần bạn cung cấp giấy phép kinh doanh và giấy đăng ký thuế của công ty. Wǒmen xūyào nín tígōng gōngsī de yíngyè zhízhào hé shuìwù dēngjì zhèngmíng.</t>
        </is>
      </c>
      <c r="E219" s="94" t="inlineStr">
        <is>
          <t>218 我们需要您提 供公司的营业 执照和税务登 记证明。 Chúng tôi cần bạn cung cấp giấy phép kinh doanh và giấy đăng ký thuế của công ty. Wǒmen xūyào nín tígōng gōngsī de yíngyè zhízhào hé shuìwù dēngjì zhèngmíng.</t>
        </is>
      </c>
      <c r="F219" s="115">
        <f>HYPERLINK("https://youglish.com/pronounce/我们需要您提供公司的营业执照和税务登记证明/chinese","🔍")</f>
        <v/>
      </c>
    </row>
    <row r="220" ht="57" customHeight="1" s="99">
      <c r="A220" s="92" t="inlineStr">
        <is>
          <t>626 ĐPTM.pdf</t>
        </is>
      </c>
      <c r="B220" s="93" t="inlineStr">
        <is>
          <t>219</t>
        </is>
      </c>
      <c r="C220" s="92" t="inlineStr">
        <is>
          <t>我们需要您提供相关的资质证明和授权书。</t>
        </is>
      </c>
      <c r="D220" s="92" t="inlineStr">
        <is>
          <t>Chúng tôi cần bạn cung cấp các chứng nhận và giấy tờ pháp lý liên quan đến chất lượng sản phẩm. Wǒmen xūyào nín tígōng xiāngguān de zīzhì zhèngmíng hé shòuquán shū.</t>
        </is>
      </c>
      <c r="E220" s="92" t="inlineStr">
        <is>
          <t>219 我们需要您提 供相关的资质 证明和授权 书。 Chúng tôi cần bạn cung cấp các chứng nhận và giấy tờ pháp lý liên quan đến chất lượng sản phẩm. Wǒmen xūyào nín tígōng xiāngguān de zīzhì zhèngmíng hé shòuquán shū.</t>
        </is>
      </c>
      <c r="F220" s="114">
        <f>HYPERLINK("https://youglish.com/pronounce/我们需要您提供相关的资质证明和授权书/chinese","🔍")</f>
        <v/>
      </c>
    </row>
    <row r="221" ht="42.75" customHeight="1" s="99">
      <c r="A221" s="94" t="inlineStr">
        <is>
          <t>626 ĐPTM.pdf</t>
        </is>
      </c>
      <c r="B221" s="95" t="inlineStr">
        <is>
          <t>220</t>
        </is>
      </c>
      <c r="C221" s="94" t="inlineStr">
        <is>
          <t>我们需要了解双方的法律责任和义务。</t>
        </is>
      </c>
      <c r="D221" s="94" t="inlineStr">
        <is>
          <t>Chúng tôi cần biết trách nhiệm và nghĩa vụ pháp lý của hai bên. Wǒmen xūyào liǎojiě shuāngfāng de fǎlǜ zérèn hé yìwù.</t>
        </is>
      </c>
      <c r="E221" s="94" t="inlineStr">
        <is>
          <t>220 我们需要了解 双方的法律责 任和义务。 Chúng tôi cần biết trách nhiệm và nghĩa vụ pháp lý của hai bên. Wǒmen xūyào liǎojiě shuāngfāng de fǎlǜ zérèn hé yìwù.</t>
        </is>
      </c>
      <c r="F221" s="115">
        <f>HYPERLINK("https://youglish.com/pronounce/我们需要了解双方的法律责任和义务/chinese","🔍")</f>
        <v/>
      </c>
    </row>
    <row r="222" ht="42.75" customHeight="1" s="99">
      <c r="A222" s="92" t="inlineStr">
        <is>
          <t>626 ĐPTM.pdf</t>
        </is>
      </c>
      <c r="B222" s="93" t="inlineStr">
        <is>
          <t>221</t>
        </is>
      </c>
      <c r="C222" s="92" t="inlineStr">
        <is>
          <t>如果合同有违约行为，双方需要承担相应的责任。</t>
        </is>
      </c>
      <c r="D222" s="92" t="inlineStr">
        <is>
          <t>Nếu vi phạm hợp đồng, hai bên phải chịu trách nhiệm tương ứng. Rúguǒ hétóng yǒu wéiyuē xíngwéi, shuāngfāng xūyào chéngdān xiāngyìng de zérèn.</t>
        </is>
      </c>
      <c r="E222" s="92" t="inlineStr">
        <is>
          <t>221 如果合同有违 约行为，双方 需要承担相应 的责任。 Nếu vi phạm hợp đồng, hai bên phải chịu trách nhiệm tương ứng. Rúguǒ hétóng yǒu wéiyuē xíngwéi, shuāngfāng xūyào chéngdān xiāngyìng de zérèn.</t>
        </is>
      </c>
      <c r="F222" s="114">
        <f>HYPERLINK("https://youglish.com/pronounce/如果合同有违约行为双方需要承担相应的责任/chinese","🔍")</f>
        <v/>
      </c>
    </row>
    <row r="223" ht="42.75" customHeight="1" s="99">
      <c r="A223" s="94" t="inlineStr">
        <is>
          <t>626 ĐPTM.pdf</t>
        </is>
      </c>
      <c r="B223" s="95" t="inlineStr">
        <is>
          <t>222</t>
        </is>
      </c>
      <c r="C223" s="94" t="inlineStr">
        <is>
          <t>我们需要签订保密协议以确保商业机密的安全。</t>
        </is>
      </c>
      <c r="D223" s="94" t="inlineStr">
        <is>
          <t>Chúng tôi cần ký kết thỏa thuận bảo mật để đảm bảo an toàn thông tin kinh doanh. Wǒmen xūyào qiāndìng bǎomì xiéyì yǐ quèbǎo shāngyè jīmì de ānquán.</t>
        </is>
      </c>
      <c r="E223" s="94" t="inlineStr">
        <is>
          <t>222 我们需要签订 保密协议以确 保商业机密的 安全。 Chúng tôi cần ký kết thỏa thuận bảo mật để đảm bảo an toàn thông tin kinh doanh. Wǒmen xūyào qiāndìng bǎomì xiéyì yǐ quèbǎo shāngyè jīmì de ānquán.</t>
        </is>
      </c>
      <c r="F223" s="115">
        <f>HYPERLINK("https://youglish.com/pronounce/我们需要签订保密协议以确保商业机密的安全/chinese","🔍")</f>
        <v/>
      </c>
    </row>
    <row r="224" ht="42.75" customHeight="1" s="99">
      <c r="A224" s="92" t="inlineStr">
        <is>
          <t>626 ĐPTM.pdf</t>
        </is>
      </c>
      <c r="B224" s="93" t="inlineStr">
        <is>
          <t>223</t>
        </is>
      </c>
      <c r="C224" s="92" t="inlineStr">
        <is>
          <t>合同需要按照双方的意愿进行修改和完善。</t>
        </is>
      </c>
      <c r="D224" s="92" t="inlineStr">
        <is>
          <t>Hợp đồng cần được chỉnh sửa và hoàn thiện theo ý muốn của hai bên. Hétóng xūyào ànzhào shuāngfāng de yìyuàn jìnxíng xiūgǎi hé wánshàn.</t>
        </is>
      </c>
      <c r="E224" s="92" t="inlineStr">
        <is>
          <t>223 合同需要按照 双方的意愿进 行修改和完善。 Hợp đồng cần được chỉnh sửa và hoàn thiện theo ý muốn của hai bên. Hétóng xūyào ànzhào shuāngfāng de yìyuàn jìnxíng xiūgǎi hé wánshàn.</t>
        </is>
      </c>
      <c r="F224" s="114">
        <f>HYPERLINK("https://youglish.com/pronounce/合同需要按照双方的意愿进行修改和完善/chinese","🔍")</f>
        <v/>
      </c>
    </row>
    <row r="225" ht="42.75" customHeight="1" s="99">
      <c r="A225" s="94" t="inlineStr">
        <is>
          <t>626 ĐPTM.pdf</t>
        </is>
      </c>
      <c r="B225" s="95" t="inlineStr">
        <is>
          <t>224</t>
        </is>
      </c>
      <c r="C225" s="94" t="inlineStr">
        <is>
          <t>我们需要对合同进行详细的审核和评估。</t>
        </is>
      </c>
      <c r="D225" s="94" t="inlineStr">
        <is>
          <t>Chúng tôi cần phải đánh giá và xem xét kỹ hợp đồng trước khi ký kết. Wǒmen xūyào duì hétóng jìnxíng xiángxì de shěnhé hé pínggū.</t>
        </is>
      </c>
      <c r="E225" s="94" t="inlineStr">
        <is>
          <t>224 我们需要对合 同进行详细的 审核和评估。 Chúng tôi cần phải đánh giá và xem xét kỹ hợp đồng trước khi ký kết. Wǒmen xūyào duì hétóng jìnxíng xiángxì de shěnhé hé pínggū.</t>
        </is>
      </c>
      <c r="F225" s="115">
        <f>HYPERLINK("https://youglish.com/pronounce/我们需要对合同进行详细的审核和评估/chinese","🔍")</f>
        <v/>
      </c>
    </row>
    <row r="226" ht="42.75" customHeight="1" s="99">
      <c r="A226" s="92" t="inlineStr">
        <is>
          <t>626 ĐPTM.pdf</t>
        </is>
      </c>
      <c r="B226" s="93" t="inlineStr">
        <is>
          <t>225</t>
        </is>
      </c>
      <c r="C226" s="92" t="inlineStr">
        <is>
          <t>我们需要您提供全面的保证和承诺。</t>
        </is>
      </c>
      <c r="D226" s="92" t="inlineStr">
        <is>
          <t>Chúng tôi cần bạn cam kết và bảo đảm toàn diện. Wǒmen xūyào nín tígōng quánmiàn de bǎozhèng hé chéngnuò.</t>
        </is>
      </c>
      <c r="E226" s="92" t="inlineStr">
        <is>
          <t>225 我们需要您提 供全面的保证 和承诺。 Chúng tôi cần bạn cam kết và bảo đảm toàn diện. Wǒmen xūyào nín tígōng quánmiàn de bǎozhèng hé chéngnuò.</t>
        </is>
      </c>
      <c r="F226" s="114">
        <f>HYPERLINK("https://youglish.com/pronounce/我们需要您提供全面的保证和承诺/chinese","🔍")</f>
        <v/>
      </c>
    </row>
    <row r="227" ht="57" customHeight="1" s="99">
      <c r="A227" s="94" t="inlineStr">
        <is>
          <t>626 ĐPTM.pdf</t>
        </is>
      </c>
      <c r="B227" s="95" t="inlineStr">
        <is>
          <t>226</t>
        </is>
      </c>
      <c r="C227" s="94" t="inlineStr">
        <is>
          <t>如果合同涉及到知识产权， 我们需要确保您有相应的授权。</t>
        </is>
      </c>
      <c r="D227" s="94" t="inlineStr">
        <is>
          <t>Nếu hợp đồng liên quan đến sở hữu trí tuệ, chúng tôi cần đảm bảo rằng bạn có các giấy phép tương ứng. Rúguǒ hétóng shèjí dào zhīshì chǎnquán, wǒmen xūyào quèbǎo nín yǒu xiāngyìng de shòuquán.</t>
        </is>
      </c>
      <c r="E227" s="94" t="inlineStr">
        <is>
          <t>226 如果合同涉及 到知识产权， 我们需要确保 您有相应的授 权。 Nếu hợp đồng liên quan đến sở hữu trí tuệ, chúng tôi cần đảm bảo rằng bạn có các giấy phép tương ứng. Rúguǒ hétóng shèjí dào zhīshì chǎnquán, wǒmen xūyào quèbǎo nín yǒu xiāngyìng de shòuquán.</t>
        </is>
      </c>
      <c r="F227" s="115">
        <f>HYPERLINK("https://youglish.com/pronounce/如果合同涉及到知识产权我们需要确保您有相应的授权/chinese","🔍")</f>
        <v/>
      </c>
    </row>
    <row r="228" ht="57" customHeight="1" s="99">
      <c r="A228" s="92" t="inlineStr">
        <is>
          <t>626 ĐPTM.pdf</t>
        </is>
      </c>
      <c r="B228" s="93" t="inlineStr">
        <is>
          <t>227</t>
        </is>
      </c>
      <c r="C228" s="92" t="inlineStr">
        <is>
          <t>合同签订后， 双方需要共同履行合同规定的义务。</t>
        </is>
      </c>
      <c r="D228" s="92" t="inlineStr">
        <is>
          <t>Sau khi ký hợp đồng, hai bên cần thực hiện các nghĩa vụ được quy định trong hợp đồng. Hétóng qiāndìng hòu, shuāngfāng xūyào gòngtóng lǚxíng hétóng guīdìng de yìwù.</t>
        </is>
      </c>
      <c r="E228" s="92" t="inlineStr">
        <is>
          <t>227 合同签订后， 双方需要共同 履行合同规定 的义务。 Sau khi ký hợp đồng, hai bên cần thực hiện các nghĩa vụ được quy định trong hợp đồng. Hétóng qiāndìng hòu, shuāngfāng xūyào gòngtóng lǚxíng hétóng guīdìng de yìwù.</t>
        </is>
      </c>
      <c r="F228" s="114">
        <f>HYPERLINK("https://youglish.com/pronounce/合同签订后双方需要共同履行合同规定的义务/chinese","🔍")</f>
        <v/>
      </c>
    </row>
    <row r="229" ht="42.75" customHeight="1" s="99">
      <c r="A229" s="94" t="inlineStr">
        <is>
          <t>626 ĐPTM.pdf</t>
        </is>
      </c>
      <c r="B229" s="95" t="inlineStr">
        <is>
          <t>228</t>
        </is>
      </c>
      <c r="C229" s="94" t="inlineStr">
        <is>
          <t>我们需要您提供相应的付款账户和银行信息。</t>
        </is>
      </c>
      <c r="D229" s="94" t="inlineStr">
        <is>
          <t>Chúng tôi cần bạn cung cấp thông tin tài khoản thanh toán và ngân hàng tương ứng. Wǒmen xūyào nín tígōng xiāngyìng de fùkuǎn zhànghù hé yínháng xìnxī.</t>
        </is>
      </c>
      <c r="E229" s="94" t="inlineStr">
        <is>
          <t>228 我们需要您提 供相应的付款 账户和银行信 息。 Chúng tôi cần bạn cung cấp thông tin tài khoản thanh toán và ngân hàng tương ứng. Wǒmen xūyào nín tígōng xiāngyìng de fùkuǎn zhànghù hé yínháng xìnxī.</t>
        </is>
      </c>
      <c r="F229" s="115">
        <f>HYPERLINK("https://youglish.com/pronounce/我们需要您提供相应的付款账户和银行信息/chinese","🔍")</f>
        <v/>
      </c>
    </row>
    <row r="230" ht="42.75" customHeight="1" s="99">
      <c r="A230" s="92" t="inlineStr">
        <is>
          <t>626 ĐPTM.pdf</t>
        </is>
      </c>
      <c r="B230" s="93" t="inlineStr">
        <is>
          <t>229</t>
        </is>
      </c>
      <c r="C230" s="92" t="inlineStr">
        <is>
          <t>我们需要您提供发票和相关税务证明。</t>
        </is>
      </c>
      <c r="D230" s="92" t="inlineStr">
        <is>
          <t>Chúng tôi cần bạn cung cấp hóa đơn và chứng từ thuế liên quan. Wǒmen xūyào nín tígōng fāpiào hé xiāngguān shuìwù zhèngmíng.</t>
        </is>
      </c>
      <c r="E230" s="92" t="inlineStr">
        <is>
          <t>229 我们需要您提 供发票和相关 税务证明。 Chúng tôi cần bạn cung cấp hóa đơn và chứng từ thuế liên quan. Wǒmen xūyào nín tígōng fāpiào hé xiāngguān shuìwù zhèngmíng.</t>
        </is>
      </c>
      <c r="F230" s="114">
        <f>HYPERLINK("https://youglish.com/pronounce/我们需要您提供发票和相关税务证明/chinese","🔍")</f>
        <v/>
      </c>
    </row>
    <row r="231" ht="42.75" customHeight="1" s="99">
      <c r="A231" s="94" t="inlineStr">
        <is>
          <t>626 ĐPTM.pdf</t>
        </is>
      </c>
      <c r="B231" s="95" t="inlineStr">
        <is>
          <t>230</t>
        </is>
      </c>
      <c r="C231" s="94" t="inlineStr">
        <is>
          <t>付款需要按照合同规定的付款方式进行。</t>
        </is>
      </c>
      <c r="D231" s="94" t="inlineStr">
        <is>
          <t>Thanh toán phải được thực hiện theo cách thanh toán được quy định trong hợp đồng. Fùkuǎn xūyào ànzhào hétóng guīdìng de fùkuǎn fāngshì jìnxíng.</t>
        </is>
      </c>
      <c r="E231" s="94" t="inlineStr">
        <is>
          <t>230 付款需要按照 合同规定的付 款方式进行。 Thanh toán phải được thực hiện theo cách thanh toán được quy định trong hợp đồng. Fùkuǎn xūyào ànzhào hétóng guīdìng de fùkuǎn fāngshì jìnxíng.</t>
        </is>
      </c>
      <c r="F231" s="115">
        <f>HYPERLINK("https://youglish.com/pronounce/付款需要按照合同规定的付款方式进行/chinese","🔍")</f>
        <v/>
      </c>
    </row>
    <row r="232" ht="42.75" customHeight="1" s="99">
      <c r="A232" s="92" t="inlineStr">
        <is>
          <t>626 ĐPTM.pdf</t>
        </is>
      </c>
      <c r="B232" s="93" t="inlineStr">
        <is>
          <t>231</t>
        </is>
      </c>
      <c r="C232" s="92" t="inlineStr">
        <is>
          <t>付款需要在合同规定的时间内完成。</t>
        </is>
      </c>
      <c r="D232" s="92" t="inlineStr">
        <is>
          <t>Thanh toán phải được thực hiện đúng thời hạn được quy định trong hợp đồng. Fùkuǎn xūyào zài hétóng guīdìng de shíjiān nèi wánchéng.</t>
        </is>
      </c>
      <c r="E232" s="92" t="inlineStr">
        <is>
          <t>231 付款需要在合 同规定的时间 内完成。 Thanh toán phải được thực hiện đúng thời hạn được quy định trong hợp đồng. Fùkuǎn xūyào zài hétóng guīdìng de shíjiān nèi wánchéng.</t>
        </is>
      </c>
      <c r="F232" s="114">
        <f>HYPERLINK("https://youglish.com/pronounce/付款需要在合同规定的时间内完成/chinese","🔍")</f>
        <v/>
      </c>
    </row>
    <row r="233" ht="57" customHeight="1" s="99">
      <c r="A233" s="94" t="inlineStr">
        <is>
          <t>626 ĐPTM.pdf</t>
        </is>
      </c>
      <c r="B233" s="95" t="inlineStr">
        <is>
          <t>232</t>
        </is>
      </c>
      <c r="C233" s="94" t="inlineStr">
        <is>
          <t>我们需要您提供相关的收款账户和银行信息。</t>
        </is>
      </c>
      <c r="D233" s="94" t="inlineStr">
        <is>
          <t>Chúng tôi cần bạn cung cấp thông tin tài khoản và ngân hàng tương ứng để nhận thanh toán. Wǒmen xūyào nín tígōng xiāngguān de shōu kuǎn zhànghù hé yínháng xìnxī.</t>
        </is>
      </c>
      <c r="E233" s="94" t="inlineStr">
        <is>
          <t>232 我们需要您提 供相关的收款 账户和银行信 息。 Chúng tôi cần bạn cung cấp thông tin tài khoản và ngân hàng tương ứng để nhận thanh toán. Wǒmen xūyào nín tígōng xiāngguān de shōu kuǎn zhànghù hé yínháng xìnxī.</t>
        </is>
      </c>
      <c r="F233" s="115">
        <f>HYPERLINK("https://youglish.com/pronounce/我们需要您提供相关的收款账户和银行信息/chinese","🔍")</f>
        <v/>
      </c>
    </row>
    <row r="234" ht="28.5" customHeight="1" s="99">
      <c r="A234" s="92" t="inlineStr">
        <is>
          <t>626 ĐPTM.pdf</t>
        </is>
      </c>
      <c r="B234" s="93" t="inlineStr">
        <is>
          <t>233</t>
        </is>
      </c>
      <c r="C234" s="92" t="inlineStr">
        <is>
          <t>我们可以商量一下价格吗？</t>
        </is>
      </c>
      <c r="D234" s="92" t="inlineStr">
        <is>
          <t>Liệu chúng ta có thể thương lượng về giá không? Wǒmen kěyǐ shāngliáng yīxià jiàgé ma?</t>
        </is>
      </c>
      <c r="E234" s="92" t="inlineStr">
        <is>
          <t>233 我们可以商量 一下价格吗？ Liệu chúng ta có thể thương lượng về giá không? Wǒmen kěyǐ shāngliáng yīxià jiàgé ma?</t>
        </is>
      </c>
      <c r="F234" s="114">
        <f>HYPERLINK("https://youglish.com/pronounce/我们可以商量一下价格吗/chinese","🔍")</f>
        <v/>
      </c>
    </row>
    <row r="235" ht="28.5" customHeight="1" s="99">
      <c r="A235" s="94" t="inlineStr">
        <is>
          <t>626 ĐPTM.pdf</t>
        </is>
      </c>
      <c r="B235" s="95" t="inlineStr">
        <is>
          <t>234</t>
        </is>
      </c>
      <c r="C235" s="94" t="inlineStr">
        <is>
          <t>这个报价可以再优惠一些吗？</t>
        </is>
      </c>
      <c r="D235" s="94" t="inlineStr">
        <is>
          <t>Có thể giảm giá báo giá này nữa không? Zhège bàojià kěyǐ zài yōuhuì yīxiē ma?</t>
        </is>
      </c>
      <c r="E235" s="94" t="inlineStr">
        <is>
          <t>234 这个报价可以 再优惠一些 吗？ Có thể giảm giá báo giá này nữa không? Zhège bàojià kěyǐ zài yōuhuì yīxiē ma?</t>
        </is>
      </c>
      <c r="F235" s="115">
        <f>HYPERLINK("https://youglish.com/pronounce/这个报价可以再优惠一些吗/chinese","🔍")</f>
        <v/>
      </c>
    </row>
    <row r="236" ht="28.5" customHeight="1" s="99">
      <c r="A236" s="92" t="inlineStr">
        <is>
          <t>626 ĐPTM.pdf</t>
        </is>
      </c>
      <c r="B236" s="93" t="inlineStr">
        <is>
          <t>235</t>
        </is>
      </c>
      <c r="C236" s="92" t="inlineStr">
        <is>
          <t>请问您的最低报价是多少？</t>
        </is>
      </c>
      <c r="D236" s="92" t="inlineStr">
        <is>
          <t>Xin hỏi giá báo giá tối thiểu của bạn là bao nhiêu? Qǐngwèn nín de zuìdī bàojià shì duōshǎo?</t>
        </is>
      </c>
      <c r="E236" s="92" t="inlineStr">
        <is>
          <t>235 请问您的最低 报价是多少？ Xin hỏi giá báo giá tối thiểu của bạn là bao nhiêu? Qǐngwèn nín de zuìdī bàojià shì duōshǎo?</t>
        </is>
      </c>
      <c r="F236" s="114">
        <f>HYPERLINK("https://youglish.com/pronounce/请问您的最低报价是多少/chinese","🔍")</f>
        <v/>
      </c>
    </row>
    <row r="237" ht="28.5" customHeight="1" s="99">
      <c r="A237" s="94" t="inlineStr">
        <is>
          <t>626 ĐPTM.pdf</t>
        </is>
      </c>
      <c r="B237" s="95" t="inlineStr">
        <is>
          <t>236</t>
        </is>
      </c>
      <c r="C237" s="94" t="inlineStr">
        <is>
          <t>我们需要更多的时间来考虑。</t>
        </is>
      </c>
      <c r="D237" s="94" t="inlineStr">
        <is>
          <t>Chúng tôi cần thêm thời gian để suy nghĩ. Wǒmen xūyào gèng duō de shíjiān lái kǎolǜ.</t>
        </is>
      </c>
      <c r="E237" s="94" t="inlineStr">
        <is>
          <t>236 我们需要更多 的时间来考 虑。 Chúng tôi cần thêm thời gian để suy nghĩ. Wǒmen xūyào gèng duō de shíjiān lái kǎolǜ.</t>
        </is>
      </c>
      <c r="F237" s="115">
        <f>HYPERLINK("https://youglish.com/pronounce/我们需要更多的时间来考虑/chinese","🔍")</f>
        <v/>
      </c>
    </row>
    <row r="238" ht="28.5" customHeight="1" s="99">
      <c r="A238" s="92" t="inlineStr">
        <is>
          <t>626 ĐPTM.pdf</t>
        </is>
      </c>
      <c r="B238" s="93" t="inlineStr">
        <is>
          <t>237</t>
        </is>
      </c>
      <c r="C238" s="92" t="inlineStr">
        <is>
          <t>我们同意您的建议。</t>
        </is>
      </c>
      <c r="D238" s="92" t="inlineStr">
        <is>
          <t>Chúng tôi đồng ý với đề xuất của bạn. Wǒmen tóngyì nín de jiànyì.</t>
        </is>
      </c>
      <c r="E238" s="92" t="inlineStr">
        <is>
          <t>237 我们同意您的 建议。 Chúng tôi đồng ý với đề xuất của bạn. Wǒmen tóngyì nín de jiànyì.</t>
        </is>
      </c>
      <c r="F238" s="114">
        <f>HYPERLINK("https://youglish.com/pronounce/我们同意您的建议/chinese","🔍")</f>
        <v/>
      </c>
    </row>
    <row r="239" ht="28.5" customHeight="1" s="99">
      <c r="A239" s="94" t="inlineStr">
        <is>
          <t>626 ĐPTM.pdf</t>
        </is>
      </c>
      <c r="B239" s="95" t="inlineStr">
        <is>
          <t>238</t>
        </is>
      </c>
      <c r="C239" s="94" t="inlineStr">
        <is>
          <t>您提供的方案看起来很有前途。</t>
        </is>
      </c>
      <c r="D239" s="94" t="inlineStr">
        <is>
          <t>Kế hoạch mà bạn đưa ra trông rất có triển vọng. Nín tígōng de fāng'àn kàn qǐlái hěn yǒu qiántú.</t>
        </is>
      </c>
      <c r="E239" s="94" t="inlineStr">
        <is>
          <t>238 您提供的方案 看起来很有前 途。 Kế hoạch mà bạn đưa ra trông rất có triển vọng. Nín tígōng de fāng'àn kàn qǐlái hěn yǒu qiántú.</t>
        </is>
      </c>
      <c r="F239" s="115">
        <f>HYPERLINK("https://youglish.com/pronounce/您提供的方案看起来很有前途/chinese","🔍")</f>
        <v/>
      </c>
    </row>
    <row r="240" ht="42.75" customHeight="1" s="99">
      <c r="A240" s="92" t="inlineStr">
        <is>
          <t>626 ĐPTM.pdf</t>
        </is>
      </c>
      <c r="B240" s="93" t="inlineStr">
        <is>
          <t>239</t>
        </is>
      </c>
      <c r="C240" s="92" t="inlineStr">
        <is>
          <t>我们需要对合同的某些细节进行商议。</t>
        </is>
      </c>
      <c r="D240" s="92" t="inlineStr">
        <is>
          <t>Chúng tôi cần thảo luận về một số chi tiết trong hợp đồng. Wǒmen xūyào duì hétóng de mǒu xiē xìjié jìnxíng shāngyì.</t>
        </is>
      </c>
      <c r="E240" s="92" t="inlineStr">
        <is>
          <t>239 我们需要对合 同的某些细节 进行商议。 Chúng tôi cần thảo luận về một số chi tiết trong hợp đồng. Wǒmen xūyào duì hétóng de mǒu xiē xìjié jìnxíng shāngyì.</t>
        </is>
      </c>
      <c r="F240" s="114">
        <f>HYPERLINK("https://youglish.com/pronounce/我们需要对合同的某些细节进行商议/chinese","🔍")</f>
        <v/>
      </c>
    </row>
    <row r="241" ht="42.75" customHeight="1" s="99">
      <c r="A241" s="94" t="inlineStr">
        <is>
          <t>626 ĐPTM.pdf</t>
        </is>
      </c>
      <c r="B241" s="95" t="inlineStr">
        <is>
          <t>240</t>
        </is>
      </c>
      <c r="C241" s="94" t="inlineStr">
        <is>
          <t>请问您对我们的要求有何反应？</t>
        </is>
      </c>
      <c r="D241" s="94" t="inlineStr">
        <is>
          <t>Xin hỏi bạn có phản ứng gì với yêu cầu của chúng tôi không? Qǐngwèn nín duì wǒmen de yāoqiú yǒu hé fǎnyìng?</t>
        </is>
      </c>
      <c r="E241" s="94" t="inlineStr">
        <is>
          <t>240 请问您对我们 的要求有何反 应？ Xin hỏi bạn có phản ứng gì với yêu cầu của chúng tôi không? Qǐngwèn nín duì wǒmen de yāoqiú yǒu hé fǎnyìng?</t>
        </is>
      </c>
      <c r="F241" s="115">
        <f>HYPERLINK("https://youglish.com/pronounce/请问您对我们的要求有何反应/chinese","🔍")</f>
        <v/>
      </c>
    </row>
    <row r="242" ht="28.5" customHeight="1" s="99">
      <c r="A242" s="92" t="inlineStr">
        <is>
          <t>626 ĐPTM.pdf</t>
        </is>
      </c>
      <c r="B242" s="93" t="inlineStr">
        <is>
          <t>241</t>
        </is>
      </c>
      <c r="C242" s="92" t="inlineStr">
        <is>
          <t>我们希望能得到更多的保证。</t>
        </is>
      </c>
      <c r="D242" s="92" t="inlineStr">
        <is>
          <t>Chúng tôi hy vọng có được nhiều hơn sự đảm bảo. Wǒmen xīwàng néng dédào gèng duō de bǎozhèng.</t>
        </is>
      </c>
      <c r="E242" s="92" t="inlineStr">
        <is>
          <t>241 我们希望能得 到更多的保 证。 Chúng tôi hy vọng có được nhiều hơn sự đảm bảo. Wǒmen xīwàng néng dédào gèng duō de bǎozhèng.</t>
        </is>
      </c>
      <c r="F242" s="114">
        <f>HYPERLINK("https://youglish.com/pronounce/我们希望能得到更多的保证/chinese","🔍")</f>
        <v/>
      </c>
    </row>
    <row r="243" ht="28.5" customHeight="1" s="99">
      <c r="A243" s="94" t="inlineStr">
        <is>
          <t>626 ĐPTM.pdf</t>
        </is>
      </c>
      <c r="B243" s="95" t="inlineStr">
        <is>
          <t>242</t>
        </is>
      </c>
      <c r="C243" s="94" t="inlineStr">
        <is>
          <t>我们需要对交付日期进行商讨。</t>
        </is>
      </c>
      <c r="D243" s="94" t="inlineStr">
        <is>
          <t>Chúng tôi cần thảo luận về ngày giao hàng. Wǒmen xūyào duì jiāofù rìqí jìnxíng shāngtǎo.</t>
        </is>
      </c>
      <c r="E243" s="94" t="inlineStr">
        <is>
          <t>242 我们需要对交 付日期进行商 讨。 Chúng tôi cần thảo luận về ngày giao hàng. Wǒmen xūyào duì jiāofù rìqí jìnxíng shāngtǎo.</t>
        </is>
      </c>
      <c r="F243" s="115">
        <f>HYPERLINK("https://youglish.com/pronounce/我们需要对交付日期进行商讨/chinese","🔍")</f>
        <v/>
      </c>
    </row>
    <row r="244" ht="42.75" customHeight="1" s="99">
      <c r="A244" s="92" t="inlineStr">
        <is>
          <t>626 ĐPTM.pdf</t>
        </is>
      </c>
      <c r="B244" s="93" t="inlineStr">
        <is>
          <t>243</t>
        </is>
      </c>
      <c r="C244" s="92" t="inlineStr">
        <is>
          <t>您的产品质量得到我们的认可。</t>
        </is>
      </c>
      <c r="D244" s="92" t="inlineStr">
        <is>
          <t>Chất lượng sản phẩm của bạn đã được chúng tôi công nhận. Nín de chǎnpǐn zhí liáng dédào wǒmen de rènkě.</t>
        </is>
      </c>
      <c r="E244" s="92" t="inlineStr">
        <is>
          <t>243 您的产品质量 得到我们的认 可。 Chất lượng sản phẩm của bạn đã được chúng tôi công nhận. Nín de chǎnpǐn zhí liáng dédào wǒmen de rènkě.</t>
        </is>
      </c>
      <c r="F244" s="114">
        <f>HYPERLINK("https://youglish.com/pronounce/您的产品质量得到我们的认可/chinese","🔍")</f>
        <v/>
      </c>
    </row>
    <row r="245" ht="42.75" customHeight="1" s="99">
      <c r="A245" s="94" t="inlineStr">
        <is>
          <t>626 ĐPTM.pdf</t>
        </is>
      </c>
      <c r="B245" s="95" t="inlineStr">
        <is>
          <t>244</t>
        </is>
      </c>
      <c r="C245" s="94" t="inlineStr">
        <is>
          <t>我们需要进一步了解贵公司的生产能力。</t>
        </is>
      </c>
      <c r="D245" s="94" t="inlineStr">
        <is>
          <t>Chúng tôi cần tìm hiểu thêm về khả năng sản xuất của công ty bạn. Wǒmen xūyào jìnyībù liǎojiě guì gōngsī de shēngchǎn nénglì.</t>
        </is>
      </c>
      <c r="E245" s="94" t="inlineStr">
        <is>
          <t>244 我们需要进一 步了解贵公司 的生产能力。 Chúng tôi cần tìm hiểu thêm về khả năng sản xuất của công ty bạn. Wǒmen xūyào jìnyībù liǎojiě guì gōngsī de shēngchǎn nénglì.</t>
        </is>
      </c>
      <c r="F245" s="115">
        <f>HYPERLINK("https://youglish.com/pronounce/我们需要进一步了解贵公司的生产能力/chinese","🔍")</f>
        <v/>
      </c>
    </row>
    <row r="246" ht="42.75" customHeight="1" s="99">
      <c r="A246" s="92" t="inlineStr">
        <is>
          <t>626 ĐPTM.pdf</t>
        </is>
      </c>
      <c r="B246" s="93" t="inlineStr">
        <is>
          <t>245</t>
        </is>
      </c>
      <c r="C246" s="92" t="inlineStr">
        <is>
          <t>您能否提供一些样品供我们参考？</t>
        </is>
      </c>
      <c r="D246" s="92" t="inlineStr">
        <is>
          <t>Bạn có thể cung cấp cho chúng tôi một số mẫu để tham khảo không? Nín néng fǒu tígōng yīxiē yàngpǐn gōng wǒmen cānkǎo?</t>
        </is>
      </c>
      <c r="E246" s="92" t="inlineStr">
        <is>
          <t>245 您能否提供一 些样品供我们 参考？ Bạn có thể cung cấp cho chúng tôi một số mẫu để tham khảo không? Nín néng fǒu tígōng yīxiē yàngpǐn gōng wǒmen cānkǎo?</t>
        </is>
      </c>
      <c r="F246" s="114">
        <f>HYPERLINK("https://youglish.com/pronounce/您能否提供一些样品供我们参考/chinese","🔍")</f>
        <v/>
      </c>
    </row>
    <row r="247" ht="28.5" customHeight="1" s="99">
      <c r="A247" s="94" t="inlineStr">
        <is>
          <t>626 ĐPTM.pdf</t>
        </is>
      </c>
      <c r="B247" s="95" t="inlineStr">
        <is>
          <t>246</t>
        </is>
      </c>
      <c r="C247" s="94" t="inlineStr">
        <is>
          <t>我们需要对付款方式进行协商。</t>
        </is>
      </c>
      <c r="D247" s="94" t="inlineStr">
        <is>
          <t>Chúng tôi cần thảo luận về cách thanh toán. Wǒmen xūyào duì fùkuǎn fāngshì jìnxíng xiéshāng.</t>
        </is>
      </c>
      <c r="E247" s="94" t="inlineStr">
        <is>
          <t>246 我们需要对付 款方式进行协 商。 Chúng tôi cần thảo luận về cách thanh toán. Wǒmen xūyào duì fùkuǎn fāngshì jìnxíng xiéshāng.</t>
        </is>
      </c>
      <c r="F247" s="115">
        <f>HYPERLINK("https://youglish.com/pronounce/我们需要对付款方式进行协商/chinese","🔍")</f>
        <v/>
      </c>
    </row>
    <row r="248" ht="42.75" customHeight="1" s="99">
      <c r="A248" s="92" t="inlineStr">
        <is>
          <t>626 ĐPTM.pdf</t>
        </is>
      </c>
      <c r="B248" s="93" t="inlineStr">
        <is>
          <t>247</t>
        </is>
      </c>
      <c r="C248" s="92" t="inlineStr">
        <is>
          <t>您能否为我们提供更多的信息？</t>
        </is>
      </c>
      <c r="D248" s="92" t="inlineStr">
        <is>
          <t>Bạn có thể cung cấp thêm thông tin cho chúng tôi không? Nín néng fǒu wèi wǒmen tígōng gèng duō de xìnxī?</t>
        </is>
      </c>
      <c r="E248" s="92" t="inlineStr">
        <is>
          <t>247 您能否为我们 提供更多的信 息？ Bạn có thể cung cấp thêm thông tin cho chúng tôi không? Nín néng fǒu wèi wǒmen tígōng gèng duō de xìnxī?</t>
        </is>
      </c>
      <c r="F248" s="114">
        <f>HYPERLINK("https://youglish.com/pronounce/您能否为我们提供更多的信息/chinese","🔍")</f>
        <v/>
      </c>
    </row>
    <row r="249" ht="28.5" customHeight="1" s="99">
      <c r="A249" s="94" t="inlineStr">
        <is>
          <t>626 ĐPTM.pdf</t>
        </is>
      </c>
      <c r="B249" s="95" t="inlineStr">
        <is>
          <t>248</t>
        </is>
      </c>
      <c r="C249" s="94" t="inlineStr">
        <is>
          <t>我们需要对售后服务进行商议。</t>
        </is>
      </c>
      <c r="D249" s="94" t="inlineStr">
        <is>
          <t>Chúng tôi cần thảo luận về dịch vụ hậu mãi. Wǒmen xūyào duì shòuhòu fúwù jìnxíng shāngyì.</t>
        </is>
      </c>
      <c r="E249" s="94" t="inlineStr">
        <is>
          <t>248 我们需要对售 后服务进行商 议。 Chúng tôi cần thảo luận về dịch vụ hậu mãi. Wǒmen xūyào duì shòuhòu fúwù jìnxíng shāngyì.</t>
        </is>
      </c>
      <c r="F249" s="115">
        <f>HYPERLINK("https://youglish.com/pronounce/我们需要对售后服务进行商议/chinese","🔍")</f>
        <v/>
      </c>
    </row>
    <row r="250" ht="42.75" customHeight="1" s="99">
      <c r="A250" s="92" t="inlineStr">
        <is>
          <t>626 ĐPTM.pdf</t>
        </is>
      </c>
      <c r="B250" s="93" t="inlineStr">
        <is>
          <t>249</t>
        </is>
      </c>
      <c r="C250" s="92" t="inlineStr">
        <is>
          <t>请问您的报价是否包含所有费用？</t>
        </is>
      </c>
      <c r="D250" s="92" t="inlineStr">
        <is>
          <t>Xin hỏi giá báo giá của bạn có bao gồm tất cả các chi phí không? Qǐngwèn nín de bàojià shìfǒu bāohán suǒyǒu fèiyòng?</t>
        </is>
      </c>
      <c r="E250" s="92" t="inlineStr">
        <is>
          <t>249 请问您的报价 是否包含所有 费用？ Xin hỏi giá báo giá của bạn có bao gồm tất cả các chi phí không? Qǐngwèn nín de bàojià shìfǒu bāohán suǒyǒu fèiyòng?</t>
        </is>
      </c>
      <c r="F250" s="114">
        <f>HYPERLINK("https://youglish.com/pronounce/请问您的报价是否包含所有费用/chinese","🔍")</f>
        <v/>
      </c>
    </row>
    <row r="251" ht="28.5" customHeight="1" s="99">
      <c r="A251" s="94" t="inlineStr">
        <is>
          <t>626 ĐPTM.pdf</t>
        </is>
      </c>
      <c r="B251" s="95" t="inlineStr">
        <is>
          <t>250</t>
        </is>
      </c>
      <c r="C251" s="94" t="inlineStr">
        <is>
          <t>我们需要考虑税费等附加费用。</t>
        </is>
      </c>
      <c r="D251" s="94" t="inlineStr">
        <is>
          <t>Chúng tôi cần xem xét các chi phí phụ như thuế. Wǒmen xūyào kǎolǜ shuì fèi děng fùjiā fèiyòng.</t>
        </is>
      </c>
      <c r="E251" s="94" t="inlineStr">
        <is>
          <t>250 我们需要考虑 税费等附加费 用。 Chúng tôi cần xem xét các chi phí phụ như thuế. Wǒmen xūyào kǎolǜ shuì fèi děng fùjiā fèiyòng.</t>
        </is>
      </c>
      <c r="F251" s="115">
        <f>HYPERLINK("https://youglish.com/pronounce/我们需要考虑税费等附加费用/chinese","🔍")</f>
        <v/>
      </c>
    </row>
    <row r="252" ht="42.75" customHeight="1" s="99">
      <c r="A252" s="92" t="inlineStr">
        <is>
          <t>626 ĐPTM.pdf</t>
        </is>
      </c>
      <c r="B252" s="93" t="inlineStr">
        <is>
          <t>251</t>
        </is>
      </c>
      <c r="C252" s="92" t="inlineStr">
        <is>
          <t>我们需要对运输方式进行商议。</t>
        </is>
      </c>
      <c r="D252" s="92" t="inlineStr">
        <is>
          <t>Chúng tôi cần thảo luận về phương thức vận chuyển. Wǒmen xūyào duì yùnshū fāngshì jìnxíng shāngyì.</t>
        </is>
      </c>
      <c r="E252" s="92" t="inlineStr">
        <is>
          <t>251 我们需要对运 输方式进行商 议。 Chúng tôi cần thảo luận về phương thức vận chuyển. Wǒmen xūyào duì yùnshū fāngshì jìnxíng shāngyì.</t>
        </is>
      </c>
      <c r="F252" s="114">
        <f>HYPERLINK("https://youglish.com/pronounce/我们需要对运输方式进行商议/chinese","🔍")</f>
        <v/>
      </c>
    </row>
    <row r="253" ht="42.75" customHeight="1" s="99">
      <c r="A253" s="94" t="inlineStr">
        <is>
          <t>626 ĐPTM.pdf</t>
        </is>
      </c>
      <c r="B253" s="95" t="inlineStr">
        <is>
          <t>252</t>
        </is>
      </c>
      <c r="C253" s="94" t="inlineStr">
        <is>
          <t>我们需要确认产品的规格和尺寸。</t>
        </is>
      </c>
      <c r="D253" s="94" t="inlineStr">
        <is>
          <t>Chúng tôi cần xác nhận thông số kỹ thuật và kích thước của sản phẩm. Wǒmen xūyào quèrèn chǎnpǐn de guīgé hé chǐcùn.</t>
        </is>
      </c>
      <c r="E253" s="94" t="inlineStr">
        <is>
          <t>252 我们需要确认 产品的规格和 尺寸。 Chúng tôi cần xác nhận thông số kỹ thuật và kích thước của sản phẩm. Wǒmen xūyào quèrèn chǎnpǐn de guīgé hé chǐcùn.</t>
        </is>
      </c>
      <c r="F253" s="115">
        <f>HYPERLINK("https://youglish.com/pronounce/我们需要确认产品的规格和尺寸/chinese","🔍")</f>
        <v/>
      </c>
    </row>
    <row r="254" ht="42.75" customHeight="1" s="99">
      <c r="A254" s="92" t="inlineStr">
        <is>
          <t>626 ĐPTM.pdf</t>
        </is>
      </c>
      <c r="B254" s="93" t="inlineStr">
        <is>
          <t>253</t>
        </is>
      </c>
      <c r="C254" s="92" t="inlineStr">
        <is>
          <t>我们需要对合同的期限进行商议。</t>
        </is>
      </c>
      <c r="D254" s="92" t="inlineStr">
        <is>
          <t>Chúng tôi cần thảo luận về thời hạn của hợp đồng. Wǒmen xūyào duì hétóng de qíxiàn jìnxíng shāngyì.</t>
        </is>
      </c>
      <c r="E254" s="92" t="inlineStr">
        <is>
          <t>253 我们需要对合 同的期限进行 商议。 Chúng tôi cần thảo luận về thời hạn của hợp đồng. Wǒmen xūyào duì hétóng de qíxiàn jìnxíng shāngyì.</t>
        </is>
      </c>
      <c r="F254" s="114">
        <f>HYPERLINK("https://youglish.com/pronounce/我们需要对合同的期限进行商议/chinese","🔍")</f>
        <v/>
      </c>
    </row>
    <row r="255" ht="42.75" customHeight="1" s="99">
      <c r="A255" s="94" t="inlineStr">
        <is>
          <t>626 ĐPTM.pdf</t>
        </is>
      </c>
      <c r="B255" s="95" t="inlineStr">
        <is>
          <t>254</t>
        </is>
      </c>
      <c r="C255" s="94" t="inlineStr">
        <is>
          <t>请问您是否能够满足我们的需求？</t>
        </is>
      </c>
      <c r="D255" s="94" t="inlineStr">
        <is>
          <t>Xin hỏi bạn có thể đáp ứng nhu cầu của chúng tôi không? Qǐngwèn nín shìfǒu nénggòu mǎnzú wǒmen de xūqiú?</t>
        </is>
      </c>
      <c r="E255" s="94" t="inlineStr">
        <is>
          <t>254 请问您是否能 够满足我们的 需求？ Xin hỏi bạn có thể đáp ứng nhu cầu của chúng tôi không? Qǐngwèn nín shìfǒu nénggòu mǎnzú wǒmen de xūqiú?</t>
        </is>
      </c>
      <c r="F255" s="115">
        <f>HYPERLINK("https://youglish.com/pronounce/请问您是否能够满足我们的需求/chinese","🔍")</f>
        <v/>
      </c>
    </row>
    <row r="256" ht="28.5" customHeight="1" s="99">
      <c r="A256" s="92" t="inlineStr">
        <is>
          <t>626 ĐPTM.pdf</t>
        </is>
      </c>
      <c r="B256" s="93" t="inlineStr">
        <is>
          <t>255</t>
        </is>
      </c>
      <c r="C256" s="92" t="inlineStr">
        <is>
          <t>我们需要对技术支持进行商议。</t>
        </is>
      </c>
      <c r="D256" s="92" t="inlineStr">
        <is>
          <t>Chúng tôi cần thảo luận về hỗ trợ kỹ thuật. Wǒmen xūyào duì jìshù zhīchí jìnxíng shāngyì.</t>
        </is>
      </c>
      <c r="E256" s="92" t="inlineStr">
        <is>
          <t>255 我们需要对技 术支持进行商 议。 Chúng tôi cần thảo luận về hỗ trợ kỹ thuật. Wǒmen xūyào duì jìshù zhīchí jìnxíng shāngyì.</t>
        </is>
      </c>
      <c r="F256" s="114">
        <f>HYPERLINK("https://youglish.com/pronounce/我们需要对技术支持进行商议/chinese","🔍")</f>
        <v/>
      </c>
    </row>
    <row r="257" ht="42.75" customHeight="1" s="99">
      <c r="A257" s="94" t="inlineStr">
        <is>
          <t>626 ĐPTM.pdf</t>
        </is>
      </c>
      <c r="B257" s="95" t="inlineStr">
        <is>
          <t>256</t>
        </is>
      </c>
      <c r="C257" s="94" t="inlineStr">
        <is>
          <t>您的售后服务得到我们的认可。</t>
        </is>
      </c>
      <c r="D257" s="94" t="inlineStr">
        <is>
          <t>Dịch vụ hậu mãi của bạn đã được chúng tôi đánh giá cao. Nín de shòuhòu fúwù dédào wǒmen de rènkě.</t>
        </is>
      </c>
      <c r="E257" s="94" t="inlineStr">
        <is>
          <t>256 您的售后服务 得到我们的认 可。 Dịch vụ hậu mãi của bạn đã được chúng tôi đánh giá cao. Nín de shòuhòu fúwù dédào wǒmen de rènkě.</t>
        </is>
      </c>
      <c r="F257" s="115">
        <f>HYPERLINK("https://youglish.com/pronounce/您的售后服务得到我们的认可/chinese","🔍")</f>
        <v/>
      </c>
    </row>
    <row r="258" ht="28.5" customHeight="1" s="99">
      <c r="A258" s="92" t="inlineStr">
        <is>
          <t>626 ĐPTM.pdf</t>
        </is>
      </c>
      <c r="B258" s="93" t="inlineStr">
        <is>
          <t>257</t>
        </is>
      </c>
      <c r="C258" s="92" t="inlineStr">
        <is>
          <t>我们需要确认交货地点。</t>
        </is>
      </c>
      <c r="D258" s="92" t="inlineStr">
        <is>
          <t>Chúng tôi cần xác nhận địa điểm giao hàng. Wǒmen xūyào quèrèn jiāo huò dìdiǎn.</t>
        </is>
      </c>
      <c r="E258" s="92" t="inlineStr">
        <is>
          <t>257 我们需要确认 交货地点。 Chúng tôi cần xác nhận địa điểm giao hàng. Wǒmen xūyào quèrèn jiāo huò dìdiǎn.</t>
        </is>
      </c>
      <c r="F258" s="114">
        <f>HYPERLINK("https://youglish.com/pronounce/我们需要确认交货地点/chinese","🔍")</f>
        <v/>
      </c>
    </row>
    <row r="259" ht="42.75" customHeight="1" s="99">
      <c r="A259" s="94" t="inlineStr">
        <is>
          <t>626 ĐPTM.pdf</t>
        </is>
      </c>
      <c r="B259" s="95" t="inlineStr">
        <is>
          <t>258</t>
        </is>
      </c>
      <c r="C259" s="94" t="inlineStr">
        <is>
          <t>您能否为我们提供更快的交货期限？</t>
        </is>
      </c>
      <c r="D259" s="94" t="inlineStr">
        <is>
          <t>Liệu bạn có thể cung cấp thời gian giao hàng nhanh hơn không? Nín néng fǒu wèi wǒmen tígōng gèng kuài de jiāo huò qíxiàn?</t>
        </is>
      </c>
      <c r="E259" s="94" t="inlineStr">
        <is>
          <t>258 您能否为我们 提供更快的交 货期限？ Liệu bạn có thể cung cấp thời gian giao hàng nhanh hơn không? Nín néng fǒu wèi wǒmen tígōng gèng kuài de jiāo huò qíxiàn?</t>
        </is>
      </c>
      <c r="F259" s="115">
        <f>HYPERLINK("https://youglish.com/pronounce/您能否为我们提供更快的交货期限/chinese","🔍")</f>
        <v/>
      </c>
    </row>
    <row r="260" ht="42.75" customHeight="1" s="99">
      <c r="A260" s="92" t="inlineStr">
        <is>
          <t>626 ĐPTM.pdf</t>
        </is>
      </c>
      <c r="B260" s="93" t="inlineStr">
        <is>
          <t>259</t>
        </is>
      </c>
      <c r="C260" s="92" t="inlineStr">
        <is>
          <t>我们需要对包装方式进行商议。</t>
        </is>
      </c>
      <c r="D260" s="92" t="inlineStr">
        <is>
          <t>Chúng tôi cần thảo luận về phương thức đóng gói. Wǒmen xūyào duì bāozhuāng fāngshì jìnxíng shāngyì.</t>
        </is>
      </c>
      <c r="E260" s="92" t="inlineStr">
        <is>
          <t>259 我们需要对包 装方式进行商 议。 Chúng tôi cần thảo luận về phương thức đóng gói. Wǒmen xūyào duì bāozhuāng fāngshì jìnxíng shāngyì.</t>
        </is>
      </c>
      <c r="F260" s="114">
        <f>HYPERLINK("https://youglish.com/pronounce/我们需要对包装方式进行商议/chinese","🔍")</f>
        <v/>
      </c>
    </row>
    <row r="261" ht="28.5" customHeight="1" s="99">
      <c r="A261" s="94" t="inlineStr">
        <is>
          <t>626 ĐPTM.pdf</t>
        </is>
      </c>
      <c r="B261" s="95" t="inlineStr">
        <is>
          <t>260</t>
        </is>
      </c>
      <c r="C261" s="94" t="inlineStr">
        <is>
          <t>我们需要确认产品的保质期限。</t>
        </is>
      </c>
      <c r="D261" s="94" t="inlineStr">
        <is>
          <t>Chúng tôi cần xác nhận thời hạn bảo quản sản phẩm. Wǒmen xūyào quèrèn chǎnpǐn de bǎo zhì qíxiàn.</t>
        </is>
      </c>
      <c r="E261" s="94" t="inlineStr">
        <is>
          <t>260 我们需要确认 产品的保质期 限。 Chúng tôi cần xác nhận thời hạn bảo quản sản phẩm. Wǒmen xūyào quèrèn chǎnpǐn de bǎo zhì qíxiàn.</t>
        </is>
      </c>
      <c r="F261" s="115">
        <f>HYPERLINK("https://youglish.com/pronounce/我们需要确认产品的保质期限/chinese","🔍")</f>
        <v/>
      </c>
    </row>
    <row r="262" ht="42.75" customHeight="1" s="99">
      <c r="A262" s="92" t="inlineStr">
        <is>
          <t>626 ĐPTM.pdf</t>
        </is>
      </c>
      <c r="B262" s="93" t="inlineStr">
        <is>
          <t>261</t>
        </is>
      </c>
      <c r="C262" s="92" t="inlineStr">
        <is>
          <t>您能否为我们提供更多的保证？</t>
        </is>
      </c>
      <c r="D262" s="92" t="inlineStr">
        <is>
          <t>Liệu bạn có thể cung cấp thêm cam kết cho chúng tôi không? Nín néng fǒu wèi wǒmen tígōng gèng duō de bǎozhèng?</t>
        </is>
      </c>
      <c r="E262" s="92" t="inlineStr">
        <is>
          <t>261 您能否为我们 提供更多的保 证？ Liệu bạn có thể cung cấp thêm cam kết cho chúng tôi không? Nín néng fǒu wèi wǒmen tígōng gèng duō de bǎozhèng?</t>
        </is>
      </c>
      <c r="F262" s="114">
        <f>HYPERLINK("https://youglish.com/pronounce/您能否为我们提供更多的保证/chinese","🔍")</f>
        <v/>
      </c>
    </row>
    <row r="263" ht="28.5" customHeight="1" s="99">
      <c r="A263" s="94" t="inlineStr">
        <is>
          <t>626 ĐPTM.pdf</t>
        </is>
      </c>
      <c r="B263" s="95" t="inlineStr">
        <is>
          <t>262</t>
        </is>
      </c>
      <c r="C263" s="94" t="inlineStr">
        <is>
          <t>我们需要确认付款日期。</t>
        </is>
      </c>
      <c r="D263" s="94" t="inlineStr">
        <is>
          <t>Chúng tôi cần xác nhận ngày thanh toán. Wǒmen xūyào quèrèn fùkuǎn rìqí.</t>
        </is>
      </c>
      <c r="E263" s="94" t="inlineStr">
        <is>
          <t>262 我们需要确认 付款日期。 Chúng tôi cần xác nhận ngày thanh toán. Wǒmen xūyào quèrèn fùkuǎn rìqí.</t>
        </is>
      </c>
      <c r="F263" s="115">
        <f>HYPERLINK("https://youglish.com/pronounce/我们需要确认付款日期/chinese","🔍")</f>
        <v/>
      </c>
    </row>
    <row r="264" ht="42.75" customHeight="1" s="99">
      <c r="A264" s="92" t="inlineStr">
        <is>
          <t>626 ĐPTM.pdf</t>
        </is>
      </c>
      <c r="B264" s="93" t="inlineStr">
        <is>
          <t>263</t>
        </is>
      </c>
      <c r="C264" s="92" t="inlineStr">
        <is>
          <t>我们需要确认产品的数量和质量。</t>
        </is>
      </c>
      <c r="D264" s="92" t="inlineStr">
        <is>
          <t>Chúng tôi cần xác nhận số lượng và chất lượng sản phẩm. Wǒmen xūyào quèrèn chǎnpǐn de shùliàng hé zhìliàng.</t>
        </is>
      </c>
      <c r="E264" s="92" t="inlineStr">
        <is>
          <t>263 我们需要确认 产品的数量和 质量。 Chúng tôi cần xác nhận số lượng và chất lượng sản phẩm. Wǒmen xūyào quèrèn chǎnpǐn de shùliàng hé zhìliàng.</t>
        </is>
      </c>
      <c r="F264" s="114">
        <f>HYPERLINK("https://youglish.com/pronounce/我们需要确认产品的数量和质量/chinese","🔍")</f>
        <v/>
      </c>
    </row>
    <row r="265" ht="42.75" customHeight="1" s="99">
      <c r="A265" s="94" t="inlineStr">
        <is>
          <t>626 ĐPTM.pdf</t>
        </is>
      </c>
      <c r="B265" s="95" t="inlineStr">
        <is>
          <t>264</t>
        </is>
      </c>
      <c r="C265" s="94" t="inlineStr">
        <is>
          <t>请问您是否能够提供更多的样品？</t>
        </is>
      </c>
      <c r="D265" s="94" t="inlineStr">
        <is>
          <t>Xin hỏi bạn có thể cung cấp thêm mẫu không? Qǐngwèn nín shìfǒu nénggòu tígōng gèng duō de yàngpǐn?</t>
        </is>
      </c>
      <c r="E265" s="94" t="inlineStr">
        <is>
          <t>264 请问您是否能 够提供更多的 样品？ Xin hỏi bạn có thể cung cấp thêm mẫu không? Qǐngwèn nín shìfǒu nénggòu tígōng gèng duō de yàngpǐn?</t>
        </is>
      </c>
      <c r="F265" s="115">
        <f>HYPERLINK("https://youglish.com/pronounce/请问您是否能够提供更多的样品/chinese","🔍")</f>
        <v/>
      </c>
    </row>
    <row r="266" ht="42.75" customHeight="1" s="99">
      <c r="A266" s="92" t="inlineStr">
        <is>
          <t>626 ĐPTM.pdf</t>
        </is>
      </c>
      <c r="B266" s="93" t="inlineStr">
        <is>
          <t>265</t>
        </is>
      </c>
      <c r="C266" s="92" t="inlineStr">
        <is>
          <t>我们需要对产品的标准进行商议。</t>
        </is>
      </c>
      <c r="D266" s="92" t="inlineStr">
        <is>
          <t>Chúng tôi cần thảo luận về tiêu chuẩn sản phẩm. Wǒmen xūyào duì chǎnpǐn de biāozhǔn jìnxíng shāngyì.</t>
        </is>
      </c>
      <c r="E266" s="92" t="inlineStr">
        <is>
          <t>265 我们需要对产 品的标准进行 商议。 Chúng tôi cần thảo luận về tiêu chuẩn sản phẩm. Wǒmen xūyào duì chǎnpǐn de biāozhǔn jìnxíng shāngyì.</t>
        </is>
      </c>
      <c r="F266" s="114">
        <f>HYPERLINK("https://youglish.com/pronounce/我们需要对产品的标准进行商议/chinese","🔍")</f>
        <v/>
      </c>
    </row>
    <row r="267" ht="42.75" customHeight="1" s="99">
      <c r="A267" s="94" t="inlineStr">
        <is>
          <t>626 ĐPTM.pdf</t>
        </is>
      </c>
      <c r="B267" s="95" t="inlineStr">
        <is>
          <t>266</t>
        </is>
      </c>
      <c r="C267" s="94" t="inlineStr">
        <is>
          <t>我们需要对质量检验进行商议。</t>
        </is>
      </c>
      <c r="D267" s="94" t="inlineStr">
        <is>
          <t>Chúng tôi cần thảo luận về quá trình kiểm tra chất lượng. Wǒmen xūyào duì zhí liàng jiǎnyàn jìnxíng shāngyì.</t>
        </is>
      </c>
      <c r="E267" s="94" t="inlineStr">
        <is>
          <t>266 我们需要对质 量检验进行商 议。 Chúng tôi cần thảo luận về quá trình kiểm tra chất lượng. Wǒmen xūyào duì zhí liàng jiǎnyàn jìnxíng shāngyì.</t>
        </is>
      </c>
      <c r="F267" s="115">
        <f>HYPERLINK("https://youglish.com/pronounce/我们需要对质量检验进行商议/chinese","🔍")</f>
        <v/>
      </c>
    </row>
    <row r="268" ht="42.75" customHeight="1" s="99">
      <c r="A268" s="92" t="inlineStr">
        <is>
          <t>626 ĐPTM.pdf</t>
        </is>
      </c>
      <c r="B268" s="93" t="inlineStr">
        <is>
          <t>267</t>
        </is>
      </c>
      <c r="C268" s="92" t="inlineStr">
        <is>
          <t>您的报价是否包括税费和附加费用？</t>
        </is>
      </c>
      <c r="D268" s="92" t="inlineStr">
        <is>
          <t>Báo giá của bạn đã bao gồm thuế và các chi phí phụ khác chưa? Nín de bàojià shìfǒu bāokuò shuì fèi hé fùjiā fèiyòng?</t>
        </is>
      </c>
      <c r="E268" s="92" t="inlineStr">
        <is>
          <t>267 您的报价是否 包括税费和附 加费用？ Báo giá của bạn đã bao gồm thuế và các chi phí phụ khác chưa? Nín de bàojià shìfǒu bāokuò shuì fèi hé fùjiā fèiyòng?</t>
        </is>
      </c>
      <c r="F268" s="114">
        <f>HYPERLINK("https://youglish.com/pronounce/您的报价是否包括税费和附加费用/chinese","🔍")</f>
        <v/>
      </c>
    </row>
    <row r="269" ht="28.5" customHeight="1" s="99">
      <c r="A269" s="94" t="inlineStr">
        <is>
          <t>626 ĐPTM.pdf</t>
        </is>
      </c>
      <c r="B269" s="95" t="inlineStr">
        <is>
          <t>268</t>
        </is>
      </c>
      <c r="C269" s="94" t="inlineStr">
        <is>
          <t>我们需要确认交付方式。</t>
        </is>
      </c>
      <c r="D269" s="94" t="inlineStr">
        <is>
          <t>Chúng tôi cần xác nhận phương thức giao hàng. Wǒmen xūyào quèrèn jiāofù fāngshì.</t>
        </is>
      </c>
      <c r="E269" s="94" t="inlineStr">
        <is>
          <t>268 我们需要确认 交付方式。 Chúng tôi cần xác nhận phương thức giao hàng. Wǒmen xūyào quèrèn jiāofù fāngshì.</t>
        </is>
      </c>
      <c r="F269" s="115">
        <f>HYPERLINK("https://youglish.com/pronounce/我们需要确认交付方式/chinese","🔍")</f>
        <v/>
      </c>
    </row>
    <row r="270" ht="42.75" customHeight="1" s="99">
      <c r="A270" s="92" t="inlineStr">
        <is>
          <t>626 ĐPTM.pdf</t>
        </is>
      </c>
      <c r="B270" s="93" t="inlineStr">
        <is>
          <t>269</t>
        </is>
      </c>
      <c r="C270" s="92" t="inlineStr">
        <is>
          <t>您是否能够提供更高质量的产品？</t>
        </is>
      </c>
      <c r="D270" s="92" t="inlineStr">
        <is>
          <t>Liệu bạn có thể cung cấp sản phẩm chất lượng cao hơn không? Nín shìfǒu nénggòu tígōng gèng gāo zhìliàng de chǎnpǐn?</t>
        </is>
      </c>
      <c r="E270" s="92" t="inlineStr">
        <is>
          <t>269 您是否能够提 供更高质量的 产品？ Liệu bạn có thể cung cấp sản phẩm chất lượng cao hơn không? Nín shìfǒu nénggòu tígōng gèng gāo zhìliàng de chǎnpǐn?</t>
        </is>
      </c>
      <c r="F270" s="114">
        <f>HYPERLINK("https://youglish.com/pronounce/您是否能够提供更高质量的产品/chinese","🔍")</f>
        <v/>
      </c>
    </row>
    <row r="271" ht="42.75" customHeight="1" s="99">
      <c r="A271" s="94" t="inlineStr">
        <is>
          <t>626 ĐPTM.pdf</t>
        </is>
      </c>
      <c r="B271" s="95" t="inlineStr">
        <is>
          <t>270</t>
        </is>
      </c>
      <c r="C271" s="94" t="inlineStr">
        <is>
          <t>我们需要对产品的配送方式进行商议。</t>
        </is>
      </c>
      <c r="D271" s="94" t="inlineStr">
        <is>
          <t>Chúng tôi cần thảo luận về phương thức vận chuyển sản phẩm. Wǒmen xūyào duì chǎnpǐn de pèisòng fāngshì jìnxíng shāngyì.</t>
        </is>
      </c>
      <c r="E271" s="94" t="inlineStr">
        <is>
          <t>270 我们需要对产 品的配送方式 进行商议。 Chúng tôi cần thảo luận về phương thức vận chuyển sản phẩm. Wǒmen xūyào duì chǎnpǐn de pèisòng fāngshì jìnxíng shāngyì.</t>
        </is>
      </c>
      <c r="F271" s="115">
        <f>HYPERLINK("https://youglish.com/pronounce/我们需要对产品的配送方式进行商议/chinese","🔍")</f>
        <v/>
      </c>
    </row>
    <row r="272" ht="42.75" customHeight="1" s="99">
      <c r="A272" s="92" t="inlineStr">
        <is>
          <t>626 ĐPTM.pdf</t>
        </is>
      </c>
      <c r="B272" s="93" t="inlineStr">
        <is>
          <t>271</t>
        </is>
      </c>
      <c r="C272" s="92" t="inlineStr">
        <is>
          <t>我们需要对保险和运输损失进行商议。</t>
        </is>
      </c>
      <c r="D272" s="92" t="inlineStr">
        <is>
          <t>Chúng tôi cần thảo luận về bảo hiểm và thất thoát trong quá trình vận chuyển. Wǒmen xūyào duì bǎoxiǎn hé yùnshū sǔnshī jìnxíng shāngyì.</t>
        </is>
      </c>
      <c r="E272" s="92" t="inlineStr">
        <is>
          <t>271 我们需要对保 险和运输损失 进行商议。 Chúng tôi cần thảo luận về bảo hiểm và thất thoát trong quá trình vận chuyển. Wǒmen xūyào duì bǎoxiǎn hé yùnshū sǔnshī jìnxíng shāngyì.</t>
        </is>
      </c>
      <c r="F272" s="114">
        <f>HYPERLINK("https://youglish.com/pronounce/我们需要对保险和运输损失进行商议/chinese","🔍")</f>
        <v/>
      </c>
    </row>
    <row r="273" ht="42.75" customHeight="1" s="99">
      <c r="A273" s="94" t="inlineStr">
        <is>
          <t>626 ĐPTM.pdf</t>
        </is>
      </c>
      <c r="B273" s="95" t="inlineStr">
        <is>
          <t>272</t>
        </is>
      </c>
      <c r="C273" s="94" t="inlineStr">
        <is>
          <t>我们需要确认产品的包装规格。</t>
        </is>
      </c>
      <c r="D273" s="94" t="inlineStr">
        <is>
          <t>Chúng tôi cần xác nhận thông số đóng gói của sản phẩm. Wǒmen xūyào quèrèn chǎnpǐn de bāozhuāng guīgé.</t>
        </is>
      </c>
      <c r="E273" s="94" t="inlineStr">
        <is>
          <t>272 我们需要确认 产品的包装规 格。 Chúng tôi cần xác nhận thông số đóng gói của sản phẩm. Wǒmen xūyào quèrèn chǎnpǐn de bāozhuāng guīgé.</t>
        </is>
      </c>
      <c r="F273" s="115">
        <f>HYPERLINK("https://youglish.com/pronounce/我们需要确认产品的包装规格/chinese","🔍")</f>
        <v/>
      </c>
    </row>
    <row r="274" ht="42.75" customHeight="1" s="99">
      <c r="A274" s="92" t="inlineStr">
        <is>
          <t>626 ĐPTM.pdf</t>
        </is>
      </c>
      <c r="B274" s="93" t="inlineStr">
        <is>
          <t>273</t>
        </is>
      </c>
      <c r="C274" s="92" t="inlineStr">
        <is>
          <t>您的产品符合我们的要求。 Sản phẩm của bạn đáp ứng yêu cầu của chúng tôi.</t>
        </is>
      </c>
      <c r="D274" s="92" t="inlineStr">
        <is>
          <t>Nín de chǎnpǐn fúhé wǒmen de yāoqiú.</t>
        </is>
      </c>
      <c r="E274" s="92" t="inlineStr">
        <is>
          <t>273 您的产品符合 我们的要求。 Sản phẩm của bạn đáp ứng yêu cầu của chúng tôi. Nín de chǎnpǐn fúhé wǒmen de yāoqiú.</t>
        </is>
      </c>
      <c r="F274" s="114">
        <f>HYPERLINK("https://youglish.com/pronounce/您的产品符合我们的要求/chinese","🔍")</f>
        <v/>
      </c>
    </row>
    <row r="275" ht="42.75" customHeight="1" s="99">
      <c r="A275" s="94" t="inlineStr">
        <is>
          <t>626 ĐPTM.pdf</t>
        </is>
      </c>
      <c r="B275" s="95" t="inlineStr">
        <is>
          <t>274</t>
        </is>
      </c>
      <c r="C275" s="94" t="inlineStr">
        <is>
          <t>我们需要确认产品的颜色和材质。</t>
        </is>
      </c>
      <c r="D275" s="94" t="inlineStr">
        <is>
          <t>Chúng tôi cần xác nhận màu sắc và chất liệu sản phẩm. Wǒmen xūyào quèrèn chǎnpǐn de yánsè hé cáizhì.</t>
        </is>
      </c>
      <c r="E275" s="94" t="inlineStr">
        <is>
          <t>274 我们需要确认 产品的颜色和 材质。 Chúng tôi cần xác nhận màu sắc và chất liệu sản phẩm. Wǒmen xūyào quèrèn chǎnpǐn de yánsè hé cáizhì.</t>
        </is>
      </c>
      <c r="F275" s="115">
        <f>HYPERLINK("https://youglish.com/pronounce/我们需要确认产品的颜色和材质/chinese","🔍")</f>
        <v/>
      </c>
    </row>
    <row r="276" ht="42.75" customHeight="1" s="99">
      <c r="A276" s="92" t="inlineStr">
        <is>
          <t>626 ĐPTM.pdf</t>
        </is>
      </c>
      <c r="B276" s="93" t="inlineStr">
        <is>
          <t>275</t>
        </is>
      </c>
      <c r="C276" s="92" t="inlineStr">
        <is>
          <t>我们需要对合同的终止条件进行商议。</t>
        </is>
      </c>
      <c r="D276" s="92" t="inlineStr">
        <is>
          <t>Chúng tôi cần thảo luận về điều kiện chấm dứt hợp đồng. Wǒmen xūyào duì hétóng de zhōngzhǐ tiáojiàn jìnxíng shāngyì.</t>
        </is>
      </c>
      <c r="E276" s="92" t="inlineStr">
        <is>
          <t>275 我们需要对合 同的终止条件 进行商议。 Chúng tôi cần thảo luận về điều kiện chấm dứt hợp đồng. Wǒmen xūyào duì hétóng de zhōngzhǐ tiáojiàn jìnxíng shāngyì.</t>
        </is>
      </c>
      <c r="F276" s="114">
        <f>HYPERLINK("https://youglish.com/pronounce/我们需要对合同的终止条件进行商议/chinese","🔍")</f>
        <v/>
      </c>
    </row>
    <row r="277" ht="42.75" customHeight="1" s="99">
      <c r="A277" s="94" t="inlineStr">
        <is>
          <t>626 ĐPTM.pdf</t>
        </is>
      </c>
      <c r="B277" s="95" t="inlineStr">
        <is>
          <t>276</t>
        </is>
      </c>
      <c r="C277" s="94" t="inlineStr">
        <is>
          <t>我们需要确认产品的质量保证期限。</t>
        </is>
      </c>
      <c r="D277" s="94" t="inlineStr">
        <is>
          <t>Chúng tôi cần xác nhận thời hạn bảo hành sản phẩm. Wǒmen xūyào quèrèn chǎnpǐn de zhìliàng bǎozhèng qí xiàn.</t>
        </is>
      </c>
      <c r="E277" s="94" t="inlineStr">
        <is>
          <t>276 我们需要确认 产品的质量保 证期限。 Chúng tôi cần xác nhận thời hạn bảo hành sản phẩm. Wǒmen xūyào quèrèn chǎnpǐn de zhìliàng bǎozhèng qí xiàn.</t>
        </is>
      </c>
      <c r="F277" s="115">
        <f>HYPERLINK("https://youglish.com/pronounce/我们需要确认产品的质量保证期限/chinese","🔍")</f>
        <v/>
      </c>
    </row>
    <row r="278" ht="42.75" customHeight="1" s="99">
      <c r="A278" s="92" t="inlineStr">
        <is>
          <t>626 ĐPTM.pdf</t>
        </is>
      </c>
      <c r="B278" s="93" t="inlineStr">
        <is>
          <t>277</t>
        </is>
      </c>
      <c r="C278" s="92" t="inlineStr">
        <is>
          <t>我们需要对产品的保养和维护进行商议。</t>
        </is>
      </c>
      <c r="D278" s="92" t="inlineStr">
        <is>
          <t>Chúng tôi cần thảo luận về việc bảo trì và bảo dưỡng sản phẩm. Wǒmen xūyào duì chǎnpǐn de bǎoyǎng hé wéihù jìnxíng shāngyì.</t>
        </is>
      </c>
      <c r="E278" s="92" t="inlineStr">
        <is>
          <t>277 我们需要对产 品的保养和维 护进行商议。 Chúng tôi cần thảo luận về việc bảo trì và bảo dưỡng sản phẩm. Wǒmen xūyào duì chǎnpǐn de bǎoyǎng hé wéihù jìnxíng shāngyì.</t>
        </is>
      </c>
      <c r="F278" s="114">
        <f>HYPERLINK("https://youglish.com/pronounce/我们需要对产品的保养和维护进行商议/chinese","🔍")</f>
        <v/>
      </c>
    </row>
    <row r="279" ht="42.75" customHeight="1" s="99">
      <c r="A279" s="94" t="inlineStr">
        <is>
          <t>626 ĐPTM.pdf</t>
        </is>
      </c>
      <c r="B279" s="95" t="inlineStr">
        <is>
          <t>278</t>
        </is>
      </c>
      <c r="C279" s="94" t="inlineStr">
        <is>
          <t>我们需要确认付款方式的具体细节。</t>
        </is>
      </c>
      <c r="D279" s="94" t="inlineStr">
        <is>
          <t>Chúng tôi cần xác nhận chi tiết về phương thức thanh toán. Wǒmen xūyào quèrèn fùkuǎn fāngshì de jùtǐ xìjié.</t>
        </is>
      </c>
      <c r="E279" s="94" t="inlineStr">
        <is>
          <t>278 我们需要确认 付款方式的具 体细节。 Chúng tôi cần xác nhận chi tiết về phương thức thanh toán. Wǒmen xūyào quèrèn fùkuǎn fāngshì de jùtǐ xìjié.</t>
        </is>
      </c>
      <c r="F279" s="115">
        <f>HYPERLINK("https://youglish.com/pronounce/我们需要确认付款方式的具体细节/chinese","🔍")</f>
        <v/>
      </c>
    </row>
    <row r="280" ht="42.75" customHeight="1" s="99">
      <c r="A280" s="92" t="inlineStr">
        <is>
          <t>626 ĐPTM.pdf</t>
        </is>
      </c>
      <c r="B280" s="93" t="inlineStr">
        <is>
          <t>279</t>
        </is>
      </c>
      <c r="C280" s="92" t="inlineStr">
        <is>
          <t>您能否为我们提供更多的产品信息和规格？</t>
        </is>
      </c>
      <c r="D280" s="92" t="inlineStr">
        <is>
          <t>Liệu bạn có thể cung cấp thêm thông tin và thông số kỹ thuật sản phẩm không? Nín néng fǒu wèi wǒmen tígōng gèng duō de chǎnpǐn xìnxī hé guīgé?</t>
        </is>
      </c>
      <c r="E280" s="92" t="inlineStr">
        <is>
          <t>279 您能否为我们 提供更多的产 品信息和规 格？ Liệu bạn có thể cung cấp thêm thông tin và thông số kỹ thuật sản phẩm không? Nín néng fǒu wèi wǒmen tígōng gèng duō de chǎnpǐn xìnxī hé guīgé?</t>
        </is>
      </c>
      <c r="F280" s="114">
        <f>HYPERLINK("https://youglish.com/pronounce/您能否为我们提供更多的产品信息和规格/chinese","🔍")</f>
        <v/>
      </c>
    </row>
    <row r="281" ht="42.75" customHeight="1" s="99">
      <c r="A281" s="94" t="inlineStr">
        <is>
          <t>626 ĐPTM.pdf</t>
        </is>
      </c>
      <c r="B281" s="95" t="inlineStr">
        <is>
          <t>280</t>
        </is>
      </c>
      <c r="C281" s="94" t="inlineStr">
        <is>
          <t>我们需要对产品的包装材料和方法进行商议。</t>
        </is>
      </c>
      <c r="D281" s="94" t="inlineStr">
        <is>
          <t>Chúng tôi cần thảo luận về vật liệu và phương pháp đóng gói sản phẩm. Wǒmen xūyào duì chǎnpǐn de bāozhuāng cáiliào hé fāngfǎ jìnxíng shāngyì.</t>
        </is>
      </c>
      <c r="E281" s="94" t="inlineStr">
        <is>
          <t>280 我们需要对产 品的包装材料 和方法进行商 议。 Chúng tôi cần thảo luận về vật liệu và phương pháp đóng gói sản phẩm. Wǒmen xūyào duì chǎnpǐn de bāozhuāng cáiliào hé fāngfǎ jìnxíng shāngyì.</t>
        </is>
      </c>
      <c r="F281" s="115">
        <f>HYPERLINK("https://youglish.com/pronounce/我们需要对产品的包装材料和方法进行商议/chinese","🔍")</f>
        <v/>
      </c>
    </row>
    <row r="282" ht="42.75" customHeight="1" s="99">
      <c r="A282" s="92" t="inlineStr">
        <is>
          <t>626 ĐPTM.pdf</t>
        </is>
      </c>
      <c r="B282" s="93" t="inlineStr">
        <is>
          <t>281</t>
        </is>
      </c>
      <c r="C282" s="92" t="inlineStr">
        <is>
          <t>我们需要确认产品的售后服务条款。</t>
        </is>
      </c>
      <c r="D282" s="92" t="inlineStr">
        <is>
          <t>Chúng tôi cần xác nhận các điều khoản dịch vụ hậu mãi của sản phẩm. Wǒmen xūyào quèrèn chǎnpǐn de shòuhòu fúwù tiáokuǎn.</t>
        </is>
      </c>
      <c r="E282" s="92" t="inlineStr">
        <is>
          <t>281 我们需要确认 产品的售后服 务条款。 Chúng tôi cần xác nhận các điều khoản dịch vụ hậu mãi của sản phẩm. Wǒmen xūyào quèrèn chǎnpǐn de shòuhòu fúwù tiáokuǎn.</t>
        </is>
      </c>
      <c r="F282" s="114">
        <f>HYPERLINK("https://youglish.com/pronounce/我们需要确认产品的售后服务条款/chinese","🔍")</f>
        <v/>
      </c>
    </row>
    <row r="283" ht="42.75" customHeight="1" s="99">
      <c r="A283" s="94" t="inlineStr">
        <is>
          <t>626 ĐPTM.pdf</t>
        </is>
      </c>
      <c r="B283" s="95" t="inlineStr">
        <is>
          <t>282</t>
        </is>
      </c>
      <c r="C283" s="94" t="inlineStr">
        <is>
          <t>您能否为我们提供更多的产品样品？</t>
        </is>
      </c>
      <c r="D283" s="94" t="inlineStr">
        <is>
          <t>Liệu ông có thể cung cấp thêm mẫu sản phẩm cho chúng tôi không? Nín néng fǒu wèi wǒmen tígōng gèng duō de chǎnpǐn yàngpǐn?</t>
        </is>
      </c>
      <c r="E283" s="94" t="inlineStr">
        <is>
          <t>282 您能否为我们 提供更多的产 品样品？ Liệu ông có thể cung cấp thêm mẫu sản phẩm cho chúng tôi không? Nín néng fǒu wèi wǒmen tígōng gèng duō de chǎnpǐn yàngpǐn?</t>
        </is>
      </c>
      <c r="F283" s="115">
        <f>HYPERLINK("https://youglish.com/pronounce/您能否为我们提供更多的产品样品/chinese","🔍")</f>
        <v/>
      </c>
    </row>
    <row r="284" ht="42.75" customHeight="1" s="99">
      <c r="A284" s="92" t="inlineStr">
        <is>
          <t>626 ĐPTM.pdf</t>
        </is>
      </c>
      <c r="B284" s="93" t="inlineStr">
        <is>
          <t>283</t>
        </is>
      </c>
      <c r="C284" s="92" t="inlineStr">
        <is>
          <t>我们需要对产品的标签和包装设计进行商议。</t>
        </is>
      </c>
      <c r="D284" s="92" t="inlineStr">
        <is>
          <t>Chúng tôi cần thảo luận về thiết kế nhãn hiệu và bao bì sản phẩm. Wǒmen xūyào duì chǎnpǐn de biāoqiān hé bāozhuāng shèjì jìnxíng shāngyì.</t>
        </is>
      </c>
      <c r="E284" s="92" t="inlineStr">
        <is>
          <t>283 我们需要对产 品的标签和包 装设计进行商 议。 Chúng tôi cần thảo luận về thiết kế nhãn hiệu và bao bì sản phẩm. Wǒmen xūyào duì chǎnpǐn de biāoqiān hé bāozhuāng shèjì jìnxíng shāngyì.</t>
        </is>
      </c>
      <c r="F284" s="114">
        <f>HYPERLINK("https://youglish.com/pronounce/我们需要对产品的标签和包装设计进行商议/chinese","🔍")</f>
        <v/>
      </c>
    </row>
    <row r="285" ht="42.75" customHeight="1" s="99">
      <c r="A285" s="94" t="inlineStr">
        <is>
          <t>626 ĐPTM.pdf</t>
        </is>
      </c>
      <c r="B285" s="95" t="inlineStr">
        <is>
          <t>284</t>
        </is>
      </c>
      <c r="C285" s="94" t="inlineStr">
        <is>
          <t>我们需要对交货的时间和方式进行商议。</t>
        </is>
      </c>
      <c r="D285" s="94" t="inlineStr">
        <is>
          <t>Chúng tôi cần thảo luận về thời gian và phương thức giao hàng. Wǒmen xūyào duì jiāo huò de shíjiān hé fāngshì jìnxíng shāngyì.</t>
        </is>
      </c>
      <c r="E285" s="94" t="inlineStr">
        <is>
          <t>284 我们需要对交 货的时间和方 式进行商议。 Chúng tôi cần thảo luận về thời gian và phương thức giao hàng. Wǒmen xūyào duì jiāo huò de shíjiān hé fāngshì jìnxíng shāngyì.</t>
        </is>
      </c>
      <c r="F285" s="115">
        <f>HYPERLINK("https://youglish.com/pronounce/我们需要对交货的时间和方式进行商议/chinese","🔍")</f>
        <v/>
      </c>
    </row>
    <row r="286" ht="42.75" customHeight="1" s="99">
      <c r="A286" s="92" t="inlineStr">
        <is>
          <t>626 ĐPTM.pdf</t>
        </is>
      </c>
      <c r="B286" s="93" t="inlineStr">
        <is>
          <t>285</t>
        </is>
      </c>
      <c r="C286" s="92" t="inlineStr">
        <is>
          <t>您能否为我们提供更多的合同条款和条件？</t>
        </is>
      </c>
      <c r="D286" s="92" t="inlineStr">
        <is>
          <t>Ông có thể cung cấp thêm các điều khoản và điều kiện hợp đồng cho chúng tôi được không? Nín néng fǒu wèi wǒmen tígōng gèng duō de hétóng tiáokuǎn hé tiáojiàn?</t>
        </is>
      </c>
      <c r="E286" s="92" t="inlineStr">
        <is>
          <t>285 您能否为我们 提供更多的合 同条款和条 件？ Ông có thể cung cấp thêm các điều khoản và điều kiện hợp đồng cho chúng tôi được không? Nín néng fǒu wèi wǒmen tígōng gèng duō de hétóng tiáokuǎn hé tiáojiàn?</t>
        </is>
      </c>
      <c r="F286" s="114">
        <f>HYPERLINK("https://youglish.com/pronounce/您能否为我们提供更多的合同条款和条件/chinese","🔍")</f>
        <v/>
      </c>
    </row>
    <row r="287" ht="42.75" customHeight="1" s="99">
      <c r="A287" s="94" t="inlineStr">
        <is>
          <t>626 ĐPTM.pdf</t>
        </is>
      </c>
      <c r="B287" s="95" t="inlineStr">
        <is>
          <t>286</t>
        </is>
      </c>
      <c r="C287" s="94" t="inlineStr">
        <is>
          <t>我们需要确认产品的使用说明和安全警示。</t>
        </is>
      </c>
      <c r="D287" s="94" t="inlineStr">
        <is>
          <t>Chúng tôi cần xác nhận hướng dẫn sử dụng sản phẩm và cảnh báo an toàn. Wǒmen xūyào quèrèn chǎnpǐn de shǐyòng shuōmíng hé ānquán jǐngshì.</t>
        </is>
      </c>
      <c r="E287" s="94" t="inlineStr">
        <is>
          <t>286 我们需要确认 产品的使用说 明和安全警示。 Chúng tôi cần xác nhận hướng dẫn sử dụng sản phẩm và cảnh báo an toàn. Wǒmen xūyào quèrèn chǎnpǐn de shǐyòng shuōmíng hé ānquán jǐngshì.</t>
        </is>
      </c>
      <c r="F287" s="115">
        <f>HYPERLINK("https://youglish.com/pronounce/我们需要确认产品的使用说明和安全警示/chinese","🔍")</f>
        <v/>
      </c>
    </row>
    <row r="288" ht="42.75" customHeight="1" s="99">
      <c r="A288" s="92" t="inlineStr">
        <is>
          <t>626 ĐPTM.pdf</t>
        </is>
      </c>
      <c r="B288" s="93" t="inlineStr">
        <is>
          <t>287</t>
        </is>
      </c>
      <c r="C288" s="92" t="inlineStr">
        <is>
          <t>我们需要对合同的违约责任和赔偿进行商议。</t>
        </is>
      </c>
      <c r="D288" s="92" t="inlineStr">
        <is>
          <t>Chúng tôi cần thảo luận về trách nhiệm vi phạm hợp đồng và bồi thường. Wǒmen xūyào duì hétóng de wéiyuē zérèn hé péicháng jìnxíng shāngyì.</t>
        </is>
      </c>
      <c r="E288" s="92" t="inlineStr">
        <is>
          <t>287 我们需要对合 同的违约责任 和赔偿进行商 议。 Chúng tôi cần thảo luận về trách nhiệm vi phạm hợp đồng và bồi thường. Wǒmen xūyào duì hétóng de wéiyuē zérèn hé péicháng jìnxíng shāngyì.</t>
        </is>
      </c>
      <c r="F288" s="114">
        <f>HYPERLINK("https://youglish.com/pronounce/我们需要对合同的违约责任和赔偿进行商议/chinese","🔍")</f>
        <v/>
      </c>
    </row>
    <row r="289" ht="42.75" customHeight="1" s="99">
      <c r="A289" s="94" t="inlineStr">
        <is>
          <t>626 ĐPTM.pdf</t>
        </is>
      </c>
      <c r="B289" s="95" t="inlineStr">
        <is>
          <t>288</t>
        </is>
      </c>
      <c r="C289" s="94" t="inlineStr">
        <is>
          <t>我们需要确认合同的生效日期和期限。</t>
        </is>
      </c>
      <c r="D289" s="94" t="inlineStr">
        <is>
          <t>Chúng tôi cần xác nhận ngày có hiệu lực và thời hạn hợp đồng. Wǒmen xūyào quèrèn hétóng de shēngxiào rìqí hé qíxiàn.</t>
        </is>
      </c>
      <c r="E289" s="94" t="inlineStr">
        <is>
          <t>288 我们需要确认 合同的生效日 期和期限。 Chúng tôi cần xác nhận ngày có hiệu lực và thời hạn hợp đồng. Wǒmen xūyào quèrèn hétóng de shēngxiào rìqí hé qíxiàn.</t>
        </is>
      </c>
      <c r="F289" s="115">
        <f>HYPERLINK("https://youglish.com/pronounce/我们需要确认合同的生效日期和期限/chinese","🔍")</f>
        <v/>
      </c>
    </row>
    <row r="290" ht="57" customHeight="1" s="99">
      <c r="A290" s="92" t="inlineStr">
        <is>
          <t>626 ĐPTM.pdf</t>
        </is>
      </c>
      <c r="B290" s="93" t="inlineStr">
        <is>
          <t>289</t>
        </is>
      </c>
      <c r="C290" s="92" t="inlineStr">
        <is>
          <t>您能否为我们提供更多的产品认证和检测报告？</t>
        </is>
      </c>
      <c r="D290" s="92" t="inlineStr">
        <is>
          <t>Ông có thể cung cấp thêm chứng nhận sản phẩm và báo cáo kiểm định cho chúng tôi được không? Nín néng fǒu wèi wǒmen tígōng gèng duō de chǎnpǐn rènzhèng hé jiǎncè bàogào?</t>
        </is>
      </c>
      <c r="E290" s="92" t="inlineStr">
        <is>
          <t>289 您能否为我们 提供更多的产 品认证和检测 报告？ Ông có thể cung cấp thêm chứng nhận sản phẩm và báo cáo kiểm định cho chúng tôi được không? Nín néng fǒu wèi wǒmen tígōng gèng duō de chǎnpǐn rènzhèng hé jiǎncè bàogào?</t>
        </is>
      </c>
      <c r="F290" s="114">
        <f>HYPERLINK("https://youglish.com/pronounce/您能否为我们提供更多的产品认证和检测报告/chinese","🔍")</f>
        <v/>
      </c>
    </row>
    <row r="291" ht="42.75" customHeight="1" s="99">
      <c r="A291" s="94" t="inlineStr">
        <is>
          <t>626 ĐPTM.pdf</t>
        </is>
      </c>
      <c r="B291" s="95" t="inlineStr">
        <is>
          <t>290</t>
        </is>
      </c>
      <c r="C291" s="94" t="inlineStr">
        <is>
          <t>我们需要对产品的包装和运输安全进行商议。</t>
        </is>
      </c>
      <c r="D291" s="94" t="inlineStr">
        <is>
          <t>Chúng tôi cần thảo luận về đóng gói và vận chuyển an toàn sản phẩm. Wǒmen xūyào duì chǎnpǐn de bāozhuāng hé yùnshū ānquán jìnxíng shāngyì.</t>
        </is>
      </c>
      <c r="E291" s="94" t="inlineStr">
        <is>
          <t>290 我们需要对产 品的包装和运 输安全进行商 议。 Chúng tôi cần thảo luận về đóng gói và vận chuyển an toàn sản phẩm. Wǒmen xūyào duì chǎnpǐn de bāozhuāng hé yùnshū ānquán jìnxíng shāngyì.</t>
        </is>
      </c>
      <c r="F291" s="115">
        <f>HYPERLINK("https://youglish.com/pronounce/我们需要对产品的包装和运输安全进行商议/chinese","🔍")</f>
        <v/>
      </c>
    </row>
    <row r="292" ht="42.75" customHeight="1" s="99">
      <c r="A292" s="92" t="inlineStr">
        <is>
          <t>626 ĐPTM.pdf</t>
        </is>
      </c>
      <c r="B292" s="93" t="inlineStr">
        <is>
          <t>291</t>
        </is>
      </c>
      <c r="C292" s="92" t="inlineStr">
        <is>
          <t>我们需要确认产品的包装数量和容量。</t>
        </is>
      </c>
      <c r="D292" s="92" t="inlineStr">
        <is>
          <t>Chúng tôi cần xác nhận số lượng và dung tích đóng gói của sản phẩm. Wǒmen xūyào quèrèn chǎnpǐn de bāozhuāng shùliàng hé róngliàng.</t>
        </is>
      </c>
      <c r="E292" s="92" t="inlineStr">
        <is>
          <t>291 我们需要确认 产品的包装数 量和容量。 Chúng tôi cần xác nhận số lượng và dung tích đóng gói của sản phẩm. Wǒmen xūyào quèrèn chǎnpǐn de bāozhuāng shùliàng hé róngliàng.</t>
        </is>
      </c>
      <c r="F292" s="114">
        <f>HYPERLINK("https://youglish.com/pronounce/我们需要确认产品的包装数量和容量/chinese","🔍")</f>
        <v/>
      </c>
    </row>
    <row r="293" ht="57" customHeight="1" s="99">
      <c r="A293" s="94" t="inlineStr">
        <is>
          <t>626 ĐPTM.pdf</t>
        </is>
      </c>
      <c r="B293" s="95" t="inlineStr">
        <is>
          <t>292</t>
        </is>
      </c>
      <c r="C293" s="94" t="inlineStr">
        <is>
          <t>您能否为我们提供更多的供货能力和交货保证？</t>
        </is>
      </c>
      <c r="D293" s="94" t="inlineStr">
        <is>
          <t>Ông có thể cung cấp thêm thông tin về khả năng cung ứng và bảo đảm giao hàng cho chúng tôi được không? Nín néng fǒu wèi wǒmen tígōng gèng duō de gōng huò nénglì hé jiāo huò bǎozhèng?</t>
        </is>
      </c>
      <c r="E293" s="94" t="inlineStr">
        <is>
          <t>292 您能否为我们 提供更多的供 货能力和交货 保证？ Ông có thể cung cấp thêm thông tin về khả năng cung ứng và bảo đảm giao hàng cho chúng tôi được không? Nín néng fǒu wèi wǒmen tígōng gèng duō de gōng huò nénglì hé jiāo huò bǎozhèng?</t>
        </is>
      </c>
      <c r="F293" s="115">
        <f>HYPERLINK("https://youglish.com/pronounce/您能否为我们提供更多的供货能力和交货保证/chinese","🔍")</f>
        <v/>
      </c>
    </row>
    <row r="294" ht="42.75" customHeight="1" s="99">
      <c r="A294" s="92" t="inlineStr">
        <is>
          <t>626 ĐPTM.pdf</t>
        </is>
      </c>
      <c r="B294" s="93" t="inlineStr">
        <is>
          <t>293</t>
        </is>
      </c>
      <c r="C294" s="92" t="inlineStr">
        <is>
          <t>我们需要对产品的样品和试用进行商议。</t>
        </is>
      </c>
      <c r="D294" s="92" t="inlineStr">
        <is>
          <t>Chúng tôi cần thảo luận về mẫu sản phẩm và chính sách dùng thử. Wǒmen xūyào duì chǎnpǐn de yàngpǐn hé shìyòng jìnxíng shāngyì.</t>
        </is>
      </c>
      <c r="E294" s="92" t="inlineStr">
        <is>
          <t>293 我们需要对产 品的样品和试 用进行商议。 Chúng tôi cần thảo luận về mẫu sản phẩm và chính sách dùng thử. Wǒmen xūyào duì chǎnpǐn de yàngpǐn hé shìyòng jìnxíng shāngyì.</t>
        </is>
      </c>
      <c r="F294" s="114">
        <f>HYPERLINK("https://youglish.com/pronounce/我们需要对产品的样品和试用进行商议/chinese","🔍")</f>
        <v/>
      </c>
    </row>
    <row r="295" ht="42.75" customHeight="1" s="99">
      <c r="A295" s="94" t="inlineStr">
        <is>
          <t>626 ĐPTM.pdf</t>
        </is>
      </c>
      <c r="B295" s="95" t="inlineStr">
        <is>
          <t>294</t>
        </is>
      </c>
      <c r="C295" s="94" t="inlineStr">
        <is>
          <t>我们需要确认合同的解决争议方式和程序。</t>
        </is>
      </c>
      <c r="D295" s="94" t="inlineStr">
        <is>
          <t>Chúng tôi cần xác nhận phương thức và thủ tục giải quyết tranh chấp trong hợp đồng. Wǒmen xūyào quèrèn hétóng de jiějué zhēngyì fāngshì hé chéngxù.</t>
        </is>
      </c>
      <c r="E295" s="94" t="inlineStr">
        <is>
          <t>294 我们需要确认 合同的解决争 议方式和程 序。 Chúng tôi cần xác nhận phương thức và thủ tục giải quyết tranh chấp trong hợp đồng. Wǒmen xūyào quèrèn hétóng de jiějué zhēngyì fāngshì hé chéngxù.</t>
        </is>
      </c>
      <c r="F295" s="115">
        <f>HYPERLINK("https://youglish.com/pronounce/我们需要确认合同的解决争议方式和程序/chinese","🔍")</f>
        <v/>
      </c>
    </row>
    <row r="296" ht="57" customHeight="1" s="99">
      <c r="A296" s="92" t="inlineStr">
        <is>
          <t>626 ĐPTM.pdf</t>
        </is>
      </c>
      <c r="B296" s="93" t="inlineStr">
        <is>
          <t>295</t>
        </is>
      </c>
      <c r="C296" s="92" t="inlineStr">
        <is>
          <t>您能否为我们提供更多的生产过程和品质管理信息？</t>
        </is>
      </c>
      <c r="D296" s="92" t="inlineStr">
        <is>
          <t>Ông có thể cung cấp thêm thông tin về quá trình sản xuất và quản lý chất lượng được không? Nín néng fǒu wèi wǒmen tígōng gèng duō de shēngchǎn guòchéng hé pǐnzhí guǎnlǐ xìnxī?</t>
        </is>
      </c>
      <c r="E296" s="92" t="inlineStr">
        <is>
          <t>295 您能否为我们 提供更多的生 产过程和品质 管理信息？ Ông có thể cung cấp thêm thông tin về quá trình sản xuất và quản lý chất lượng được không? Nín néng fǒu wèi wǒmen tígōng gèng duō de shēngchǎn guòchéng hé pǐnzhí guǎnlǐ xìnxī?</t>
        </is>
      </c>
      <c r="F296" s="114">
        <f>HYPERLINK("https://youglish.com/pronounce/您能否为我们提供更多的生产过程和品质管理信息/chinese","🔍")</f>
        <v/>
      </c>
    </row>
    <row r="297" ht="42.75" customHeight="1" s="99">
      <c r="A297" s="94" t="inlineStr">
        <is>
          <t>626 ĐPTM.pdf</t>
        </is>
      </c>
      <c r="B297" s="95" t="inlineStr">
        <is>
          <t>296</t>
        </is>
      </c>
      <c r="C297" s="94" t="inlineStr">
        <is>
          <t>我们需要对产品的退换货和退款政策进行商议。</t>
        </is>
      </c>
      <c r="D297" s="94" t="inlineStr">
        <is>
          <t>Chúng tôi cần thảo luận về chính sách đổi trả và hoàn tiền sản phẩm. Wǒmen xūyào duì chǎnpǐn de tuìhuàn huò hé tuì kuǎn zhèngcè jìnxíng shāngyì.</t>
        </is>
      </c>
      <c r="E297" s="94" t="inlineStr">
        <is>
          <t>296 我们需要对产 品的退换货和 退款政策进行 商议。 Chúng tôi cần thảo luận về chính sách đổi trả và hoàn tiền sản phẩm. Wǒmen xūyào duì chǎnpǐn de tuìhuàn huò hé tuì kuǎn zhèngcè jìnxíng shāngyì.</t>
        </is>
      </c>
      <c r="F297" s="115">
        <f>HYPERLINK("https://youglish.com/pronounce/我们需要对产品的退换货和退款政策进行商议/chinese","🔍")</f>
        <v/>
      </c>
    </row>
    <row r="298" ht="42.75" customHeight="1" s="99">
      <c r="A298" s="92" t="inlineStr">
        <is>
          <t>626 ĐPTM.pdf</t>
        </is>
      </c>
      <c r="B298" s="93" t="inlineStr">
        <is>
          <t>297</t>
        </is>
      </c>
      <c r="C298" s="92" t="inlineStr">
        <is>
          <t>我们需要确认合同的法律适用和管辖权。</t>
        </is>
      </c>
      <c r="D298" s="92" t="inlineStr">
        <is>
          <t>Chúng tôi cần xác nhận điều khoản bảo mật và trách nhiệm trong hợp đồng. Wǒmen xūyào quèrèn hétóng de fǎlǜ shìyòng hé guǎnxiá quán.</t>
        </is>
      </c>
      <c r="E298" s="92" t="inlineStr">
        <is>
          <t>297 我们需要确认 合同的法律适 用和管辖权。 Chúng tôi cần xác nhận điều khoản bảo mật và trách nhiệm trong hợp đồng. Wǒmen xūyào quèrèn hétóng de fǎlǜ shìyòng hé guǎnxiá quán.</t>
        </is>
      </c>
      <c r="F298" s="114">
        <f>HYPERLINK("https://youglish.com/pronounce/我们需要确认合同的法律适用和管辖权/chinese","🔍")</f>
        <v/>
      </c>
    </row>
    <row r="299" ht="57" customHeight="1" s="99">
      <c r="A299" s="94" t="inlineStr">
        <is>
          <t>626 ĐPTM.pdf</t>
        </is>
      </c>
      <c r="B299" s="95" t="inlineStr">
        <is>
          <t>298</t>
        </is>
      </c>
      <c r="C299" s="94" t="inlineStr">
        <is>
          <t>您能否为我们提供更多的产品应用和案例介绍？</t>
        </is>
      </c>
      <c r="D299" s="94" t="inlineStr">
        <is>
          <t>Xin vui lòng cung cấp thêm thông tin về ứng dụng và các ví dụ về sản phẩm cho chúng tôi. Nín néng fǒu wèi wǒmen tígōng gèng duō de chǎnpǐn yìngyòng hé ànlì jièshào?</t>
        </is>
      </c>
      <c r="E299" s="94" t="inlineStr">
        <is>
          <t>298 您能否为我们 提供更多的产 品应用和案例 介绍？ Xin vui lòng cung cấp thêm thông tin về ứng dụng và các ví dụ về sản phẩm cho chúng tôi. Nín néng fǒu wèi wǒmen tígōng gèng duō de chǎnpǐn yìngyòng hé ànlì jièshào?</t>
        </is>
      </c>
      <c r="F299" s="115">
        <f>HYPERLINK("https://youglish.com/pronounce/您能否为我们提供更多的产品应用和案例介绍/chinese","🔍")</f>
        <v/>
      </c>
    </row>
    <row r="300" ht="42.75" customHeight="1" s="99">
      <c r="A300" s="92" t="inlineStr">
        <is>
          <t>626 ĐPTM.pdf</t>
        </is>
      </c>
      <c r="B300" s="93" t="inlineStr">
        <is>
          <t>299</t>
        </is>
      </c>
      <c r="C300" s="92" t="inlineStr">
        <is>
          <t>我们需要对产品的质量监控和改进进行商议。</t>
        </is>
      </c>
      <c r="D300" s="92" t="inlineStr">
        <is>
          <t>Chúng tôi cần thảo luận về việc giám sát và cải tiến chất lượng sản phẩm. Wǒmen xūyào duì chǎnpǐn de zhìliàng jiānkòng hé gǎijìn jìnxíng shāngyì.</t>
        </is>
      </c>
      <c r="E300" s="92" t="inlineStr">
        <is>
          <t>299 我们需要对产 品的质量监控 和改进进行商 议。 Chúng tôi cần thảo luận về việc giám sát và cải tiến chất lượng sản phẩm. Wǒmen xūyào duì chǎnpǐn de zhìliàng jiānkòng hé gǎijìn jìnxíng shāngyì.</t>
        </is>
      </c>
      <c r="F300" s="114">
        <f>HYPERLINK("https://youglish.com/pronounce/我们需要对产品的质量监控和改进进行商议/chinese","🔍")</f>
        <v/>
      </c>
    </row>
    <row r="301" ht="42.75" customHeight="1" s="99">
      <c r="A301" s="94" t="inlineStr">
        <is>
          <t>626 ĐPTM.pdf</t>
        </is>
      </c>
      <c r="B301" s="95" t="inlineStr">
        <is>
          <t>300</t>
        </is>
      </c>
      <c r="C301" s="94" t="inlineStr">
        <is>
          <t>我们需要确认合同的保密条款和责任。</t>
        </is>
      </c>
      <c r="D301" s="94" t="inlineStr">
        <is>
          <t>Chúng tôi cần xác nhận các điều khoản và trách nhiệm bảo mật trong hợp đồng. Wǒmen xūyào quèrèn hétóng de bǎomì tiáokuǎn hé zérèn.</t>
        </is>
      </c>
      <c r="E301" s="94" t="inlineStr">
        <is>
          <t>300 我们需要确认 合同的保密条 款和责任。 Chúng tôi cần xác nhận các điều khoản và trách nhiệm bảo mật trong hợp đồng. Wǒmen xūyào quèrèn hétóng de bǎomì tiáokuǎn hé zérèn.</t>
        </is>
      </c>
      <c r="F301" s="115">
        <f>HYPERLINK("https://youglish.com/pronounce/我们需要确认合同的保密条款和责任/chinese","🔍")</f>
        <v/>
      </c>
    </row>
    <row r="302" ht="42.75" customHeight="1" s="99">
      <c r="A302" s="92" t="inlineStr">
        <is>
          <t>626 ĐPTM.pdf</t>
        </is>
      </c>
      <c r="B302" s="93" t="inlineStr">
        <is>
          <t>301</t>
        </is>
      </c>
      <c r="C302" s="92" t="inlineStr">
        <is>
          <t>您能否为我们提供更多的客户参考和推荐？</t>
        </is>
      </c>
      <c r="D302" s="92" t="inlineStr">
        <is>
          <t>Xin vui lòng cung cấp thêm tham khảo và giới thiệu khách hàng cho chúng tôi. Nín néng fǒu wèi wǒmen tígōng gèng duō de kèhù cānkǎo hé tuījiàn?</t>
        </is>
      </c>
      <c r="E302" s="92" t="inlineStr">
        <is>
          <t>301 您能否为我们 提供更多的客 户参考和推 荐？ Xin vui lòng cung cấp thêm tham khảo và giới thiệu khách hàng cho chúng tôi. Nín néng fǒu wèi wǒmen tígōng gèng duō de kèhù cānkǎo hé tuījiàn?</t>
        </is>
      </c>
      <c r="F302" s="114">
        <f>HYPERLINK("https://youglish.com/pronounce/您能否为我们提供更多的客户参考和推荐/chinese","🔍")</f>
        <v/>
      </c>
    </row>
    <row r="303" ht="57" customHeight="1" s="99">
      <c r="A303" s="94" t="inlineStr">
        <is>
          <t>626 ĐPTM.pdf</t>
        </is>
      </c>
      <c r="B303" s="95" t="inlineStr">
        <is>
          <t>302</t>
        </is>
      </c>
      <c r="C303" s="94" t="inlineStr">
        <is>
          <t>我们需要对产品的市场需求和竞争情况进行商议。</t>
        </is>
      </c>
      <c r="D303" s="94" t="inlineStr">
        <is>
          <t>Chúng tôi cần thảo luận về nhu cầu thị trường và tình hình cạnh tranh sản phẩm. Wǒmen xūyào duì chǎnpǐn de shìchǎng xūqiú hé jìngzhēng qíngkuàng jìnxíng shāngyì.</t>
        </is>
      </c>
      <c r="E303" s="94" t="inlineStr">
        <is>
          <t>302 我们需要对产 品的市场需求 和竞争情况进 行商议。 Chúng tôi cần thảo luận về nhu cầu thị trường và tình hình cạnh tranh sản phẩm. Wǒmen xūyào duì chǎnpǐn de shìchǎng xūqiú hé jìngzhēng qíngkuàng jìnxíng shāngyì.</t>
        </is>
      </c>
      <c r="F303" s="115">
        <f>HYPERLINK("https://youglish.com/pronounce/我们需要对产品的市场需求和竞争情况进行商议/chinese","🔍")</f>
        <v/>
      </c>
    </row>
    <row r="304" ht="42.75" customHeight="1" s="99">
      <c r="A304" s="92" t="inlineStr">
        <is>
          <t>626 ĐPTM.pdf</t>
        </is>
      </c>
      <c r="B304" s="93" t="inlineStr">
        <is>
          <t>303</t>
        </is>
      </c>
      <c r="C304" s="92" t="inlineStr">
        <is>
          <t>我们需要确认合同的付款方式和分期付款计划。</t>
        </is>
      </c>
      <c r="D304" s="92" t="inlineStr">
        <is>
          <t>Chúng tôi cần xác nhận phương thức thanh toán và kế hoạch trả góp trong hợp đồng. Wǒmen xūyào quèrèn hétóng de fùkuǎn fāngshì hé fēnqí fùkuǎn jìhuà.</t>
        </is>
      </c>
      <c r="E304" s="92" t="inlineStr">
        <is>
          <t>303 我们需要确认 合同的付款方 式和分期付款 计划。 Chúng tôi cần xác nhận phương thức thanh toán và kế hoạch trả góp trong hợp đồng. Wǒmen xūyào quèrèn hétóng de fùkuǎn fāngshì hé fēnqí fùkuǎn jìhuà.</t>
        </is>
      </c>
      <c r="F304" s="114">
        <f>HYPERLINK("https://youglish.com/pronounce/我们需要确认合同的付款方式和分期付款计划/chinese","🔍")</f>
        <v/>
      </c>
    </row>
    <row r="305" ht="57" customHeight="1" s="99">
      <c r="A305" s="94" t="inlineStr">
        <is>
          <t>626 ĐPTM.pdf</t>
        </is>
      </c>
      <c r="B305" s="95" t="inlineStr">
        <is>
          <t>304</t>
        </is>
      </c>
      <c r="C305" s="94" t="inlineStr">
        <is>
          <t>您能否为我们提供更多的产品销售和市场趋势分析？</t>
        </is>
      </c>
      <c r="D305" s="94" t="inlineStr">
        <is>
          <t>Xin vui lòng cung cấp thêm phân tích xu hướng bán hàng và thị trường sản phẩm. Nín néng fǒu wèi wǒmen tígōng gèng duō de chǎnpǐn xiāoshòu hé shìchǎng qūshì fēnxī?</t>
        </is>
      </c>
      <c r="E305" s="94" t="inlineStr">
        <is>
          <t>304 您能否为我们 提供更多的产 品销售和市场 趋势分析？ Xin vui lòng cung cấp thêm phân tích xu hướng bán hàng và thị trường sản phẩm. Nín néng fǒu wèi wǒmen tígōng gèng duō de chǎnpǐn xiāoshòu hé shìchǎng qūshì fēnxī?</t>
        </is>
      </c>
      <c r="F305" s="115">
        <f>HYPERLINK("https://youglish.com/pronounce/您能否为我们提供更多的产品销售和市场趋势分析/chinese","🔍")</f>
        <v/>
      </c>
    </row>
    <row r="306" ht="42.75" customHeight="1" s="99">
      <c r="A306" s="92" t="inlineStr">
        <is>
          <t>626 ĐPTM.pdf</t>
        </is>
      </c>
      <c r="B306" s="93" t="inlineStr">
        <is>
          <t>305</t>
        </is>
      </c>
      <c r="C306" s="92" t="inlineStr">
        <is>
          <t>我们需要对合同的变更和补充进行商议。</t>
        </is>
      </c>
      <c r="D306" s="92" t="inlineStr">
        <is>
          <t>Chúng tôi cần thảo luận về việc thay đổi và bổ sung hợp đồng. Wǒmen xūyào duì hétóng de biàngēng hé bǔchōng jìnxíng shāngyì.</t>
        </is>
      </c>
      <c r="E306" s="92" t="inlineStr">
        <is>
          <t>305 我们需要对合 同的变更和补 充进行商议。 Chúng tôi cần thảo luận về việc thay đổi và bổ sung hợp đồng. Wǒmen xūyào duì hétóng de biàngēng hé bǔchōng jìnxíng shāngyì.</t>
        </is>
      </c>
      <c r="F306" s="114">
        <f>HYPERLINK("https://youglish.com/pronounce/我们需要对合同的变更和补充进行商议/chinese","🔍")</f>
        <v/>
      </c>
    </row>
    <row r="307" ht="42.75" customHeight="1" s="99">
      <c r="A307" s="94" t="inlineStr">
        <is>
          <t>626 ĐPTM.pdf</t>
        </is>
      </c>
      <c r="B307" s="95" t="inlineStr">
        <is>
          <t>306</t>
        </is>
      </c>
      <c r="C307" s="94" t="inlineStr">
        <is>
          <t>我们需要确认产品的供货周期和库存保障。</t>
        </is>
      </c>
      <c r="D307" s="94" t="inlineStr">
        <is>
          <t>Chúng tôi cần xác nhận chu kỳ cung cấp sản phẩm và bảo đảm tồn kho của sản phẩm. Wǒmen xūyào quèrèn chǎnpǐn de gōng huò zhōuqí hé kùcún bǎozhàng.</t>
        </is>
      </c>
      <c r="E307" s="94" t="inlineStr">
        <is>
          <t>306 我们需要确认 产品的供货周 期和库存保 障。 Chúng tôi cần xác nhận chu kỳ cung cấp sản phẩm và bảo đảm tồn kho của sản phẩm. Wǒmen xūyào quèrèn chǎnpǐn de gōng huò zhōuqí hé kùcún bǎozhàng.</t>
        </is>
      </c>
      <c r="F307" s="115">
        <f>HYPERLINK("https://youglish.com/pronounce/我们需要确认产品的供货周期和库存保障/chinese","🔍")</f>
        <v/>
      </c>
    </row>
    <row r="308" ht="57" customHeight="1" s="99">
      <c r="A308" s="92" t="inlineStr">
        <is>
          <t>626 ĐPTM.pdf</t>
        </is>
      </c>
      <c r="B308" s="93" t="inlineStr">
        <is>
          <t>307</t>
        </is>
      </c>
      <c r="C308" s="92" t="inlineStr">
        <is>
          <t>您能否为我们提供更多的客户反馈和满意度调查？</t>
        </is>
      </c>
      <c r="D308" s="92" t="inlineStr">
        <is>
          <t>Xin vui lòng cung cấp thêm phản hồi khách hàng và khảo sát sự hài lòng của khách hàng cho chúng tôi. Nín néng fǒu wèi wǒmen tígōng gèng duō de kèhù fǎnkuì hé mǎnyì dù tiáo chá?</t>
        </is>
      </c>
      <c r="E308" s="92" t="inlineStr">
        <is>
          <t>307 您能否为我们 提供更多的客 户反馈和满意 度调查？ Xin vui lòng cung cấp thêm phản hồi khách hàng và khảo sát sự hài lòng của khách hàng cho chúng tôi. Nín néng fǒu wèi wǒmen tígōng gèng duō de kèhù fǎnkuì hé mǎnyì dù tiáo chá?</t>
        </is>
      </c>
      <c r="F308" s="114">
        <f>HYPERLINK("https://youglish.com/pronounce/您能否为我们提供更多的客户反馈和满意度调查/chinese","🔍")</f>
        <v/>
      </c>
    </row>
    <row r="309" ht="42.75" customHeight="1" s="99">
      <c r="A309" s="94" t="inlineStr">
        <is>
          <t>626 ĐPTM.pdf</t>
        </is>
      </c>
      <c r="B309" s="95" t="inlineStr">
        <is>
          <t>308</t>
        </is>
      </c>
      <c r="C309" s="94" t="inlineStr">
        <is>
          <t>我们需要对产品的环保和可持续性进行商议。</t>
        </is>
      </c>
      <c r="D309" s="94" t="inlineStr">
        <is>
          <t>Chúng tôi cần thảo luận về vấn đề môi trường và tính bền vững của sản phẩm. Wǒmen xūyào duì chǎnpǐn de huánbǎo hàn kě chíxù xìng jìnxíng shāngyì.</t>
        </is>
      </c>
      <c r="E309" s="94" t="inlineStr">
        <is>
          <t>308 我们需要对产 品的环保和可 持续性进行商 议。 Chúng tôi cần thảo luận về vấn đề môi trường và tính bền vững của sản phẩm. Wǒmen xūyào duì chǎnpǐn de huánbǎo hàn kě chíxù xìng jìnxíng shāngyì.</t>
        </is>
      </c>
      <c r="F309" s="115">
        <f>HYPERLINK("https://youglish.com/pronounce/我们需要对产品的环保和可持续性进行商议/chinese","🔍")</f>
        <v/>
      </c>
    </row>
    <row r="310" ht="42.75" customHeight="1" s="99">
      <c r="A310" s="92" t="inlineStr">
        <is>
          <t>626 ĐPTM.pdf</t>
        </is>
      </c>
      <c r="B310" s="93" t="inlineStr">
        <is>
          <t>309</t>
        </is>
      </c>
      <c r="C310" s="92" t="inlineStr">
        <is>
          <t>我们需要确认合同的实施和执行责任。</t>
        </is>
      </c>
      <c r="D310" s="92" t="inlineStr">
        <is>
          <t>Chúng tôi cần xác nhận trách nhiệm thực hiện và thực hiện hợp đồng. Wǒmen xūyào quèrèn hétóng de shíshī hé zhíxíng zérèn.</t>
        </is>
      </c>
      <c r="E310" s="92" t="inlineStr">
        <is>
          <t>309 我们需要确认 合同的实施和 执行责任。 Chúng tôi cần xác nhận trách nhiệm thực hiện và thực hiện hợp đồng. Wǒmen xūyào quèrèn hétóng de shíshī hé zhíxíng zérèn.</t>
        </is>
      </c>
      <c r="F310" s="114">
        <f>HYPERLINK("https://youglish.com/pronounce/我们需要确认合同的实施和执行责任/chinese","🔍")</f>
        <v/>
      </c>
    </row>
    <row r="311" ht="57" customHeight="1" s="99">
      <c r="A311" s="94" t="inlineStr">
        <is>
          <t>626 ĐPTM.pdf</t>
        </is>
      </c>
      <c r="B311" s="95" t="inlineStr">
        <is>
          <t>310</t>
        </is>
      </c>
      <c r="C311" s="94" t="inlineStr">
        <is>
          <t>您能否为我们提供更多的产品创新和研发计划？</t>
        </is>
      </c>
      <c r="D311" s="94" t="inlineStr">
        <is>
          <t>Xin vui lòng cung cấp thêm kế hoạch nghiên cứu và phát triển sáng tạo sản phẩm cho chúng tôi. Nín néng fǒu wèi wǒmen tígōng gèng duō de chǎnpǐn chuàngxīn hé yánfā jìhuà?</t>
        </is>
      </c>
      <c r="E311" s="94" t="inlineStr">
        <is>
          <t>310 您能否为我们 提供更多的产 品创新和研发 计划？ Xin vui lòng cung cấp thêm kế hoạch nghiên cứu và phát triển sáng tạo sản phẩm cho chúng tôi. Nín néng fǒu wèi wǒmen tígōng gèng duō de chǎnpǐn chuàngxīn hé yánfā jìhuà?</t>
        </is>
      </c>
      <c r="F311" s="115">
        <f>HYPERLINK("https://youglish.com/pronounce/您能否为我们提供更多的产品创新和研发计划/chinese","🔍")</f>
        <v/>
      </c>
    </row>
    <row r="312" ht="42.75" customHeight="1" s="99">
      <c r="A312" s="92" t="inlineStr">
        <is>
          <t>626 ĐPTM.pdf</t>
        </is>
      </c>
      <c r="B312" s="93" t="inlineStr">
        <is>
          <t>311</t>
        </is>
      </c>
      <c r="C312" s="92" t="inlineStr">
        <is>
          <t>我们需要对产品的安全性和符合性进行商议。</t>
        </is>
      </c>
      <c r="D312" s="92" t="inlineStr">
        <is>
          <t>Chúng tôi cần thảo luận về vấn đề an toàn và tuân thủ tiêu chuẩn của sản phẩm. Wǒmen xūyào duì chǎnpǐn de ānquán xìng hé fúhé xìng jìnxíng shāngyì.</t>
        </is>
      </c>
      <c r="E312" s="92" t="inlineStr">
        <is>
          <t>311 我们需要对产 品的安全性和 符合性进行商 议。 Chúng tôi cần thảo luận về vấn đề an toàn và tuân thủ tiêu chuẩn của sản phẩm. Wǒmen xūyào duì chǎnpǐn de ānquán xìng hé fúhé xìng jìnxíng shāngyì.</t>
        </is>
      </c>
      <c r="F312" s="114">
        <f>HYPERLINK("https://youglish.com/pronounce/我们需要对产品的安全性和符合性进行商议/chinese","🔍")</f>
        <v/>
      </c>
    </row>
    <row r="313" ht="42.75" customHeight="1" s="99">
      <c r="A313" s="94" t="inlineStr">
        <is>
          <t>626 ĐPTM.pdf</t>
        </is>
      </c>
      <c r="B313" s="95" t="inlineStr">
        <is>
          <t>312</t>
        </is>
      </c>
      <c r="C313" s="94" t="inlineStr">
        <is>
          <t>我们需要确认合同的解除和终止条款。</t>
        </is>
      </c>
      <c r="D313" s="94" t="inlineStr">
        <is>
          <t>Chúng tôi cần xác nhận các điều khoản và điều kiện chấm dứt hợp đồng. Wǒmen xūyào quèrèn hétóng de jiěchú hé zhōngzhǐ tiáokuǎn.</t>
        </is>
      </c>
      <c r="E313" s="94" t="inlineStr">
        <is>
          <t>312 我们需要确认 合同的解除和 终止条款。 Chúng tôi cần xác nhận các điều khoản và điều kiện chấm dứt hợp đồng. Wǒmen xūyào quèrèn hétóng de jiěchú hé zhōngzhǐ tiáokuǎn.</t>
        </is>
      </c>
      <c r="F313" s="115">
        <f>HYPERLINK("https://youglish.com/pronounce/我们需要确认合同的解除和终止条款/chinese","🔍")</f>
        <v/>
      </c>
    </row>
    <row r="314" ht="57" customHeight="1" s="99">
      <c r="A314" s="92" t="inlineStr">
        <is>
          <t>626 ĐPTM.pdf</t>
        </is>
      </c>
      <c r="B314" s="93" t="inlineStr">
        <is>
          <t>313</t>
        </is>
      </c>
      <c r="C314" s="92" t="inlineStr">
        <is>
          <t>我们需要对产品的质量问题和维权方式进行商议。</t>
        </is>
      </c>
      <c r="D314" s="92" t="inlineStr">
        <is>
          <t>Chúng tôi cần thảo luận về vấn đề chất lượng sản phẩm và cách thức bảo vệ quyền lợi khách hàng. Wǒmen xūyào duì chǎnpǐn de zhìliàng wèntí hé wéiquán fāngshì jìnxíng shāngyì.</t>
        </is>
      </c>
      <c r="E314" s="92" t="inlineStr">
        <is>
          <t>313 我们需要对产 品的质量问题 和维权方式进 行商议。 Chúng tôi cần thảo luận về vấn đề chất lượng sản phẩm và cách thức bảo vệ quyền lợi khách hàng. Wǒmen xūyào duì chǎnpǐn de zhìliàng wèntí hé wéiquán fāngshì jìnxíng shāngyì.</t>
        </is>
      </c>
      <c r="F314" s="114">
        <f>HYPERLINK("https://youglish.com/pronounce/我们需要对产品的质量问题和维权方式进行商议/chinese","🔍")</f>
        <v/>
      </c>
    </row>
    <row r="315" ht="42.75" customHeight="1" s="99">
      <c r="A315" s="94" t="inlineStr">
        <is>
          <t>626 ĐPTM.pdf</t>
        </is>
      </c>
      <c r="B315" s="95" t="inlineStr">
        <is>
          <t>314</t>
        </is>
      </c>
      <c r="C315" s="94" t="inlineStr">
        <is>
          <t>我们需要确认合同的违约和违约金条款。</t>
        </is>
      </c>
      <c r="D315" s="94" t="inlineStr">
        <is>
          <t>Chúng tôi cần xác nhận các điều khoản về vi phạm và khoản tiền phạt vi phạm trong hợp đồng. Wǒmen xūyào quèrèn hétóng de wéiyuē hé wéiyuē jīn tiáokuǎn.</t>
        </is>
      </c>
      <c r="E315" s="94" t="inlineStr">
        <is>
          <t>314 我们需要确认 合同的违约和 违约金条款。 Chúng tôi cần xác nhận các điều khoản về vi phạm và khoản tiền phạt vi phạm trong hợp đồng. Wǒmen xūyào quèrèn hétóng de wéiyuē hé wéiyuē jīn tiáokuǎn.</t>
        </is>
      </c>
      <c r="F315" s="115">
        <f>HYPERLINK("https://youglish.com/pronounce/我们需要确认合同的违约和违约金条款/chinese","🔍")</f>
        <v/>
      </c>
    </row>
    <row r="316" ht="57" customHeight="1" s="99">
      <c r="A316" s="92" t="inlineStr">
        <is>
          <t>626 ĐPTM.pdf</t>
        </is>
      </c>
      <c r="B316" s="93" t="inlineStr">
        <is>
          <t>315</t>
        </is>
      </c>
      <c r="C316" s="92" t="inlineStr">
        <is>
          <t>您能否为我们提供更多的客户案例和成功经验？</t>
        </is>
      </c>
      <c r="D316" s="92" t="inlineStr">
        <is>
          <t>Xin vui lòng cung cấp thêm các trường hợp khách hàng và kinh nghiệm thành công về sản phẩm cho chúng tôi. Nín néng fǒu wèi wǒmen tígōng gèng duō de kèhù ànlì hé chénggōng jīngyàn?</t>
        </is>
      </c>
      <c r="E316" s="92" t="inlineStr">
        <is>
          <t>315 您能否为我们 提供更多的客 户案例和成功 经验？ Xin vui lòng cung cấp thêm các trường hợp khách hàng và kinh nghiệm thành công về sản phẩm cho chúng tôi. Nín néng fǒu wèi wǒmen tígōng gèng duō de kèhù ànlì hé chénggōng jīngyàn?</t>
        </is>
      </c>
      <c r="F316" s="114">
        <f>HYPERLINK("https://youglish.com/pronounce/您能否为我们提供更多的客户案例和成功经验/chinese","🔍")</f>
        <v/>
      </c>
    </row>
    <row r="317" ht="42.75" customHeight="1" s="99">
      <c r="A317" s="94" t="inlineStr">
        <is>
          <t>626 ĐPTM.pdf</t>
        </is>
      </c>
      <c r="B317" s="95" t="inlineStr">
        <is>
          <t>316</t>
        </is>
      </c>
      <c r="C317" s="94" t="inlineStr">
        <is>
          <t>我们需要对产品的市场营销和推广进行商议。</t>
        </is>
      </c>
      <c r="D317" s="94" t="inlineStr">
        <is>
          <t>Chúng tôi cần thảo luận về chiến lược tiếp thị và quảng bá sản phẩm. Wǒmen xūyào duì chǎnpǐn de shìchǎng yíngxiāo hé tuīguǎng jìnxíng shāngyì.</t>
        </is>
      </c>
      <c r="E317" s="94" t="inlineStr">
        <is>
          <t>316 我们需要对产 品的市场营销 和推广进行商 议。 Chúng tôi cần thảo luận về chiến lược tiếp thị và quảng bá sản phẩm. Wǒmen xūyào duì chǎnpǐn de shìchǎng yíngxiāo hé tuīguǎng jìnxíng shāngyì.</t>
        </is>
      </c>
      <c r="F317" s="115">
        <f>HYPERLINK("https://youglish.com/pronounce/我们需要对产品的市场营销和推广进行商议/chinese","🔍")</f>
        <v/>
      </c>
    </row>
    <row r="318" ht="57" customHeight="1" s="99">
      <c r="A318" s="92" t="inlineStr">
        <is>
          <t>626 ĐPTM.pdf</t>
        </is>
      </c>
      <c r="B318" s="93" t="inlineStr">
        <is>
          <t>317</t>
        </is>
      </c>
      <c r="C318" s="92" t="inlineStr">
        <is>
          <t>我们需要确认合同的不可抗力和免责条款。</t>
        </is>
      </c>
      <c r="D318" s="92" t="inlineStr">
        <is>
          <t>Chúng tôi cần xác nhận các điều khoản miễn trừ trách nhiệm và khả năng không thể kiểm soát của hợp đồng. Wǒmen xūyào quèrèn hétóng de bùkěkànglì hé miǎnzé tiáokuǎn.</t>
        </is>
      </c>
      <c r="E318" s="92" t="inlineStr">
        <is>
          <t>317 我们需要确认 合同的不可抗 力和免责条 款。 Chúng tôi cần xác nhận các điều khoản miễn trừ trách nhiệm và khả năng không thể kiểm soát của hợp đồng. Wǒmen xūyào quèrèn hétóng de bùkěkànglì hé miǎnzé tiáokuǎn.</t>
        </is>
      </c>
      <c r="F318" s="114">
        <f>HYPERLINK("https://youglish.com/pronounce/我们需要确认合同的不可抗力和免责条款/chinese","🔍")</f>
        <v/>
      </c>
    </row>
    <row r="319" ht="57" customHeight="1" s="99">
      <c r="A319" s="94" t="inlineStr">
        <is>
          <t>626 ĐPTM.pdf</t>
        </is>
      </c>
      <c r="B319" s="95" t="inlineStr">
        <is>
          <t>318</t>
        </is>
      </c>
      <c r="C319" s="94" t="inlineStr">
        <is>
          <t>您能否为我们提供更多的市场调研和分析报告？</t>
        </is>
      </c>
      <c r="D319" s="94" t="inlineStr">
        <is>
          <t>Bạn có thể cung cấp thêm báo cáo nghiên cứu và phân tích thị trường không? Nín néng fǒu wèi wǒmen tígōng gèng duō de shìchǎng tiáo yán hé fēnxī bàogào?</t>
        </is>
      </c>
      <c r="E319" s="94" t="inlineStr">
        <is>
          <t>318 您能否为我们 提供更多的市 场调研和分析 报告？ Bạn có thể cung cấp thêm báo cáo nghiên cứu và phân tích thị trường không? Nín néng fǒu wèi wǒmen tígōng gèng duō de shìchǎng tiáo yán hé fēnxī bàogào?</t>
        </is>
      </c>
      <c r="F319" s="115">
        <f>HYPERLINK("https://youglish.com/pronounce/您能否为我们提供更多的市场调研和分析报告/chinese","🔍")</f>
        <v/>
      </c>
    </row>
    <row r="320" ht="57" customHeight="1" s="99">
      <c r="A320" s="92" t="inlineStr">
        <is>
          <t>626 ĐPTM.pdf</t>
        </is>
      </c>
      <c r="B320" s="93" t="inlineStr">
        <is>
          <t>319</t>
        </is>
      </c>
      <c r="C320" s="92" t="inlineStr">
        <is>
          <t>我们需要对产品的生产能力和交货期限进行商议。</t>
        </is>
      </c>
      <c r="D320" s="92" t="inlineStr">
        <is>
          <t>Chúng tôi cần thảo luận về khả năng sản xuất và thời hạn giao hàng của sản phẩm. Wǒmen xūyào duì chǎnpǐn de shēngchǎn nénglì hé jiāo huò qíxiàn jìnxíng shāngyì.</t>
        </is>
      </c>
      <c r="E320" s="92" t="inlineStr">
        <is>
          <t>319 我们需要对产 品的生产能力 和交货期限进 行商议。 Chúng tôi cần thảo luận về khả năng sản xuất và thời hạn giao hàng của sản phẩm. Wǒmen xūyào duì chǎnpǐn de shēngchǎn nénglì hé jiāo huò qíxiàn jìnxíng shāngyì.</t>
        </is>
      </c>
      <c r="F320" s="114">
        <f>HYPERLINK("https://youglish.com/pronounce/我们需要对产品的生产能力和交货期限进行商议/chinese","🔍")</f>
        <v/>
      </c>
    </row>
    <row r="321" ht="42.75" customHeight="1" s="99">
      <c r="A321" s="94" t="inlineStr">
        <is>
          <t>626 ĐPTM.pdf</t>
        </is>
      </c>
      <c r="B321" s="95" t="inlineStr">
        <is>
          <t>320</t>
        </is>
      </c>
      <c r="C321" s="94" t="inlineStr">
        <is>
          <t>我们需要确认合同的保证金和付款保障。</t>
        </is>
      </c>
      <c r="D321" s="94" t="inlineStr">
        <is>
          <t>Chúng tôi cần xác nhận tiền đặt cọc và bảo đảm thanh toán của hợp đồng. Wǒmen xūyào quèrèn hétóng de bǎozhèngjīn hé fùkuǎn bǎozhàng.</t>
        </is>
      </c>
      <c r="E321" s="94" t="inlineStr">
        <is>
          <t>320 我们需要确认 合同的保证金 和付款保障。 Chúng tôi cần xác nhận tiền đặt cọc và bảo đảm thanh toán của hợp đồng. Wǒmen xūyào quèrèn hétóng de bǎozhèngjīn hé fùkuǎn bǎozhàng.</t>
        </is>
      </c>
      <c r="F321" s="115">
        <f>HYPERLINK("https://youglish.com/pronounce/我们需要确认合同的保证金和付款保障/chinese","🔍")</f>
        <v/>
      </c>
    </row>
    <row r="322" ht="42.75" customHeight="1" s="99">
      <c r="A322" s="92" t="inlineStr">
        <is>
          <t>626 ĐPTM.pdf</t>
        </is>
      </c>
      <c r="B322" s="93" t="inlineStr">
        <is>
          <t>321</t>
        </is>
      </c>
      <c r="C322" s="92" t="inlineStr">
        <is>
          <t>您能否为我们提供更多的行业趋势和前景分析？</t>
        </is>
      </c>
      <c r="D322" s="92" t="inlineStr">
        <is>
          <t>Bạn có thể cung cấp thêm xu hướng và triển vọng của ngành không? Nín néng fǒu wèi wǒmen tígōng gèng duō de hángyè qūshì hé qiánjǐng fēnxī?</t>
        </is>
      </c>
      <c r="E322" s="92" t="inlineStr">
        <is>
          <t>321 您能否为我们 提供更多的行 业趋势和前景 分析？ Bạn có thể cung cấp thêm xu hướng và triển vọng của ngành không? Nín néng fǒu wèi wǒmen tígōng gèng duō de hángyè qūshì hé qiánjǐng fēnxī?</t>
        </is>
      </c>
      <c r="F322" s="114">
        <f>HYPERLINK("https://youglish.com/pronounce/您能否为我们提供更多的行业趋势和前景分析/chinese","🔍")</f>
        <v/>
      </c>
    </row>
    <row r="323" ht="42.75" customHeight="1" s="99">
      <c r="A323" s="94" t="inlineStr">
        <is>
          <t>626 ĐPTM.pdf</t>
        </is>
      </c>
      <c r="B323" s="95" t="inlineStr">
        <is>
          <t>322</t>
        </is>
      </c>
      <c r="C323" s="94" t="inlineStr">
        <is>
          <t>我们需要对产品的价格和折扣进行商议。</t>
        </is>
      </c>
      <c r="D323" s="94" t="inlineStr">
        <is>
          <t>Chúng tôi cần thảo luận về giá cả và chiết khấu của sản phẩm. Wǒmen xūyào duì chǎnpǐn de jiàgé hé zhékòu jìnxíng shāngyì.</t>
        </is>
      </c>
      <c r="E323" s="94" t="inlineStr">
        <is>
          <t>322 我们需要对产 品的价格和折 扣进行商议。 Chúng tôi cần thảo luận về giá cả và chiết khấu của sản phẩm. Wǒmen xūyào duì chǎnpǐn de jiàgé hé zhékòu jìnxíng shāngyì.</t>
        </is>
      </c>
      <c r="F323" s="115">
        <f>HYPERLINK("https://youglish.com/pronounce/我们需要对产品的价格和折扣进行商议/chinese","🔍")</f>
        <v/>
      </c>
    </row>
    <row r="324" ht="42.75" customHeight="1" s="99">
      <c r="A324" s="92" t="inlineStr">
        <is>
          <t>626 ĐPTM.pdf</t>
        </is>
      </c>
      <c r="B324" s="93" t="inlineStr">
        <is>
          <t>323</t>
        </is>
      </c>
      <c r="C324" s="92" t="inlineStr">
        <is>
          <t>我们需要确认合同的文件和通知送达方式。</t>
        </is>
      </c>
      <c r="D324" s="92" t="inlineStr">
        <is>
          <t>Chúng tôi cần xác nhận phương thức gửi tài liệu và thông báo của hợp đồng. Wǒmen xūyào quèrèn hétóng de wénjiàn hé tōngzhī sòng dá fāngshì.</t>
        </is>
      </c>
      <c r="E324" s="92" t="inlineStr">
        <is>
          <t>323 我们需要确认 合同的文件和 通知送达方式。 Chúng tôi cần xác nhận phương thức gửi tài liệu và thông báo của hợp đồng. Wǒmen xūyào quèrèn hétóng de wénjiàn hé tōngzhī sòng dá fāngshì.</t>
        </is>
      </c>
      <c r="F324" s="114">
        <f>HYPERLINK("https://youglish.com/pronounce/我们需要确认合同的文件和通知送达方式/chinese","🔍")</f>
        <v/>
      </c>
    </row>
    <row r="325" ht="57" customHeight="1" s="99">
      <c r="A325" s="94" t="inlineStr">
        <is>
          <t>626 ĐPTM.pdf</t>
        </is>
      </c>
      <c r="B325" s="95" t="inlineStr">
        <is>
          <t>324</t>
        </is>
      </c>
      <c r="C325" s="94" t="inlineStr">
        <is>
          <t>您能否为我们提供更多的市场竞争和市场份额数据？</t>
        </is>
      </c>
      <c r="D325" s="94" t="inlineStr">
        <is>
          <t>Bạn có thể cung cấp thêm dữ liệu về cạnh tranh và thị phần thị trường không? Nín néng fǒu wèi wǒmen tígōng gèng duō de shìchǎng jìngzhēng hé shìchǎng fèn'é shùjù?</t>
        </is>
      </c>
      <c r="E325" s="94" t="inlineStr">
        <is>
          <t>324 您能否为我们 提供更多的市 场竞争和市场 份额数据？ Bạn có thể cung cấp thêm dữ liệu về cạnh tranh và thị phần thị trường không? Nín néng fǒu wèi wǒmen tígōng gèng duō de shìchǎng jìngzhēng hé shìchǎng fèn'é shùjù?</t>
        </is>
      </c>
      <c r="F325" s="115">
        <f>HYPERLINK("https://youglish.com/pronounce/您能否为我们提供更多的市场竞争和市场份额数据/chinese","🔍")</f>
        <v/>
      </c>
    </row>
    <row r="326" ht="42.75" customHeight="1" s="99">
      <c r="A326" s="92" t="inlineStr">
        <is>
          <t>626 ĐPTM.pdf</t>
        </is>
      </c>
      <c r="B326" s="93" t="inlineStr">
        <is>
          <t>325</t>
        </is>
      </c>
      <c r="C326" s="92" t="inlineStr">
        <is>
          <t>我们需要对产品的材料和工艺进行商议。</t>
        </is>
      </c>
      <c r="D326" s="92" t="inlineStr">
        <is>
          <t>Chúng tôi cần thảo luận về vật liệu và kỹ thuật của sản phẩm. Wǒmen xūyào duì chǎnpǐn de cáiliào hé gōngyì jìnxíng shāngyì.</t>
        </is>
      </c>
      <c r="E326" s="92" t="inlineStr">
        <is>
          <t>325 我们需要对产 品的材料和工 艺进行商议。 Chúng tôi cần thảo luận về vật liệu và kỹ thuật của sản phẩm. Wǒmen xūyào duì chǎnpǐn de cáiliào hé gōngyì jìnxíng shāngyì.</t>
        </is>
      </c>
      <c r="F326" s="114">
        <f>HYPERLINK("https://youglish.com/pronounce/我们需要对产品的材料和工艺进行商议/chinese","🔍")</f>
        <v/>
      </c>
    </row>
    <row r="327" ht="42.75" customHeight="1" s="99">
      <c r="A327" s="94" t="inlineStr">
        <is>
          <t>626 ĐPTM.pdf</t>
        </is>
      </c>
      <c r="B327" s="95" t="inlineStr">
        <is>
          <t>326</t>
        </is>
      </c>
      <c r="C327" s="94" t="inlineStr">
        <is>
          <t>我们需要确认合同的知识产权和保护责任。</t>
        </is>
      </c>
      <c r="D327" s="94" t="inlineStr">
        <is>
          <t>Chúng tôi cần xác nhận trách nhiệm về sở hữu trí tuệ và bảo vệ của hợp đồng. Wǒmen xūyào quèrèn hétóng de zhīshì chǎnquán hé bǎohù zérèn.</t>
        </is>
      </c>
      <c r="E327" s="94" t="inlineStr">
        <is>
          <t>326 我们需要确认 合同的知识产 权和保护责 任。 Chúng tôi cần xác nhận trách nhiệm về sở hữu trí tuệ và bảo vệ của hợp đồng. Wǒmen xūyào quèrèn hétóng de zhīshì chǎnquán hé bǎohù zérèn.</t>
        </is>
      </c>
      <c r="F327" s="115">
        <f>HYPERLINK("https://youglish.com/pronounce/我们需要确认合同的知识产权和保护责任/chinese","🔍")</f>
        <v/>
      </c>
    </row>
    <row r="328" ht="57" customHeight="1" s="99">
      <c r="A328" s="92" t="inlineStr">
        <is>
          <t>626 ĐPTM.pdf</t>
        </is>
      </c>
      <c r="B328" s="93" t="inlineStr">
        <is>
          <t>327</t>
        </is>
      </c>
      <c r="C328" s="92" t="inlineStr">
        <is>
          <t>您能否为我们提供更多的品牌推广和品牌价值介绍？</t>
        </is>
      </c>
      <c r="D328" s="92" t="inlineStr">
        <is>
          <t>Bạn có thể cung cấp thêm thông tin về giá trị thương hiệu và quảng bá thương hiệu không? Nín néng fǒu wèi wǒmen tígōng gèng duō de pǐnpái tuīguǎng hé pǐnpái jiàzhí jièshào?</t>
        </is>
      </c>
      <c r="E328" s="92" t="inlineStr">
        <is>
          <t>327 您能否为我们 提供更多的品 牌推广和品牌 价值介绍？ Bạn có thể cung cấp thêm thông tin về giá trị thương hiệu và quảng bá thương hiệu không? Nín néng fǒu wèi wǒmen tígōng gèng duō de pǐnpái tuīguǎng hé pǐnpái jiàzhí jièshào?</t>
        </is>
      </c>
      <c r="F328" s="114">
        <f>HYPERLINK("https://youglish.com/pronounce/您能否为我们提供更多的品牌推广和品牌价值介绍/chinese","🔍")</f>
        <v/>
      </c>
    </row>
    <row r="329" ht="42.75" customHeight="1" s="99">
      <c r="A329" s="94" t="inlineStr">
        <is>
          <t>626 ĐPTM.pdf</t>
        </is>
      </c>
      <c r="B329" s="95" t="inlineStr">
        <is>
          <t>328</t>
        </is>
      </c>
      <c r="C329" s="94" t="inlineStr">
        <is>
          <t>我们需要对产品的售后服务和维修进行商议。</t>
        </is>
      </c>
      <c r="D329" s="94" t="inlineStr">
        <is>
          <t>Chúng tôi cần thảo luận về dịch vụ hậu mãi và sửa chữa sản phẩm. Wǒmen xūyào duì chǎnpǐn de shòuhòu fúwù hé wéixiū jìnxíng shāngyì.</t>
        </is>
      </c>
      <c r="E329" s="94" t="inlineStr">
        <is>
          <t>328 我们需要对产 品的售后服务 和维修进行商 议。 Chúng tôi cần thảo luận về dịch vụ hậu mãi và sửa chữa sản phẩm. Wǒmen xūyào duì chǎnpǐn de shòuhòu fúwù hé wéixiū jìnxíng shāngyì.</t>
        </is>
      </c>
      <c r="F329" s="115">
        <f>HYPERLINK("https://youglish.com/pronounce/我们需要对产品的售后服务和维修进行商议/chinese","🔍")</f>
        <v/>
      </c>
    </row>
    <row r="330" ht="42.75" customHeight="1" s="99">
      <c r="A330" s="92" t="inlineStr">
        <is>
          <t>626 ĐPTM.pdf</t>
        </is>
      </c>
      <c r="B330" s="93" t="inlineStr">
        <is>
          <t>329</t>
        </is>
      </c>
      <c r="C330" s="92" t="inlineStr">
        <is>
          <t>我们需要确认合同的解释和争议解决机制。</t>
        </is>
      </c>
      <c r="D330" s="92" t="inlineStr">
        <is>
          <t>Chúng tôi cần xác nhận cơ chế giải quyết tranh chấp và giải thích của hợp đồng. Wǒmen xūyào quèrèn hétóng de jiěshì hé zhēngyì jiějué jīzhì.</t>
        </is>
      </c>
      <c r="E330" s="92" t="inlineStr">
        <is>
          <t>329 我们需要确认 合同的解释和 争议解决机 制。 Chúng tôi cần xác nhận cơ chế giải quyết tranh chấp và giải thích của hợp đồng. Wǒmen xūyào quèrèn hétóng de jiěshì hé zhēngyì jiějué jīzhì.</t>
        </is>
      </c>
      <c r="F330" s="114">
        <f>HYPERLINK("https://youglish.com/pronounce/我们需要确认合同的解释和争议解决机制/chinese","🔍")</f>
        <v/>
      </c>
    </row>
    <row r="331" ht="42.75" customHeight="1" s="99">
      <c r="A331" s="94" t="inlineStr">
        <is>
          <t>626 ĐPTM.pdf</t>
        </is>
      </c>
      <c r="B331" s="95" t="inlineStr">
        <is>
          <t>330</t>
        </is>
      </c>
      <c r="C331" s="94" t="inlineStr">
        <is>
          <t>您能否为我们提供更多的行业标准和规范？</t>
        </is>
      </c>
      <c r="D331" s="94" t="inlineStr">
        <is>
          <t>Bạn có thể cung cấp thêm tiêu chuẩn và quy định của ngành không? Nín néng fǒu wèi wǒmen tígōng gèng duō de hángyè biāozhǔn hé guīfàn?</t>
        </is>
      </c>
      <c r="E331" s="94" t="inlineStr">
        <is>
          <t>330 您能否为我们 提供更多的行 业标准和规 范？ Bạn có thể cung cấp thêm tiêu chuẩn và quy định của ngành không? Nín néng fǒu wèi wǒmen tígōng gèng duō de hángyè biāozhǔn hé guīfàn?</t>
        </is>
      </c>
      <c r="F331" s="115">
        <f>HYPERLINK("https://youglish.com/pronounce/您能否为我们提供更多的行业标准和规范/chinese","🔍")</f>
        <v/>
      </c>
    </row>
    <row r="332" ht="57" customHeight="1" s="99">
      <c r="A332" s="92" t="inlineStr">
        <is>
          <t>626 ĐPTM.pdf</t>
        </is>
      </c>
      <c r="B332" s="93" t="inlineStr">
        <is>
          <t>331</t>
        </is>
      </c>
      <c r="C332" s="92" t="inlineStr">
        <is>
          <t>我们需要对产品的生产工厂和生产设备进行商议。</t>
        </is>
      </c>
      <c r="D332" s="92" t="inlineStr">
        <is>
          <t>Chúng tôi cần thảo luận về nhà máy sản xuất và thiết bị sản xuất của sản phẩm. Wǒmen xūyào duì chǎnpǐn de shēngchǎn gōngchǎng hé shēngchǎn shèbèi jìnxíng shāngyì.</t>
        </is>
      </c>
      <c r="E332" s="92" t="inlineStr">
        <is>
          <t>331 我们需要对产 品的生产工厂 和生产设备进 行商议。 Chúng tôi cần thảo luận về nhà máy sản xuất và thiết bị sản xuất của sản phẩm. Wǒmen xūyào duì chǎnpǐn de shēngchǎn gōngchǎng hé shēngchǎn shèbèi jìnxíng shāngyì.</t>
        </is>
      </c>
      <c r="F332" s="114">
        <f>HYPERLINK("https://youglish.com/pronounce/我们需要对产品的生产工厂和生产设备进行商议/chinese","🔍")</f>
        <v/>
      </c>
    </row>
    <row r="333" ht="42.75" customHeight="1" s="99">
      <c r="A333" s="94" t="inlineStr">
        <is>
          <t>626 ĐPTM.pdf</t>
        </is>
      </c>
      <c r="B333" s="95" t="inlineStr">
        <is>
          <t>332</t>
        </is>
      </c>
      <c r="C333" s="94" t="inlineStr">
        <is>
          <t>我们需要确认合同的签署方式和授权代表。</t>
        </is>
      </c>
      <c r="D333" s="94" t="inlineStr">
        <is>
          <t>Chúng tôi cần xác nhận phương thức ký kết hợp đồng và đại diện được ủy quyền. Wǒmen xūyào quèrèn hétóng de qiānshǔ fāngshì hé shòuquán dàibiǎo.</t>
        </is>
      </c>
      <c r="E333" s="94" t="inlineStr">
        <is>
          <t>332 我们需要确认 合同的签署方 式和授权代 表。 Chúng tôi cần xác nhận phương thức ký kết hợp đồng và đại diện được ủy quyền. Wǒmen xūyào quèrèn hétóng de qiānshǔ fāngshì hé shòuquán dàibiǎo.</t>
        </is>
      </c>
      <c r="F333" s="115">
        <f>HYPERLINK("https://youglish.com/pronounce/我们需要确认合同的签署方式和授权代表/chinese","🔍")</f>
        <v/>
      </c>
    </row>
    <row r="334" ht="42.75" customHeight="1" s="99">
      <c r="A334" s="92" t="inlineStr">
        <is>
          <t>626 ĐPTM.pdf</t>
        </is>
      </c>
      <c r="B334" s="93" t="inlineStr">
        <is>
          <t>333</t>
        </is>
      </c>
      <c r="C334" s="92" t="inlineStr">
        <is>
          <t>您能否为我们提供更多的产品展示和演示资料？</t>
        </is>
      </c>
      <c r="D334" s="92" t="inlineStr">
        <is>
          <t>Bạn có thể cung cấp thêm tài liệu trình diễn sản phẩm không? Nín néng fǒu wèi wǒmen tígōng gèng duō de chǎnpǐn zhǎnshì hé yǎnshì zīliào?</t>
        </is>
      </c>
      <c r="E334" s="92" t="inlineStr">
        <is>
          <t>333 您能否为我们 提供更多的产 品展示和演示 资料？ Bạn có thể cung cấp thêm tài liệu trình diễn sản phẩm không? Nín néng fǒu wèi wǒmen tígōng gèng duō de chǎnpǐn zhǎnshì hé yǎnshì zīliào?</t>
        </is>
      </c>
      <c r="F334" s="114">
        <f>HYPERLINK("https://youglish.com/pronounce/您能否为我们提供更多的产品展示和演示资料/chinese","🔍")</f>
        <v/>
      </c>
    </row>
    <row r="335" ht="57" customHeight="1" s="99">
      <c r="A335" s="94" t="inlineStr">
        <is>
          <t>626 ĐPTM.pdf</t>
        </is>
      </c>
      <c r="B335" s="95" t="inlineStr">
        <is>
          <t>334</t>
        </is>
      </c>
      <c r="C335" s="94" t="inlineStr">
        <is>
          <t>我们需要对产品的销售渠道和销售策略进行商议。</t>
        </is>
      </c>
      <c r="D335" s="94" t="inlineStr">
        <is>
          <t>Chúng tôi cần thảo luận về kênh bán hàng và chiến lược bán hàng của sản phẩm. Wǒmen xūyào duì chǎnpǐn de xiāoshòu qúdào hé xiāoshòu cèlüè jìnxíng shāngyì.</t>
        </is>
      </c>
      <c r="E335" s="94" t="inlineStr">
        <is>
          <t>334 我们需要对产 品的销售渠道 和销售策略进 行商议。 Chúng tôi cần thảo luận về kênh bán hàng và chiến lược bán hàng của sản phẩm. Wǒmen xūyào duì chǎnpǐn de xiāoshòu qúdào hé xiāoshòu cèlüè jìnxíng shāngyì.</t>
        </is>
      </c>
      <c r="F335" s="115">
        <f>HYPERLINK("https://youglish.com/pronounce/我们需要对产品的销售渠道和销售策略进行商议/chinese","🔍")</f>
        <v/>
      </c>
    </row>
    <row r="336" ht="42.75" customHeight="1" s="99">
      <c r="A336" s="92" t="inlineStr">
        <is>
          <t>626 ĐPTM.pdf</t>
        </is>
      </c>
      <c r="B336" s="93" t="inlineStr">
        <is>
          <t>335</t>
        </is>
      </c>
      <c r="C336" s="92" t="inlineStr">
        <is>
          <t>我们需要确认合同的保险和赔偿责任。</t>
        </is>
      </c>
      <c r="D336" s="92" t="inlineStr">
        <is>
          <t>Chúng tôi cần xác nhận trách nhiệm bảo hiểm và bồi thường của hợp đồng. Wǒmen xūyào quèrèn hétóng de bǎoxiǎn hé péicháng zérèn.</t>
        </is>
      </c>
      <c r="E336" s="92" t="inlineStr">
        <is>
          <t>335 我们需要确认 合同的保险和 赔偿责任。 Chúng tôi cần xác nhận trách nhiệm bảo hiểm và bồi thường của hợp đồng. Wǒmen xūyào quèrèn hétóng de bǎoxiǎn hé péicháng zérèn.</t>
        </is>
      </c>
      <c r="F336" s="114">
        <f>HYPERLINK("https://youglish.com/pronounce/我们需要确认合同的保险和赔偿责任/chinese","🔍")</f>
        <v/>
      </c>
    </row>
    <row r="337" ht="42.75" customHeight="1" s="99">
      <c r="A337" s="94" t="inlineStr">
        <is>
          <t>626 ĐPTM.pdf</t>
        </is>
      </c>
      <c r="B337" s="95" t="inlineStr">
        <is>
          <t>336</t>
        </is>
      </c>
      <c r="C337" s="94" t="inlineStr">
        <is>
          <t>您能否为我们提供更多的市场份额和增长数据？</t>
        </is>
      </c>
      <c r="D337" s="94" t="inlineStr">
        <is>
          <t>Bạn có thể cung cấp thêm dữ liệu về thị phần và tăng trưởng không? Nín néng fǒu wèi wǒmen tígōng gèng duō de shìchǎng fèn'é hé zēngzhǎng shùjù?</t>
        </is>
      </c>
      <c r="E337" s="94" t="inlineStr">
        <is>
          <t>336 您能否为我们 提供更多的市 场份额和增长 数据？ Bạn có thể cung cấp thêm dữ liệu về thị phần và tăng trưởng không? Nín néng fǒu wèi wǒmen tígōng gèng duō de shìchǎng fèn'é hé zēngzhǎng shùjù?</t>
        </is>
      </c>
      <c r="F337" s="115">
        <f>HYPERLINK("https://youglish.com/pronounce/您能否为我们提供更多的市场份额和增长数据/chinese","🔍")</f>
        <v/>
      </c>
    </row>
    <row r="338" ht="42.75" customHeight="1" s="99">
      <c r="A338" s="92" t="inlineStr">
        <is>
          <t>626 ĐPTM.pdf</t>
        </is>
      </c>
      <c r="B338" s="93" t="inlineStr">
        <is>
          <t>337</t>
        </is>
      </c>
      <c r="C338" s="92" t="inlineStr">
        <is>
          <t>我们需要对产品的测试和验证进行商议。</t>
        </is>
      </c>
      <c r="D338" s="92" t="inlineStr">
        <is>
          <t>Chúng tôi cần thảo luận về kiểm tra và xác minh của sản phẩm. Wǒmen xūyào duì chǎnpǐn de cèshì hé yànzhèng jìnxíng shāngyì.</t>
        </is>
      </c>
      <c r="E338" s="92" t="inlineStr">
        <is>
          <t>337 我们需要对产 品的测试和验 证进行商议。 Chúng tôi cần thảo luận về kiểm tra và xác minh của sản phẩm. Wǒmen xūyào duì chǎnpǐn de cèshì hé yànzhèng jìnxíng shāngyì.</t>
        </is>
      </c>
      <c r="F338" s="114">
        <f>HYPERLINK("https://youglish.com/pronounce/我们需要对产品的测试和验证进行商议/chinese","🔍")</f>
        <v/>
      </c>
    </row>
    <row r="339" ht="42.75" customHeight="1" s="99">
      <c r="A339" s="94" t="inlineStr">
        <is>
          <t>626 ĐPTM.pdf</t>
        </is>
      </c>
      <c r="B339" s="95" t="inlineStr">
        <is>
          <t>338</t>
        </is>
      </c>
      <c r="C339" s="94" t="inlineStr">
        <is>
          <t>我们需要确认合同的语言和翻译责任。</t>
        </is>
      </c>
      <c r="D339" s="94" t="inlineStr">
        <is>
          <t>Chúng tôi cần xác nhận trách nhiệm về ngôn ngữ và dịch thuật của hợp đồng. Wǒmen xūyào quèrèn hétóng de yǔyán hé fānyì zérèn.</t>
        </is>
      </c>
      <c r="E339" s="94" t="inlineStr">
        <is>
          <t>338 我们需要确认 合同的语言和 翻译责任。 Chúng tôi cần xác nhận trách nhiệm về ngôn ngữ và dịch thuật của hợp đồng. Wǒmen xūyào quèrèn hétóng de yǔyán hé fānyì zérèn.</t>
        </is>
      </c>
      <c r="F339" s="115">
        <f>HYPERLINK("https://youglish.com/pronounce/我们需要确认合同的语言和翻译责任/chinese","🔍")</f>
        <v/>
      </c>
    </row>
    <row r="340" ht="57" customHeight="1" s="99">
      <c r="A340" s="92" t="inlineStr">
        <is>
          <t>626 ĐPTM.pdf</t>
        </is>
      </c>
      <c r="B340" s="93" t="inlineStr">
        <is>
          <t>339</t>
        </is>
      </c>
      <c r="C340" s="92" t="inlineStr">
        <is>
          <t>您能否为我们提供更多的市场分析和预测报告？</t>
        </is>
      </c>
      <c r="D340" s="92" t="inlineStr">
        <is>
          <t>Bạn có thể cung cấp cho chúng tôi nhiều báo cáo phân tích thị trường và dự báo hơn được không? Nín néng fǒu wèi wǒmen tígōng gèng duō de shìchǎng fēnxī hé yùcè bàogào?</t>
        </is>
      </c>
      <c r="E340" s="92" t="inlineStr">
        <is>
          <t>339 您能否为我们 提供更多的市 场分析和预测 报告？ Bạn có thể cung cấp cho chúng tôi nhiều báo cáo phân tích thị trường và dự báo hơn được không? Nín néng fǒu wèi wǒmen tígōng gèng duō de shìchǎng fēnxī hé yùcè bàogào?</t>
        </is>
      </c>
      <c r="F340" s="114">
        <f>HYPERLINK("https://youglish.com/pronounce/您能否为我们提供更多的市场分析和预测报告/chinese","🔍")</f>
        <v/>
      </c>
    </row>
    <row r="341" ht="42.75" customHeight="1" s="99">
      <c r="A341" s="94" t="inlineStr">
        <is>
          <t>626 ĐPTM.pdf</t>
        </is>
      </c>
      <c r="B341" s="95" t="inlineStr">
        <is>
          <t>340</t>
        </is>
      </c>
      <c r="C341" s="94" t="inlineStr">
        <is>
          <t>我们需要对产品的样品和定制进行商议。</t>
        </is>
      </c>
      <c r="D341" s="94" t="inlineStr">
        <is>
          <t>Chúng tôi cần thảo luận về mẫu và tùy chỉnh sản phẩm. Wǒmen xūyào duì chǎnpǐn de yàngpǐn hé dìngzhì jìnxíng shāngyì.</t>
        </is>
      </c>
      <c r="E341" s="94" t="inlineStr">
        <is>
          <t>340 我们需要对产 品的样品和定 制进行商议。 Chúng tôi cần thảo luận về mẫu và tùy chỉnh sản phẩm. Wǒmen xūyào duì chǎnpǐn de yàngpǐn hé dìngzhì jìnxíng shāngyì.</t>
        </is>
      </c>
      <c r="F341" s="115">
        <f>HYPERLINK("https://youglish.com/pronounce/我们需要对产品的样品和定制进行商议/chinese","🔍")</f>
        <v/>
      </c>
    </row>
    <row r="342" ht="42.75" customHeight="1" s="99">
      <c r="A342" s="92" t="inlineStr">
        <is>
          <t>626 ĐPTM.pdf</t>
        </is>
      </c>
      <c r="B342" s="93" t="inlineStr">
        <is>
          <t>341</t>
        </is>
      </c>
      <c r="C342" s="92" t="inlineStr">
        <is>
          <t>我们需要确认合同的签署和生效程序。</t>
        </is>
      </c>
      <c r="D342" s="92" t="inlineStr">
        <is>
          <t>Chúng tôi cần xác nhận thủ tục ký kết và có hiệu lực của hợp đồng. Wǒmen xūyào quèrèn hétóng de qiānshǔ hé shēngxiào chéngxù.</t>
        </is>
      </c>
      <c r="E342" s="92" t="inlineStr">
        <is>
          <t>341 我们需要确认 合同的签署和 生效程序。 Chúng tôi cần xác nhận thủ tục ký kết và có hiệu lực của hợp đồng. Wǒmen xūyào quèrèn hétóng de qiānshǔ hé shēngxiào chéngxù.</t>
        </is>
      </c>
      <c r="F342" s="114">
        <f>HYPERLINK("https://youglish.com/pronounce/我们需要确认合同的签署和生效程序/chinese","🔍")</f>
        <v/>
      </c>
    </row>
    <row r="343" ht="57" customHeight="1" s="99">
      <c r="A343" s="94" t="inlineStr">
        <is>
          <t>626 ĐPTM.pdf</t>
        </is>
      </c>
      <c r="B343" s="95" t="inlineStr">
        <is>
          <t>342</t>
        </is>
      </c>
      <c r="C343" s="94" t="inlineStr">
        <is>
          <t>您能否为我们提供更多的客户满意度和忠诚度数据？</t>
        </is>
      </c>
      <c r="D343" s="94" t="inlineStr">
        <is>
          <t>Bạn có thể cung cấp cho chúng tôi nhiều dữ liệu về sự hài lòng và sự trung thành của khách hàng không? Nín néng fǒu wèi wǒmen tígōng gèng duō de kèhù mǎnyì dù hé zhōngchéng dù shu jù?</t>
        </is>
      </c>
      <c r="E343" s="94" t="inlineStr">
        <is>
          <t>342 您能否为我们 提供更多的客 户满意度和忠 诚度数据？ Bạn có thể cung cấp cho chúng tôi nhiều dữ liệu về sự hài lòng và sự trung thành của khách hàng không? Nín néng fǒu wèi wǒmen tígōng gèng duō de kèhù mǎnyì dù hé zhōngchéng dù shu jù?</t>
        </is>
      </c>
      <c r="F343" s="115">
        <f>HYPERLINK("https://youglish.com/pronounce/您能否为我们提供更多的客户满意度和忠诚度数据/chinese","🔍")</f>
        <v/>
      </c>
    </row>
    <row r="344" ht="42.75" customHeight="1" s="99">
      <c r="A344" s="92" t="inlineStr">
        <is>
          <t>626 ĐPTM.pdf</t>
        </is>
      </c>
      <c r="B344" s="93" t="inlineStr">
        <is>
          <t>343</t>
        </is>
      </c>
      <c r="C344" s="92" t="inlineStr">
        <is>
          <t>我们需要对产品的可靠性和耐久性进行商议。</t>
        </is>
      </c>
      <c r="D344" s="92" t="inlineStr">
        <is>
          <t>Chúng tôi cần thảo luận về độ tin cậy và độ bền của sản phẩm. Wǒmen xūyào duì chǎnpǐn de kěkào xìng hé nàijiǔ xìng jìnxíng shāngyì.</t>
        </is>
      </c>
      <c r="E344" s="92" t="inlineStr">
        <is>
          <t>343 我们需要对产 品的可靠性和 耐久性进行商 议。 Chúng tôi cần thảo luận về độ tin cậy và độ bền của sản phẩm. Wǒmen xūyào duì chǎnpǐn de kěkào xìng hé nàijiǔ xìng jìnxíng shāngyì.</t>
        </is>
      </c>
      <c r="F344" s="114">
        <f>HYPERLINK("https://youglish.com/pronounce/我们需要对产品的可靠性和耐久性进行商议/chinese","🔍")</f>
        <v/>
      </c>
    </row>
    <row r="345" ht="42.75" customHeight="1" s="99">
      <c r="A345" s="94" t="inlineStr">
        <is>
          <t>626 ĐPTM.pdf</t>
        </is>
      </c>
      <c r="B345" s="95" t="inlineStr">
        <is>
          <t>344</t>
        </is>
      </c>
      <c r="C345" s="94" t="inlineStr">
        <is>
          <t>我们需要确认合同的代表权和授权范围。</t>
        </is>
      </c>
      <c r="D345" s="94" t="inlineStr">
        <is>
          <t>Chúng tôi cần xác nhận quyền đại diện và phạm vi uỷ quyền của hợp đồng. Wǒmen xūyào quèrèn hétóng de dàibiǎo quán hé shòuquán fànwéi.</t>
        </is>
      </c>
      <c r="E345" s="94" t="inlineStr">
        <is>
          <t>344 我们需要确认 合同的代表权 和授权范围。 Chúng tôi cần xác nhận quyền đại diện và phạm vi uỷ quyền của hợp đồng. Wǒmen xūyào quèrèn hétóng de dàibiǎo quán hé shòuquán fànwéi.</t>
        </is>
      </c>
      <c r="F345" s="115">
        <f>HYPERLINK("https://youglish.com/pronounce/我们需要确认合同的代表权和授权范围/chinese","🔍")</f>
        <v/>
      </c>
    </row>
    <row r="346" ht="57" customHeight="1" s="99">
      <c r="A346" s="92" t="inlineStr">
        <is>
          <t>626 ĐPTM.pdf</t>
        </is>
      </c>
      <c r="B346" s="93" t="inlineStr">
        <is>
          <t>345</t>
        </is>
      </c>
      <c r="C346" s="92" t="inlineStr">
        <is>
          <t>您能否为我们提供更多的品牌形象和形象塑造计划？</t>
        </is>
      </c>
      <c r="D346" s="92" t="inlineStr">
        <is>
          <t>Bạn có thể cung cấp cho chúng tôi kế hoạch hình ảnh thương hiệu và tạo dựng hình ảnh thương hiệu không? Nín néng fǒu wèi wǒmen tígōng gèng duō de pǐnpái xíngxiàng hé xíngxiàng sùzào jìhuà?</t>
        </is>
      </c>
      <c r="E346" s="92" t="inlineStr">
        <is>
          <t>345 您能否为我们 提供更多的品 牌形象和形象 塑造计划？ Bạn có thể cung cấp cho chúng tôi kế hoạch hình ảnh thương hiệu và tạo dựng hình ảnh thương hiệu không? Nín néng fǒu wèi wǒmen tígōng gèng duō de pǐnpái xíngxiàng hé xíngxiàng sùzào jìhuà?</t>
        </is>
      </c>
      <c r="F346" s="114">
        <f>HYPERLINK("https://youglish.com/pronounce/您能否为我们提供更多的品牌形象和形象塑造计划/chinese","🔍")</f>
        <v/>
      </c>
    </row>
    <row r="347" ht="42.75" customHeight="1" s="99">
      <c r="A347" s="94" t="inlineStr">
        <is>
          <t>626 ĐPTM.pdf</t>
        </is>
      </c>
      <c r="B347" s="95" t="inlineStr">
        <is>
          <t>346</t>
        </is>
      </c>
      <c r="C347" s="94" t="inlineStr">
        <is>
          <t>我们需要对产品的品质和性能进行商议。</t>
        </is>
      </c>
      <c r="D347" s="94" t="inlineStr">
        <is>
          <t>Chúng tôi cần thảo luận về chất lượng và hiệu suất sản phẩm. Wǒmen xūyào duì chǎnpǐn de pǐnzhí hé xìngnéng jìnxíng shāngyì.</t>
        </is>
      </c>
      <c r="E347" s="94" t="inlineStr">
        <is>
          <t>346 我们需要对产 品的品质和性 能进行商议。 Chúng tôi cần thảo luận về chất lượng và hiệu suất sản phẩm. Wǒmen xūyào duì chǎnpǐn de pǐnzhí hé xìngnéng jìnxíng shāngyì.</t>
        </is>
      </c>
      <c r="F347" s="115">
        <f>HYPERLINK("https://youglish.com/pronounce/我们需要对产品的品质和性能进行商议/chinese","🔍")</f>
        <v/>
      </c>
    </row>
    <row r="348" ht="42.75" customHeight="1" s="99">
      <c r="A348" s="92" t="inlineStr">
        <is>
          <t>626 ĐPTM.pdf</t>
        </is>
      </c>
      <c r="B348" s="93" t="inlineStr">
        <is>
          <t>347</t>
        </is>
      </c>
      <c r="C348" s="92" t="inlineStr">
        <is>
          <t>我们需要确认合同的执行和履行责任。</t>
        </is>
      </c>
      <c r="D348" s="92" t="inlineStr">
        <is>
          <t>Chúng tôi cần xác nhận trách nhiệm thực hiện và thực hiện của hợp đồng. Wǒmen xūyào quèrèn hétóng de zhíxíng hé lǚxíng zérèn.</t>
        </is>
      </c>
      <c r="E348" s="92" t="inlineStr">
        <is>
          <t>347 我们需要确认 合同的执行和 履行责任。 Chúng tôi cần xác nhận trách nhiệm thực hiện và thực hiện của hợp đồng. Wǒmen xūyào quèrèn hétóng de zhíxíng hé lǚxíng zérèn.</t>
        </is>
      </c>
      <c r="F348" s="114">
        <f>HYPERLINK("https://youglish.com/pronounce/我们需要确认合同的执行和履行责任/chinese","🔍")</f>
        <v/>
      </c>
    </row>
    <row r="349" ht="57" customHeight="1" s="99">
      <c r="A349" s="94" t="inlineStr">
        <is>
          <t>626 ĐPTM.pdf</t>
        </is>
      </c>
      <c r="B349" s="95" t="inlineStr">
        <is>
          <t>348</t>
        </is>
      </c>
      <c r="C349" s="94" t="inlineStr">
        <is>
          <t>您能否为我们提供更多的市场推广和宣传方案？</t>
        </is>
      </c>
      <c r="D349" s="94" t="inlineStr">
        <is>
          <t>Bạn có thể cung cấp cho chúng tôi nhiều kế hoạch quảng cáo và truyền thông hơn được không? Nín néng fǒu wèi wǒmen tígōng gèng duō de shìchǎng tuīguǎng hé xuānchuán fāng'àn?</t>
        </is>
      </c>
      <c r="E349" s="94" t="inlineStr">
        <is>
          <t>348 您能否为我们 提供更多的市 场推广和宣传 方案？ Bạn có thể cung cấp cho chúng tôi nhiều kế hoạch quảng cáo và truyền thông hơn được không? Nín néng fǒu wèi wǒmen tígōng gèng duō de shìchǎng tuīguǎng hé xuānchuán fāng'àn?</t>
        </is>
      </c>
      <c r="F349" s="115">
        <f>HYPERLINK("https://youglish.com/pronounce/您能否为我们提供更多的市场推广和宣传方案/chinese","🔍")</f>
        <v/>
      </c>
    </row>
    <row r="350" ht="42.75" customHeight="1" s="99">
      <c r="A350" s="92" t="inlineStr">
        <is>
          <t>626 ĐPTM.pdf</t>
        </is>
      </c>
      <c r="B350" s="93" t="inlineStr">
        <is>
          <t>349</t>
        </is>
      </c>
      <c r="C350" s="92" t="inlineStr">
        <is>
          <t>我们需要对产品的包装和运输进行商议。</t>
        </is>
      </c>
      <c r="D350" s="92" t="inlineStr">
        <is>
          <t>Chúng tôi cần thảo luận về bao bì và vận chuyển sản phẩm. Wǒmen xūyào duì chǎnpǐn de bāozhuāng hé yùnshū jìnxíng shāngyì.</t>
        </is>
      </c>
      <c r="E350" s="92" t="inlineStr">
        <is>
          <t>349 我们需要对产 品的包装和运 输进行商议。 Chúng tôi cần thảo luận về bao bì và vận chuyển sản phẩm. Wǒmen xūyào duì chǎnpǐn de bāozhuāng hé yùnshū jìnxíng shāngyì.</t>
        </is>
      </c>
      <c r="F350" s="114">
        <f>HYPERLINK("https://youglish.com/pronounce/我们需要对产品的包装和运输进行商议/chinese","🔍")</f>
        <v/>
      </c>
    </row>
    <row r="351" ht="42.75" customHeight="1" s="99">
      <c r="A351" s="94" t="inlineStr">
        <is>
          <t>626 ĐPTM.pdf</t>
        </is>
      </c>
      <c r="B351" s="95" t="inlineStr">
        <is>
          <t>350</t>
        </is>
      </c>
      <c r="C351" s="94" t="inlineStr">
        <is>
          <t>我们需要确认合同的保密和保密责任。</t>
        </is>
      </c>
      <c r="D351" s="94" t="inlineStr">
        <is>
          <t>Chúng tôi cần xác nhận trách nhiệm bảo mật và bảo mật của hợp đồng. Wǒmen xūyào quèrèn hétóng de bǎomì hé bǎomì zérèn.</t>
        </is>
      </c>
      <c r="E351" s="94" t="inlineStr">
        <is>
          <t>350 我们需要确认 合同的保密和 保密责任。 Chúng tôi cần xác nhận trách nhiệm bảo mật và bảo mật của hợp đồng. Wǒmen xūyào quèrèn hétóng de bǎomì hé bǎomì zérèn.</t>
        </is>
      </c>
      <c r="F351" s="115">
        <f>HYPERLINK("https://youglish.com/pronounce/我们需要确认合同的保密和保密责任/chinese","🔍")</f>
        <v/>
      </c>
    </row>
    <row r="352" ht="42.75" customHeight="1" s="99">
      <c r="A352" s="92" t="inlineStr">
        <is>
          <t>626 ĐPTM.pdf</t>
        </is>
      </c>
      <c r="B352" s="93" t="inlineStr">
        <is>
          <t>351</t>
        </is>
      </c>
      <c r="C352" s="92" t="inlineStr">
        <is>
          <t>您能否为我们提供更多的客户反馈和建议？</t>
        </is>
      </c>
      <c r="D352" s="92" t="inlineStr">
        <is>
          <t>Bạn có thể cung cấp cho chúng tôi nhiều ý kiến phản hồi và đề xuất từ khách hàng không? Nín néng fǒu wèi wǒmen tígōng gèng duō de kèhù fǎnkuì hé jiànyì?</t>
        </is>
      </c>
      <c r="E352" s="92" t="inlineStr">
        <is>
          <t>351 您能否为我们 提供更多的客 户反馈和建 议？ Bạn có thể cung cấp cho chúng tôi nhiều ý kiến phản hồi và đề xuất từ khách hàng không? Nín néng fǒu wèi wǒmen tígōng gèng duō de kèhù fǎnkuì hé jiànyì?</t>
        </is>
      </c>
      <c r="F352" s="114">
        <f>HYPERLINK("https://youglish.com/pronounce/您能否为我们提供更多的客户反馈和建议/chinese","🔍")</f>
        <v/>
      </c>
    </row>
    <row r="353" ht="57" customHeight="1" s="99">
      <c r="A353" s="94" t="inlineStr">
        <is>
          <t>626 ĐPTM.pdf</t>
        </is>
      </c>
      <c r="B353" s="95" t="inlineStr">
        <is>
          <t>352</t>
        </is>
      </c>
      <c r="C353" s="94" t="inlineStr">
        <is>
          <t>我们需要对产品的安全性和环保性进行商议。</t>
        </is>
      </c>
      <c r="D353" s="94" t="inlineStr">
        <is>
          <t>Chúng tôi cần thảo luận về tính an toàn và tính bảo vệ môi trường của sản phẩm. Wǒmen xūyào duì chǎnpǐn de ānquán xìng hé huánbǎo xìng jìnxíng shāngyì.</t>
        </is>
      </c>
      <c r="E353" s="94" t="inlineStr">
        <is>
          <t>352 我们需要对产 品的安全性和 环保性进行商 议。 Chúng tôi cần thảo luận về tính an toàn và tính bảo vệ môi trường của sản phẩm. Wǒmen xūyào duì chǎnpǐn de ānquán xìng hé huánbǎo xìng jìnxíng shāngyì.</t>
        </is>
      </c>
      <c r="F353" s="115">
        <f>HYPERLINK("https://youglish.com/pronounce/我们需要对产品的安全性和环保性进行商议/chinese","🔍")</f>
        <v/>
      </c>
    </row>
    <row r="354" ht="42.75" customHeight="1" s="99">
      <c r="A354" s="92" t="inlineStr">
        <is>
          <t>626 ĐPTM.pdf</t>
        </is>
      </c>
      <c r="B354" s="93" t="inlineStr">
        <is>
          <t>353</t>
        </is>
      </c>
      <c r="C354" s="92" t="inlineStr">
        <is>
          <t>我们需要确认合同的解除和终止条款。</t>
        </is>
      </c>
      <c r="D354" s="92" t="inlineStr">
        <is>
          <t>Chúng tôi cần xác nhận các điều khoản hủy bỏ và chấm dứt của hợp đồng. Wǒmen xūyào quèrèn hétóng de jiěchú hé zhōngzhǐ tiáokuǎn.</t>
        </is>
      </c>
      <c r="E354" s="92" t="inlineStr">
        <is>
          <t>353 我们需要确认 合同的解除和 终止条款。 Chúng tôi cần xác nhận các điều khoản hủy bỏ và chấm dứt của hợp đồng. Wǒmen xūyào quèrèn hétóng de jiěchú hé zhōngzhǐ tiáokuǎn.</t>
        </is>
      </c>
      <c r="F354" s="114">
        <f>HYPERLINK("https://youglish.com/pronounce/我们需要确认合同的解除和终止条款/chinese","🔍")</f>
        <v/>
      </c>
    </row>
    <row r="355" ht="57" customHeight="1" s="99">
      <c r="A355" s="94" t="inlineStr">
        <is>
          <t>626 ĐPTM.pdf</t>
        </is>
      </c>
      <c r="B355" s="95" t="inlineStr">
        <is>
          <t>354</t>
        </is>
      </c>
      <c r="C355" s="94" t="inlineStr">
        <is>
          <t>您能否为我们提供更多的行业动态和趋势分析？</t>
        </is>
      </c>
      <c r="D355" s="94" t="inlineStr">
        <is>
          <t>Bạn có thể cung cấp cho chúng tôi nhiều thông tin về xu hướng và phân tích ngành công nghiệp hơn được không? Nín néng fǒu wèi wǒmen tígōng gèng duō de hángyè dòngtài hé qūshì fēnxī?</t>
        </is>
      </c>
      <c r="E355" s="94" t="inlineStr">
        <is>
          <t>354 您能否为我们 提供更多的行 业动态和趋势 分析？ Bạn có thể cung cấp cho chúng tôi nhiều thông tin về xu hướng và phân tích ngành công nghiệp hơn được không? Nín néng fǒu wèi wǒmen tígōng gèng duō de hángyè dòngtài hé qūshì fēnxī?</t>
        </is>
      </c>
      <c r="F355" s="115">
        <f>HYPERLINK("https://youglish.com/pronounce/您能否为我们提供更多的行业动态和趋势分析/chinese","🔍")</f>
        <v/>
      </c>
    </row>
    <row r="356" ht="42.75" customHeight="1" s="99">
      <c r="A356" s="92" t="inlineStr">
        <is>
          <t>626 ĐPTM.pdf</t>
        </is>
      </c>
      <c r="B356" s="93" t="inlineStr">
        <is>
          <t>355</t>
        </is>
      </c>
      <c r="C356" s="92" t="inlineStr">
        <is>
          <t>我们需要对产品的售后支持和服务进行商议。</t>
        </is>
      </c>
      <c r="D356" s="92" t="inlineStr">
        <is>
          <t>Chúng tôi cần thảo luận về hỗ trợ và dịch vụ sau bán hàng của sản phẩm. Wǒmen xūyào duì chǎnpǐn de shòuhòu zhīchí hé fúwù jìnxíng shāngyì.</t>
        </is>
      </c>
      <c r="E356" s="92" t="inlineStr">
        <is>
          <t>355 我们需要对产 品的售后支持 和服务进行商 议。 Chúng tôi cần thảo luận về hỗ trợ và dịch vụ sau bán hàng của sản phẩm. Wǒmen xūyào duì chǎnpǐn de shòuhòu zhīchí hé fúwù jìnxíng shāngyì.</t>
        </is>
      </c>
      <c r="F356" s="114">
        <f>HYPERLINK("https://youglish.com/pronounce/我们需要对产品的售后支持和服务进行商议/chinese","🔍")</f>
        <v/>
      </c>
    </row>
    <row r="357" ht="42.75" customHeight="1" s="99">
      <c r="A357" s="94" t="inlineStr">
        <is>
          <t>626 ĐPTM.pdf</t>
        </is>
      </c>
      <c r="B357" s="95" t="inlineStr">
        <is>
          <t>356</t>
        </is>
      </c>
      <c r="C357" s="94" t="inlineStr">
        <is>
          <t>我们需要确认合同的法律适用和管辖法院。</t>
        </is>
      </c>
      <c r="D357" s="94" t="inlineStr">
        <is>
          <t>Chúng tôi cần xác nhận việc áp dụng pháp luật và tòa án có thẩm quyền của hợp đồng. Wǒmen xūyào quèrèn hétóng de fǎlǜ shìyòng hé guǎnxiá fǎyuàn.</t>
        </is>
      </c>
      <c r="E357" s="94" t="inlineStr">
        <is>
          <t>356 我们需要确认 合同的法律适 用和管辖法 院。 Chúng tôi cần xác nhận việc áp dụng pháp luật và tòa án có thẩm quyền của hợp đồng. Wǒmen xūyào quèrèn hétóng de fǎlǜ shìyòng hé guǎnxiá fǎyuàn.</t>
        </is>
      </c>
      <c r="F357" s="115">
        <f>HYPERLINK("https://youglish.com/pronounce/我们需要确认合同的法律适用和管辖法院/chinese","🔍")</f>
        <v/>
      </c>
    </row>
    <row r="358" ht="57" customHeight="1" s="99">
      <c r="A358" s="92" t="inlineStr">
        <is>
          <t>626 ĐPTM.pdf</t>
        </is>
      </c>
      <c r="B358" s="93" t="inlineStr">
        <is>
          <t>357</t>
        </is>
      </c>
      <c r="C358" s="92" t="inlineStr">
        <is>
          <t>您能否为我们提供更多的品牌识别和品牌定位策略？</t>
        </is>
      </c>
      <c r="D358" s="92" t="inlineStr">
        <is>
          <t>Bạn có thể cung cấp cho chúng tôi nhiều chiến lược nhận diện thương hiệu và định vị thương hiệu hơn được không? Nín néng fǒu wèi wǒmen tígōng gèng duō de pǐnpái shìbié hé pǐnpái dìngwèi cèlüè?</t>
        </is>
      </c>
      <c r="E358" s="92" t="inlineStr">
        <is>
          <t>357 您能否为我们 提供更多的品 牌识别和品牌 定位策略？ Bạn có thể cung cấp cho chúng tôi nhiều chiến lược nhận diện thương hiệu và định vị thương hiệu hơn được không? Nín néng fǒu wèi wǒmen tígōng gèng duō de pǐnpái shìbié hé pǐnpái dìngwèi cèlüè?</t>
        </is>
      </c>
      <c r="F358" s="114">
        <f>HYPERLINK("https://youglish.com/pronounce/您能否为我们提供更多的品牌识别和品牌定位策略/chinese","🔍")</f>
        <v/>
      </c>
    </row>
    <row r="359" ht="42.75" customHeight="1" s="99">
      <c r="A359" s="94" t="inlineStr">
        <is>
          <t>626 ĐPTM.pdf</t>
        </is>
      </c>
      <c r="B359" s="95" t="inlineStr">
        <is>
          <t>358</t>
        </is>
      </c>
      <c r="C359" s="94" t="inlineStr">
        <is>
          <t>我们需要对产品的规格和尺寸进行商议。</t>
        </is>
      </c>
      <c r="D359" s="94" t="inlineStr">
        <is>
          <t>Chúng tôi cần thảo luận về thông số kỹ thuật và kích thước của sản phẩm. Wǒmen xūyào duì chǎnpǐn de guīgé hé chǐcùn jìnxíng shāngyì.</t>
        </is>
      </c>
      <c r="E359" s="94" t="inlineStr">
        <is>
          <t>358 我们需要对产 品的规格和尺 寸进行商议。 Chúng tôi cần thảo luận về thông số kỹ thuật và kích thước của sản phẩm. Wǒmen xūyào duì chǎnpǐn de guīgé hé chǐcùn jìnxíng shāngyì.</t>
        </is>
      </c>
      <c r="F359" s="115">
        <f>HYPERLINK("https://youglish.com/pronounce/我们需要对产品的规格和尺寸进行商议/chinese","🔍")</f>
        <v/>
      </c>
    </row>
    <row r="360" ht="42.75" customHeight="1" s="99">
      <c r="A360" s="92" t="inlineStr">
        <is>
          <t>626 ĐPTM.pdf</t>
        </is>
      </c>
      <c r="B360" s="93" t="inlineStr">
        <is>
          <t>359</t>
        </is>
      </c>
      <c r="C360" s="92" t="inlineStr">
        <is>
          <t>我们需要确认合同的保证和承诺条款。</t>
        </is>
      </c>
      <c r="D360" s="92" t="inlineStr">
        <is>
          <t>Chúng tôi cần xác nhận các điều khoản cam kết và bảo đảm của hợp đồng. Wǒmen xūyào quèrèn hétóng de bǎozhèng hé chéngnuò tiáokuǎn.</t>
        </is>
      </c>
      <c r="E360" s="92" t="inlineStr">
        <is>
          <t>359 我们需要确认 合同的保证和 承诺条款。 Chúng tôi cần xác nhận các điều khoản cam kết và bảo đảm của hợp đồng. Wǒmen xūyào quèrèn hétóng de bǎozhèng hé chéngnuò tiáokuǎn.</t>
        </is>
      </c>
      <c r="F360" s="114">
        <f>HYPERLINK("https://youglish.com/pronounce/我们需要确认合同的保证和承诺条款/chinese","🔍")</f>
        <v/>
      </c>
    </row>
    <row r="361" ht="57" customHeight="1" s="99">
      <c r="A361" s="94" t="inlineStr">
        <is>
          <t>626 ĐPTM.pdf</t>
        </is>
      </c>
      <c r="B361" s="95" t="inlineStr">
        <is>
          <t>360</t>
        </is>
      </c>
      <c r="C361" s="94" t="inlineStr">
        <is>
          <t>您能否为我们提供更多的产品设计和研发信息？</t>
        </is>
      </c>
      <c r="D361" s="94" t="inlineStr">
        <is>
          <t>Liệu bạn có thể cung cấp thêm thông tin về thiết kế sản phẩm và nghiên cứu phát triển không? Nín néng fǒu wèi wǒmen tígōng gèng duō de chǎnpǐn shèjì hé yánfā xìnxī?</t>
        </is>
      </c>
      <c r="E361" s="94" t="inlineStr">
        <is>
          <t>360 您能否为我们 提供更多的产 品设计和研发 信息？ Liệu bạn có thể cung cấp thêm thông tin về thiết kế sản phẩm và nghiên cứu phát triển không? Nín néng fǒu wèi wǒmen tígōng gèng duō de chǎnpǐn shèjì hé yánfā xìnxī?</t>
        </is>
      </c>
      <c r="F361" s="115">
        <f>HYPERLINK("https://youglish.com/pronounce/您能否为我们提供更多的产品设计和研发信息/chinese","🔍")</f>
        <v/>
      </c>
    </row>
    <row r="362" ht="42.75" customHeight="1" s="99">
      <c r="A362" s="92" t="inlineStr">
        <is>
          <t>626 ĐPTM.pdf</t>
        </is>
      </c>
      <c r="B362" s="93" t="inlineStr">
        <is>
          <t>361</t>
        </is>
      </c>
      <c r="C362" s="92" t="inlineStr">
        <is>
          <t>我们需要对产品的供应链和物流进行商议。</t>
        </is>
      </c>
      <c r="D362" s="92" t="inlineStr">
        <is>
          <t>Chúng tôi cần thảo luận về chuỗi cung ứng và vận chuyển sản phẩm. Wǒmen xūyào duì chǎnpǐn de gōngyìng liàn hé wùliú jìnxíng shāngyì.</t>
        </is>
      </c>
      <c r="E362" s="92" t="inlineStr">
        <is>
          <t>361 我们需要对产 品的供应链和 物流进行商 议。 Chúng tôi cần thảo luận về chuỗi cung ứng và vận chuyển sản phẩm. Wǒmen xūyào duì chǎnpǐn de gōngyìng liàn hé wùliú jìnxíng shāngyì.</t>
        </is>
      </c>
      <c r="F362" s="114">
        <f>HYPERLINK("https://youglish.com/pronounce/我们需要对产品的供应链和物流进行商议/chinese","🔍")</f>
        <v/>
      </c>
    </row>
    <row r="363" ht="42.75" customHeight="1" s="99">
      <c r="A363" s="94" t="inlineStr">
        <is>
          <t>626 ĐPTM.pdf</t>
        </is>
      </c>
      <c r="B363" s="95" t="inlineStr">
        <is>
          <t>362</t>
        </is>
      </c>
      <c r="C363" s="94" t="inlineStr">
        <is>
          <t>我们需要确认合同的违约和索赔条款。</t>
        </is>
      </c>
      <c r="D363" s="94" t="inlineStr">
        <is>
          <t>Chúng tôi cần xác nhận các điều khoản vi phạm hợp đồng và yêu sách bồi thường. Wǒmen xūyào quèrèn hétóng de wéiyuē hé suǒpéi tiáokuǎn.</t>
        </is>
      </c>
      <c r="E363" s="94" t="inlineStr">
        <is>
          <t>362 我们需要确认 合同的违约和 索赔条款。 Chúng tôi cần xác nhận các điều khoản vi phạm hợp đồng và yêu sách bồi thường. Wǒmen xūyào quèrèn hétóng de wéiyuē hé suǒpéi tiáokuǎn.</t>
        </is>
      </c>
      <c r="F363" s="115">
        <f>HYPERLINK("https://youglish.com/pronounce/我们需要确认合同的违约和索赔条款/chinese","🔍")</f>
        <v/>
      </c>
    </row>
    <row r="364" ht="57" customHeight="1" s="99">
      <c r="A364" s="92" t="inlineStr">
        <is>
          <t>626 ĐPTM.pdf</t>
        </is>
      </c>
      <c r="B364" s="93" t="inlineStr">
        <is>
          <t>363</t>
        </is>
      </c>
      <c r="C364" s="92" t="inlineStr">
        <is>
          <t>您能否为我们提供更多的市场营销和销售技巧？</t>
        </is>
      </c>
      <c r="D364" s="92" t="inlineStr">
        <is>
          <t>Liệu bạn có thể cung cấp thêm kỹ năng tiếp thị và bán hàng cho chúng tôi không? Nín néng fǒu wèi wǒmen tígōng gèng duō de shìchǎng yíngxiāo hé xiāoshòu jìqiǎo?</t>
        </is>
      </c>
      <c r="E364" s="92" t="inlineStr">
        <is>
          <t>363 您能否为我们 提供更多的市 场营销和销售 技巧？ Liệu bạn có thể cung cấp thêm kỹ năng tiếp thị và bán hàng cho chúng tôi không? Nín néng fǒu wèi wǒmen tígōng gèng duō de shìchǎng yíngxiāo hé xiāoshòu jìqiǎo?</t>
        </is>
      </c>
      <c r="F364" s="114">
        <f>HYPERLINK("https://youglish.com/pronounce/您能否为我们提供更多的市场营销和销售技巧/chinese","🔍")</f>
        <v/>
      </c>
    </row>
    <row r="365" ht="42.75" customHeight="1" s="99">
      <c r="A365" s="94" t="inlineStr">
        <is>
          <t>626 ĐPTM.pdf</t>
        </is>
      </c>
      <c r="B365" s="95" t="inlineStr">
        <is>
          <t>364</t>
        </is>
      </c>
      <c r="C365" s="94" t="inlineStr">
        <is>
          <t>我们需要对产品的配件和附件进行商议。</t>
        </is>
      </c>
      <c r="D365" s="94" t="inlineStr">
        <is>
          <t>Chúng tôi cần thảo luận về phụ kiện và linh kiện sản phẩm. Wǒmen xūyào duì chǎnpǐn de pèijiàn hé fùjiàn jìnxíng shāngyì.</t>
        </is>
      </c>
      <c r="E365" s="94" t="inlineStr">
        <is>
          <t>364 我们需要对产 品的配件和附 件进行商议。 Chúng tôi cần thảo luận về phụ kiện và linh kiện sản phẩm. Wǒmen xūyào duì chǎnpǐn de pèijiàn hé fùjiàn jìnxíng shāngyì.</t>
        </is>
      </c>
      <c r="F365" s="115">
        <f>HYPERLINK("https://youglish.com/pronounce/我们需要对产品的配件和附件进行商议/chinese","🔍")</f>
        <v/>
      </c>
    </row>
    <row r="366" ht="42.75" customHeight="1" s="99">
      <c r="A366" s="92" t="inlineStr">
        <is>
          <t>626 ĐPTM.pdf</t>
        </is>
      </c>
      <c r="B366" s="93" t="inlineStr">
        <is>
          <t>365</t>
        </is>
      </c>
      <c r="C366" s="92" t="inlineStr">
        <is>
          <t>我们需要确认合同的违约和损害赔偿条款。</t>
        </is>
      </c>
      <c r="D366" s="92" t="inlineStr">
        <is>
          <t>Chúng tôi cần xác nhận các điều khoản vi phạm hợp đồng và bồi thường thiệt hại. Wǒmen xūyào quèrèn hétóng de wéiyuē hé sǔnhài péicháng tiáokuǎn.</t>
        </is>
      </c>
      <c r="E366" s="92" t="inlineStr">
        <is>
          <t>365 我们需要确认 合同的违约和 损害赔偿条 款。 Chúng tôi cần xác nhận các điều khoản vi phạm hợp đồng và bồi thường thiệt hại. Wǒmen xūyào quèrèn hétóng de wéiyuē hé sǔnhài péicháng tiáokuǎn.</t>
        </is>
      </c>
      <c r="F366" s="114">
        <f>HYPERLINK("https://youglish.com/pronounce/我们需要确认合同的违约和损害赔偿条款/chinese","🔍")</f>
        <v/>
      </c>
    </row>
    <row r="367" ht="57" customHeight="1" s="99">
      <c r="A367" s="94" t="inlineStr">
        <is>
          <t>626 ĐPTM.pdf</t>
        </is>
      </c>
      <c r="B367" s="95" t="inlineStr">
        <is>
          <t>366</t>
        </is>
      </c>
      <c r="C367" s="94" t="inlineStr">
        <is>
          <t>您能否为我们提供更多的品牌定位和市场调查报告？</t>
        </is>
      </c>
      <c r="D367" s="94" t="inlineStr">
        <is>
          <t>Liệu bạn có thể cung cấp thêm chiến lược định vị thương hiệu và báo cáo nghiên cứu thị trường không? Nín néng fǒu wèi wǒmen tígōng gèng duō de pǐnpái dìngwèi hé shìchǎng tiáo chá bàogào?</t>
        </is>
      </c>
      <c r="E367" s="94" t="inlineStr">
        <is>
          <t>366 您能否为我们 提供更多的品 牌定位和市场 调查报告？ Liệu bạn có thể cung cấp thêm chiến lược định vị thương hiệu và báo cáo nghiên cứu thị trường không? Nín néng fǒu wèi wǒmen tígōng gèng duō de pǐnpái dìngwèi hé shìchǎng tiáo chá bàogào?</t>
        </is>
      </c>
      <c r="F367" s="115">
        <f>HYPERLINK("https://youglish.com/pronounce/您能否为我们提供更多的品牌定位和市场调查报告/chinese","🔍")</f>
        <v/>
      </c>
    </row>
    <row r="368" ht="42.75" customHeight="1" s="99">
      <c r="A368" s="92" t="inlineStr">
        <is>
          <t>626 ĐPTM.pdf</t>
        </is>
      </c>
      <c r="B368" s="93" t="inlineStr">
        <is>
          <t>367</t>
        </is>
      </c>
      <c r="C368" s="92" t="inlineStr">
        <is>
          <t>我们需要对产品的客户群和用户体验进行商议。</t>
        </is>
      </c>
      <c r="D368" s="92" t="inlineStr">
        <is>
          <t>Chúng tôi cần thảo luận về nhóm khách hàng sản phẩm và trải nghiệm người dùng. Wǒmen xūyào duì chǎnpǐn de kèhù qún hé yònghù tǐyàn jìnxíng shāngyì.</t>
        </is>
      </c>
      <c r="E368" s="92" t="inlineStr">
        <is>
          <t>367 我们需要对产 品的客户群和 用户体验进行 商议。 Chúng tôi cần thảo luận về nhóm khách hàng sản phẩm và trải nghiệm người dùng. Wǒmen xūyào duì chǎnpǐn de kèhù qún hé yònghù tǐyàn jìnxíng shāngyì.</t>
        </is>
      </c>
      <c r="F368" s="114">
        <f>HYPERLINK("https://youglish.com/pronounce/我们需要对产品的客户群和用户体验进行商议/chinese","🔍")</f>
        <v/>
      </c>
    </row>
    <row r="369" ht="42.75" customHeight="1" s="99">
      <c r="A369" s="94" t="inlineStr">
        <is>
          <t>626 ĐPTM.pdf</t>
        </is>
      </c>
      <c r="B369" s="95" t="inlineStr">
        <is>
          <t>368</t>
        </is>
      </c>
      <c r="C369" s="94" t="inlineStr">
        <is>
          <t>我们需要确认合同的保密和保密协议。</t>
        </is>
      </c>
      <c r="D369" s="94" t="inlineStr">
        <is>
          <t>Chúng tôi cần xác nhận các điều khoản bảo mật và thỏa thuận bảo mật. Wǒmen xūyào quèrèn hétóng de bǎomì hé bǎomì xiéyì.</t>
        </is>
      </c>
      <c r="E369" s="94" t="inlineStr">
        <is>
          <t>368 我们需要确认 合同的保密和 保密协议。 Chúng tôi cần xác nhận các điều khoản bảo mật và thỏa thuận bảo mật. Wǒmen xūyào quèrèn hétóng de bǎomì hé bǎomì xiéyì.</t>
        </is>
      </c>
      <c r="F369" s="115">
        <f>HYPERLINK("https://youglish.com/pronounce/我们需要确认合同的保密和保密协议/chinese","🔍")</f>
        <v/>
      </c>
    </row>
    <row r="370" ht="57" customHeight="1" s="99">
      <c r="A370" s="92" t="inlineStr">
        <is>
          <t>626 ĐPTM.pdf</t>
        </is>
      </c>
      <c r="B370" s="93" t="inlineStr">
        <is>
          <t>369</t>
        </is>
      </c>
      <c r="C370" s="92" t="inlineStr">
        <is>
          <t>您能否为我们提供更多的市场营销和销售数据分析？</t>
        </is>
      </c>
      <c r="D370" s="92" t="inlineStr">
        <is>
          <t>Liệu bạn có thể cung cấp thêm phân tích dữ liệu tiếp thị và bán hàng cho chúng tôi không? Nín néng fǒu wèi wǒmen tígōng gèng duō de shìchǎng yíngxiāo hé xiāoshòu shùjù fēnxī?</t>
        </is>
      </c>
      <c r="E370" s="92" t="inlineStr">
        <is>
          <t>369 您能否为我们 提供更多的市 场营销和销售 数据分析？ Liệu bạn có thể cung cấp thêm phân tích dữ liệu tiếp thị và bán hàng cho chúng tôi không? Nín néng fǒu wèi wǒmen tígōng gèng duō de shìchǎng yíngxiāo hé xiāoshòu shùjù fēnxī?</t>
        </is>
      </c>
      <c r="F370" s="114">
        <f>HYPERLINK("https://youglish.com/pronounce/您能否为我们提供更多的市场营销和销售数据分析/chinese","🔍")</f>
        <v/>
      </c>
    </row>
    <row r="371" ht="42.75" customHeight="1" s="99">
      <c r="A371" s="94" t="inlineStr">
        <is>
          <t>626 ĐPTM.pdf</t>
        </is>
      </c>
      <c r="B371" s="95" t="inlineStr">
        <is>
          <t>370</t>
        </is>
      </c>
      <c r="C371" s="94" t="inlineStr">
        <is>
          <t>我们需要对产品的功能和性能进行商议。</t>
        </is>
      </c>
      <c r="D371" s="94" t="inlineStr">
        <is>
          <t>Chúng tôi cần thảo luận về chức năng và hiệu suất sản phẩm. Wǒmen xūyào duì chǎnpǐn de gōngnéng hé xìngnéng jìnxíng shāngyì.</t>
        </is>
      </c>
      <c r="E371" s="94" t="inlineStr">
        <is>
          <t>370 我们需要对产 品的功能和性 能进行商议。 Chúng tôi cần thảo luận về chức năng và hiệu suất sản phẩm. Wǒmen xūyào duì chǎnpǐn de gōngnéng hé xìngnéng jìnxíng shāngyì.</t>
        </is>
      </c>
      <c r="F371" s="115">
        <f>HYPERLINK("https://youglish.com/pronounce/我们需要对产品的功能和性能进行商议/chinese","🔍")</f>
        <v/>
      </c>
    </row>
    <row r="372" ht="57" customHeight="1" s="99">
      <c r="A372" s="92" t="inlineStr">
        <is>
          <t>626 ĐPTM.pdf</t>
        </is>
      </c>
      <c r="B372" s="93" t="inlineStr">
        <is>
          <t>371</t>
        </is>
      </c>
      <c r="C372" s="92" t="inlineStr">
        <is>
          <t>我们需要确认合同的不正当竞争和商业秘密条款。</t>
        </is>
      </c>
      <c r="D372" s="92" t="inlineStr">
        <is>
          <t>Chúng tôi cần xác nhận các điều khoản cạnh tranh không lành mạnh và bí mật thương mại. Wǒmen xūyào quèrèn hétóng de bù zhèngdàng jìngzhēng hé shāngyè mìmì tiáokuǎn.</t>
        </is>
      </c>
      <c r="E372" s="92" t="inlineStr">
        <is>
          <t>371 我们需要确认 合同的不正当 竞争和商业秘 密条款。 Chúng tôi cần xác nhận các điều khoản cạnh tranh không lành mạnh và bí mật thương mại. Wǒmen xūyào quèrèn hétóng de bù zhèngdàng jìngzhēng hé shāngyè mìmì tiáokuǎn.</t>
        </is>
      </c>
      <c r="F372" s="114">
        <f>HYPERLINK("https://youglish.com/pronounce/我们需要确认合同的不正当竞争和商业秘密条款/chinese","🔍")</f>
        <v/>
      </c>
    </row>
    <row r="373" ht="57" customHeight="1" s="99">
      <c r="A373" s="94" t="inlineStr">
        <is>
          <t>626 ĐPTM.pdf</t>
        </is>
      </c>
      <c r="B373" s="95" t="inlineStr">
        <is>
          <t>372</t>
        </is>
      </c>
      <c r="C373" s="94" t="inlineStr">
        <is>
          <t>您能否为我们提供更多的品牌管理和形象营销建议？</t>
        </is>
      </c>
      <c r="D373" s="94" t="inlineStr">
        <is>
          <t>Liệu bạn có thể cung cấp thêm lời khuyên về quản lý thương hiệu và tiếp thị hình ảnh cho chúng tôi không? Nín néng fǒu wèi wǒmen tígōng gèng duō de pǐnpái guǎnlǐ hé xíngxiàng yíngxiāo jiànyì?</t>
        </is>
      </c>
      <c r="E373" s="94" t="inlineStr">
        <is>
          <t>372 您能否为我们 提供更多的品 牌管理和形象 营销建议？ Liệu bạn có thể cung cấp thêm lời khuyên về quản lý thương hiệu và tiếp thị hình ảnh cho chúng tôi không? Nín néng fǒu wèi wǒmen tígōng gèng duō de pǐnpái guǎnlǐ hé xíngxiàng yíngxiāo jiànyì?</t>
        </is>
      </c>
      <c r="F373" s="115">
        <f>HYPERLINK("https://youglish.com/pronounce/您能否为我们提供更多的品牌管理和形象营销建议/chinese","🔍")</f>
        <v/>
      </c>
    </row>
    <row r="374" ht="57" customHeight="1" s="99">
      <c r="A374" s="92" t="inlineStr">
        <is>
          <t>626 ĐPTM.pdf</t>
        </is>
      </c>
      <c r="B374" s="93" t="inlineStr">
        <is>
          <t>373</t>
        </is>
      </c>
      <c r="C374" s="92" t="inlineStr">
        <is>
          <t>我们需要对产品的生产工艺和工艺流程进行商议。</t>
        </is>
      </c>
      <c r="D374" s="92" t="inlineStr">
        <is>
          <t>Chúng tôi cần thảo luận về quy trình sản xuất và công nghệ sản xuất sản phẩm. Wǒmen xūyào duì chǎnpǐn de shēngchǎn gōngyì hé gōngyì liúchéng jìnxíng shāngyì.</t>
        </is>
      </c>
      <c r="E374" s="92" t="inlineStr">
        <is>
          <t>373 我们需要对产 品的生产工艺 和工艺流程进 行商议。 Chúng tôi cần thảo luận về quy trình sản xuất và công nghệ sản xuất sản phẩm. Wǒmen xūyào duì chǎnpǐn de shēngchǎn gōngyì hé gōngyì liúchéng jìnxíng shāngyì.</t>
        </is>
      </c>
      <c r="F374" s="114">
        <f>HYPERLINK("https://youglish.com/pronounce/我们需要对产品的生产工艺和工艺流程进行商议/chinese","🔍")</f>
        <v/>
      </c>
    </row>
    <row r="375" ht="42.75" customHeight="1" s="99">
      <c r="A375" s="94" t="inlineStr">
        <is>
          <t>626 ĐPTM.pdf</t>
        </is>
      </c>
      <c r="B375" s="95" t="inlineStr">
        <is>
          <t>374</t>
        </is>
      </c>
      <c r="C375" s="94" t="inlineStr">
        <is>
          <t>我们需要确认合同的知识产权和许可协议。</t>
        </is>
      </c>
      <c r="D375" s="94" t="inlineStr">
        <is>
          <t>Chúng tôi cần xác nhận các điều khoản sở hữu trí tuệ và thỏa thuận cấp phép. Wǒmen xūyào quèrèn hétóng de zhīshì chǎnquán hé xǔkě xiéyì.</t>
        </is>
      </c>
      <c r="E375" s="94" t="inlineStr">
        <is>
          <t>374 我们需要确认 合同的知识产 权和许可协 议。 Chúng tôi cần xác nhận các điều khoản sở hữu trí tuệ và thỏa thuận cấp phép. Wǒmen xūyào quèrèn hétóng de zhīshì chǎnquán hé xǔkě xiéyì.</t>
        </is>
      </c>
      <c r="F375" s="115">
        <f>HYPERLINK("https://youglish.com/pronounce/我们需要确认合同的知识产权和许可协议/chinese","🔍")</f>
        <v/>
      </c>
    </row>
    <row r="376" ht="57" customHeight="1" s="99">
      <c r="A376" s="92" t="inlineStr">
        <is>
          <t>626 ĐPTM.pdf</t>
        </is>
      </c>
      <c r="B376" s="93" t="inlineStr">
        <is>
          <t>375</t>
        </is>
      </c>
      <c r="C376" s="92" t="inlineStr">
        <is>
          <t>您能否为我们提供更多的行业趋势和发展趋势分析？</t>
        </is>
      </c>
      <c r="D376" s="92" t="inlineStr">
        <is>
          <t>Liệu bạn có thể cung cấp thêm phân tích về xu hướng và phát triển trong ngành không? Nín néng fǒu wèi wǒmen tígōng gèng duō de hángyè qūshì hé fāzhǎn qūshì fēnxī?</t>
        </is>
      </c>
      <c r="E376" s="92" t="inlineStr">
        <is>
          <t>375 您能否为我们 提供更多的行 业趋势和发展 趋势分析？ Liệu bạn có thể cung cấp thêm phân tích về xu hướng và phát triển trong ngành không? Nín néng fǒu wèi wǒmen tígōng gèng duō de hángyè qūshì hé fāzhǎn qūshì fēnxī?</t>
        </is>
      </c>
      <c r="F376" s="114">
        <f>HYPERLINK("https://youglish.com/pronounce/您能否为我们提供更多的行业趋势和发展趋势分析/chinese","🔍")</f>
        <v/>
      </c>
    </row>
    <row r="377" ht="57" customHeight="1" s="99">
      <c r="A377" s="94" t="inlineStr">
        <is>
          <t>626 ĐPTM.pdf</t>
        </is>
      </c>
      <c r="B377" s="95" t="inlineStr">
        <is>
          <t>376</t>
        </is>
      </c>
      <c r="C377" s="94" t="inlineStr">
        <is>
          <t>我们需要对产品的品牌价值和品牌效应进行商议。</t>
        </is>
      </c>
      <c r="D377" s="94" t="inlineStr">
        <is>
          <t>Chúng tôi cần thảo luận về giá trị thương hiệu và hiệu quả thương hiệu của sản phẩm. Wǒmen xūyào duì chǎnpǐn de pǐnpái jiàzhí hé pǐnpái xiàoyìng jìnxíng shāngyì.</t>
        </is>
      </c>
      <c r="E377" s="94" t="inlineStr">
        <is>
          <t>376 我们需要对产 品的品牌价值 和品牌效应进 行商议。 Chúng tôi cần thảo luận về giá trị thương hiệu và hiệu quả thương hiệu của sản phẩm. Wǒmen xūyào duì chǎnpǐn de pǐnpái jiàzhí hé pǐnpái xiàoyìng jìnxíng shāngyì.</t>
        </is>
      </c>
      <c r="F377" s="115">
        <f>HYPERLINK("https://youglish.com/pronounce/我们需要对产品的品牌价值和品牌效应进行商议/chinese","🔍")</f>
        <v/>
      </c>
    </row>
    <row r="378" ht="42.75" customHeight="1" s="99">
      <c r="A378" s="92" t="inlineStr">
        <is>
          <t>626 ĐPTM.pdf</t>
        </is>
      </c>
      <c r="B378" s="93" t="inlineStr">
        <is>
          <t>377</t>
        </is>
      </c>
      <c r="C378" s="92" t="inlineStr">
        <is>
          <t>我们需要确认合同的技术转让和专利协议。</t>
        </is>
      </c>
      <c r="D378" s="92" t="inlineStr">
        <is>
          <t>Chúng tôi cần xác nhận các điều khoản chuyển giao công nghệ và thỏa thuận bằng sáng chế. Wǒmen xūyào quèrèn hétóng de jìshù zhuǎnràng hé zhuānlì xiéyì.</t>
        </is>
      </c>
      <c r="E378" s="92" t="inlineStr">
        <is>
          <t>377 我们需要确认 合同的技术转 让和专利协 议。 Chúng tôi cần xác nhận các điều khoản chuyển giao công nghệ và thỏa thuận bằng sáng chế. Wǒmen xūyào quèrèn hétóng de jìshù zhuǎnràng hé zhuānlì xiéyì.</t>
        </is>
      </c>
      <c r="F378" s="114">
        <f>HYPERLINK("https://youglish.com/pronounce/我们需要确认合同的技术转让和专利协议/chinese","🔍")</f>
        <v/>
      </c>
    </row>
    <row r="379" ht="57" customHeight="1" s="99">
      <c r="A379" s="94" t="inlineStr">
        <is>
          <t>626 ĐPTM.pdf</t>
        </is>
      </c>
      <c r="B379" s="95" t="inlineStr">
        <is>
          <t>378</t>
        </is>
      </c>
      <c r="C379" s="94" t="inlineStr">
        <is>
          <t>您能否为我们提供更多的品牌策略和推广方案？</t>
        </is>
      </c>
      <c r="D379" s="94" t="inlineStr">
        <is>
          <t>Liệu bạn có thể cung cấp thêm chiến lược thương hiệu và kế hoạch quảng bá cho chúng tôi không? Nín néng fǒu wèi wǒmen tígōng gèng duō de pǐnpái cèlüè hé tuīguǎng fāng'àn?</t>
        </is>
      </c>
      <c r="E379" s="94" t="inlineStr">
        <is>
          <t>378 您能否为我们 提供更多的品 牌策略和推广 方案？ Liệu bạn có thể cung cấp thêm chiến lược thương hiệu và kế hoạch quảng bá cho chúng tôi không? Nín néng fǒu wèi wǒmen tígōng gèng duō de pǐnpái cèlüè hé tuīguǎng fāng'àn?</t>
        </is>
      </c>
      <c r="F379" s="115">
        <f>HYPERLINK("https://youglish.com/pronounce/您能否为我们提供更多的品牌策略和推广方案/chinese","🔍")</f>
        <v/>
      </c>
    </row>
    <row r="380" ht="57" customHeight="1" s="99">
      <c r="A380" s="92" t="inlineStr">
        <is>
          <t>626 ĐPTM.pdf</t>
        </is>
      </c>
      <c r="B380" s="93" t="inlineStr">
        <is>
          <t>379</t>
        </is>
      </c>
      <c r="C380" s="92" t="inlineStr">
        <is>
          <t>我们需要对产品的客户需求和市场需求进行商议。</t>
        </is>
      </c>
      <c r="D380" s="92" t="inlineStr">
        <is>
          <t>Chúng tôi cần thảo luận về nhu cầu của khách hàng và thị trường đối với sản phẩm. Wǒmen xūyào duì chǎnpǐn de kèhù xūqiú hé shìchǎng xūqiú jìnxíng shāngyì.</t>
        </is>
      </c>
      <c r="E380" s="92" t="inlineStr">
        <is>
          <t>379 我们需要对产 品的客户需求 和市场需求进 行商议。 Chúng tôi cần thảo luận về nhu cầu của khách hàng và thị trường đối với sản phẩm. Wǒmen xūyào duì chǎnpǐn de kèhù xūqiú hé shìchǎng xūqiú jìnxíng shāngyì.</t>
        </is>
      </c>
      <c r="F380" s="114">
        <f>HYPERLINK("https://youglish.com/pronounce/我们需要对产品的客户需求和市场需求进行商议/chinese","🔍")</f>
        <v/>
      </c>
    </row>
    <row r="381" ht="42.75" customHeight="1" s="99">
      <c r="A381" s="94" t="inlineStr">
        <is>
          <t>626 ĐPTM.pdf</t>
        </is>
      </c>
      <c r="B381" s="95" t="inlineStr">
        <is>
          <t>380</t>
        </is>
      </c>
      <c r="C381" s="94" t="inlineStr">
        <is>
          <t>我们需要确认合同的补救和救济措施。</t>
        </is>
      </c>
      <c r="D381" s="94" t="inlineStr">
        <is>
          <t>Chúng tôi cần xác nhận các biện pháp bồi thường và giải quyết khiếu nại trong hợp đồng. Wǒmen xūyào quèrèn hétóng de bǔjiù hé jiùjì cuòshī.</t>
        </is>
      </c>
      <c r="E381" s="94" t="inlineStr">
        <is>
          <t>380 我们需要确认 合同的补救和 救济措施。 Chúng tôi cần xác nhận các biện pháp bồi thường và giải quyết khiếu nại trong hợp đồng. Wǒmen xūyào quèrèn hétóng de bǔjiù hé jiùjì cuòshī.</t>
        </is>
      </c>
      <c r="F381" s="115">
        <f>HYPERLINK("https://youglish.com/pronounce/我们需要确认合同的补救和救济措施/chinese","🔍")</f>
        <v/>
      </c>
    </row>
    <row r="382" ht="71.25" customHeight="1" s="99">
      <c r="A382" s="92" t="inlineStr">
        <is>
          <t>626 ĐPTM.pdf</t>
        </is>
      </c>
      <c r="B382" s="93" t="inlineStr">
        <is>
          <t>381</t>
        </is>
      </c>
      <c r="C382" s="92" t="inlineStr">
        <is>
          <t>您能否为我们提供更多的社交媒体营销和数字化推广方案？</t>
        </is>
      </c>
      <c r="D382" s="92" t="inlineStr">
        <is>
          <t>Bạn có thể cung cấp cho chúng tôi thêm thông tin về tiếp thị trên mạng xã hội và chiến lược quảng cáo kỹ thuật số không? Nín néng fǒu wèi wǒmen tígōng gèng duō de shèjiāo méitǐ yíngxiāo hé shùzìhuà tuīguǎng fāng'àn?</t>
        </is>
      </c>
      <c r="E382" s="92" t="inlineStr">
        <is>
          <t>381 您能否为我们 提供更多的社 交媒体营销和 数字化推广方 案？ Bạn có thể cung cấp cho chúng tôi thêm thông tin về tiếp thị trên mạng xã hội và chiến lược quảng cáo kỹ thuật số không? Nín néng fǒu wèi wǒmen tígōng gèng duō de shèjiāo méitǐ yíngxiāo hé shùzìhuà tuīguǎng fāng'àn?</t>
        </is>
      </c>
      <c r="F382" s="114">
        <f>HYPERLINK("https://youglish.com/pronounce/您能否为我们提供更多的社交媒体营销和数字化推广方案/chinese","🔍")</f>
        <v/>
      </c>
    </row>
    <row r="383" ht="42.75" customHeight="1" s="99">
      <c r="A383" s="94" t="inlineStr">
        <is>
          <t>626 ĐPTM.pdf</t>
        </is>
      </c>
      <c r="B383" s="95" t="inlineStr">
        <is>
          <t>382</t>
        </is>
      </c>
      <c r="C383" s="94" t="inlineStr">
        <is>
          <t>我们需要对产品的质量标准和认证进行商议。</t>
        </is>
      </c>
      <c r="D383" s="94" t="inlineStr">
        <is>
          <t>Chúng tôi cần thảo luận về tiêu chuẩn chất lượng và chứng nhận của sản phẩm. Wǒmen xūyào duì chǎnpǐn de zhìliàng biāozhǔn hé rènzhèng jìnxíng shāngyì.</t>
        </is>
      </c>
      <c r="E383" s="94" t="inlineStr">
        <is>
          <t>382 我们需要对产 品的质量标准 和认证进行商 议。 Chúng tôi cần thảo luận về tiêu chuẩn chất lượng và chứng nhận của sản phẩm. Wǒmen xūyào duì chǎnpǐn de zhìliàng biāozhǔn hé rènzhèng jìnxíng shāngyì.</t>
        </is>
      </c>
      <c r="F383" s="115">
        <f>HYPERLINK("https://youglish.com/pronounce/我们需要对产品的质量标准和认证进行商议/chinese","🔍")</f>
        <v/>
      </c>
    </row>
    <row r="384" ht="57" customHeight="1" s="99">
      <c r="A384" s="92" t="inlineStr">
        <is>
          <t>626 ĐPTM.pdf</t>
        </is>
      </c>
      <c r="B384" s="93" t="inlineStr">
        <is>
          <t>383</t>
        </is>
      </c>
      <c r="C384" s="92" t="inlineStr">
        <is>
          <t>我们需要确认合同的知识产权侵权和责任条款。</t>
        </is>
      </c>
      <c r="D384" s="92" t="inlineStr">
        <is>
          <t>Chúng tôi cần xác nhận các điều khoản về vi phạm quyền sở hữu trí tuệ và trách nhiệm trong hợp đồng. Wǒmen xūyào quèrèn hétóng de zhīshì chǎnquán qīnquán hé zérèn tiáokuǎn.</t>
        </is>
      </c>
      <c r="E384" s="92" t="inlineStr">
        <is>
          <t>383 我们需要确认 合同的知识产 权侵权和责任 条款。 Chúng tôi cần xác nhận các điều khoản về vi phạm quyền sở hữu trí tuệ và trách nhiệm trong hợp đồng. Wǒmen xūyào quèrèn hétóng de zhīshì chǎnquán qīnquán hé zérèn tiáokuǎn.</t>
        </is>
      </c>
      <c r="F384" s="114">
        <f>HYPERLINK("https://youglish.com/pronounce/我们需要确认合同的知识产权侵权和责任条款/chinese","🔍")</f>
        <v/>
      </c>
    </row>
    <row r="385" ht="57" customHeight="1" s="99">
      <c r="A385" s="94" t="inlineStr">
        <is>
          <t>626 ĐPTM.pdf</t>
        </is>
      </c>
      <c r="B385" s="95" t="inlineStr">
        <is>
          <t>384</t>
        </is>
      </c>
      <c r="C385" s="94" t="inlineStr">
        <is>
          <t>您能否为我们提供更多的市场份额和竞争对手分析？</t>
        </is>
      </c>
      <c r="D385" s="94" t="inlineStr">
        <is>
          <t>Bạn có thể cung cấp cho chúng tôi thêm phân tích về thị phần và đối thủ cạnh tranh không? Nín néng fǒu wèi wǒmen tígōng gèng duō de shìchǎng fèn'é hé jìngzhēng duìshǒu fēnxī?</t>
        </is>
      </c>
      <c r="E385" s="94" t="inlineStr">
        <is>
          <t>384 您能否为我们 提供更多的市 场份额和竞争 对手分析？ Bạn có thể cung cấp cho chúng tôi thêm phân tích về thị phần và đối thủ cạnh tranh không? Nín néng fǒu wèi wǒmen tígōng gèng duō de shìchǎng fèn'é hé jìngzhēng duìshǒu fēnxī?</t>
        </is>
      </c>
      <c r="F385" s="115">
        <f>HYPERLINK("https://youglish.com/pronounce/您能否为我们提供更多的市场份额和竞争对手分析/chinese","🔍")</f>
        <v/>
      </c>
    </row>
    <row r="386" ht="57" customHeight="1" s="99">
      <c r="A386" s="92" t="inlineStr">
        <is>
          <t>626 ĐPTM.pdf</t>
        </is>
      </c>
      <c r="B386" s="93" t="inlineStr">
        <is>
          <t>385</t>
        </is>
      </c>
      <c r="C386" s="92" t="inlineStr">
        <is>
          <t>我们需要对产品的市场定位和目标群体进行商议。</t>
        </is>
      </c>
      <c r="D386" s="92" t="inlineStr">
        <is>
          <t>Chúng tôi cần thảo luận về vị trí của sản phẩm trên thị trường và nhóm mục tiêu. Wǒmen xūyào duì chǎnpǐn de shìchǎng dìngwèi hé mùbiāo qúntǐ jìnxíng shāngyì.</t>
        </is>
      </c>
      <c r="E386" s="92" t="inlineStr">
        <is>
          <t>385 我们需要对产 品的市场定位 和目标群体进 行商议。 Chúng tôi cần thảo luận về vị trí của sản phẩm trên thị trường và nhóm mục tiêu. Wǒmen xūyào duì chǎnpǐn de shìchǎng dìngwèi hé mùbiāo qúntǐ jìnxíng shāngyì.</t>
        </is>
      </c>
      <c r="F386" s="114">
        <f>HYPERLINK("https://youglish.com/pronounce/我们需要对产品的市场定位和目标群体进行商议/chinese","🔍")</f>
        <v/>
      </c>
    </row>
    <row r="387" ht="42.75" customHeight="1" s="99">
      <c r="A387" s="94" t="inlineStr">
        <is>
          <t>626 ĐPTM.pdf</t>
        </is>
      </c>
      <c r="B387" s="95" t="inlineStr">
        <is>
          <t>386</t>
        </is>
      </c>
      <c r="C387" s="94" t="inlineStr">
        <is>
          <t>我们需要确认合同的违约和惩罚条款。</t>
        </is>
      </c>
      <c r="D387" s="94" t="inlineStr">
        <is>
          <t>Chúng tôi cần xác nhận các điều khoản về vi phạm hợp đồng và các khoản phạt. Wǒmen xūyào quèrèn hétóng de wéiyuē hé chéngfá tiáokuǎn.</t>
        </is>
      </c>
      <c r="E387" s="94" t="inlineStr">
        <is>
          <t>386 我们需要确认 合同的违约和 惩罚条款。 Chúng tôi cần xác nhận các điều khoản về vi phạm hợp đồng và các khoản phạt. Wǒmen xūyào quèrèn hétóng de wéiyuē hé chéngfá tiáokuǎn.</t>
        </is>
      </c>
      <c r="F387" s="115">
        <f>HYPERLINK("https://youglish.com/pronounce/我们需要确认合同的违约和惩罚条款/chinese","🔍")</f>
        <v/>
      </c>
    </row>
    <row r="388" ht="57" customHeight="1" s="99">
      <c r="A388" s="92" t="inlineStr">
        <is>
          <t>626 ĐPTM.pdf</t>
        </is>
      </c>
      <c r="B388" s="93" t="inlineStr">
        <is>
          <t>387</t>
        </is>
      </c>
      <c r="C388" s="92" t="inlineStr">
        <is>
          <t>您能否为我们提供更多的品牌形象和营销策略建议？</t>
        </is>
      </c>
      <c r="D388" s="92" t="inlineStr">
        <is>
          <t>Bạn có thể đưa ra thêm đề xuất về hình ảnh thương hiệu và chiến lược tiếp thị không? Nín néng fǒu wèi wǒmen tígōng gèng duō de pǐnpái xíngxiàng hé yíngxiāo cèlüè jiànyì?</t>
        </is>
      </c>
      <c r="E388" s="92" t="inlineStr">
        <is>
          <t>387 您能否为我们 提供更多的品 牌形象和营销 策略建议？ Bạn có thể đưa ra thêm đề xuất về hình ảnh thương hiệu và chiến lược tiếp thị không? Nín néng fǒu wèi wǒmen tígōng gèng duō de pǐnpái xíngxiàng hé yíngxiāo cèlüè jiànyì?</t>
        </is>
      </c>
      <c r="F388" s="114">
        <f>HYPERLINK("https://youglish.com/pronounce/您能否为我们提供更多的品牌形象和营销策略建议/chinese","🔍")</f>
        <v/>
      </c>
    </row>
    <row r="389" ht="42.75" customHeight="1" s="99">
      <c r="A389" s="94" t="inlineStr">
        <is>
          <t>626 ĐPTM.pdf</t>
        </is>
      </c>
      <c r="B389" s="95" t="inlineStr">
        <is>
          <t>388</t>
        </is>
      </c>
      <c r="C389" s="94" t="inlineStr">
        <is>
          <t>我们需要对产品的价格和付款方式进行商议。</t>
        </is>
      </c>
      <c r="D389" s="94" t="inlineStr">
        <is>
          <t>Chúng tôi cần thảo luận về giá và phương thức thanh toán của sản phẩm. Wǒmen xūyào duì chǎnpǐn de jiàgé hé fùkuǎn fāngshì jìnxíng shāngyì.</t>
        </is>
      </c>
      <c r="E389" s="94" t="inlineStr">
        <is>
          <t>388 我们需要对产 品的价格和付 款方式进行商 议。 Chúng tôi cần thảo luận về giá và phương thức thanh toán của sản phẩm. Wǒmen xūyào duì chǎnpǐn de jiàgé hé fùkuǎn fāngshì jìnxíng shāngyì.</t>
        </is>
      </c>
      <c r="F389" s="115">
        <f>HYPERLINK("https://youglish.com/pronounce/我们需要对产品的价格和付款方式进行商议/chinese","🔍")</f>
        <v/>
      </c>
    </row>
    <row r="390" ht="57" customHeight="1" s="99">
      <c r="A390" s="92" t="inlineStr">
        <is>
          <t>626 ĐPTM.pdf</t>
        </is>
      </c>
      <c r="B390" s="93" t="inlineStr">
        <is>
          <t>389</t>
        </is>
      </c>
      <c r="C390" s="92" t="inlineStr">
        <is>
          <t>我们需要确认合同的争议解决和仲裁条款。</t>
        </is>
      </c>
      <c r="D390" s="92" t="inlineStr">
        <is>
          <t>Chúng tôi cần xác nhận các điều khoản về giải quyết tranh chấp và trọng tài trong hợp đồng. Wǒmen xūyào quèrèn hétóng de zhēngyì jiějué hé zhòngcái tiáokuǎn.</t>
        </is>
      </c>
      <c r="E390" s="92" t="inlineStr">
        <is>
          <t>389 我们需要确认 合同的争议解 决和仲裁条款。 Chúng tôi cần xác nhận các điều khoản về giải quyết tranh chấp và trọng tài trong hợp đồng. Wǒmen xūyào quèrèn hétóng de zhēngyì jiějué hé zhòngcái tiáokuǎn.</t>
        </is>
      </c>
      <c r="F390" s="114">
        <f>HYPERLINK("https://youglish.com/pronounce/我们需要确认合同的争议解决和仲裁条款/chinese","🔍")</f>
        <v/>
      </c>
    </row>
    <row r="391" ht="57" customHeight="1" s="99">
      <c r="A391" s="94" t="inlineStr">
        <is>
          <t>626 ĐPTM.pdf</t>
        </is>
      </c>
      <c r="B391" s="95" t="inlineStr">
        <is>
          <t>390</t>
        </is>
      </c>
      <c r="C391" s="94" t="inlineStr">
        <is>
          <t>您能否为我们提供更多的市场调查和消费者行为分析？</t>
        </is>
      </c>
      <c r="D391" s="94" t="inlineStr">
        <is>
          <t>Bạn có thể cung cấp thêm thông tin về nghiên cứu thị trường và phân tích hành vi tiêu dùng không? Nín néng fǒu wèi wǒmen tígōng gèng duō de shìchǎng tiáo chá hé xiāofèi zhě xíngwéi fēnxī?</t>
        </is>
      </c>
      <c r="E391" s="94" t="inlineStr">
        <is>
          <t>390 您能否为我们 提供更多的市 场调查和消费 者行为分析？ Bạn có thể cung cấp thêm thông tin về nghiên cứu thị trường và phân tích hành vi tiêu dùng không? Nín néng fǒu wèi wǒmen tígōng gèng duō de shìchǎng tiáo chá hé xiāofèi zhě xíngwéi fēnxī?</t>
        </is>
      </c>
      <c r="F391" s="115">
        <f>HYPERLINK("https://youglish.com/pronounce/您能否为我们提供更多的市场调查和消费者行为分析/chinese","🔍")</f>
        <v/>
      </c>
    </row>
    <row r="392" ht="42.75" customHeight="1" s="99">
      <c r="A392" s="92" t="inlineStr">
        <is>
          <t>626 ĐPTM.pdf</t>
        </is>
      </c>
      <c r="B392" s="93" t="inlineStr">
        <is>
          <t>391</t>
        </is>
      </c>
      <c r="C392" s="92" t="inlineStr">
        <is>
          <t>我们需要对产品的包装和标识进行商议。</t>
        </is>
      </c>
      <c r="D392" s="92" t="inlineStr">
        <is>
          <t>Chúng tôi cần thảo luận về bao bì và nhãn hiệu của sản phẩm. Wǒmen xūyào duì chǎnpǐn de bāozhuāng hé biāozhì jìnxíng shāngyì.</t>
        </is>
      </c>
      <c r="E392" s="92" t="inlineStr">
        <is>
          <t>391 我们需要对产 品的包装和标 识进行商议。 Chúng tôi cần thảo luận về bao bì và nhãn hiệu của sản phẩm. Wǒmen xūyào duì chǎnpǐn de bāozhuāng hé biāozhì jìnxíng shāngyì.</t>
        </is>
      </c>
      <c r="F392" s="114">
        <f>HYPERLINK("https://youglish.com/pronounce/我们需要对产品的包装和标识进行商议/chinese","🔍")</f>
        <v/>
      </c>
    </row>
    <row r="393" ht="42.75" customHeight="1" s="99">
      <c r="A393" s="94" t="inlineStr">
        <is>
          <t>626 ĐPTM.pdf</t>
        </is>
      </c>
      <c r="B393" s="95" t="inlineStr">
        <is>
          <t>392</t>
        </is>
      </c>
      <c r="C393" s="94" t="inlineStr">
        <is>
          <t>我们需要确认合同的保险和责任险条款。</t>
        </is>
      </c>
      <c r="D393" s="94" t="inlineStr">
        <is>
          <t>Chúng tôi cần xác nhận các điều khoản về bảo hiểm và trách nhiệm pháp lý trong hợp đồng. Wǒmen xūyào quèrèn hétóng de bǎoxiǎn hé zérèn xiǎn tiáokuǎn.</t>
        </is>
      </c>
      <c r="E393" s="94" t="inlineStr">
        <is>
          <t>392 我们需要确认 合同的保险和 责任险条款。 Chúng tôi cần xác nhận các điều khoản về bảo hiểm và trách nhiệm pháp lý trong hợp đồng. Wǒmen xūyào quèrèn hétóng de bǎoxiǎn hé zérèn xiǎn tiáokuǎn.</t>
        </is>
      </c>
      <c r="F393" s="115">
        <f>HYPERLINK("https://youglish.com/pronounce/我们需要确认合同的保险和责任险条款/chinese","🔍")</f>
        <v/>
      </c>
    </row>
    <row r="394" ht="57" customHeight="1" s="99">
      <c r="A394" s="92" t="inlineStr">
        <is>
          <t>626 ĐPTM.pdf</t>
        </is>
      </c>
      <c r="B394" s="93" t="inlineStr">
        <is>
          <t>393</t>
        </is>
      </c>
      <c r="C394" s="92" t="inlineStr">
        <is>
          <t>您能否为我们提供更多的市场定位和差异化策略建议？</t>
        </is>
      </c>
      <c r="D394" s="92" t="inlineStr">
        <is>
          <t>Bạn có thể đưa ra thêm đề xuất về vị trí trên thị trường và chiến lược khác biệt không? Nín néng fǒu wèi wǒmen tígōng gèng duō de shìchǎng dìngwèi hé chāyì huà cèlüè jiànyì?</t>
        </is>
      </c>
      <c r="E394" s="92" t="inlineStr">
        <is>
          <t>393 您能否为我们 提供更多的市 场定位和差异 化策略建议？ Bạn có thể đưa ra thêm đề xuất về vị trí trên thị trường và chiến lược khác biệt không? Nín néng fǒu wèi wǒmen tígōng gèng duō de shìchǎng dìngwèi hé chāyì huà cèlüè jiànyì?</t>
        </is>
      </c>
      <c r="F394" s="114">
        <f>HYPERLINK("https://youglish.com/pronounce/您能否为我们提供更多的市场定位和差异化策略建议/chinese","🔍")</f>
        <v/>
      </c>
    </row>
    <row r="395" ht="57" customHeight="1" s="99">
      <c r="A395" s="94" t="inlineStr">
        <is>
          <t>626 ĐPTM.pdf</t>
        </is>
      </c>
      <c r="B395" s="95" t="inlineStr">
        <is>
          <t>394</t>
        </is>
      </c>
      <c r="C395" s="94" t="inlineStr">
        <is>
          <t>我们需要对产品的销售渠道和分销网络进行商议。</t>
        </is>
      </c>
      <c r="D395" s="94" t="inlineStr">
        <is>
          <t>Chúng tôi cần thảo luận về kênh bán hàng và mạng lưới phân phối của sản phẩm. Wǒmen xūyào duì chǎnpǐn de xiāoshòu qúdào hé fēnxiāo wǎngluò jìnxíng shāngyì.</t>
        </is>
      </c>
      <c r="E395" s="94" t="inlineStr">
        <is>
          <t>394 我们需要对产 品的销售渠道 和分销网络进 行商议。 Chúng tôi cần thảo luận về kênh bán hàng và mạng lưới phân phối của sản phẩm. Wǒmen xūyào duì chǎnpǐn de xiāoshòu qúdào hé fēnxiāo wǎngluò jìnxíng shāngyì.</t>
        </is>
      </c>
      <c r="F395" s="115">
        <f>HYPERLINK("https://youglish.com/pronounce/我们需要对产品的销售渠道和分销网络进行商议/chinese","🔍")</f>
        <v/>
      </c>
    </row>
    <row r="396" ht="42.75" customHeight="1" s="99">
      <c r="A396" s="92" t="inlineStr">
        <is>
          <t>626 ĐPTM.pdf</t>
        </is>
      </c>
      <c r="B396" s="93" t="inlineStr">
        <is>
          <t>395</t>
        </is>
      </c>
      <c r="C396" s="92" t="inlineStr">
        <is>
          <t>我们需要确认合同的合同变更和修订条款。</t>
        </is>
      </c>
      <c r="D396" s="92" t="inlineStr">
        <is>
          <t>Chúng tôi cần xác nhận các điều khoản về thay đổi và sửa đổi hợp đồng. Wǒmen xūyào quèrèn hétóng de hétóng biàngēng hé xiūdìng tiáokuǎn.</t>
        </is>
      </c>
      <c r="E396" s="92" t="inlineStr">
        <is>
          <t>395 我们需要确认 合同的合同变 更和修订条 款。 Chúng tôi cần xác nhận các điều khoản về thay đổi và sửa đổi hợp đồng. Wǒmen xūyào quèrèn hétóng de hétóng biàngēng hé xiūdìng tiáokuǎn.</t>
        </is>
      </c>
      <c r="F396" s="114">
        <f>HYPERLINK("https://youglish.com/pronounce/我们需要确认合同的合同变更和修订条款/chinese","🔍")</f>
        <v/>
      </c>
    </row>
    <row r="397" ht="57" customHeight="1" s="99">
      <c r="A397" s="94" t="inlineStr">
        <is>
          <t>626 ĐPTM.pdf</t>
        </is>
      </c>
      <c r="B397" s="95" t="inlineStr">
        <is>
          <t>396</t>
        </is>
      </c>
      <c r="C397" s="94" t="inlineStr">
        <is>
          <t>您能否为我们提供更多的品牌营销和宣传案例？</t>
        </is>
      </c>
      <c r="D397" s="94" t="inlineStr">
        <is>
          <t>Bạn có thể cung cấp thêm thông tin về các ví dụ về tiếp thị thương hiệu và quảng bá không? Nín néng fǒu wèi wǒmen tígōng gèng duō de pǐnpái yíngxiāo hé xuānchuán ànlì?</t>
        </is>
      </c>
      <c r="E397" s="94" t="inlineStr">
        <is>
          <t>396 您能否为我们 提供更多的品 牌营销和宣传 案例？ Bạn có thể cung cấp thêm thông tin về các ví dụ về tiếp thị thương hiệu và quảng bá không? Nín néng fǒu wèi wǒmen tígōng gèng duō de pǐnpái yíngxiāo hé xuānchuán ànlì?</t>
        </is>
      </c>
      <c r="F397" s="115">
        <f>HYPERLINK("https://youglish.com/pronounce/您能否为我们提供更多的品牌营销和宣传案例/chinese","🔍")</f>
        <v/>
      </c>
    </row>
    <row r="398" ht="57" customHeight="1" s="99">
      <c r="A398" s="92" t="inlineStr">
        <is>
          <t>626 ĐPTM.pdf</t>
        </is>
      </c>
      <c r="B398" s="93" t="inlineStr">
        <is>
          <t>397</t>
        </is>
      </c>
      <c r="C398" s="92" t="inlineStr">
        <is>
          <t>我们需要对产品的市场份额和销售增长进行商议。</t>
        </is>
      </c>
      <c r="D398" s="92" t="inlineStr">
        <is>
          <t>Chúng tôi cần thảo luận về thị phần và tăng trưởng doanh số của sản phẩm. Wǒmen xūyào duì chǎnpǐn de shìchǎng fèn'é hé xiāoshòu zēngzhǎng jìnxíng shāngyì.</t>
        </is>
      </c>
      <c r="E398" s="92" t="inlineStr">
        <is>
          <t>397 我们需要对产 品的市场份额 和销售增长进 行商议。 Chúng tôi cần thảo luận về thị phần và tăng trưởng doanh số của sản phẩm. Wǒmen xūyào duì chǎnpǐn de shìchǎng fèn'é hé xiāoshòu zēngzhǎng jìnxíng shāngyì.</t>
        </is>
      </c>
      <c r="F398" s="114">
        <f>HYPERLINK("https://youglish.com/pronounce/我们需要对产品的市场份额和销售增长进行商议/chinese","🔍")</f>
        <v/>
      </c>
    </row>
    <row r="399" ht="57" customHeight="1" s="99">
      <c r="A399" s="94" t="inlineStr">
        <is>
          <t>626 ĐPTM.pdf</t>
        </is>
      </c>
      <c r="B399" s="95" t="inlineStr">
        <is>
          <t>398</t>
        </is>
      </c>
      <c r="C399" s="94" t="inlineStr">
        <is>
          <t>我们需要确认合同的风险分担和责任分担条款。</t>
        </is>
      </c>
      <c r="D399" s="94" t="inlineStr">
        <is>
          <t>Chúng tôi cần xác nhận các điều khoản phân chia rủi ro và trách nhiệm trong hợp đồng. Wǒmen xūyào quèrèn hétóng de fēngxiǎn fēndān hé zérèn fēndān tiáokuǎn.</t>
        </is>
      </c>
      <c r="E399" s="94" t="inlineStr">
        <is>
          <t>398 我们需要确认 合同的风险分 担和责任分担 条款。 Chúng tôi cần xác nhận các điều khoản phân chia rủi ro và trách nhiệm trong hợp đồng. Wǒmen xūyào quèrèn hétóng de fēngxiǎn fēndān hé zérèn fēndān tiáokuǎn.</t>
        </is>
      </c>
      <c r="F399" s="115">
        <f>HYPERLINK("https://youglish.com/pronounce/我们需要确认合同的风险分担和责任分担条款/chinese","🔍")</f>
        <v/>
      </c>
    </row>
    <row r="400" ht="57" customHeight="1" s="99">
      <c r="A400" s="92" t="inlineStr">
        <is>
          <t>626 ĐPTM.pdf</t>
        </is>
      </c>
      <c r="B400" s="93" t="inlineStr">
        <is>
          <t>399</t>
        </is>
      </c>
      <c r="C400" s="92" t="inlineStr">
        <is>
          <t>您能否为我们提供更多的市场营销和销售策略建议？</t>
        </is>
      </c>
      <c r="D400" s="92" t="inlineStr">
        <is>
          <t>Liệu bạn có thể cung cấp cho chúng tôi thêm các đề xuất chiến lược tiếp thị và bán hàng trên thị trường không? Nín néng fǒu wèi wǒmen tígōng gèng duō de shìchǎng yíngxiāo hé xiāoshòu cèlüè jiànyì?</t>
        </is>
      </c>
      <c r="E400" s="92" t="inlineStr">
        <is>
          <t>399 您能否为我们 提供更多的市 场营销和销售 策略建议？ Liệu bạn có thể cung cấp cho chúng tôi thêm các đề xuất chiến lược tiếp thị và bán hàng trên thị trường không? Nín néng fǒu wèi wǒmen tígōng gèng duō de shìchǎng yíngxiāo hé xiāoshòu cèlüè jiànyì?</t>
        </is>
      </c>
      <c r="F400" s="114">
        <f>HYPERLINK("https://youglish.com/pronounce/您能否为我们提供更多的市场营销和销售策略建议/chinese","🔍")</f>
        <v/>
      </c>
    </row>
    <row r="401" ht="42.75" customHeight="1" s="99">
      <c r="A401" s="94" t="inlineStr">
        <is>
          <t>626 ĐPTM.pdf</t>
        </is>
      </c>
      <c r="B401" s="95" t="inlineStr">
        <is>
          <t>400</t>
        </is>
      </c>
      <c r="C401" s="94" t="inlineStr">
        <is>
          <t>我们需要对产品的品质和信誉进行商议。</t>
        </is>
      </c>
      <c r="D401" s="94" t="inlineStr">
        <is>
          <t>Chúng tôi cần thảo luận về chất lượng và uy tín của sản phẩm. Wǒmen xūyào duì chǎnpǐn de pǐnzhí hé xìnyù jìnxíng shāngyì.</t>
        </is>
      </c>
      <c r="E401" s="94" t="inlineStr">
        <is>
          <t>400 我们需要对产 品的品质和信 誉进行商议。 Chúng tôi cần thảo luận về chất lượng và uy tín của sản phẩm. Wǒmen xūyào duì chǎnpǐn de pǐnzhí hé xìnyù jìnxíng shāngyì.</t>
        </is>
      </c>
      <c r="F401" s="115">
        <f>HYPERLINK("https://youglish.com/pronounce/我们需要对产品的品质和信誉进行商议/chinese","🔍")</f>
        <v/>
      </c>
    </row>
    <row r="402" ht="42.75" customHeight="1" s="99">
      <c r="A402" s="92" t="inlineStr">
        <is>
          <t>626 ĐPTM.pdf</t>
        </is>
      </c>
      <c r="B402" s="93" t="inlineStr">
        <is>
          <t>401</t>
        </is>
      </c>
      <c r="C402" s="92" t="inlineStr">
        <is>
          <t>我们需要确认合同的保证金和履约保证条款。</t>
        </is>
      </c>
      <c r="D402" s="92" t="inlineStr">
        <is>
          <t>Chúng tôi cần xác nhận các điều khoản đặt cọc và cam kết thực hiện hợp đồng. Wǒmen xūyào quèrèn hétóng de bǎozhèngjīn hé lǚyuē bǎozhèng tiáokuǎn.</t>
        </is>
      </c>
      <c r="E402" s="92" t="inlineStr">
        <is>
          <t>401 我们需要确认 合同的保证金 和履约保证条 款。 Chúng tôi cần xác nhận các điều khoản đặt cọc và cam kết thực hiện hợp đồng. Wǒmen xūyào quèrèn hétóng de bǎozhèngjīn hé lǚyuē bǎozhèng tiáokuǎn.</t>
        </is>
      </c>
      <c r="F402" s="114">
        <f>HYPERLINK("https://youglish.com/pronounce/我们需要确认合同的保证金和履约保证条款/chinese","🔍")</f>
        <v/>
      </c>
    </row>
    <row r="403" ht="57" customHeight="1" s="99">
      <c r="A403" s="94" t="inlineStr">
        <is>
          <t>626 ĐPTM.pdf</t>
        </is>
      </c>
      <c r="B403" s="95" t="inlineStr">
        <is>
          <t>402</t>
        </is>
      </c>
      <c r="C403" s="94" t="inlineStr">
        <is>
          <t>您能否为我们提供更多的市场营销和销售趋势分析？</t>
        </is>
      </c>
      <c r="D403" s="94" t="inlineStr">
        <is>
          <t>Bạn có thể cung cấp thêm phân tích xu hướng tiếp thị và bán hàng trên thị trường không? Nín néng fǒu wèi wǒmen tígōng gèng duō de shìchǎng yíngxiāo hé xiāoshòu qūshì fēnxī?</t>
        </is>
      </c>
      <c r="E403" s="94" t="inlineStr">
        <is>
          <t>402 您能否为我们 提供更多的市 场营销和销售 趋势分析？ Bạn có thể cung cấp thêm phân tích xu hướng tiếp thị và bán hàng trên thị trường không? Nín néng fǒu wèi wǒmen tígōng gèng duō de shìchǎng yíngxiāo hé xiāoshòu qūshì fēnxī?</t>
        </is>
      </c>
      <c r="F403" s="115">
        <f>HYPERLINK("https://youglish.com/pronounce/您能否为我们提供更多的市场营销和销售趋势分析/chinese","🔍")</f>
        <v/>
      </c>
    </row>
    <row r="404" ht="57" customHeight="1" s="99">
      <c r="A404" s="92" t="inlineStr">
        <is>
          <t>626 ĐPTM.pdf</t>
        </is>
      </c>
      <c r="B404" s="93" t="inlineStr">
        <is>
          <t>403</t>
        </is>
      </c>
      <c r="C404" s="92" t="inlineStr">
        <is>
          <t>我们需要对产品的生命周期和市场前景进行商议。</t>
        </is>
      </c>
      <c r="D404" s="92" t="inlineStr">
        <is>
          <t>Chúng tôi cần thảo luận về chu kỳ sản phẩm và triển vọng thị trường. Wǒmen xūyào duì chǎnpǐn de shēngmìng zhōuqí hé shìchǎng qiánjǐng jìnxíng shāngyì.</t>
        </is>
      </c>
      <c r="E404" s="92" t="inlineStr">
        <is>
          <t>403 我们需要对产 品的生命周期 和市场前景进 行商议。 Chúng tôi cần thảo luận về chu kỳ sản phẩm và triển vọng thị trường. Wǒmen xūyào duì chǎnpǐn de shēngmìng zhōuqí hé shìchǎng qiánjǐng jìnxíng shāngyì.</t>
        </is>
      </c>
      <c r="F404" s="114">
        <f>HYPERLINK("https://youglish.com/pronounce/我们需要对产品的生命周期和市场前景进行商议/chinese","🔍")</f>
        <v/>
      </c>
    </row>
    <row r="405" ht="42.75" customHeight="1" s="99">
      <c r="A405" s="94" t="inlineStr">
        <is>
          <t>626 ĐPTM.pdf</t>
        </is>
      </c>
      <c r="B405" s="95" t="inlineStr">
        <is>
          <t>404</t>
        </is>
      </c>
      <c r="C405" s="94" t="inlineStr">
        <is>
          <t>我们需要确认合同的特殊条款和附加条款。</t>
        </is>
      </c>
      <c r="D405" s="94" t="inlineStr">
        <is>
          <t>Chúng tôi cần xác nhận các điều khoản đặc biệt và điều khoản bổ sung trong hợp đồng. Wǒmen xūyào quèrèn hétóng de tèshū tiáokuǎn hé fùjiā tiáokuǎn.</t>
        </is>
      </c>
      <c r="E405" s="94" t="inlineStr">
        <is>
          <t>404 我们需要确认 合同的特殊条 款和附加条款。 Chúng tôi cần xác nhận các điều khoản đặc biệt và điều khoản bổ sung trong hợp đồng. Wǒmen xūyào quèrèn hétóng de tèshū tiáokuǎn hé fùjiā tiáokuǎn.</t>
        </is>
      </c>
      <c r="F405" s="115">
        <f>HYPERLINK("https://youglish.com/pronounce/我们需要确认合同的特殊条款和附加条款/chinese","🔍")</f>
        <v/>
      </c>
    </row>
    <row r="406" ht="57" customHeight="1" s="99">
      <c r="A406" s="92" t="inlineStr">
        <is>
          <t>626 ĐPTM.pdf</t>
        </is>
      </c>
      <c r="B406" s="93" t="inlineStr">
        <is>
          <t>405</t>
        </is>
      </c>
      <c r="C406" s="92" t="inlineStr">
        <is>
          <t>您能否为我们提供更多的品牌营销和公关策略建议？</t>
        </is>
      </c>
      <c r="D406" s="92" t="inlineStr">
        <is>
          <t>Liệu bạn có thể cung cấp thêm đề xuất chiến lược thương hiệu và quản lý quan hệ công chúng cho chúng tôi không? Nín néng fǒu wèi wǒmen tígōng gèng duō de pǐnpái yíngxiāo hé gōngguān cèlüè jiànyì?</t>
        </is>
      </c>
      <c r="E406" s="92" t="inlineStr">
        <is>
          <t>405 您能否为我们 提供更多的品 牌营销和公关 策略建议？ Liệu bạn có thể cung cấp thêm đề xuất chiến lược thương hiệu và quản lý quan hệ công chúng cho chúng tôi không? Nín néng fǒu wèi wǒmen tígōng gèng duō de pǐnpái yíngxiāo hé gōngguān cèlüè jiànyì?</t>
        </is>
      </c>
      <c r="F406" s="114">
        <f>HYPERLINK("https://youglish.com/pronounce/您能否为我们提供更多的品牌营销和公关策略建议/chinese","🔍")</f>
        <v/>
      </c>
    </row>
    <row r="407" ht="57" customHeight="1" s="99">
      <c r="A407" s="94" t="inlineStr">
        <is>
          <t>626 ĐPTM.pdf</t>
        </is>
      </c>
      <c r="B407" s="95" t="inlineStr">
        <is>
          <t>406</t>
        </is>
      </c>
      <c r="C407" s="94" t="inlineStr">
        <is>
          <t>我们需要对产品的销售渠道和渠道管理进行商议。</t>
        </is>
      </c>
      <c r="D407" s="94" t="inlineStr">
        <is>
          <t>Chúng tôi cần thảo luận về kênh bán hàng và quản lý kênh bán hàng của sản phẩm. Wǒmen xūyào duì chǎnpǐn de xiāoshòu qúdào hé qúdào guǎnlǐ jìnxíng shāngyì.</t>
        </is>
      </c>
      <c r="E407" s="94" t="inlineStr">
        <is>
          <t>406 我们需要对产 品的销售渠道 和渠道管理进 行商议。 Chúng tôi cần thảo luận về kênh bán hàng và quản lý kênh bán hàng của sản phẩm. Wǒmen xūyào duì chǎnpǐn de xiāoshòu qúdào hé qúdào guǎnlǐ jìnxíng shāngyì.</t>
        </is>
      </c>
      <c r="F407" s="115">
        <f>HYPERLINK("https://youglish.com/pronounce/我们需要对产品的销售渠道和渠道管理进行商议/chinese","🔍")</f>
        <v/>
      </c>
    </row>
    <row r="408" ht="57" customHeight="1" s="99">
      <c r="A408" s="92" t="inlineStr">
        <is>
          <t>626 ĐPTM.pdf</t>
        </is>
      </c>
      <c r="B408" s="93" t="inlineStr">
        <is>
          <t>407</t>
        </is>
      </c>
      <c r="C408" s="92" t="inlineStr">
        <is>
          <t>我们需要确认合同的保密和商业机密保护条款。</t>
        </is>
      </c>
      <c r="D408" s="92" t="inlineStr">
        <is>
          <t>Chúng tôi cần xác nhận các điều khoản bảo mật và bảo vệ bí mật thương mại trong hợp đồng. Wǒmen xūyào quèrèn hétóng de bǎomì hé shāngyè jīmì bǎohù tiáokuǎn.</t>
        </is>
      </c>
      <c r="E408" s="92" t="inlineStr">
        <is>
          <t>407 我们需要确认 合同的保密和 商业机密保护 条款。 Chúng tôi cần xác nhận các điều khoản bảo mật và bảo vệ bí mật thương mại trong hợp đồng. Wǒmen xūyào quèrèn hétóng de bǎomì hé shāngyè jīmì bǎohù tiáokuǎn.</t>
        </is>
      </c>
      <c r="F408" s="114">
        <f>HYPERLINK("https://youglish.com/pronounce/我们需要确认合同的保密和商业机密保护条款/chinese","🔍")</f>
        <v/>
      </c>
    </row>
    <row r="409" ht="57" customHeight="1" s="99">
      <c r="A409" s="94" t="inlineStr">
        <is>
          <t>626 ĐPTM.pdf</t>
        </is>
      </c>
      <c r="B409" s="95" t="inlineStr">
        <is>
          <t>408</t>
        </is>
      </c>
      <c r="C409" s="94" t="inlineStr">
        <is>
          <t>您能否为我们提供更多的市场营销和销售分析报告？</t>
        </is>
      </c>
      <c r="D409" s="94" t="inlineStr">
        <is>
          <t>Liệu bạn có thể cung cấp thêm báo cáo phân tích thị trường và bán hàng không? Nín néng fǒu wèi wǒmen tígōng gèng duō de shìchǎng yíngxiāo hé xiāoshòu fēnxī bàogào?</t>
        </is>
      </c>
      <c r="E409" s="94" t="inlineStr">
        <is>
          <t>408 您能否为我们 提供更多的市 场营销和销售 分析报告？ Liệu bạn có thể cung cấp thêm báo cáo phân tích thị trường và bán hàng không? Nín néng fǒu wèi wǒmen tígōng gèng duō de shìchǎng yíngxiāo hé xiāoshòu fēnxī bàogào?</t>
        </is>
      </c>
      <c r="F409" s="115">
        <f>HYPERLINK("https://youglish.com/pronounce/您能否为我们提供更多的市场营销和销售分析报告/chinese","🔍")</f>
        <v/>
      </c>
    </row>
    <row r="410" ht="57" customHeight="1" s="99">
      <c r="A410" s="92" t="inlineStr">
        <is>
          <t>626 ĐPTM.pdf</t>
        </is>
      </c>
      <c r="B410" s="93" t="inlineStr">
        <is>
          <t>409</t>
        </is>
      </c>
      <c r="C410" s="92" t="inlineStr">
        <is>
          <t>我们需要对产品的品牌文化和品牌形象进行商议。</t>
        </is>
      </c>
      <c r="D410" s="92" t="inlineStr">
        <is>
          <t>Chúng tôi cần thảo luận về văn hóa thương hiệu và hình ảnh thương hiệu của sản phẩm. Wǒmen xūyào duì chǎnpǐn de pǐnpái wénhuà hé pǐnpái xíngxiàng jìnxíng shāngyì.</t>
        </is>
      </c>
      <c r="E410" s="92" t="inlineStr">
        <is>
          <t>409 我们需要对产 品的品牌文化 和品牌形象进 行商议。 Chúng tôi cần thảo luận về văn hóa thương hiệu và hình ảnh thương hiệu của sản phẩm. Wǒmen xūyào duì chǎnpǐn de pǐnpái wénhuà hé pǐnpái xíngxiàng jìnxíng shāngyì.</t>
        </is>
      </c>
      <c r="F410" s="114">
        <f>HYPERLINK("https://youglish.com/pronounce/我们需要对产品的品牌文化和品牌形象进行商议/chinese","🔍")</f>
        <v/>
      </c>
    </row>
    <row r="411" ht="57" customHeight="1" s="99">
      <c r="A411" s="94" t="inlineStr">
        <is>
          <t>626 ĐPTM.pdf</t>
        </is>
      </c>
      <c r="B411" s="95" t="inlineStr">
        <is>
          <t>410</t>
        </is>
      </c>
      <c r="C411" s="94" t="inlineStr">
        <is>
          <t>我们需要确认合同的知识产权和专有技术保护条款。</t>
        </is>
      </c>
      <c r="D411" s="94" t="inlineStr">
        <is>
          <t>Chúng tôi cần xác nhận các điều khoản bảo vệ sở hữu trí tuệ và công nghệ độc quyền trong hợp đồng. Wǒmen xūyào quèrèn hétóng de zhīshì chǎnquán hé zhuān yǒu jìshù bǎohù tiáokuǎn.</t>
        </is>
      </c>
      <c r="E411" s="94" t="inlineStr">
        <is>
          <t>410 我们需要确认 合同的知识产 权和专有技术 保护条款。 Chúng tôi cần xác nhận các điều khoản bảo vệ sở hữu trí tuệ và công nghệ độc quyền trong hợp đồng. Wǒmen xūyào quèrèn hétóng de zhīshì chǎnquán hé zhuān yǒu jìshù bǎohù tiáokuǎn.</t>
        </is>
      </c>
      <c r="F411" s="115">
        <f>HYPERLINK("https://youglish.com/pronounce/我们需要确认合同的知识产权和专有技术保护条款/chinese","🔍")</f>
        <v/>
      </c>
    </row>
    <row r="412" ht="57" customHeight="1" s="99">
      <c r="A412" s="92" t="inlineStr">
        <is>
          <t>626 ĐPTM.pdf</t>
        </is>
      </c>
      <c r="B412" s="93" t="inlineStr">
        <is>
          <t>411</t>
        </is>
      </c>
      <c r="C412" s="92" t="inlineStr">
        <is>
          <t>您能否为我们提供更多的数字化营销和电子商务策略建议？</t>
        </is>
      </c>
      <c r="D412" s="92" t="inlineStr">
        <is>
          <t>Liệu bạn có thể cung cấp thêm đề xuất chiến lược tiếp thị kỹ thuật số và thương mại điện tử không? Nín néng fǒu wèi wǒmen tígōng gèng duō de shùzìhuà yíngxiāo hé diànzǐ shāngwù cèlüè jiànyì?</t>
        </is>
      </c>
      <c r="E412" s="92" t="inlineStr">
        <is>
          <t>411 您能否为我们 提供更多的数 字化营销和电 子商务策略建 议？ Liệu bạn có thể cung cấp thêm đề xuất chiến lược tiếp thị kỹ thuật số và thương mại điện tử không? Nín néng fǒu wèi wǒmen tígōng gèng duō de shùzìhuà yíngxiāo hé diànzǐ shāngwù cèlüè jiànyì?</t>
        </is>
      </c>
      <c r="F412" s="114">
        <f>HYPERLINK("https://youglish.com/pronounce/您能否为我们提供更多的数字化营销和电子商务策略建议/chinese","🔍")</f>
        <v/>
      </c>
    </row>
    <row r="413" ht="42.75" customHeight="1" s="99">
      <c r="A413" s="94" t="inlineStr">
        <is>
          <t>626 ĐPTM.pdf</t>
        </is>
      </c>
      <c r="B413" s="95" t="inlineStr">
        <is>
          <t>412</t>
        </is>
      </c>
      <c r="C413" s="94" t="inlineStr">
        <is>
          <t>我们需要对产品的销售和营销预算进行商议。</t>
        </is>
      </c>
      <c r="D413" s="94" t="inlineStr">
        <is>
          <t>Chúng tôi cần thảo luận về ngân sách bán hàng và tiếp thị sản phẩm. Wǒmen xūyào duì chǎnpǐn de xiāoshòu hé yíngxiāo yùsuàn jìnxíng shāngyì.</t>
        </is>
      </c>
      <c r="E413" s="94" t="inlineStr">
        <is>
          <t>412 我们需要对产 品的销售和营 销预算进行商 议。 Chúng tôi cần thảo luận về ngân sách bán hàng và tiếp thị sản phẩm. Wǒmen xūyào duì chǎnpǐn de xiāoshòu hé yíngxiāo yùsuàn jìnxíng shāngyì.</t>
        </is>
      </c>
      <c r="F413" s="115">
        <f>HYPERLINK("https://youglish.com/pronounce/我们需要对产品的销售和营销预算进行商议/chinese","🔍")</f>
        <v/>
      </c>
    </row>
    <row r="414" ht="57" customHeight="1" s="99">
      <c r="A414" s="92" t="inlineStr">
        <is>
          <t>626 ĐPTM.pdf</t>
        </is>
      </c>
      <c r="B414" s="93" t="inlineStr">
        <is>
          <t>413</t>
        </is>
      </c>
      <c r="C414" s="92" t="inlineStr">
        <is>
          <t>我们需要确认合同的合同期限和终止条款。</t>
        </is>
      </c>
      <c r="D414" s="92" t="inlineStr">
        <is>
          <t>Chúng tôi cần xác nhận các điều khoản thời hạn hợp đồng và điều khoản chấm dứt hợp đồng. Wǒmen xūyào quèrèn hétóng de hétóng qíxiàn hé zhōngzhǐ tiáokuǎn.</t>
        </is>
      </c>
      <c r="E414" s="92" t="inlineStr">
        <is>
          <t>413 我们需要确认 合同的合同期 限和终止条 款。 Chúng tôi cần xác nhận các điều khoản thời hạn hợp đồng và điều khoản chấm dứt hợp đồng. Wǒmen xūyào quèrèn hétóng de hétóng qíxiàn hé zhōngzhǐ tiáokuǎn.</t>
        </is>
      </c>
      <c r="F414" s="114">
        <f>HYPERLINK("https://youglish.com/pronounce/我们需要确认合同的合同期限和终止条款/chinese","🔍")</f>
        <v/>
      </c>
    </row>
    <row r="415" ht="57" customHeight="1" s="99">
      <c r="A415" s="94" t="inlineStr">
        <is>
          <t>626 ĐPTM.pdf</t>
        </is>
      </c>
      <c r="B415" s="95" t="inlineStr">
        <is>
          <t>414</t>
        </is>
      </c>
      <c r="C415" s="94" t="inlineStr">
        <is>
          <t>您能否为我们提供更多的市场营销和品牌管理案例？</t>
        </is>
      </c>
      <c r="D415" s="94" t="inlineStr">
        <is>
          <t>Liệu bạn có thể cung cấp thêm các trường hợp quản lý thương hiệu và tiếp thị không? Nín néng fǒu wèi wǒmen tígōng gèng duō de shìchǎng yíngxiāo hé pǐnpái guǎnlǐ ànlì?</t>
        </is>
      </c>
      <c r="E415" s="94" t="inlineStr">
        <is>
          <t>414 您能否为我们 提供更多的市 场营销和品牌 管理案例？ Liệu bạn có thể cung cấp thêm các trường hợp quản lý thương hiệu và tiếp thị không? Nín néng fǒu wèi wǒmen tígōng gèng duō de shìchǎng yíngxiāo hé pǐnpái guǎnlǐ ànlì?</t>
        </is>
      </c>
      <c r="F415" s="115">
        <f>HYPERLINK("https://youglish.com/pronounce/您能否为我们提供更多的市场营销和品牌管理案例/chinese","🔍")</f>
        <v/>
      </c>
    </row>
    <row r="416" ht="57" customHeight="1" s="99">
      <c r="A416" s="92" t="inlineStr">
        <is>
          <t>626 ĐPTM.pdf</t>
        </is>
      </c>
      <c r="B416" s="93" t="inlineStr">
        <is>
          <t>415</t>
        </is>
      </c>
      <c r="C416" s="92" t="inlineStr">
        <is>
          <t>我们需要对产品的市场份额和市场竞争力进行商议。</t>
        </is>
      </c>
      <c r="D416" s="92" t="inlineStr">
        <is>
          <t>Chúng tôi cần thảo luận về thị phần và độ cạnh tranh trên thị trường của sản phẩm. Wǒmen xūyào duì chǎnpǐn de shìchǎng fèn'é hé shìchǎng jìngzhēng lì jìnxíng shāngyì.</t>
        </is>
      </c>
      <c r="E416" s="92" t="inlineStr">
        <is>
          <t>415 我们需要对产 品的市场份额 和市场竞争力 进行商议。 Chúng tôi cần thảo luận về thị phần và độ cạnh tranh trên thị trường của sản phẩm. Wǒmen xūyào duì chǎnpǐn de shìchǎng fèn'é hé shìchǎng jìngzhēng lì jìnxíng shāngyì.</t>
        </is>
      </c>
      <c r="F416" s="114">
        <f>HYPERLINK("https://youglish.com/pronounce/我们需要对产品的市场份额和市场竞争力进行商议/chinese","🔍")</f>
        <v/>
      </c>
    </row>
    <row r="417" ht="57" customHeight="1" s="99">
      <c r="A417" s="94" t="inlineStr">
        <is>
          <t>626 ĐPTM.pdf</t>
        </is>
      </c>
      <c r="B417" s="95" t="inlineStr">
        <is>
          <t>416</t>
        </is>
      </c>
      <c r="C417" s="94" t="inlineStr">
        <is>
          <t>我们需要确认合同的供应商和合作伙伴管理条款。</t>
        </is>
      </c>
      <c r="D417" s="94" t="inlineStr">
        <is>
          <t>Chúng tôi cần xác nhận các điều khoản quản lý nhà cung cấp và đối tác hợp tác trong hợp đồng. Wǒmen xūyào quèrèn hétóng de gōngyìng shāng hé hézuò huǒbàn guǎnlǐ tiáokuǎn.</t>
        </is>
      </c>
      <c r="E417" s="94" t="inlineStr">
        <is>
          <t>416 我们需要确认 合同的供应商 和合作伙伴管 理条款。 Chúng tôi cần xác nhận các điều khoản quản lý nhà cung cấp và đối tác hợp tác trong hợp đồng. Wǒmen xūyào quèrèn hétóng de gōngyìng shāng hé hézuò huǒbàn guǎnlǐ tiáokuǎn.</t>
        </is>
      </c>
      <c r="F417" s="115">
        <f>HYPERLINK("https://youglish.com/pronounce/我们需要确认合同的供应商和合作伙伴管理条款/chinese","🔍")</f>
        <v/>
      </c>
    </row>
    <row r="418" ht="57" customHeight="1" s="99">
      <c r="A418" s="92" t="inlineStr">
        <is>
          <t>626 ĐPTM.pdf</t>
        </is>
      </c>
      <c r="B418" s="93" t="inlineStr">
        <is>
          <t>417</t>
        </is>
      </c>
      <c r="C418" s="92" t="inlineStr">
        <is>
          <t>您能否为我们提供更多的市场营销和消费者行为分析报告？</t>
        </is>
      </c>
      <c r="D418" s="92" t="inlineStr">
        <is>
          <t>Bạn có thể cung cấp cho chúng tôi thêm báo cáo phân tích thị trường và hành vi tiêu dùng không? Nín néng fǒu wèi wǒmen tígōng gèng duō de shìchǎng yíngxiāo hé xiāofèi zhě xíngwéi fēnxī bàogào?</t>
        </is>
      </c>
      <c r="E418" s="92" t="inlineStr">
        <is>
          <t>417 您能否为我们 提供更多的市 场营销和消费 者行为分析报 告？ Bạn có thể cung cấp cho chúng tôi thêm báo cáo phân tích thị trường và hành vi tiêu dùng không? Nín néng fǒu wèi wǒmen tígōng gèng duō de shìchǎng yíngxiāo hé xiāofèi zhě xíngwéi fēnxī bàogào?</t>
        </is>
      </c>
      <c r="F418" s="114">
        <f>HYPERLINK("https://youglish.com/pronounce/您能否为我们提供更多的市场营销和消费者行为分析报告/chinese","🔍")</f>
        <v/>
      </c>
    </row>
    <row r="419" ht="57" customHeight="1" s="99">
      <c r="A419" s="94" t="inlineStr">
        <is>
          <t>626 ĐPTM.pdf</t>
        </is>
      </c>
      <c r="B419" s="95" t="inlineStr">
        <is>
          <t>418</t>
        </is>
      </c>
      <c r="C419" s="94" t="inlineStr">
        <is>
          <t>我们需要对产品的市场规模和市场增长率进行商议。</t>
        </is>
      </c>
      <c r="D419" s="94" t="inlineStr">
        <is>
          <t>Chúng tôi cần thảo luận về quy mô thị trường và tốc độ tăng trưởng của sản phẩm. Wǒmen xūyào duì chǎnpǐn de shìchǎng guīmó hé shìchǎng zēngzhǎng lǜ jìnxíng shāngyì.</t>
        </is>
      </c>
      <c r="E419" s="94" t="inlineStr">
        <is>
          <t>418 我们需要对产 品的市场规模 和市场增长率 进行商议。 Chúng tôi cần thảo luận về quy mô thị trường và tốc độ tăng trưởng của sản phẩm. Wǒmen xūyào duì chǎnpǐn de shìchǎng guīmó hé shìchǎng zēngzhǎng lǜ jìnxíng shāngyì.</t>
        </is>
      </c>
      <c r="F419" s="115">
        <f>HYPERLINK("https://youglish.com/pronounce/我们需要对产品的市场规模和市场增长率进行商议/chinese","🔍")</f>
        <v/>
      </c>
    </row>
    <row r="420" ht="57" customHeight="1" s="99">
      <c r="A420" s="92" t="inlineStr">
        <is>
          <t>626 ĐPTM.pdf</t>
        </is>
      </c>
      <c r="B420" s="93" t="inlineStr">
        <is>
          <t>419</t>
        </is>
      </c>
      <c r="C420" s="92" t="inlineStr">
        <is>
          <t>我们需要确认合同的合同解除和赔偿条款。</t>
        </is>
      </c>
      <c r="D420" s="92" t="inlineStr">
        <is>
          <t>Chúng tôi cần xác nhận các điều khoản chấp nhận rủi ro và phân chia trách nhiệm trong hợp đồng. Wǒmen xūyào quèrèn hétóng de hétóng jiěchú hé péicháng tiáokuǎn.</t>
        </is>
      </c>
      <c r="E420" s="92" t="inlineStr">
        <is>
          <t>419 我们需要确认 合同的合同解 除和赔偿条 款。 Chúng tôi cần xác nhận các điều khoản chấp nhận rủi ro và phân chia trách nhiệm trong hợp đồng. Wǒmen xūyào quèrèn hétóng de hétóng jiěchú hé péicháng tiáokuǎn.</t>
        </is>
      </c>
      <c r="F420" s="114">
        <f>HYPERLINK("https://youglish.com/pronounce/我们需要确认合同的合同解除和赔偿条款/chinese","🔍")</f>
        <v/>
      </c>
    </row>
    <row r="421" ht="57" customHeight="1" s="99">
      <c r="A421" s="94" t="inlineStr">
        <is>
          <t>626 ĐPTM.pdf</t>
        </is>
      </c>
      <c r="B421" s="95" t="inlineStr">
        <is>
          <t>420</t>
        </is>
      </c>
      <c r="C421" s="94" t="inlineStr">
        <is>
          <t>您能否为我们提供更多的品牌营销和公关案例？</t>
        </is>
      </c>
      <c r="D421" s="94" t="inlineStr">
        <is>
          <t>Bạn có thể cung cấp cho chúng tôi thêm ví dụ về xây dựng thương hiệu và quan hệ công chúng không? Nín néng fǒu wèi wǒmen tígōng gèng duō de pǐnpái yíngxiāo hé gōngguān ànlì?</t>
        </is>
      </c>
      <c r="E421" s="94" t="inlineStr">
        <is>
          <t>420 您能否为我们 提供更多的品 牌营销和公关 案例？ Bạn có thể cung cấp cho chúng tôi thêm ví dụ về xây dựng thương hiệu và quan hệ công chúng không? Nín néng fǒu wèi wǒmen tígōng gèng duō de pǐnpái yíngxiāo hé gōngguān ànlì?</t>
        </is>
      </c>
      <c r="F421" s="115">
        <f>HYPERLINK("https://youglish.com/pronounce/您能否为我们提供更多的品牌营销和公关案例/chinese","🔍")</f>
        <v/>
      </c>
    </row>
    <row r="422" ht="57" customHeight="1" s="99">
      <c r="A422" s="92" t="inlineStr">
        <is>
          <t>626 ĐPTM.pdf</t>
        </is>
      </c>
      <c r="B422" s="93" t="inlineStr">
        <is>
          <t>421</t>
        </is>
      </c>
      <c r="C422" s="92" t="inlineStr">
        <is>
          <t>我们需要对产品的市场定位和市场细分进行商议。</t>
        </is>
      </c>
      <c r="D422" s="92" t="inlineStr">
        <is>
          <t>Chúng tôi cần thảo luận về định vị thị trường và phân khúc thị trường của sản phẩm. Wǒmen xūyào duì chǎnpǐn de shìchǎng dìngwèi hé shìchǎng xì fēn jìnxíng shāngyì.</t>
        </is>
      </c>
      <c r="E422" s="92" t="inlineStr">
        <is>
          <t>421 我们需要对产 品的市场定位 和市场细分进 行商议。 Chúng tôi cần thảo luận về định vị thị trường và phân khúc thị trường của sản phẩm. Wǒmen xūyào duì chǎnpǐn de shìchǎng dìngwèi hé shìchǎng xì fēn jìnxíng shāngyì.</t>
        </is>
      </c>
      <c r="F422" s="114">
        <f>HYPERLINK("https://youglish.com/pronounce/我们需要对产品的市场定位和市场细分进行商议/chinese","🔍")</f>
        <v/>
      </c>
    </row>
    <row r="423" ht="57" customHeight="1" s="99">
      <c r="A423" s="94" t="inlineStr">
        <is>
          <t>626 ĐPTM.pdf</t>
        </is>
      </c>
      <c r="B423" s="95" t="inlineStr">
        <is>
          <t>422</t>
        </is>
      </c>
      <c r="C423" s="94" t="inlineStr">
        <is>
          <t>我们需要确认合同的知识产权转让和许可条款。</t>
        </is>
      </c>
      <c r="D423" s="94" t="inlineStr">
        <is>
          <t>Chúng tôi cần xác nhận các điều khoản chuyển nhượng và cấp phép quyền sở hữu trí tuệ trong hợp đồng. Wǒmen xūyào quèrèn hétóng de zhīshì chǎnquán zhuǎnràng hé xǔkě tiáokuǎn.</t>
        </is>
      </c>
      <c r="E423" s="94" t="inlineStr">
        <is>
          <t>422 我们需要确认 合同的知识产 权转让和许可 条款。 Chúng tôi cần xác nhận các điều khoản chuyển nhượng và cấp phép quyền sở hữu trí tuệ trong hợp đồng. Wǒmen xūyào quèrèn hétóng de zhīshì chǎnquán zhuǎnràng hé xǔkě tiáokuǎn.</t>
        </is>
      </c>
      <c r="F423" s="115">
        <f>HYPERLINK("https://youglish.com/pronounce/我们需要确认合同的知识产权转让和许可条款/chinese","🔍")</f>
        <v/>
      </c>
    </row>
    <row r="424" ht="57" customHeight="1" s="99">
      <c r="A424" s="92" t="inlineStr">
        <is>
          <t>626 ĐPTM.pdf</t>
        </is>
      </c>
      <c r="B424" s="93" t="inlineStr">
        <is>
          <t>423</t>
        </is>
      </c>
      <c r="C424" s="92" t="inlineStr">
        <is>
          <t>您能否为我们提供更多的市场营销和数字化转型案例？</t>
        </is>
      </c>
      <c r="D424" s="92" t="inlineStr">
        <is>
          <t>Bạn có thể cung cấp cho chúng tôi thêm ví dụ về chiến lược tiếp thị và chuyển đổi số không? Nín néng fǒu wèi wǒmen tígōng gèng duō de shìchǎng yíngxiāo hé shùzìhuà zhuǎnxíng ànlì?</t>
        </is>
      </c>
      <c r="E424" s="92" t="inlineStr">
        <is>
          <t>423 您能否为我们 提供更多的市 场营销和数字 化转型案例？ Bạn có thể cung cấp cho chúng tôi thêm ví dụ về chiến lược tiếp thị và chuyển đổi số không? Nín néng fǒu wèi wǒmen tígōng gèng duō de shìchǎng yíngxiāo hé shùzìhuà zhuǎnxíng ànlì?</t>
        </is>
      </c>
      <c r="F424" s="114">
        <f>HYPERLINK("https://youglish.com/pronounce/您能否为我们提供更多的市场营销和数字化转型案例/chinese","🔍")</f>
        <v/>
      </c>
    </row>
    <row r="425" ht="57" customHeight="1" s="99">
      <c r="A425" s="94" t="inlineStr">
        <is>
          <t>626 ĐPTM.pdf</t>
        </is>
      </c>
      <c r="B425" s="95" t="inlineStr">
        <is>
          <t>424</t>
        </is>
      </c>
      <c r="C425" s="94" t="inlineStr">
        <is>
          <t>我们需要对产品的销售渠道和销售策略进行商议。</t>
        </is>
      </c>
      <c r="D425" s="94" t="inlineStr">
        <is>
          <t>Chúng tôi cần thảo luận về kênh bán hàng và chiến lược bán hàng của sản phẩm. Wǒmen xūyào duì chǎnpǐn de xiāoshòu qúdào hé xiāoshòu cèlüè jìnxíng shāngyì.</t>
        </is>
      </c>
      <c r="E425" s="94" t="inlineStr">
        <is>
          <t>424 我们需要对产 品的销售渠道 和销售策略进 行商议。 Chúng tôi cần thảo luận về kênh bán hàng và chiến lược bán hàng của sản phẩm. Wǒmen xūyào duì chǎnpǐn de xiāoshòu qúdào hé xiāoshòu cèlüè jìnxíng shāngyì.</t>
        </is>
      </c>
      <c r="F425" s="115">
        <f>HYPERLINK("https://youglish.com/pronounce/我们需要对产品的销售渠道和销售策略进行商议/chinese","🔍")</f>
        <v/>
      </c>
    </row>
    <row r="426" ht="57" customHeight="1" s="99">
      <c r="A426" s="92" t="inlineStr">
        <is>
          <t>626 ĐPTM.pdf</t>
        </is>
      </c>
      <c r="B426" s="93" t="inlineStr">
        <is>
          <t>425</t>
        </is>
      </c>
      <c r="C426" s="92" t="inlineStr">
        <is>
          <t>我们需要确认合同的知识产权保护和违约责任条款。</t>
        </is>
      </c>
      <c r="D426" s="92" t="inlineStr">
        <is>
          <t>Chúng tôi cần xác nhận các điều khoản bảo vệ quyền sở hữu trí tuệ và trách nhiệm vi phạm trong hợp đồng. Wǒmen xūyào quèrèn hétóng de zhīshì chǎnquán bǎohù hé wéiyuē zérèn tiáokuǎn.</t>
        </is>
      </c>
      <c r="E426" s="92" t="inlineStr">
        <is>
          <t>425 我们需要确认 合同的知识产 权保护和违约 责任条款。 Chúng tôi cần xác nhận các điều khoản bảo vệ quyền sở hữu trí tuệ và trách nhiệm vi phạm trong hợp đồng. Wǒmen xūyào quèrèn hétóng de zhīshì chǎnquán bǎohù hé wéiyuē zérèn tiáokuǎn.</t>
        </is>
      </c>
      <c r="F426" s="114">
        <f>HYPERLINK("https://youglish.com/pronounce/我们需要确认合同的知识产权保护和违约责任条款/chinese","🔍")</f>
        <v/>
      </c>
    </row>
    <row r="427" ht="57" customHeight="1" s="99">
      <c r="A427" s="94" t="inlineStr">
        <is>
          <t>626 ĐPTM.pdf</t>
        </is>
      </c>
      <c r="B427" s="95" t="inlineStr">
        <is>
          <t>426</t>
        </is>
      </c>
      <c r="C427" s="94" t="inlineStr">
        <is>
          <t>您能否为我们提供更多的市场营销和数字化趋势分析？</t>
        </is>
      </c>
      <c r="D427" s="94" t="inlineStr">
        <is>
          <t>Bạn có thể cung cấp cho chúng tôi thêm phân tích xu hướng tiếp thị và chuyển đổi số không? Nín néng fǒu wèi wǒmen tígōng gèng duō de shìchǎng yíngxiāo hé shùzìhuà qūshì fēnxī?</t>
        </is>
      </c>
      <c r="E427" s="94" t="inlineStr">
        <is>
          <t>426 您能否为我们 提供更多的市 场营销和数字 化趋势分析？ Bạn có thể cung cấp cho chúng tôi thêm phân tích xu hướng tiếp thị và chuyển đổi số không? Nín néng fǒu wèi wǒmen tígōng gèng duō de shìchǎng yíngxiāo hé shùzìhuà qūshì fēnxī?</t>
        </is>
      </c>
      <c r="F427" s="115">
        <f>HYPERLINK("https://youglish.com/pronounce/您能否为我们提供更多的市场营销和数字化趋势分析/chinese","🔍")</f>
        <v/>
      </c>
    </row>
    <row r="428" ht="57" customHeight="1" s="99">
      <c r="A428" s="92" t="inlineStr">
        <is>
          <t>626 ĐPTM.pdf</t>
        </is>
      </c>
      <c r="B428" s="93" t="inlineStr">
        <is>
          <t>427</t>
        </is>
      </c>
      <c r="C428" s="92" t="inlineStr">
        <is>
          <t>我们需要对产品的品牌形象和品牌声誉进行商议。</t>
        </is>
      </c>
      <c r="D428" s="92" t="inlineStr">
        <is>
          <t>Chúng tôi cần thảo luận về hình ảnh thương hiệu và uy tín thương hiệu của sản phẩm. Wǒmen xūyào duì chǎnpǐn de pǐnpái xíngxiàng hé pǐnpái shēngyù jìnxíng shāngyì.</t>
        </is>
      </c>
      <c r="E428" s="92" t="inlineStr">
        <is>
          <t>427 我们需要对产 品的品牌形象 和品牌声誉进 行商议。 Chúng tôi cần thảo luận về hình ảnh thương hiệu và uy tín thương hiệu của sản phẩm. Wǒmen xūyào duì chǎnpǐn de pǐnpái xíngxiàng hé pǐnpái shēngyù jìnxíng shāngyì.</t>
        </is>
      </c>
      <c r="F428" s="114">
        <f>HYPERLINK("https://youglish.com/pronounce/我们需要对产品的品牌形象和品牌声誉进行商议/chinese","🔍")</f>
        <v/>
      </c>
    </row>
    <row r="429" ht="42.75" customHeight="1" s="99">
      <c r="A429" s="94" t="inlineStr">
        <is>
          <t>626 ĐPTM.pdf</t>
        </is>
      </c>
      <c r="B429" s="95" t="inlineStr">
        <is>
          <t>428</t>
        </is>
      </c>
      <c r="C429" s="94" t="inlineStr">
        <is>
          <t>我们需要确认合同的合同修订和修改条款。</t>
        </is>
      </c>
      <c r="D429" s="94" t="inlineStr">
        <is>
          <t>Chúng tôi cần xác nhận các điều khoản sửa đổi và điều chỉnh hợp đồng. Wǒmen xūyào quèrèn hétóng de hétóng xiūdìng hé xiūgǎi tiáokuǎn.</t>
        </is>
      </c>
      <c r="E429" s="94" t="inlineStr">
        <is>
          <t>428 我们需要确认 合同的合同修 订和修改条 款。 Chúng tôi cần xác nhận các điều khoản sửa đổi và điều chỉnh hợp đồng. Wǒmen xūyào quèrèn hétóng de hétóng xiūdìng hé xiūgǎi tiáokuǎn.</t>
        </is>
      </c>
      <c r="F429" s="115">
        <f>HYPERLINK("https://youglish.com/pronounce/我们需要确认合同的合同修订和修改条款/chinese","🔍")</f>
        <v/>
      </c>
    </row>
    <row r="430" ht="57" customHeight="1" s="99">
      <c r="A430" s="92" t="inlineStr">
        <is>
          <t>626 ĐPTM.pdf</t>
        </is>
      </c>
      <c r="B430" s="93" t="inlineStr">
        <is>
          <t>429</t>
        </is>
      </c>
      <c r="C430" s="92" t="inlineStr">
        <is>
          <t>您能否为我们提供更多的市场营销和数字化战略建议？</t>
        </is>
      </c>
      <c r="D430" s="92" t="inlineStr">
        <is>
          <t>Bạn có thể cung cấp cho chúng tôi thêm lời khuyên về chiến lược tiếp thị và chuyển đổi số không? Nín néng fǒu wèi wǒmen tígōng gèng duō de shìchǎng yíngxiāo hé shùzìhuà zhànlüè jiànyì?</t>
        </is>
      </c>
      <c r="E430" s="92" t="inlineStr">
        <is>
          <t>429 您能否为我们 提供更多的市 场营销和数字 化战略建议？ Bạn có thể cung cấp cho chúng tôi thêm lời khuyên về chiến lược tiếp thị và chuyển đổi số không? Nín néng fǒu wèi wǒmen tígōng gèng duō de shìchǎng yíngxiāo hé shùzìhuà zhànlüè jiànyì?</t>
        </is>
      </c>
      <c r="F430" s="114">
        <f>HYPERLINK("https://youglish.com/pronounce/您能否为我们提供更多的市场营销和数字化战略建议/chinese","🔍")</f>
        <v/>
      </c>
    </row>
    <row r="431" ht="57" customHeight="1" s="99">
      <c r="A431" s="94" t="inlineStr">
        <is>
          <t>626 ĐPTM.pdf</t>
        </is>
      </c>
      <c r="B431" s="95" t="inlineStr">
        <is>
          <t>430</t>
        </is>
      </c>
      <c r="C431" s="94" t="inlineStr">
        <is>
          <t>我们需要对产品的市场前景和市场趋势进行商议。</t>
        </is>
      </c>
      <c r="D431" s="94" t="inlineStr">
        <is>
          <t>Chúng tôi cần thảo luận về tiềm năng tăng trưởng thị trường và xu hướng thị trường của sản phẩm. Wǒmen xūyào duì chǎnpǐn de shìchǎng qiánjǐng hé shìchǎng qūshì jìnxíng shāngyì.</t>
        </is>
      </c>
      <c r="E431" s="94" t="inlineStr">
        <is>
          <t>430 我们需要对产 品的市场前景 和市场趋势进 行商议。 Chúng tôi cần thảo luận về tiềm năng tăng trưởng thị trường và xu hướng thị trường của sản phẩm. Wǒmen xūyào duì chǎnpǐn de shìchǎng qiánjǐng hé shìchǎng qūshì jìnxíng shāngyì.</t>
        </is>
      </c>
      <c r="F431" s="115">
        <f>HYPERLINK("https://youglish.com/pronounce/我们需要对产品的市场前景和市场趋势进行商议/chinese","🔍")</f>
        <v/>
      </c>
    </row>
    <row r="432" ht="57" customHeight="1" s="99">
      <c r="A432" s="92" t="inlineStr">
        <is>
          <t>626 ĐPTM.pdf</t>
        </is>
      </c>
      <c r="B432" s="93" t="inlineStr">
        <is>
          <t>431</t>
        </is>
      </c>
      <c r="C432" s="92" t="inlineStr">
        <is>
          <t>我们需要确认合同的知识产权许可和使用条款。</t>
        </is>
      </c>
      <c r="D432" s="92" t="inlineStr">
        <is>
          <t>Chúng tôi cần xác nhận các điều khoản cấp phép và sử dụng quyền sở hữu trí tuệ trong hợp đồng. Wǒmen xūyào quèrèn hétóng de zhīshì chǎnquán xǔkě hé shǐyòng tiáokuǎn.</t>
        </is>
      </c>
      <c r="E432" s="92" t="inlineStr">
        <is>
          <t>431 我们需要确认 合同的知识产 权许可和使用 条款。 Chúng tôi cần xác nhận các điều khoản cấp phép và sử dụng quyền sở hữu trí tuệ trong hợp đồng. Wǒmen xūyào quèrèn hétóng de zhīshì chǎnquán xǔkě hé shǐyòng tiáokuǎn.</t>
        </is>
      </c>
      <c r="F432" s="114">
        <f>HYPERLINK("https://youglish.com/pronounce/我们需要确认合同的知识产权许可和使用条款/chinese","🔍")</f>
        <v/>
      </c>
    </row>
    <row r="433" ht="57" customHeight="1" s="99">
      <c r="A433" s="94" t="inlineStr">
        <is>
          <t>626 ĐPTM.pdf</t>
        </is>
      </c>
      <c r="B433" s="95" t="inlineStr">
        <is>
          <t>432</t>
        </is>
      </c>
      <c r="C433" s="94" t="inlineStr">
        <is>
          <t>您能否为我们提供更多的市场营销和数字化营销报告？</t>
        </is>
      </c>
      <c r="D433" s="94" t="inlineStr">
        <is>
          <t>Bạn có thể cung cấp cho chúng tôi thêm báo cáo tiếp thị và chuyển đổi số không? Nín néng fǒu wèi wǒmen tígōng gèng duō de shìchǎng yíngxiāo hé shùzìhuà yíngxiāo bàogào?</t>
        </is>
      </c>
      <c r="E433" s="94" t="inlineStr">
        <is>
          <t>432 您能否为我们 提供更多的市 场营销和数字 化营销报告？ Bạn có thể cung cấp cho chúng tôi thêm báo cáo tiếp thị và chuyển đổi số không? Nín néng fǒu wèi wǒmen tígōng gèng duō de shìchǎng yíngxiāo hé shùzìhuà yíngxiāo bàogào?</t>
        </is>
      </c>
      <c r="F433" s="115">
        <f>HYPERLINK("https://youglish.com/pronounce/您能否为我们提供更多的市场营销和数字化营销报告/chinese","🔍")</f>
        <v/>
      </c>
    </row>
    <row r="434" ht="57" customHeight="1" s="99">
      <c r="A434" s="92" t="inlineStr">
        <is>
          <t>626 ĐPTM.pdf</t>
        </is>
      </c>
      <c r="B434" s="93" t="inlineStr">
        <is>
          <t>433</t>
        </is>
      </c>
      <c r="C434" s="92" t="inlineStr">
        <is>
          <t>我们需要对产品的市场份额和市场占有率进行商议。</t>
        </is>
      </c>
      <c r="D434" s="92" t="inlineStr">
        <is>
          <t>Chúng tôi cần thảo luận về thị phần và tỷ lệ thị trường của sản phẩm. Wǒmen xūyào duì chǎnpǐn de shìchǎng fèn'é hé shìchǎng zhànyǒu lǜ jìnxíng shāngyì.</t>
        </is>
      </c>
      <c r="E434" s="92" t="inlineStr">
        <is>
          <t>433 我们需要对产 品的市场份额 和市场占有率 进行商议。 Chúng tôi cần thảo luận về thị phần và tỷ lệ thị trường của sản phẩm. Wǒmen xūyào duì chǎnpǐn de shìchǎng fèn'é hé shìchǎng zhànyǒu lǜ jìnxíng shāngyì.</t>
        </is>
      </c>
      <c r="F434" s="114">
        <f>HYPERLINK("https://youglish.com/pronounce/我们需要对产品的市场份额和市场占有率进行商议/chinese","🔍")</f>
        <v/>
      </c>
    </row>
    <row r="435" ht="42.75" customHeight="1" s="99">
      <c r="A435" s="94" t="inlineStr">
        <is>
          <t>626 ĐPTM.pdf</t>
        </is>
      </c>
      <c r="B435" s="95" t="inlineStr">
        <is>
          <t>434</t>
        </is>
      </c>
      <c r="C435" s="94" t="inlineStr">
        <is>
          <t>我们需要确认合同的保密和保密协议条款。</t>
        </is>
      </c>
      <c r="D435" s="94" t="inlineStr">
        <is>
          <t>Chúng tôi cần xác nhận các điều khoản bảo mật và thoả thuận bảo mật trong hợp đồng. Wǒmen xūyào quèrèn hétóng de bǎomì hé bǎomì xiéyì tiáokuǎn.</t>
        </is>
      </c>
      <c r="E435" s="94" t="inlineStr">
        <is>
          <t>434 我们需要确认 合同的保密和 保密协议条 款。 Chúng tôi cần xác nhận các điều khoản bảo mật và thoả thuận bảo mật trong hợp đồng. Wǒmen xūyào quèrèn hétóng de bǎomì hé bǎomì xiéyì tiáokuǎn.</t>
        </is>
      </c>
      <c r="F435" s="115">
        <f>HYPERLINK("https://youglish.com/pronounce/我们需要确认合同的保密和保密协议条款/chinese","🔍")</f>
        <v/>
      </c>
    </row>
    <row r="436" ht="57" customHeight="1" s="99">
      <c r="A436" s="92" t="inlineStr">
        <is>
          <t>626 ĐPTM.pdf</t>
        </is>
      </c>
      <c r="B436" s="93" t="inlineStr">
        <is>
          <t>435</t>
        </is>
      </c>
      <c r="C436" s="92" t="inlineStr">
        <is>
          <t>您能否为我们提供更多的品牌营销和数字化营销案例？</t>
        </is>
      </c>
      <c r="D436" s="92" t="inlineStr">
        <is>
          <t>Xin vui lòng cho chúng tôi thêm báo cáo phân tích thị trường và hành vi tiêu dùng? Nín néng fǒu wèi wǒmen tígōng gèng duō de pǐnpái yíngxiāo hé shùzìhuà yíngxiāo ànlì?</t>
        </is>
      </c>
      <c r="E436" s="92" t="inlineStr">
        <is>
          <t>435 您能否为我们 提供更多的品 牌营销和数字 化营销案例？ Xin vui lòng cho chúng tôi thêm báo cáo phân tích thị trường và hành vi tiêu dùng? Nín néng fǒu wèi wǒmen tígōng gèng duō de pǐnpái yíngxiāo hé shùzìhuà yíngxiāo ànlì?</t>
        </is>
      </c>
      <c r="F436" s="114">
        <f>HYPERLINK("https://youglish.com/pronounce/您能否为我们提供更多的品牌营销和数字化营销案例/chinese","🔍")</f>
        <v/>
      </c>
    </row>
    <row r="437" ht="57" customHeight="1" s="99">
      <c r="A437" s="94" t="inlineStr">
        <is>
          <t>626 ĐPTM.pdf</t>
        </is>
      </c>
      <c r="B437" s="95" t="inlineStr">
        <is>
          <t>436</t>
        </is>
      </c>
      <c r="C437" s="94" t="inlineStr">
        <is>
          <t>我们需要对产品的销售和市场营销策略进行商议。</t>
        </is>
      </c>
      <c r="D437" s="94" t="inlineStr">
        <is>
          <t>Chúng tôi cần thảo luận về quy mô và tỷ lệ tăng trưởng thị trường của sản phẩm. Wǒmen xūyào duì chǎnpǐn de xiāoshòu hé shìchǎng yíngxiāo cèlüè jìnxíng shāngyì.</t>
        </is>
      </c>
      <c r="E437" s="94" t="inlineStr">
        <is>
          <t>436 我们需要对产 品的销售和市 场营销策略进 行商议。 Chúng tôi cần thảo luận về quy mô và tỷ lệ tăng trưởng thị trường của sản phẩm. Wǒmen xūyào duì chǎnpǐn de xiāoshòu hé shìchǎng yíngxiāo cèlüè jìnxíng shāngyì.</t>
        </is>
      </c>
      <c r="F437" s="115">
        <f>HYPERLINK("https://youglish.com/pronounce/我们需要对产品的销售和市场营销策略进行商议/chinese","🔍")</f>
        <v/>
      </c>
    </row>
    <row r="438" ht="42.75" customHeight="1" s="99">
      <c r="A438" s="92" t="inlineStr">
        <is>
          <t>626 ĐPTM.pdf</t>
        </is>
      </c>
      <c r="B438" s="93" t="inlineStr">
        <is>
          <t>437</t>
        </is>
      </c>
      <c r="C438" s="92" t="inlineStr">
        <is>
          <t>我们需要确认合同的违约责任和赔偿条款。</t>
        </is>
      </c>
      <c r="D438" s="92" t="inlineStr">
        <is>
          <t>Chúng tôi cần xác nhận các điều khoản hủy hợp đồng và bồi thường trong hợp đồng. Wǒmen xūyào quèrèn hétóng de wéiyuē zérèn hé péicháng tiáokuǎn.</t>
        </is>
      </c>
      <c r="E438" s="92" t="inlineStr">
        <is>
          <t>437 我们需要确认 合同的违约责 任和赔偿条 款。 Chúng tôi cần xác nhận các điều khoản hủy hợp đồng và bồi thường trong hợp đồng. Wǒmen xūyào quèrèn hétóng de wéiyuē zérèn hé péicháng tiáokuǎn.</t>
        </is>
      </c>
      <c r="F438" s="114">
        <f>HYPERLINK("https://youglish.com/pronounce/我们需要确认合同的违约责任和赔偿条款/chinese","🔍")</f>
        <v/>
      </c>
    </row>
    <row r="439" ht="57" customHeight="1" s="99">
      <c r="A439" s="94" t="inlineStr">
        <is>
          <t>626 ĐPTM.pdf</t>
        </is>
      </c>
      <c r="B439" s="95" t="inlineStr">
        <is>
          <t>438</t>
        </is>
      </c>
      <c r="C439" s="94" t="inlineStr">
        <is>
          <t>您能否为我们提供更多的市场营销和品牌建设案例？</t>
        </is>
      </c>
      <c r="D439" s="94" t="inlineStr">
        <is>
          <t>Xin vui lòng cung cấp thêm ví dụ về chiến lược tiếp thị thương hiệu và quan hệ công chúng? Nín néng fǒu wèi wǒmen tígōng gèng duō de shìchǎng yíngxiāo hé pǐnpái jiànshè ànlì?</t>
        </is>
      </c>
      <c r="E439" s="94" t="inlineStr">
        <is>
          <t>438 您能否为我们 提供更多的市 场营销和品牌 建设案例？ Xin vui lòng cung cấp thêm ví dụ về chiến lược tiếp thị thương hiệu và quan hệ công chúng? Nín néng fǒu wèi wǒmen tígōng gèng duō de shìchǎng yíngxiāo hé pǐnpái jiànshè ànlì?</t>
        </is>
      </c>
      <c r="F439" s="115">
        <f>HYPERLINK("https://youglish.com/pronounce/您能否为我们提供更多的市场营销和品牌建设案例/chinese","🔍")</f>
        <v/>
      </c>
    </row>
    <row r="440" ht="57" customHeight="1" s="99">
      <c r="A440" s="92" t="inlineStr">
        <is>
          <t>626 ĐPTM.pdf</t>
        </is>
      </c>
      <c r="B440" s="93" t="inlineStr">
        <is>
          <t>439</t>
        </is>
      </c>
      <c r="C440" s="92" t="inlineStr">
        <is>
          <t>我们需要对产品的市场规模和市场增长潜力进行商议。</t>
        </is>
      </c>
      <c r="D440" s="92" t="inlineStr">
        <is>
          <t>Chúng tôi cần thảo luận về vị trí thị trường và phân khúc thị trường của sản phẩm. Wǒmen xūyào duì chǎnpǐn de shìchǎng guīmó hé shìchǎng zēngzhǎng qiánlì jìnxíng shāngyì.</t>
        </is>
      </c>
      <c r="E440" s="92" t="inlineStr">
        <is>
          <t>439 我们需要对产 品的市场规模 和市场增长潜 力进行商议。 Chúng tôi cần thảo luận về vị trí thị trường và phân khúc thị trường của sản phẩm. Wǒmen xūyào duì chǎnpǐn de shìchǎng guīmó hé shìchǎng zēngzhǎng qiánlì jìnxíng shāngyì.</t>
        </is>
      </c>
      <c r="F440" s="114">
        <f>HYPERLINK("https://youglish.com/pronounce/我们需要对产品的市场规模和市场增长潜力进行商议/chinese","🔍")</f>
        <v/>
      </c>
    </row>
    <row r="441" ht="57" customHeight="1" s="99">
      <c r="A441" s="94" t="inlineStr">
        <is>
          <t>626 ĐPTM.pdf</t>
        </is>
      </c>
      <c r="B441" s="95" t="inlineStr">
        <is>
          <t>440</t>
        </is>
      </c>
      <c r="C441" s="94" t="inlineStr">
        <is>
          <t>我们需要确认合同的知识产权转移和使用条款。</t>
        </is>
      </c>
      <c r="D441" s="94" t="inlineStr">
        <is>
          <t>Chúng tôi cần xác nhận các điều khoản chuyển nhượng và cấp phép sử dụng quyền sở hữu trí tuệ trong hợp đồng. Wǒmen xūyào quèrèn hétóng de zhīshì chǎnquán zhuǎnyí hé shǐyòng tiáokuǎn.</t>
        </is>
      </c>
      <c r="E441" s="94" t="inlineStr">
        <is>
          <t>440 我们需要确认 合同的知识产 权转移和使用 条款。 Chúng tôi cần xác nhận các điều khoản chuyển nhượng và cấp phép sử dụng quyền sở hữu trí tuệ trong hợp đồng. Wǒmen xūyào quèrèn hétóng de zhīshì chǎnquán zhuǎnyí hé shǐyòng tiáokuǎn.</t>
        </is>
      </c>
      <c r="F441" s="115">
        <f>HYPERLINK("https://youglish.com/pronounce/我们需要确认合同的知识产权转移和使用条款/chinese","🔍")</f>
        <v/>
      </c>
    </row>
    <row r="442" ht="57" customHeight="1" s="99">
      <c r="A442" s="92" t="inlineStr">
        <is>
          <t>626 ĐPTM.pdf</t>
        </is>
      </c>
      <c r="B442" s="93" t="inlineStr">
        <is>
          <t>441</t>
        </is>
      </c>
      <c r="C442" s="92" t="inlineStr">
        <is>
          <t>您能否为我们提供更多的市场营销和数字化趋势预测？</t>
        </is>
      </c>
      <c r="D442" s="92" t="inlineStr">
        <is>
          <t>Xin vui lòng cung cấp thêm báo cáo phân tích xu hướng số hóa và tiếp thị? Nín néng fǒu wèi wǒmen tígōng gèng duō de shìchǎng yíngxiāo hé shùzìhuà qūshì yùcè?</t>
        </is>
      </c>
      <c r="E442" s="92" t="inlineStr">
        <is>
          <t>441 您能否为我们 提供更多的市 场营销和数字 化趋势预测？ Xin vui lòng cung cấp thêm báo cáo phân tích xu hướng số hóa và tiếp thị? Nín néng fǒu wèi wǒmen tígōng gèng duō de shìchǎng yíngxiāo hé shùzìhuà qūshì yùcè?</t>
        </is>
      </c>
      <c r="F442" s="114">
        <f>HYPERLINK("https://youglish.com/pronounce/您能否为我们提供更多的市场营销和数字化趋势预测/chinese","🔍")</f>
        <v/>
      </c>
    </row>
    <row r="443" ht="42.75" customHeight="1" s="99">
      <c r="A443" s="94" t="inlineStr">
        <is>
          <t>626 ĐPTM.pdf</t>
        </is>
      </c>
      <c r="B443" s="95" t="inlineStr">
        <is>
          <t>442</t>
        </is>
      </c>
      <c r="C443" s="94" t="inlineStr">
        <is>
          <t>我们需要对产品的竞争优势和差异化进行商议。</t>
        </is>
      </c>
      <c r="D443" s="94" t="inlineStr">
        <is>
          <t>Chúng tôi cần thảo luận về ưu thế cạnh tranh và khác biệt sản phẩm. Wǒmen xūyào duì chǎnpǐn de jìngzhēng yōushì hé chāyì huà jìnxíng shāngyì.</t>
        </is>
      </c>
      <c r="E443" s="94" t="inlineStr">
        <is>
          <t>442 我们需要对产 品的竞争优势 和差异化进行 商议。 Chúng tôi cần thảo luận về ưu thế cạnh tranh và khác biệt sản phẩm. Wǒmen xūyào duì chǎnpǐn de jìngzhēng yōushì hé chāyì huà jìnxíng shāngyì.</t>
        </is>
      </c>
      <c r="F443" s="115">
        <f>HYPERLINK("https://youglish.com/pronounce/我们需要对产品的竞争优势和差异化进行商议/chinese","🔍")</f>
        <v/>
      </c>
    </row>
    <row r="444" ht="57" customHeight="1" s="99">
      <c r="A444" s="92" t="inlineStr">
        <is>
          <t>626 ĐPTM.pdf</t>
        </is>
      </c>
      <c r="B444" s="93" t="inlineStr">
        <is>
          <t>443</t>
        </is>
      </c>
      <c r="C444" s="92" t="inlineStr">
        <is>
          <t>我们需要确认合同的服务质量和服务水平协议条款。</t>
        </is>
      </c>
      <c r="D444" s="92" t="inlineStr">
        <is>
          <t>Chúng tôi cần xác nhận các điều khoản hợp đồng về chất lượng dịch vụ và thỏa thuận về mức độ phục vụ. Wǒmen xūyào quèrèn hétóng de fúwù zhìliàng hé fúwù shuǐpíng xiéyì tiáokuǎn.</t>
        </is>
      </c>
      <c r="E444" s="92" t="inlineStr">
        <is>
          <t>443 我们需要确认 合同的服务质 量和服务水平 协议条款。 Chúng tôi cần xác nhận các điều khoản hợp đồng về chất lượng dịch vụ và thỏa thuận về mức độ phục vụ. Wǒmen xūyào quèrèn hétóng de fúwù zhìliàng hé fúwù shuǐpíng xiéyì tiáokuǎn.</t>
        </is>
      </c>
      <c r="F444" s="114">
        <f>HYPERLINK("https://youglish.com/pronounce/我们需要确认合同的服务质量和服务水平协议条款/chinese","🔍")</f>
        <v/>
      </c>
    </row>
    <row r="445" ht="57" customHeight="1" s="99">
      <c r="A445" s="94" t="inlineStr">
        <is>
          <t>626 ĐPTM.pdf</t>
        </is>
      </c>
      <c r="B445" s="95" t="inlineStr">
        <is>
          <t>444</t>
        </is>
      </c>
      <c r="C445" s="94" t="inlineStr">
        <is>
          <t>您能否为我们提供更多的市场营销和数字化创新案例？</t>
        </is>
      </c>
      <c r="D445" s="94" t="inlineStr">
        <is>
          <t>Xin vui lòng cung cấp thêm ví dụ về chiến lược tiếp thị và sáng tạo số hóa? Nín néng fǒu wèi wǒmen tígōng gèng duō de shìchǎng yíngxiāo hé shùzìhuà chuàngxīn ànlì?</t>
        </is>
      </c>
      <c r="E445" s="94" t="inlineStr">
        <is>
          <t>444 您能否为我们 提供更多的市 场营销和数字 化创新案例？ Xin vui lòng cung cấp thêm ví dụ về chiến lược tiếp thị và sáng tạo số hóa? Nín néng fǒu wèi wǒmen tígōng gèng duō de shìchǎng yíngxiāo hé shùzìhuà chuàngxīn ànlì?</t>
        </is>
      </c>
      <c r="F445" s="115">
        <f>HYPERLINK("https://youglish.com/pronounce/您能否为我们提供更多的市场营销和数字化创新案例/chinese","🔍")</f>
        <v/>
      </c>
    </row>
    <row r="446" ht="57" customHeight="1" s="99">
      <c r="A446" s="92" t="inlineStr">
        <is>
          <t>626 ĐPTM.pdf</t>
        </is>
      </c>
      <c r="B446" s="93" t="inlineStr">
        <is>
          <t>445</t>
        </is>
      </c>
      <c r="C446" s="92" t="inlineStr">
        <is>
          <t>我们需要对产品的市场定位和品牌战略进行商议。</t>
        </is>
      </c>
      <c r="D446" s="92" t="inlineStr">
        <is>
          <t>Chúng tôi cần thảo luận về định vị thị trường và chiến lược thương hiệu của sản phẩm. Wǒmen xūyào duì chǎnpǐn de shìchǎng dìngwèi hé pǐnpái zhànlüè jìnxíng shāngyì.</t>
        </is>
      </c>
      <c r="E446" s="92" t="inlineStr">
        <is>
          <t>445 我们需要对产 品的市场定位 和品牌战略进 行商议。 Chúng tôi cần thảo luận về định vị thị trường và chiến lược thương hiệu của sản phẩm. Wǒmen xūyào duì chǎnpǐn de shìchǎng dìngwèi hé pǐnpái zhànlüè jìnxíng shāngyì.</t>
        </is>
      </c>
      <c r="F446" s="114">
        <f>HYPERLINK("https://youglish.com/pronounce/我们需要对产品的市场定位和品牌战略进行商议/chinese","🔍")</f>
        <v/>
      </c>
    </row>
    <row r="447" ht="42.75" customHeight="1" s="99">
      <c r="A447" s="94" t="inlineStr">
        <is>
          <t>626 ĐPTM.pdf</t>
        </is>
      </c>
      <c r="B447" s="95" t="inlineStr">
        <is>
          <t>446</t>
        </is>
      </c>
      <c r="C447" s="94" t="inlineStr">
        <is>
          <t>我们需要确认合同的合同变更和修订条款。</t>
        </is>
      </c>
      <c r="D447" s="94" t="inlineStr">
        <is>
          <t>Chúng tôi cần xác nhận các điều khoản thay đổi và sửa đổi hợp đồng. Wǒmen xūyào quèrèn hétóng de hétóng biàngēng hé xiūdìng tiáokuǎn.</t>
        </is>
      </c>
      <c r="E447" s="94" t="inlineStr">
        <is>
          <t>446 我们需要确认 合同的合同变 更和修订条 款。 Chúng tôi cần xác nhận các điều khoản thay đổi và sửa đổi hợp đồng. Wǒmen xūyào quèrèn hétóng de hétóng biàngēng hé xiūdìng tiáokuǎn.</t>
        </is>
      </c>
      <c r="F447" s="115">
        <f>HYPERLINK("https://youglish.com/pronounce/我们需要确认合同的合同变更和修订条款/chinese","🔍")</f>
        <v/>
      </c>
    </row>
    <row r="448" ht="57" customHeight="1" s="99">
      <c r="A448" s="92" t="inlineStr">
        <is>
          <t>626 ĐPTM.pdf</t>
        </is>
      </c>
      <c r="B448" s="93" t="inlineStr">
        <is>
          <t>447</t>
        </is>
      </c>
      <c r="C448" s="92" t="inlineStr">
        <is>
          <t>您能否为我们提供更多的市场营销和品牌推广案例？</t>
        </is>
      </c>
      <c r="D448" s="92" t="inlineStr">
        <is>
          <t>Xin vui lòng cung cấp thêm ví dụ về quảng bá thương hiệu và tiếp thị số hóa? Nín néng fǒu wèi wǒmen tígōng gèng duō de shìchǎng yíngxiāo hé pǐnpái tuīguǎng ànlì?</t>
        </is>
      </c>
      <c r="E448" s="92" t="inlineStr">
        <is>
          <t>447 您能否为我们 提供更多的市 场营销和品牌 推广案例？ Xin vui lòng cung cấp thêm ví dụ về quảng bá thương hiệu và tiếp thị số hóa? Nín néng fǒu wèi wǒmen tígōng gèng duō de shìchǎng yíngxiāo hé pǐnpái tuīguǎng ànlì?</t>
        </is>
      </c>
      <c r="F448" s="114">
        <f>HYPERLINK("https://youglish.com/pronounce/您能否为我们提供更多的市场营销和品牌推广案例/chinese","🔍")</f>
        <v/>
      </c>
    </row>
    <row r="449" ht="42.75" customHeight="1" s="99">
      <c r="A449" s="94" t="inlineStr">
        <is>
          <t>626 ĐPTM.pdf</t>
        </is>
      </c>
      <c r="B449" s="95" t="inlineStr">
        <is>
          <t>448</t>
        </is>
      </c>
      <c r="C449" s="94" t="inlineStr">
        <is>
          <t>我们需要对产品的销售渠道和渠道管理进行商议。</t>
        </is>
      </c>
      <c r="D449" s="94" t="inlineStr">
        <is>
          <t>Chúng tôi cần thảo luận về kênh bán hàng và quản lý kênh của sản phẩm. Wǒmen xūyào duì chǎnpǐn de xiāoshòu qúdào hé qúdào guǎnlǐ jìnxíng shāngyì.</t>
        </is>
      </c>
      <c r="E449" s="94" t="inlineStr">
        <is>
          <t>448 我们需要对产 品的销售渠道 和渠道管理进 行商议。 Chúng tôi cần thảo luận về kênh bán hàng và quản lý kênh của sản phẩm. Wǒmen xūyào duì chǎnpǐn de xiāoshòu qúdào hé qúdào guǎnlǐ jìnxíng shāngyì.</t>
        </is>
      </c>
      <c r="F449" s="115">
        <f>HYPERLINK("https://youglish.com/pronounce/我们需要对产品的销售渠道和渠道管理进行商议/chinese","🔍")</f>
        <v/>
      </c>
    </row>
    <row r="450" ht="42.75" customHeight="1" s="99">
      <c r="A450" s="92" t="inlineStr">
        <is>
          <t>626 ĐPTM.pdf</t>
        </is>
      </c>
      <c r="B450" s="93" t="inlineStr">
        <is>
          <t>449</t>
        </is>
      </c>
      <c r="C450" s="92" t="inlineStr">
        <is>
          <t>我们需要确认合同的合同生效和履行条款。</t>
        </is>
      </c>
      <c r="D450" s="92" t="inlineStr">
        <is>
          <t>Chúng tôi cần xác nhận các điều khoản về hiệu lực và thực hiện hợp đồng. Wǒmen xūyào quèrèn hétóng de hétóng shēngxiào hé lǚxíng tiáokuǎn.</t>
        </is>
      </c>
      <c r="E450" s="92" t="inlineStr">
        <is>
          <t>449 我们需要确认 合同的合同生 效和履行条款。 Chúng tôi cần xác nhận các điều khoản về hiệu lực và thực hiện hợp đồng. Wǒmen xūyào quèrèn hétóng de hétóng shēngxiào hé lǚxíng tiáokuǎn.</t>
        </is>
      </c>
      <c r="F450" s="114">
        <f>HYPERLINK("https://youglish.com/pronounce/我们需要确认合同的合同生效和履行条款/chinese","🔍")</f>
        <v/>
      </c>
    </row>
    <row r="451" ht="57" customHeight="1" s="99">
      <c r="A451" s="94" t="inlineStr">
        <is>
          <t>626 ĐPTM.pdf</t>
        </is>
      </c>
      <c r="B451" s="95" t="inlineStr">
        <is>
          <t>450</t>
        </is>
      </c>
      <c r="C451" s="94" t="inlineStr">
        <is>
          <t>您能否为我们提供更多的市场营销和消费者洞察报告？</t>
        </is>
      </c>
      <c r="D451" s="94" t="inlineStr">
        <is>
          <t>Xin vui lòng cung cấp thêm báo cáo phân tích thị trường và hiểu biết về người tiêu dùng? Nín néng fǒu wèi wǒmen tígōng gèng duō de shìchǎng yíngxiāo hé xiāofèi zhě dòngchá bàogào?</t>
        </is>
      </c>
      <c r="E451" s="94" t="inlineStr">
        <is>
          <t>450 您能否为我们 提供更多的市 场营销和消费 者洞察报告？ Xin vui lòng cung cấp thêm báo cáo phân tích thị trường và hiểu biết về người tiêu dùng? Nín néng fǒu wèi wǒmen tígōng gèng duō de shìchǎng yíngxiāo hé xiāofèi zhě dòngchá bàogào?</t>
        </is>
      </c>
      <c r="F451" s="115">
        <f>HYPERLINK("https://youglish.com/pronounce/您能否为我们提供更多的市场营销和消费者洞察报告/chinese","🔍")</f>
        <v/>
      </c>
    </row>
    <row r="452" ht="57" customHeight="1" s="99">
      <c r="A452" s="92" t="inlineStr">
        <is>
          <t>626 ĐPTM.pdf</t>
        </is>
      </c>
      <c r="B452" s="93" t="inlineStr">
        <is>
          <t>451</t>
        </is>
      </c>
      <c r="C452" s="92" t="inlineStr">
        <is>
          <t>我们需要对产品的品牌形象和市场声誉进行商议。</t>
        </is>
      </c>
      <c r="D452" s="92" t="inlineStr">
        <is>
          <t>Chúng tôi cần thảo luận về hình ảnh thương hiệu và uy tín thị trường của sản phẩm. Wǒmen xūyào duì chǎnpǐn de pǐnpái xíngxiàng hé shìchǎng shēngyù jìnxíng shāngyì.</t>
        </is>
      </c>
      <c r="E452" s="92" t="inlineStr">
        <is>
          <t>451 我们需要对产 品的品牌形象 和市场声誉进 行商议。 Chúng tôi cần thảo luận về hình ảnh thương hiệu và uy tín thị trường của sản phẩm. Wǒmen xūyào duì chǎnpǐn de pǐnpái xíngxiàng hé shìchǎng shēngyù jìnxíng shāngyì.</t>
        </is>
      </c>
      <c r="F452" s="114">
        <f>HYPERLINK("https://youglish.com/pronounce/我们需要对产品的品牌形象和市场声誉进行商议/chinese","🔍")</f>
        <v/>
      </c>
    </row>
    <row r="453" ht="57" customHeight="1" s="99">
      <c r="A453" s="94" t="inlineStr">
        <is>
          <t>626 ĐPTM.pdf</t>
        </is>
      </c>
      <c r="B453" s="95" t="inlineStr">
        <is>
          <t>452</t>
        </is>
      </c>
      <c r="C453" s="94" t="inlineStr">
        <is>
          <t>我们需要确认合同的知识产权保护和授权条款。</t>
        </is>
      </c>
      <c r="D453" s="94" t="inlineStr">
        <is>
          <t>Chúng tôi cần xác nhận các điều khoản bảo vệ và cấp phép sử dụng quyền sở hữu trí tuệ trong hợp đồng. Wǒmen xūyào quèrèn hétóng de zhīshì chǎnquán bǎohù hé shòuquán tiáokuǎn.</t>
        </is>
      </c>
      <c r="E453" s="94" t="inlineStr">
        <is>
          <t>452 我们需要确认 合同的知识产 权保护和授权 条款。 Chúng tôi cần xác nhận các điều khoản bảo vệ và cấp phép sử dụng quyền sở hữu trí tuệ trong hợp đồng. Wǒmen xūyào quèrèn hétóng de zhīshì chǎnquán bǎohù hé shòuquán tiáokuǎn.</t>
        </is>
      </c>
      <c r="F453" s="115">
        <f>HYPERLINK("https://youglish.com/pronounce/我们需要确认合同的知识产权保护和授权条款/chinese","🔍")</f>
        <v/>
      </c>
    </row>
    <row r="454" ht="57" customHeight="1" s="99">
      <c r="A454" s="92" t="inlineStr">
        <is>
          <t>626 ĐPTM.pdf</t>
        </is>
      </c>
      <c r="B454" s="93" t="inlineStr">
        <is>
          <t>453</t>
        </is>
      </c>
      <c r="C454" s="92" t="inlineStr">
        <is>
          <t>您能否为我们提供更多的市场营销和数字化营销趋势分析？</t>
        </is>
      </c>
      <c r="D454" s="92" t="inlineStr">
        <is>
          <t>Xin vui lòng cung cấp thêm báo cáo phân tích xu hướng số hóa và tiếp thị thị trường? Nín néng fǒu wèi wǒmen tígōng gèng duō de shìchǎng yíngxiāo hé shùzìhuà yíngxiāo qūshì fēnxī?</t>
        </is>
      </c>
      <c r="E454" s="92" t="inlineStr">
        <is>
          <t>453 您能否为我们 提供更多的市 场营销和数字 化营销趋势分 析？ Xin vui lòng cung cấp thêm báo cáo phân tích xu hướng số hóa và tiếp thị thị trường? Nín néng fǒu wèi wǒmen tígōng gèng duō de shìchǎng yíngxiāo hé shùzìhuà yíngxiāo qūshì fēnxī?</t>
        </is>
      </c>
      <c r="F454" s="114">
        <f>HYPERLINK("https://youglish.com/pronounce/您能否为我们提供更多的市场营销和数字化营销趋势分析/chinese","🔍")</f>
        <v/>
      </c>
    </row>
    <row r="455" ht="42.75" customHeight="1" s="99">
      <c r="A455" s="94" t="inlineStr">
        <is>
          <t>626 ĐPTM.pdf</t>
        </is>
      </c>
      <c r="B455" s="95" t="inlineStr">
        <is>
          <t>454</t>
        </is>
      </c>
      <c r="C455" s="94" t="inlineStr">
        <is>
          <t>我们需要对产品的市场前景和市场趋势进行商议。</t>
        </is>
      </c>
      <c r="D455" s="94" t="inlineStr">
        <is>
          <t>Chúng tôi cần thảo luận về triển vọng và xu hướng thị trường sản phẩm. Wǒmen xūyào duì chǎnpǐn de shìchǎng qiánjǐng hé shìchǎng qūshì jìnxíng shāngyì.</t>
        </is>
      </c>
      <c r="E455" s="94" t="inlineStr">
        <is>
          <t>454 我们需要对产 品的市场前景 和市场趋势进 行商议。 Chúng tôi cần thảo luận về triển vọng và xu hướng thị trường sản phẩm. Wǒmen xūyào duì chǎnpǐn de shìchǎng qiánjǐng hé shìchǎng qūshì jìnxíng shāngyì.</t>
        </is>
      </c>
      <c r="F455" s="115">
        <f>HYPERLINK("https://youglish.com/pronounce/我们需要对产品的市场前景和市场趋势进行商议/chinese","🔍")</f>
        <v/>
      </c>
    </row>
    <row r="456" ht="57" customHeight="1" s="99">
      <c r="A456" s="92" t="inlineStr">
        <is>
          <t>626 ĐPTM.pdf</t>
        </is>
      </c>
      <c r="B456" s="93" t="inlineStr">
        <is>
          <t>455</t>
        </is>
      </c>
      <c r="C456" s="92" t="inlineStr">
        <is>
          <t>我们需要确认合同的合同履行和完整性保证条款。</t>
        </is>
      </c>
      <c r="D456" s="92" t="inlineStr">
        <is>
          <t>Chúng tôi cần xác nhận các điều khoản về thực hiện hợp đồng và cam kết tính toàn vẹn của hợp đồng. Wǒmen xūyào quèrèn hétóng de hétóng lǚxíng hé wánzhěng xìng bǎozhèng tiáokuǎn.</t>
        </is>
      </c>
      <c r="E456" s="92" t="inlineStr">
        <is>
          <t>455 我们需要确认 合同的合同履 行和完整性保 证条款。 Chúng tôi cần xác nhận các điều khoản về thực hiện hợp đồng và cam kết tính toàn vẹn của hợp đồng. Wǒmen xūyào quèrèn hétóng de hétóng lǚxíng hé wánzhěng xìng bǎozhèng tiáokuǎn.</t>
        </is>
      </c>
      <c r="F456" s="114">
        <f>HYPERLINK("https://youglish.com/pronounce/我们需要确认合同的合同履行和完整性保证条款/chinese","🔍")</f>
        <v/>
      </c>
    </row>
    <row r="457" ht="71.25" customHeight="1" s="99">
      <c r="A457" s="94" t="inlineStr">
        <is>
          <t>626 ĐPTM.pdf</t>
        </is>
      </c>
      <c r="B457" s="95" t="inlineStr">
        <is>
          <t>456</t>
        </is>
      </c>
      <c r="C457" s="94" t="inlineStr">
        <is>
          <t>您能否为我们提供更多的品牌营销和数字化品牌建设案例？</t>
        </is>
      </c>
      <c r="D457" s="94" t="inlineStr">
        <is>
          <t>Bạn có thể cung cấp cho chúng tôi thêm nhiều ví dụ về chiến lược tiếp thị thương hiệu và xây dựng thương hiệu kỹ thuật số không? Nín néng fǒu wèi wǒmen tígōng gèng duō de pǐnpái yíngxiāo hé shùzìhuà pǐnpái jiànshè ànlì?</t>
        </is>
      </c>
      <c r="E457" s="94" t="inlineStr">
        <is>
          <t>456 您能否为我们 提供更多的品 牌营销和数字 化品牌建设案 例？ Bạn có thể cung cấp cho chúng tôi thêm nhiều ví dụ về chiến lược tiếp thị thương hiệu và xây dựng thương hiệu kỹ thuật số không? Nín néng fǒu wèi wǒmen tígōng gèng duō de pǐnpái yíngxiāo hé shùzìhuà pǐnpái jiànshè ànlì?</t>
        </is>
      </c>
      <c r="F457" s="115">
        <f>HYPERLINK("https://youglish.com/pronounce/您能否为我们提供更多的品牌营销和数字化品牌建设案例/chinese","🔍")</f>
        <v/>
      </c>
    </row>
    <row r="458" ht="57" customHeight="1" s="99">
      <c r="A458" s="92" t="inlineStr">
        <is>
          <t>626 ĐPTM.pdf</t>
        </is>
      </c>
      <c r="B458" s="93" t="inlineStr">
        <is>
          <t>457</t>
        </is>
      </c>
      <c r="C458" s="92" t="inlineStr">
        <is>
          <t>我们需要对产品的市场定位和目标市场进行商议。</t>
        </is>
      </c>
      <c r="D458" s="92" t="inlineStr">
        <is>
          <t>Chúng tôi cần thảo luận về vị trí thị trường và thị trường mục tiêu của sản phẩm. Wǒmen xūyào duì chǎnpǐn de shìchǎng dìngwèi hé mùbiāo shìchǎng jìnxíng shāngyì.</t>
        </is>
      </c>
      <c r="E458" s="92" t="inlineStr">
        <is>
          <t>457 我们需要对产 品的市场定位 和目标市场进 行商议。 Chúng tôi cần thảo luận về vị trí thị trường và thị trường mục tiêu của sản phẩm. Wǒmen xūyào duì chǎnpǐn de shìchǎng dìngwèi hé mùbiāo shìchǎng jìnxíng shāngyì.</t>
        </is>
      </c>
      <c r="F458" s="114">
        <f>HYPERLINK("https://youglish.com/pronounce/我们需要对产品的市场定位和目标市场进行商议/chinese","🔍")</f>
        <v/>
      </c>
    </row>
    <row r="459" ht="57" customHeight="1" s="99">
      <c r="A459" s="94" t="inlineStr">
        <is>
          <t>626 ĐPTM.pdf</t>
        </is>
      </c>
      <c r="B459" s="95" t="inlineStr">
        <is>
          <t>458</t>
        </is>
      </c>
      <c r="C459" s="94" t="inlineStr">
        <is>
          <t>我们需要确认合同的知识产权归属和保护条款。</t>
        </is>
      </c>
      <c r="D459" s="94" t="inlineStr">
        <is>
          <t>Chúng tôi cần xác nhận các điều khoản về sở hữu trí tuệ và bảo vệ sở hữu trí tuệ trong hợp đồng. Wǒmen xūyào quèrèn hétóng de zhīshì chǎnquán guīshǔ hé bǎohù tiáokuǎn.</t>
        </is>
      </c>
      <c r="E459" s="94" t="inlineStr">
        <is>
          <t>458 我们需要确认 合同的知识产 权归属和保护 条款。 Chúng tôi cần xác nhận các điều khoản về sở hữu trí tuệ và bảo vệ sở hữu trí tuệ trong hợp đồng. Wǒmen xūyào quèrèn hétóng de zhīshì chǎnquán guīshǔ hé bǎohù tiáokuǎn.</t>
        </is>
      </c>
      <c r="F459" s="115">
        <f>HYPERLINK("https://youglish.com/pronounce/我们需要确认合同的知识产权归属和保护条款/chinese","🔍")</f>
        <v/>
      </c>
    </row>
    <row r="460" ht="57" customHeight="1" s="99">
      <c r="A460" s="92" t="inlineStr">
        <is>
          <t>626 ĐPTM.pdf</t>
        </is>
      </c>
      <c r="B460" s="93" t="inlineStr">
        <is>
          <t>459</t>
        </is>
      </c>
      <c r="C460" s="92" t="inlineStr">
        <is>
          <t>您能否为我们提供更多的市场营销和数字化战略报告？</t>
        </is>
      </c>
      <c r="D460" s="92" t="inlineStr">
        <is>
          <t>Bạn có thể cung cấp cho chúng tôi nhiều báo cáo về chiến lược tiếp thị và số hóa không? Nín néng fǒu wèi wǒmen tígōng gèng duō de shìchǎng yíngxiāo hé shùzìhuà zhànlüè bàogào?</t>
        </is>
      </c>
      <c r="E460" s="92" t="inlineStr">
        <is>
          <t>459 您能否为我们 提供更多的市 场营销和数字 化战略报告？ Bạn có thể cung cấp cho chúng tôi nhiều báo cáo về chiến lược tiếp thị và số hóa không? Nín néng fǒu wèi wǒmen tígōng gèng duō de shìchǎng yíngxiāo hé shùzìhuà zhànlüè bàogào?</t>
        </is>
      </c>
      <c r="F460" s="114">
        <f>HYPERLINK("https://youglish.com/pronounce/您能否为我们提供更多的市场营销和数字化战略报告/chinese","🔍")</f>
        <v/>
      </c>
    </row>
    <row r="461" ht="42.75" customHeight="1" s="99">
      <c r="A461" s="94" t="inlineStr">
        <is>
          <t>626 ĐPTM.pdf</t>
        </is>
      </c>
      <c r="B461" s="95" t="inlineStr">
        <is>
          <t>460</t>
        </is>
      </c>
      <c r="C461" s="94" t="inlineStr">
        <is>
          <t>我们需要对产品的市场份额和市场占有率进行商议。</t>
        </is>
      </c>
      <c r="D461" s="94" t="inlineStr">
        <is>
          <t>Chúng tôi cần thảo luận về thị phần và tỷ lệ thị phần của sản phẩm. Wǒmen xūyào duì chǎnpǐn de shìchǎng fèn'é hé shìchǎng zhànyǒu lǜ jìnxíng shāngyì.</t>
        </is>
      </c>
      <c r="E461" s="94" t="inlineStr">
        <is>
          <t>460 我们需要对产 品的市场份额 和市场占有率 进行商议。 Chúng tôi cần thảo luận về thị phần và tỷ lệ thị phần của sản phẩm. Wǒmen xūyào duì chǎnpǐn de shìchǎng fèn'é hé shìchǎng zhànyǒu lǜ jìnxíng shāngyì.</t>
        </is>
      </c>
      <c r="F461" s="115">
        <f>HYPERLINK("https://youglish.com/pronounce/我们需要对产品的市场份额和市场占有率进行商议/chinese","🔍")</f>
        <v/>
      </c>
    </row>
    <row r="462" ht="42.75" customHeight="1" s="99">
      <c r="A462" s="92" t="inlineStr">
        <is>
          <t>626 ĐPTM.pdf</t>
        </is>
      </c>
      <c r="B462" s="93" t="inlineStr">
        <is>
          <t>461</t>
        </is>
      </c>
      <c r="C462" s="92" t="inlineStr">
        <is>
          <t>我们需要确认合同的违约责任和赔偿机制。</t>
        </is>
      </c>
      <c r="D462" s="92" t="inlineStr">
        <is>
          <t>Chúng tôi cần xác nhận các điều khoản về trách nhiệm vi phạm hợp đồng và cơ chế bồi thường. Wǒmen xūyào quèrèn hétóng de wéiyuē zérèn hé péicháng jīzhì.</t>
        </is>
      </c>
      <c r="E462" s="92" t="inlineStr">
        <is>
          <t>461 我们需要确认 合同的违约责 任和赔偿机 制。 Chúng tôi cần xác nhận các điều khoản về trách nhiệm vi phạm hợp đồng và cơ chế bồi thường. Wǒmen xūyào quèrèn hétóng de wéiyuē zérèn hé péicháng jīzhì.</t>
        </is>
      </c>
      <c r="F462" s="114">
        <f>HYPERLINK("https://youglish.com/pronounce/我们需要确认合同的违约责任和赔偿机制/chinese","🔍")</f>
        <v/>
      </c>
    </row>
    <row r="463" ht="57" customHeight="1" s="99">
      <c r="A463" s="94" t="inlineStr">
        <is>
          <t>626 ĐPTM.pdf</t>
        </is>
      </c>
      <c r="B463" s="95" t="inlineStr">
        <is>
          <t>462</t>
        </is>
      </c>
      <c r="C463" s="94" t="inlineStr">
        <is>
          <t>您能否为我们提供更多的市场营销和数字化营销策略？</t>
        </is>
      </c>
      <c r="D463" s="94" t="inlineStr">
        <is>
          <t>Bạn có thể cung cấp cho chúng tôi nhiều chiến lược tiếp thị và số hóa không? Nín néng fǒu wèi wǒmen tígōng gèng duō de shìchǎng yíngxiāo hé shùzìhuà yíngxiāo cèlüè?</t>
        </is>
      </c>
      <c r="E463" s="94" t="inlineStr">
        <is>
          <t>462 您能否为我们 提供更多的市 场营销和数字 化营销策略？ Bạn có thể cung cấp cho chúng tôi nhiều chiến lược tiếp thị và số hóa không? Nín néng fǒu wèi wǒmen tígōng gèng duō de shìchǎng yíngxiāo hé shùzìhuà yíngxiāo cèlüè?</t>
        </is>
      </c>
      <c r="F463" s="115">
        <f>HYPERLINK("https://youglish.com/pronounce/您能否为我们提供更多的市场营销和数字化营销策略/chinese","🔍")</f>
        <v/>
      </c>
    </row>
    <row r="464" ht="57" customHeight="1" s="99">
      <c r="A464" s="92" t="inlineStr">
        <is>
          <t>626 ĐPTM.pdf</t>
        </is>
      </c>
      <c r="B464" s="93" t="inlineStr">
        <is>
          <t>463</t>
        </is>
      </c>
      <c r="C464" s="92" t="inlineStr">
        <is>
          <t>我们需要对产品的市场细分和目标群体进行商议。</t>
        </is>
      </c>
      <c r="D464" s="92" t="inlineStr">
        <is>
          <t>Chúng tôi cần thảo luận về việc phân khúc thị trường và nhóm mục tiêu sản phẩm. Wǒmen xūyào duì chǎnpǐn de shìchǎng xì fēn hé mùbiāo qúntǐ jìnxíng shāngyì.</t>
        </is>
      </c>
      <c r="E464" s="92" t="inlineStr">
        <is>
          <t>463 我们需要对产 品的市场细分 和目标群体进 行商议。 Chúng tôi cần thảo luận về việc phân khúc thị trường và nhóm mục tiêu sản phẩm. Wǒmen xūyào duì chǎnpǐn de shìchǎng xì fēn hé mùbiāo qúntǐ jìnxíng shāngyì.</t>
        </is>
      </c>
      <c r="F464" s="114">
        <f>HYPERLINK("https://youglish.com/pronounce/我们需要对产品的市场细分和目标群体进行商议/chinese","🔍")</f>
        <v/>
      </c>
    </row>
    <row r="465" ht="57" customHeight="1" s="99">
      <c r="A465" s="94" t="inlineStr">
        <is>
          <t>626 ĐPTM.pdf</t>
        </is>
      </c>
      <c r="B465" s="95" t="inlineStr">
        <is>
          <t>464</t>
        </is>
      </c>
      <c r="C465" s="94" t="inlineStr">
        <is>
          <t>我们需要确认合同的履行方式和交付方式。</t>
        </is>
      </c>
      <c r="D465" s="94" t="inlineStr">
        <is>
          <t>Chúng tôi cần xác nhận các điều khoản về phương thức thực hiện và cách giao hàng trong hợp đồng. Wǒmen xūyào quèrèn hétóng de lǚxíng fāngshì hé jiāofù fāngshì.</t>
        </is>
      </c>
      <c r="E465" s="94" t="inlineStr">
        <is>
          <t>464 我们需要确认 合同的履行方 式和交付方式。 Chúng tôi cần xác nhận các điều khoản về phương thức thực hiện và cách giao hàng trong hợp đồng. Wǒmen xūyào quèrèn hétóng de lǚxíng fāngshì hé jiāofù fāngshì.</t>
        </is>
      </c>
      <c r="F465" s="115">
        <f>HYPERLINK("https://youglish.com/pronounce/我们需要确认合同的履行方式和交付方式/chinese","🔍")</f>
        <v/>
      </c>
    </row>
    <row r="466" ht="57" customHeight="1" s="99">
      <c r="A466" s="92" t="inlineStr">
        <is>
          <t>626 ĐPTM.pdf</t>
        </is>
      </c>
      <c r="B466" s="93" t="inlineStr">
        <is>
          <t>465</t>
        </is>
      </c>
      <c r="C466" s="92" t="inlineStr">
        <is>
          <t>您能否为我们提供更多的市场营销和数字化营销趋势预测？</t>
        </is>
      </c>
      <c r="D466" s="92" t="inlineStr">
        <is>
          <t>Bạn có thể cung cấp cho chúng tôi nhiều dự báo xu hướng tiếp thị và số hóa không? Nín néng fǒu wèi wǒmen tígōng gèng duō de shìchǎng yíngxiāo hé shùzìhuà yíngxiāo qūshì yùcè?</t>
        </is>
      </c>
      <c r="E466" s="92" t="inlineStr">
        <is>
          <t>465 您能否为我们 提供更多的市 场营销和数字 化营销趋势预 测？ Bạn có thể cung cấp cho chúng tôi nhiều dự báo xu hướng tiếp thị và số hóa không? Nín néng fǒu wèi wǒmen tígōng gèng duō de shìchǎng yíngxiāo hé shùzìhuà yíngxiāo qūshì yùcè?</t>
        </is>
      </c>
      <c r="F466" s="114">
        <f>HYPERLINK("https://youglish.com/pronounce/您能否为我们提供更多的市场营销和数字化营销趋势预测/chinese","🔍")</f>
        <v/>
      </c>
    </row>
    <row r="467" ht="42.75" customHeight="1" s="99">
      <c r="A467" s="94" t="inlineStr">
        <is>
          <t>626 ĐPTM.pdf</t>
        </is>
      </c>
      <c r="B467" s="95" t="inlineStr">
        <is>
          <t>466</t>
        </is>
      </c>
      <c r="C467" s="94" t="inlineStr">
        <is>
          <t>我们需要对产品的品牌声誉和口碑进行商议。</t>
        </is>
      </c>
      <c r="D467" s="94" t="inlineStr">
        <is>
          <t>Chúng tôi cần thảo luận về danh tiếng thương hiệu và tầm ảnh hưởng của sản phẩm. Wǒmen xūyào duì chǎnpǐn de pǐnpái shēngyù hé kǒubēi jìnxíng shāngyì.</t>
        </is>
      </c>
      <c r="E467" s="94" t="inlineStr">
        <is>
          <t>466 我们需要对产 品的品牌声誉 和口碑进行商 议。 Chúng tôi cần thảo luận về danh tiếng thương hiệu và tầm ảnh hưởng của sản phẩm. Wǒmen xūyào duì chǎnpǐn de pǐnpái shēngyù hé kǒubēi jìnxíng shāngyì.</t>
        </is>
      </c>
      <c r="F467" s="115">
        <f>HYPERLINK("https://youglish.com/pronounce/我们需要对产品的品牌声誉和口碑进行商议/chinese","🔍")</f>
        <v/>
      </c>
    </row>
    <row r="468" ht="57" customHeight="1" s="99">
      <c r="A468" s="92" t="inlineStr">
        <is>
          <t>626 ĐPTM.pdf</t>
        </is>
      </c>
      <c r="B468" s="93" t="inlineStr">
        <is>
          <t>467</t>
        </is>
      </c>
      <c r="C468" s="92" t="inlineStr">
        <is>
          <t>我们需要确认合同的知识产权许可和转让条款。</t>
        </is>
      </c>
      <c r="D468" s="92" t="inlineStr">
        <is>
          <t>Chúng tôi cần xác nhận các điều khoản về cấp phép và chuyển nhượng sở hữu trí tuệ trong hợp đồng. Wǒmen xūyào quèrèn hétóng de zhīshì chǎnquán xǔkě hé zhuǎnràng tiáokuǎn.</t>
        </is>
      </c>
      <c r="E468" s="92" t="inlineStr">
        <is>
          <t>467 我们需要确认 合同的知识产 权许可和转让 条款。 Chúng tôi cần xác nhận các điều khoản về cấp phép và chuyển nhượng sở hữu trí tuệ trong hợp đồng. Wǒmen xūyào quèrèn hétóng de zhīshì chǎnquán xǔkě hé zhuǎnràng tiáokuǎn.</t>
        </is>
      </c>
      <c r="F468" s="114">
        <f>HYPERLINK("https://youglish.com/pronounce/我们需要确认合同的知识产权许可和转让条款/chinese","🔍")</f>
        <v/>
      </c>
    </row>
    <row r="469" ht="57" customHeight="1" s="99">
      <c r="A469" s="94" t="inlineStr">
        <is>
          <t>626 ĐPTM.pdf</t>
        </is>
      </c>
      <c r="B469" s="95" t="inlineStr">
        <is>
          <t>468</t>
        </is>
      </c>
      <c r="C469" s="94" t="inlineStr">
        <is>
          <t>您能否为我们提供更多的市场营销和数字化创新趋势分析？</t>
        </is>
      </c>
      <c r="D469" s="94" t="inlineStr">
        <is>
          <t>Bạn có thể cung cấp cho chúng tôi nhiều phân tích xu hướng tiếp thị và số hóa không? Nín néng fǒu wèi wǒmen tígōng gèng duō de shìchǎng yíngxiāo hé shùzìhuà chuàngxīn qūshì fēnxī?</t>
        </is>
      </c>
      <c r="E469" s="94" t="inlineStr">
        <is>
          <t>468 您能否为我们 提供更多的市 场营销和数字 化创新趋势分 析？ Bạn có thể cung cấp cho chúng tôi nhiều phân tích xu hướng tiếp thị và số hóa không? Nín néng fǒu wèi wǒmen tígōng gèng duō de shìchǎng yíngxiāo hé shùzìhuà chuàngxīn qūshì fēnxī?</t>
        </is>
      </c>
      <c r="F469" s="115">
        <f>HYPERLINK("https://youglish.com/pronounce/您能否为我们提供更多的市场营销和数字化创新趋势分析/chinese","🔍")</f>
        <v/>
      </c>
    </row>
    <row r="470" ht="57" customHeight="1" s="99">
      <c r="A470" s="92" t="inlineStr">
        <is>
          <t>626 ĐPTM.pdf</t>
        </is>
      </c>
      <c r="B470" s="93" t="inlineStr">
        <is>
          <t>469</t>
        </is>
      </c>
      <c r="C470" s="92" t="inlineStr">
        <is>
          <t>我们需要对产品的市场竞争力和差异化进行商议。</t>
        </is>
      </c>
      <c r="D470" s="92" t="inlineStr">
        <is>
          <t>Chúng tôi cần thảo luận về sức cạnh tranh và khác biệt của sản phẩm trên thị trường. Wǒmen xūyào duì chǎnpǐn de shìchǎng jìngzhēng lì hé chāyì huà jìnxíng shāngyì.</t>
        </is>
      </c>
      <c r="E470" s="92" t="inlineStr">
        <is>
          <t>469 我们需要对产 品的市场竞争 力和差异化进 行商议。 Chúng tôi cần thảo luận về sức cạnh tranh và khác biệt của sản phẩm trên thị trường. Wǒmen xūyào duì chǎnpǐn de shìchǎng jìngzhēng lì hé chāyì huà jìnxíng shāngyì.</t>
        </is>
      </c>
      <c r="F470" s="114">
        <f>HYPERLINK("https://youglish.com/pronounce/我们需要对产品的市场竞争力和差异化进行商议/chinese","🔍")</f>
        <v/>
      </c>
    </row>
    <row r="471" ht="42.75" customHeight="1" s="99">
      <c r="A471" s="94" t="inlineStr">
        <is>
          <t>626 ĐPTM.pdf</t>
        </is>
      </c>
      <c r="B471" s="95" t="inlineStr">
        <is>
          <t>470</t>
        </is>
      </c>
      <c r="C471" s="94" t="inlineStr">
        <is>
          <t>我们需要确认合同的保密和机密性条款。</t>
        </is>
      </c>
      <c r="D471" s="94" t="inlineStr">
        <is>
          <t>Chúng tôi cần xác nhận các điều khoản về bảo mật và tính bảo mật của hợp đồng. Wǒmen xūyào quèrèn hétóng de bǎomì hé jīmì xìng tiáokuǎn.</t>
        </is>
      </c>
      <c r="E471" s="94" t="inlineStr">
        <is>
          <t>470 我们需要确认 合同的保密和 机密性条款。 Chúng tôi cần xác nhận các điều khoản về bảo mật và tính bảo mật của hợp đồng. Wǒmen xūyào quèrèn hétóng de bǎomì hé jīmì xìng tiáokuǎn.</t>
        </is>
      </c>
      <c r="F471" s="115">
        <f>HYPERLINK("https://youglish.com/pronounce/我们需要确认合同的保密和机密性条款/chinese","🔍")</f>
        <v/>
      </c>
    </row>
    <row r="472" ht="57" customHeight="1" s="99">
      <c r="A472" s="92" t="inlineStr">
        <is>
          <t>626 ĐPTM.pdf</t>
        </is>
      </c>
      <c r="B472" s="93" t="inlineStr">
        <is>
          <t>471</t>
        </is>
      </c>
      <c r="C472" s="92" t="inlineStr">
        <is>
          <t>您能否为我们提供更多的市场营销和数字化营销案例研究？</t>
        </is>
      </c>
      <c r="D472" s="92" t="inlineStr">
        <is>
          <t>Bạn có thể cung cấp cho chúng tôi nhiều nghiên cứu tiếp thị và số hóa không? Nín néng fǒu wèi wǒmen tígōng gèng duō de shìchǎng yíngxiāo hé shùzìhuà yíngxiāo ànlì yánjiū?</t>
        </is>
      </c>
      <c r="E472" s="92" t="inlineStr">
        <is>
          <t>471 您能否为我们 提供更多的市 场营销和数字 化营销案例研 究？ Bạn có thể cung cấp cho chúng tôi nhiều nghiên cứu tiếp thị và số hóa không? Nín néng fǒu wèi wǒmen tígōng gèng duō de shìchǎng yíngxiāo hé shùzìhuà yíngxiāo ànlì yánjiū?</t>
        </is>
      </c>
      <c r="F472" s="114">
        <f>HYPERLINK("https://youglish.com/pronounce/您能否为我们提供更多的市场营销和数字化营销案例研究/chinese","🔍")</f>
        <v/>
      </c>
    </row>
    <row r="473" ht="57" customHeight="1" s="99">
      <c r="A473" s="94" t="inlineStr">
        <is>
          <t>626 ĐPTM.pdf</t>
        </is>
      </c>
      <c r="B473" s="95" t="inlineStr">
        <is>
          <t>472</t>
        </is>
      </c>
      <c r="C473" s="94" t="inlineStr">
        <is>
          <t>我们需要对产品的市场需求和用户画像进行商议。</t>
        </is>
      </c>
      <c r="D473" s="94" t="inlineStr">
        <is>
          <t>Chúng tôi cần thảo luận về nhu cầu thị trường và hồ sơ người dùng của sản phẩm. Wǒmen xūyào duì chǎnpǐn de shìchǎng xūqiú hé yònghù huàxiàng jìnxíng shāngyì.</t>
        </is>
      </c>
      <c r="E473" s="94" t="inlineStr">
        <is>
          <t>472 我们需要对产 品的市场需求 和用户画像进 行商议。 Chúng tôi cần thảo luận về nhu cầu thị trường và hồ sơ người dùng của sản phẩm. Wǒmen xūyào duì chǎnpǐn de shìchǎng xūqiú hé yònghù huàxiàng jìnxíng shāngyì.</t>
        </is>
      </c>
      <c r="F473" s="115">
        <f>HYPERLINK("https://youglish.com/pronounce/我们需要对产品的市场需求和用户画像进行商议/chinese","🔍")</f>
        <v/>
      </c>
    </row>
    <row r="474" ht="42.75" customHeight="1" s="99">
      <c r="A474" s="92" t="inlineStr">
        <is>
          <t>626 ĐPTM.pdf</t>
        </is>
      </c>
      <c r="B474" s="93" t="inlineStr">
        <is>
          <t>473</t>
        </is>
      </c>
      <c r="C474" s="92" t="inlineStr">
        <is>
          <t>我们需要确认合同的风险和责任分担条款。</t>
        </is>
      </c>
      <c r="D474" s="92" t="inlineStr">
        <is>
          <t>Chúng tôi cần xác nhận các điều khoản chia sẻ rủi ro và trách nhiệm trong hợp đồng. Wǒmen xūyào quèrèn hétóng de fēngxiǎn hé zérèn fēndān tiáokuǎn.</t>
        </is>
      </c>
      <c r="E474" s="92" t="inlineStr">
        <is>
          <t>473 我们需要确认 合同的风险和 责任分担条 款。 Chúng tôi cần xác nhận các điều khoản chia sẻ rủi ro và trách nhiệm trong hợp đồng. Wǒmen xūyào quèrèn hétóng de fēngxiǎn hé zérèn fēndān tiáokuǎn.</t>
        </is>
      </c>
      <c r="F474" s="114">
        <f>HYPERLINK("https://youglish.com/pronounce/我们需要确认合同的风险和责任分担条款/chinese","🔍")</f>
        <v/>
      </c>
    </row>
    <row r="475" ht="57" customHeight="1" s="99">
      <c r="A475" s="94" t="inlineStr">
        <is>
          <t>626 ĐPTM.pdf</t>
        </is>
      </c>
      <c r="B475" s="95" t="inlineStr">
        <is>
          <t>474</t>
        </is>
      </c>
      <c r="C475" s="94" t="inlineStr">
        <is>
          <t>您能否为我们提供更多的市场营销和品牌推广策略？</t>
        </is>
      </c>
      <c r="D475" s="94" t="inlineStr">
        <is>
          <t>Bạn có thể cung cấp cho chúng tôi nhiều chiến lược tiếp thị và quảng bá thương hiệu hơn không? Nín néng fǒu wèi wǒmen tígōng gèng duō de shìchǎng yíngxiāo hé pǐnpái tuīguǎng cèlüè?</t>
        </is>
      </c>
      <c r="E475" s="94" t="inlineStr">
        <is>
          <t>474 您能否为我们 提供更多的市 场营销和品牌 推广策略？ Bạn có thể cung cấp cho chúng tôi nhiều chiến lược tiếp thị và quảng bá thương hiệu hơn không? Nín néng fǒu wèi wǒmen tígōng gèng duō de shìchǎng yíngxiāo hé pǐnpái tuīguǎng cèlüè?</t>
        </is>
      </c>
      <c r="F475" s="115">
        <f>HYPERLINK("https://youglish.com/pronounce/您能否为我们提供更多的市场营销和品牌推广策略/chinese","🔍")</f>
        <v/>
      </c>
    </row>
    <row r="476" ht="42.75" customHeight="1" s="99">
      <c r="A476" s="92" t="inlineStr">
        <is>
          <t>626 ĐPTM.pdf</t>
        </is>
      </c>
      <c r="B476" s="93" t="inlineStr">
        <is>
          <t>475</t>
        </is>
      </c>
      <c r="C476" s="92" t="inlineStr">
        <is>
          <t>我们需要对产品的销售预测和销售计划进行商议。</t>
        </is>
      </c>
      <c r="D476" s="92" t="inlineStr">
        <is>
          <t>Chúng tôi cần thảo luận về dự báo và kế hoạch bán hàng của sản phẩm. Wǒmen xūyào duì chǎnpǐn de xiāoshòu yùcè hé xiāoshòu jìhuà jìnxíng shāngyì.</t>
        </is>
      </c>
      <c r="E476" s="92" t="inlineStr">
        <is>
          <t>475 我们需要对产 品的销售预测 和销售计划进 行商议。 Chúng tôi cần thảo luận về dự báo và kế hoạch bán hàng của sản phẩm. Wǒmen xūyào duì chǎnpǐn de xiāoshòu yùcè hé xiāoshòu jìhuà jìnxíng shāngyì.</t>
        </is>
      </c>
      <c r="F476" s="114">
        <f>HYPERLINK("https://youglish.com/pronounce/我们需要对产品的销售预测和销售计划进行商议/chinese","🔍")</f>
        <v/>
      </c>
    </row>
    <row r="477" ht="42.75" customHeight="1" s="99">
      <c r="A477" s="94" t="inlineStr">
        <is>
          <t>626 ĐPTM.pdf</t>
        </is>
      </c>
      <c r="B477" s="95" t="inlineStr">
        <is>
          <t>476</t>
        </is>
      </c>
      <c r="C477" s="94" t="inlineStr">
        <is>
          <t>我们需要确认合同的合同解除和终止条款。</t>
        </is>
      </c>
      <c r="D477" s="94" t="inlineStr">
        <is>
          <t>Chúng tôi cần xác nhận các điều khoản chấm dứt và hủy bỏ hợp đồng. Wǒmen xūyào quèrèn hétóng de hétóng jiěchú hé zhōngzhǐ tiáokuǎn.</t>
        </is>
      </c>
      <c r="E477" s="94" t="inlineStr">
        <is>
          <t>476 我们需要确认 合同的合同解 除和终止条 款。 Chúng tôi cần xác nhận các điều khoản chấm dứt và hủy bỏ hợp đồng. Wǒmen xūyào quèrèn hétóng de hétóng jiěchú hé zhōngzhǐ tiáokuǎn.</t>
        </is>
      </c>
      <c r="F477" s="115">
        <f>HYPERLINK("https://youglish.com/pronounce/我们需要确认合同的合同解除和终止条款/chinese","🔍")</f>
        <v/>
      </c>
    </row>
    <row r="478" ht="57" customHeight="1" s="99">
      <c r="A478" s="92" t="inlineStr">
        <is>
          <t>626 ĐPTM.pdf</t>
        </is>
      </c>
      <c r="B478" s="93" t="inlineStr">
        <is>
          <t>477</t>
        </is>
      </c>
      <c r="C478" s="92" t="inlineStr">
        <is>
          <t>您能否为我们提供更多的市场营销和数字化营销趋势分析报告？</t>
        </is>
      </c>
      <c r="D478" s="92" t="inlineStr">
        <is>
          <t>Bạn có thể cung cấp cho chúng tôi nhiều báo cáo phân tích xu hướng tiếp thị và tiếp thị số không? Nín néng fǒu wèi wǒmen tígōng gèng duō de shìchǎng yíngxiāo hé shùzìhuà yíngxiāo qūshì fēnxī bàogào?</t>
        </is>
      </c>
      <c r="E478" s="92" t="inlineStr">
        <is>
          <t>477 您能否为我们 提供更多的市 场营销和数字 化营销趋势分 析报告？ Bạn có thể cung cấp cho chúng tôi nhiều báo cáo phân tích xu hướng tiếp thị và tiếp thị số không? Nín néng fǒu wèi wǒmen tígōng gèng duō de shìchǎng yíngxiāo hé shùzìhuà yíngxiāo qūshì fēnxī bàogào?</t>
        </is>
      </c>
      <c r="F478" s="114">
        <f>HYPERLINK("https://youglish.com/pronounce/您能否为我们提供更多的市场营销和数字化营销趋势分析报告/chinese","🔍")</f>
        <v/>
      </c>
    </row>
    <row r="479" ht="57" customHeight="1" s="99">
      <c r="A479" s="94" t="inlineStr">
        <is>
          <t>626 ĐPTM.pdf</t>
        </is>
      </c>
      <c r="B479" s="95" t="inlineStr">
        <is>
          <t>478</t>
        </is>
      </c>
      <c r="C479" s="94" t="inlineStr">
        <is>
          <t>我们需要对产品的价格定位和定价策略进行商议。</t>
        </is>
      </c>
      <c r="D479" s="94" t="inlineStr">
        <is>
          <t>Chúng tôi cần thảo luận về vị trí giá cả và chiến lược định giá của sản phẩm. Wǒmen xūyào duì chǎnpǐn de jiàgé dìngwèi hé dìngjià cèlüè jìnxíng shāngyì.</t>
        </is>
      </c>
      <c r="E479" s="94" t="inlineStr">
        <is>
          <t>478 我们需要对产 品的价格定位 和定价策略进 行商议。 Chúng tôi cần thảo luận về vị trí giá cả và chiến lược định giá của sản phẩm. Wǒmen xūyào duì chǎnpǐn de jiàgé dìngwèi hé dìngjià cèlüè jìnxíng shāngyì.</t>
        </is>
      </c>
      <c r="F479" s="115">
        <f>HYPERLINK("https://youglish.com/pronounce/我们需要对产品的价格定位和定价策略进行商议/chinese","🔍")</f>
        <v/>
      </c>
    </row>
    <row r="480" ht="42.75" customHeight="1" s="99">
      <c r="A480" s="92" t="inlineStr">
        <is>
          <t>626 ĐPTM.pdf</t>
        </is>
      </c>
      <c r="B480" s="93" t="inlineStr">
        <is>
          <t>479</t>
        </is>
      </c>
      <c r="C480" s="92" t="inlineStr">
        <is>
          <t>我们需要确认合同的争议解决和仲裁条款。</t>
        </is>
      </c>
      <c r="D480" s="92" t="inlineStr">
        <is>
          <t>Chúng tôi cần xác nhận các điều khoản giải quyết tranh chấp và trọng tài trong hợp đồng. Wǒmen xūyào quèrèn hétóng de zhēngyì jiějué hé zhòngcái tiáokuǎn.</t>
        </is>
      </c>
      <c r="E480" s="92" t="inlineStr">
        <is>
          <t>479 我们需要确认 合同的争议解 决和仲裁条款。 Chúng tôi cần xác nhận các điều khoản giải quyết tranh chấp và trọng tài trong hợp đồng. Wǒmen xūyào quèrèn hétóng de zhēngyì jiějué hé zhòngcái tiáokuǎn.</t>
        </is>
      </c>
      <c r="F480" s="114">
        <f>HYPERLINK("https://youglish.com/pronounce/我们需要确认合同的争议解决和仲裁条款/chinese","🔍")</f>
        <v/>
      </c>
    </row>
    <row r="481" ht="57" customHeight="1" s="99">
      <c r="A481" s="94" t="inlineStr">
        <is>
          <t>626 ĐPTM.pdf</t>
        </is>
      </c>
      <c r="B481" s="95" t="inlineStr">
        <is>
          <t>480</t>
        </is>
      </c>
      <c r="C481" s="94" t="inlineStr">
        <is>
          <t>您能否为我们提供更多的市场营销和数字化转型案例？</t>
        </is>
      </c>
      <c r="D481" s="94" t="inlineStr">
        <is>
          <t>Bạn có thể cung cấp cho chúng tôi nhiều ví dụ về chuyển đổi số và tiếp thị không? Nín néng fǒu wèi wǒmen tígōng gèng duō de shìchǎng yíngxiāo hé shùzìhuà zhuǎnxíng ànlì?</t>
        </is>
      </c>
      <c r="E481" s="94" t="inlineStr">
        <is>
          <t>480 您能否为我们 提供更多的市 场营销和数字 化转型案例？ Bạn có thể cung cấp cho chúng tôi nhiều ví dụ về chuyển đổi số và tiếp thị không? Nín néng fǒu wèi wǒmen tígōng gèng duō de shìchǎng yíngxiāo hé shùzìhuà zhuǎnxíng ànlì?</t>
        </is>
      </c>
      <c r="F481" s="115">
        <f>HYPERLINK("https://youglish.com/pronounce/您能否为我们提供更多的市场营销和数字化转型案例/chinese","🔍")</f>
        <v/>
      </c>
    </row>
    <row r="482" ht="57" customHeight="1" s="99">
      <c r="A482" s="92" t="inlineStr">
        <is>
          <t>626 ĐPTM.pdf</t>
        </is>
      </c>
      <c r="B482" s="93" t="inlineStr">
        <is>
          <t>481</t>
        </is>
      </c>
      <c r="C482" s="92" t="inlineStr">
        <is>
          <t>我们需要对产品的产品定位和产品特色进行商议。</t>
        </is>
      </c>
      <c r="D482" s="92" t="inlineStr">
        <is>
          <t>Chúng tôi cần thảo luận về vị trí sản phẩm và tính năng sản phẩm của sản phẩm. Wǒmen xūyào duì chǎnpǐn de chǎnpǐn dìngwèi hé chǎnpǐn tèsè jìnxíng shāngyì.</t>
        </is>
      </c>
      <c r="E482" s="92" t="inlineStr">
        <is>
          <t>481 我们需要对产 品的产品定位 和产品特色进 行商议。 Chúng tôi cần thảo luận về vị trí sản phẩm và tính năng sản phẩm của sản phẩm. Wǒmen xūyào duì chǎnpǐn de chǎnpǐn dìngwèi hé chǎnpǐn tèsè jìnxíng shāngyì.</t>
        </is>
      </c>
      <c r="F482" s="114">
        <f>HYPERLINK("https://youglish.com/pronounce/我们需要对产品的产品定位和产品特色进行商议/chinese","🔍")</f>
        <v/>
      </c>
    </row>
    <row r="483" ht="42.75" customHeight="1" s="99">
      <c r="A483" s="94" t="inlineStr">
        <is>
          <t>626 ĐPTM.pdf</t>
        </is>
      </c>
      <c r="B483" s="95" t="inlineStr">
        <is>
          <t>482</t>
        </is>
      </c>
      <c r="C483" s="94" t="inlineStr">
        <is>
          <t>我们需要确认合同的保险和赔偿条款。</t>
        </is>
      </c>
      <c r="D483" s="94" t="inlineStr">
        <is>
          <t>Chúng tôi cần xác nhận các điều khoản bảo hiểm và bồi thường trong hợp đồng. Wǒmen xūyào quèrèn hétóng de bǎoxiǎn hé péicháng tiáokuǎn.</t>
        </is>
      </c>
      <c r="E483" s="94" t="inlineStr">
        <is>
          <t>482 我们需要确认 合同的保险和 赔偿条款。 Chúng tôi cần xác nhận các điều khoản bảo hiểm và bồi thường trong hợp đồng. Wǒmen xūyào quèrèn hétóng de bǎoxiǎn hé péicháng tiáokuǎn.</t>
        </is>
      </c>
      <c r="F483" s="115">
        <f>HYPERLINK("https://youglish.com/pronounce/我们需要确认合同的保险和赔偿条款/chinese","🔍")</f>
        <v/>
      </c>
    </row>
    <row r="484" ht="57" customHeight="1" s="99">
      <c r="A484" s="92" t="inlineStr">
        <is>
          <t>626 ĐPTM.pdf</t>
        </is>
      </c>
      <c r="B484" s="93" t="inlineStr">
        <is>
          <t>483</t>
        </is>
      </c>
      <c r="C484" s="92" t="inlineStr">
        <is>
          <t>您能否为我们提供更多的市场营销和品牌管理案例？</t>
        </is>
      </c>
      <c r="D484" s="92" t="inlineStr">
        <is>
          <t>Bạn có thể cung cấp cho chúng tôi nhiều ví dụ về quản lý thương hiệu và tiếp thị không? Nín néng fǒu wèi wǒmen tígōng gèng duō de shìchǎng yíngxiāo hé pǐnpái guǎnlǐ ànlì?</t>
        </is>
      </c>
      <c r="E484" s="92" t="inlineStr">
        <is>
          <t>483 您能否为我们 提供更多的市 场营销和品牌 管理案例？ Bạn có thể cung cấp cho chúng tôi nhiều ví dụ về quản lý thương hiệu và tiếp thị không? Nín néng fǒu wèi wǒmen tígōng gèng duō de shìchǎng yíngxiāo hé pǐnpái guǎnlǐ ànlì?</t>
        </is>
      </c>
      <c r="F484" s="114">
        <f>HYPERLINK("https://youglish.com/pronounce/您能否为我们提供更多的市场营销和品牌管理案例/chinese","🔍")</f>
        <v/>
      </c>
    </row>
    <row r="485" ht="57" customHeight="1" s="99">
      <c r="A485" s="94" t="inlineStr">
        <is>
          <t>626 ĐPTM.pdf</t>
        </is>
      </c>
      <c r="B485" s="95" t="inlineStr">
        <is>
          <t>484</t>
        </is>
      </c>
      <c r="C485" s="94" t="inlineStr">
        <is>
          <t>我们需要对产品的市场反馈和用户评价进行商议。</t>
        </is>
      </c>
      <c r="D485" s="94" t="inlineStr">
        <is>
          <t>Chúng tôi cần thảo luận về phản hồi thị trường và đánh giá người dùng của sản phẩm. Wǒmen xūyào duì chǎnpǐn de shìchǎng fǎnkuì hé yònghù píngjià jìnxíng shāngyì.</t>
        </is>
      </c>
      <c r="E485" s="94" t="inlineStr">
        <is>
          <t>484 我们需要对产 品的市场反馈 和用户评价进 行商议。 Chúng tôi cần thảo luận về phản hồi thị trường và đánh giá người dùng của sản phẩm. Wǒmen xūyào duì chǎnpǐn de shìchǎng fǎnkuì hé yònghù píngjià jìnxíng shāngyì.</t>
        </is>
      </c>
      <c r="F485" s="115">
        <f>HYPERLINK("https://youglish.com/pronounce/我们需要对产品的市场反馈和用户评价进行商议/chinese","🔍")</f>
        <v/>
      </c>
    </row>
    <row r="486" ht="42.75" customHeight="1" s="99">
      <c r="A486" s="92" t="inlineStr">
        <is>
          <t>626 ĐPTM.pdf</t>
        </is>
      </c>
      <c r="B486" s="93" t="inlineStr">
        <is>
          <t>485</t>
        </is>
      </c>
      <c r="C486" s="92" t="inlineStr">
        <is>
          <t>我们需要确认合同的违约和索赔条款。</t>
        </is>
      </c>
      <c r="D486" s="92" t="inlineStr">
        <is>
          <t>Chúng tôi cần xác nhận các điều khoản vi phạm và yêu cầu bồi thường trong hợp đồng. Wǒmen xūyào quèrèn hétóng de wéiyuē hé suǒpéi tiáokuǎn.</t>
        </is>
      </c>
      <c r="E486" s="92" t="inlineStr">
        <is>
          <t>485 我们需要确认 合同的违约和 索赔条款。 Chúng tôi cần xác nhận các điều khoản vi phạm và yêu cầu bồi thường trong hợp đồng. Wǒmen xūyào quèrèn hétóng de wéiyuē hé suǒpéi tiáokuǎn.</t>
        </is>
      </c>
      <c r="F486" s="114">
        <f>HYPERLINK("https://youglish.com/pronounce/我们需要确认合同的违约和索赔条款/chinese","🔍")</f>
        <v/>
      </c>
    </row>
    <row r="487" ht="57" customHeight="1" s="99">
      <c r="A487" s="94" t="inlineStr">
        <is>
          <t>626 ĐPTM.pdf</t>
        </is>
      </c>
      <c r="B487" s="95" t="inlineStr">
        <is>
          <t>486</t>
        </is>
      </c>
      <c r="C487" s="94" t="inlineStr">
        <is>
          <t>您能否为我们提供更多的市场营销和数字化营销创新案例？</t>
        </is>
      </c>
      <c r="D487" s="94" t="inlineStr">
        <is>
          <t>Bạn có thể cung cấp cho chúng tôi nhiều ví dụ về sáng kiến tiếp thị số và tiếp thị không không? Nín néng fǒu wèi wǒmen tígōng gèng duō de shìchǎng yíngxiāo hé shùzìhuà yíngxiāo chuàngxīn ànlì?</t>
        </is>
      </c>
      <c r="E487" s="94" t="inlineStr">
        <is>
          <t>486 您能否为我们 提供更多的市 场营销和数字 化营销创新案 例？ Bạn có thể cung cấp cho chúng tôi nhiều ví dụ về sáng kiến tiếp thị số và tiếp thị không không? Nín néng fǒu wèi wǒmen tígōng gèng duō de shìchǎng yíngxiāo hé shùzìhuà yíngxiāo chuàngxīn ànlì?</t>
        </is>
      </c>
      <c r="F487" s="115">
        <f>HYPERLINK("https://youglish.com/pronounce/您能否为我们提供更多的市场营销和数字化营销创新案例/chinese","🔍")</f>
        <v/>
      </c>
    </row>
    <row r="488" ht="42.75" customHeight="1" s="99">
      <c r="A488" s="92" t="inlineStr">
        <is>
          <t>626 ĐPTM.pdf</t>
        </is>
      </c>
      <c r="B488" s="93" t="inlineStr">
        <is>
          <t>487</t>
        </is>
      </c>
      <c r="C488" s="92" t="inlineStr">
        <is>
          <t>我们需要对产品的市场营销策略和计划进行商议。</t>
        </is>
      </c>
      <c r="D488" s="92" t="inlineStr">
        <is>
          <t>Chúng tôi cần thảo luận về chiến lược và kế hoạch tiếp thị của sản phẩm. Wǒmen xūyào duì chǎnpǐn de shìchǎng yíngxiāo cèlüè hé jìhuà jìnxíng shāngyì.</t>
        </is>
      </c>
      <c r="E488" s="92" t="inlineStr">
        <is>
          <t>487 我们需要对产 品的市场营销 策略和计划进 行商议。 Chúng tôi cần thảo luận về chiến lược và kế hoạch tiếp thị của sản phẩm. Wǒmen xūyào duì chǎnpǐn de shìchǎng yíngxiāo cèlüè hé jìhuà jìnxíng shāngyì.</t>
        </is>
      </c>
      <c r="F488" s="114">
        <f>HYPERLINK("https://youglish.com/pronounce/我们需要对产品的市场营销策略和计划进行商议/chinese","🔍")</f>
        <v/>
      </c>
    </row>
    <row r="489" ht="57" customHeight="1" s="99">
      <c r="A489" s="94" t="inlineStr">
        <is>
          <t>626 ĐPTM.pdf</t>
        </is>
      </c>
      <c r="B489" s="95" t="inlineStr">
        <is>
          <t>488</t>
        </is>
      </c>
      <c r="C489" s="94" t="inlineStr">
        <is>
          <t>我们需要确认合同的知识产权维护和诉讼条款。</t>
        </is>
      </c>
      <c r="D489" s="94" t="inlineStr">
        <is>
          <t>Chúng tôi cần xác nhận các điều khoản bảo vệ quyền sở hữu trí tuệ và kiện tụng trong hợp đồng. Wǒmen xūyào quèrèn hétóng de zhīshì chǎnquán wéihù hé sùsòng tiáokuǎn.</t>
        </is>
      </c>
      <c r="E489" s="94" t="inlineStr">
        <is>
          <t>488 我们需要确认 合同的知识产 权维护和诉讼 条款。 Chúng tôi cần xác nhận các điều khoản bảo vệ quyền sở hữu trí tuệ và kiện tụng trong hợp đồng. Wǒmen xūyào quèrèn hétóng de zhīshì chǎnquán wéihù hé sùsòng tiáokuǎn.</t>
        </is>
      </c>
      <c r="F489" s="115">
        <f>HYPERLINK("https://youglish.com/pronounce/我们需要确认合同的知识产权维护和诉讼条款/chinese","🔍")</f>
        <v/>
      </c>
    </row>
    <row r="490" ht="71.25" customHeight="1" s="99">
      <c r="A490" s="92" t="inlineStr">
        <is>
          <t>626 ĐPTM.pdf</t>
        </is>
      </c>
      <c r="B490" s="93" t="inlineStr">
        <is>
          <t>489</t>
        </is>
      </c>
      <c r="C490" s="92" t="inlineStr">
        <is>
          <t>您能否为我们提供更多的市场营销和数字化品牌建设案例研究？</t>
        </is>
      </c>
      <c r="D490" s="92" t="inlineStr">
        <is>
          <t>Bạn có thể cung cấp cho chúng tôi nhiều ví dụ nghiên cứu về xây dựng thương hiệu số và tiếp thị không không? Nín néng fǒu wèi wǒmen tígōng gèng duō de shìchǎng yíngxiāo hé shùzìhuà pǐnpái jiànshè ànlì yánjiū?</t>
        </is>
      </c>
      <c r="E490" s="92" t="inlineStr">
        <is>
          <t>489 您能否为我们 提供更多的市 场营销和数字 化品牌建设案 例研究？ Bạn có thể cung cấp cho chúng tôi nhiều ví dụ nghiên cứu về xây dựng thương hiệu số và tiếp thị không không? Nín néng fǒu wèi wǒmen tígōng gèng duō de shìchǎng yíngxiāo hé shùzìhuà pǐnpái jiànshè ànlì yánjiū?</t>
        </is>
      </c>
      <c r="F490" s="114">
        <f>HYPERLINK("https://youglish.com/pronounce/您能否为我们提供更多的市场营销和数字化品牌建设案例研究/chinese","🔍")</f>
        <v/>
      </c>
    </row>
    <row r="491" ht="57" customHeight="1" s="99">
      <c r="A491" s="94" t="inlineStr">
        <is>
          <t>626 ĐPTM.pdf</t>
        </is>
      </c>
      <c r="B491" s="95" t="inlineStr">
        <is>
          <t>490</t>
        </is>
      </c>
      <c r="C491" s="94" t="inlineStr">
        <is>
          <t>我们需要对产品的市场竞争和差异化进行商议。</t>
        </is>
      </c>
      <c r="D491" s="94" t="inlineStr">
        <is>
          <t>Chúng tôi cần thảo luận về đối thủ cạnh tranh và tính khác biệt trên thị trường của sản phẩm. Wǒmen xūyào duì chǎnpǐn de shìchǎng jìngzhēng hé chāyì huà jìnxíng shāngyì.</t>
        </is>
      </c>
      <c r="E491" s="94" t="inlineStr">
        <is>
          <t>490 我们需要对产 品的市场竞争 和差异化进行 商议。 Chúng tôi cần thảo luận về đối thủ cạnh tranh và tính khác biệt trên thị trường của sản phẩm. Wǒmen xūyào duì chǎnpǐn de shìchǎng jìngzhēng hé chāyì huà jìnxíng shāngyì.</t>
        </is>
      </c>
      <c r="F491" s="115">
        <f>HYPERLINK("https://youglish.com/pronounce/我们需要对产品的市场竞争和差异化进行商议/chinese","🔍")</f>
        <v/>
      </c>
    </row>
    <row r="492" ht="42.75" customHeight="1" s="99">
      <c r="A492" s="92" t="inlineStr">
        <is>
          <t>626 ĐPTM.pdf</t>
        </is>
      </c>
      <c r="B492" s="93" t="inlineStr">
        <is>
          <t>491</t>
        </is>
      </c>
      <c r="C492" s="92" t="inlineStr">
        <is>
          <t>我们需要确认合同的法律适用和管辖条款。</t>
        </is>
      </c>
      <c r="D492" s="92" t="inlineStr">
        <is>
          <t>Chúng tôi cần xác nhận các điều khoản về pháp luật áp dụng và quản lý trong hợp đồng. Wǒmen xūyào quèrèn hétóng de fǎlǜ shìyòng hé guǎnxiá tiáokuǎn.</t>
        </is>
      </c>
      <c r="E492" s="92" t="inlineStr">
        <is>
          <t>491 我们需要确认 合同的法律适 用和管辖条 款。 Chúng tôi cần xác nhận các điều khoản về pháp luật áp dụng và quản lý trong hợp đồng. Wǒmen xūyào quèrèn hétóng de fǎlǜ shìyòng hé guǎnxiá tiáokuǎn.</t>
        </is>
      </c>
      <c r="F492" s="114">
        <f>HYPERLINK("https://youglish.com/pronounce/我们需要确认合同的法律适用和管辖条款/chinese","🔍")</f>
        <v/>
      </c>
    </row>
    <row r="493" ht="57" customHeight="1" s="99">
      <c r="A493" s="94" t="inlineStr">
        <is>
          <t>626 ĐPTM.pdf</t>
        </is>
      </c>
      <c r="B493" s="95" t="inlineStr">
        <is>
          <t>492</t>
        </is>
      </c>
      <c r="C493" s="94" t="inlineStr">
        <is>
          <t>您能否为我们提供更多的市场营销和数字化战略研究报告？</t>
        </is>
      </c>
      <c r="D493" s="94" t="inlineStr">
        <is>
          <t>Liệu bạn có thể cung cấp cho chúng tôi thêm báo cáo nghiên cứu về chiến lược tiếp thị và kỹ thuật số? Nín néng fǒu wèi wǒmen tígōng gèng duō de shìchǎng yíngxiāo hé shùzìhuà zhànlüè yán jiù bàogào?</t>
        </is>
      </c>
      <c r="E493" s="94" t="inlineStr">
        <is>
          <t>492 您能否为我们 提供更多的市 场营销和数字 化战略研究报 告？ Liệu bạn có thể cung cấp cho chúng tôi thêm báo cáo nghiên cứu về chiến lược tiếp thị và kỹ thuật số? Nín néng fǒu wèi wǒmen tígōng gèng duō de shìchǎng yíngxiāo hé shùzìhuà zhànlüè yán jiù bàogào?</t>
        </is>
      </c>
      <c r="F493" s="115">
        <f>HYPERLINK("https://youglish.com/pronounce/您能否为我们提供更多的市场营销和数字化战略研究报告/chinese","🔍")</f>
        <v/>
      </c>
    </row>
    <row r="494" ht="42.75" customHeight="1" s="99">
      <c r="A494" s="92" t="inlineStr">
        <is>
          <t>626 ĐPTM.pdf</t>
        </is>
      </c>
      <c r="B494" s="93" t="inlineStr">
        <is>
          <t>493</t>
        </is>
      </c>
      <c r="C494" s="92" t="inlineStr">
        <is>
          <t>我们需要对产品的市场发展和趋势进行商议。</t>
        </is>
      </c>
      <c r="D494" s="92" t="inlineStr">
        <is>
          <t>Chúng tôi cần thảo luận về sự phát triển và xu hướng thị trường của sản phẩm. Wǒmen xūyào duì chǎnpǐn de shìchǎng fāzhǎn hé qūshì jìnxíng shāngyì.</t>
        </is>
      </c>
      <c r="E494" s="92" t="inlineStr">
        <is>
          <t>493 我们需要对产 品的市场发展 和趋势进行商 议。 Chúng tôi cần thảo luận về sự phát triển và xu hướng thị trường của sản phẩm. Wǒmen xūyào duì chǎnpǐn de shìchǎng fāzhǎn hé qūshì jìnxíng shāngyì.</t>
        </is>
      </c>
      <c r="F494" s="114">
        <f>HYPERLINK("https://youglish.com/pronounce/我们需要对产品的市场发展和趋势进行商议/chinese","🔍")</f>
        <v/>
      </c>
    </row>
    <row r="495" ht="57" customHeight="1" s="99">
      <c r="A495" s="94" t="inlineStr">
        <is>
          <t>626 ĐPTM.pdf</t>
        </is>
      </c>
      <c r="B495" s="95" t="inlineStr">
        <is>
          <t>494</t>
        </is>
      </c>
      <c r="C495" s="94" t="inlineStr">
        <is>
          <t>我们需要确认合同的不可抗力和免责条款。</t>
        </is>
      </c>
      <c r="D495" s="94" t="inlineStr">
        <is>
          <t>Chúng tôi cần xác nhận các điều khoản về sự không thể khắc phục và miễn trừ trách nhiệm trong hợp đồng. Wǒmen xūyào quèrèn hétóng de bùkěkànglì hé miǎnzé tiáokuǎn.</t>
        </is>
      </c>
      <c r="E495" s="94" t="inlineStr">
        <is>
          <t>494 我们需要确认 合同的不可抗 力和免责条 款。 Chúng tôi cần xác nhận các điều khoản về sự không thể khắc phục và miễn trừ trách nhiệm trong hợp đồng. Wǒmen xūyào quèrèn hétóng de bùkěkànglì hé miǎnzé tiáokuǎn.</t>
        </is>
      </c>
      <c r="F495" s="115">
        <f>HYPERLINK("https://youglish.com/pronounce/我们需要确认合同的不可抗力和免责条款/chinese","🔍")</f>
        <v/>
      </c>
    </row>
    <row r="496" ht="57" customHeight="1" s="99">
      <c r="A496" s="92" t="inlineStr">
        <is>
          <t>626 ĐPTM.pdf</t>
        </is>
      </c>
      <c r="B496" s="93" t="inlineStr">
        <is>
          <t>495</t>
        </is>
      </c>
      <c r="C496" s="92" t="inlineStr">
        <is>
          <t>您能否为我们提供更多的市场营销和品牌推广案例分析？</t>
        </is>
      </c>
      <c r="D496" s="92" t="inlineStr">
        <is>
          <t>Liệu bạn có thể cung cấp cho chúng tôi thêm phân tích về chiến lược quảng cáo và thương hiệu kỹ thuật số? Nín néng fǒu wèi wǒmen tígōng gèng duō de shìchǎng yíngxiāo hé pǐnpái tuīguǎng ànlì fēnxī?</t>
        </is>
      </c>
      <c r="E496" s="92" t="inlineStr">
        <is>
          <t>495 您能否为我们 提供更多的市 场营销和品牌 推广案例分 析？ Liệu bạn có thể cung cấp cho chúng tôi thêm phân tích về chiến lược quảng cáo và thương hiệu kỹ thuật số? Nín néng fǒu wèi wǒmen tígōng gèng duō de shìchǎng yíngxiāo hé pǐnpái tuīguǎng ànlì fēnxī?</t>
        </is>
      </c>
      <c r="F496" s="114">
        <f>HYPERLINK("https://youglish.com/pronounce/您能否为我们提供更多的市场营销和品牌推广案例分析/chinese","🔍")</f>
        <v/>
      </c>
    </row>
    <row r="497" ht="57" customHeight="1" s="99">
      <c r="A497" s="94" t="inlineStr">
        <is>
          <t>626 ĐPTM.pdf</t>
        </is>
      </c>
      <c r="B497" s="95" t="inlineStr">
        <is>
          <t>496</t>
        </is>
      </c>
      <c r="C497" s="94" t="inlineStr">
        <is>
          <t>我们需要对产品的市场份额和增长潜力进行商议。</t>
        </is>
      </c>
      <c r="D497" s="94" t="inlineStr">
        <is>
          <t>Chúng tôi cần thảo luận về thị phần và tiềm năng tăng trưởng của sản phẩm. Wǒmen xūyào duì chǎnpǐn de shìchǎng fèn'é hé zēngzhǎng qiánlì jìnxíng shāngyì.</t>
        </is>
      </c>
      <c r="E497" s="94" t="inlineStr">
        <is>
          <t>496 我们需要对产 品的市场份额 和增长潜力进 行商议。 Chúng tôi cần thảo luận về thị phần và tiềm năng tăng trưởng của sản phẩm. Wǒmen xūyào duì chǎnpǐn de shìchǎng fèn'é hé zēngzhǎng qiánlì jìnxíng shāngyì.</t>
        </is>
      </c>
      <c r="F497" s="115">
        <f>HYPERLINK("https://youglish.com/pronounce/我们需要对产品的市场份额和增长潜力进行商议/chinese","🔍")</f>
        <v/>
      </c>
    </row>
    <row r="498" ht="42.75" customHeight="1" s="99">
      <c r="A498" s="92" t="inlineStr">
        <is>
          <t>626 ĐPTM.pdf</t>
        </is>
      </c>
      <c r="B498" s="93" t="inlineStr">
        <is>
          <t>497</t>
        </is>
      </c>
      <c r="C498" s="92" t="inlineStr">
        <is>
          <t>我们需要确认合同的保证金和支付条款。</t>
        </is>
      </c>
      <c r="D498" s="92" t="inlineStr">
        <is>
          <t>Chúng tôi cần xác nhận các điều khoản về tiền đặt cọc và thanh toán trong hợp đồng. Wǒmen xūyào quèrèn hétóng de bǎozhèngjīn hé zhīfù tiáokuǎn.</t>
        </is>
      </c>
      <c r="E498" s="92" t="inlineStr">
        <is>
          <t>497 我们需要确认 合同的保证金 和支付条款。 Chúng tôi cần xác nhận các điều khoản về tiền đặt cọc và thanh toán trong hợp đồng. Wǒmen xūyào quèrèn hétóng de bǎozhèngjīn hé zhīfù tiáokuǎn.</t>
        </is>
      </c>
      <c r="F498" s="114">
        <f>HYPERLINK("https://youglish.com/pronounce/我们需要确认合同的保证金和支付条款/chinese","🔍")</f>
        <v/>
      </c>
    </row>
    <row r="499" ht="57" customHeight="1" s="99">
      <c r="A499" s="94" t="inlineStr">
        <is>
          <t>626 ĐPTM.pdf</t>
        </is>
      </c>
      <c r="B499" s="95" t="inlineStr">
        <is>
          <t>498</t>
        </is>
      </c>
      <c r="C499" s="94" t="inlineStr">
        <is>
          <t>您能否为我们提供更多的市场营销和数字化营销趋势分析报告？</t>
        </is>
      </c>
      <c r="D499" s="94" t="inlineStr">
        <is>
          <t>Liệu bạn có thể cung cấp cho chúng tôi thêm báo cáo phân tích về xu hướng tiếp thị và kỹ thuật số? Nín néng fǒu wèi wǒmen tígōng gèng duō de shìchǎng yíngxiāo hé shùzìhuà yíngxiāo qūshì fēnxī bàogào?</t>
        </is>
      </c>
      <c r="E499" s="94" t="inlineStr">
        <is>
          <t>498 您能否为我们 提供更多的市 场营销和数字 化营销趋势分 析报告？ Liệu bạn có thể cung cấp cho chúng tôi thêm báo cáo phân tích về xu hướng tiếp thị và kỹ thuật số? Nín néng fǒu wèi wǒmen tígōng gèng duō de shìchǎng yíngxiāo hé shùzìhuà yíngxiāo qūshì fēnxī bàogào?</t>
        </is>
      </c>
      <c r="F499" s="115">
        <f>HYPERLINK("https://youglish.com/pronounce/您能否为我们提供更多的市场营销和数字化营销趋势分析报告/chinese","🔍")</f>
        <v/>
      </c>
    </row>
    <row r="500" ht="42.75" customHeight="1" s="99">
      <c r="A500" s="92" t="inlineStr">
        <is>
          <t>626 ĐPTM.pdf</t>
        </is>
      </c>
      <c r="B500" s="93" t="inlineStr">
        <is>
          <t>499</t>
        </is>
      </c>
      <c r="C500" s="92" t="inlineStr">
        <is>
          <t>我们需要对产品的营销效果和ROI进行商议。</t>
        </is>
      </c>
      <c r="D500" s="92" t="inlineStr">
        <is>
          <t>Chúng tôi cần thảo luận về hiệu quả tiếp thị và ROI của sản phẩm. Wǒmen xūyào duì chǎnpǐn de yíngxiāo xiàoguǒ hé ROI jìnxíng shāngyì.</t>
        </is>
      </c>
      <c r="E500" s="92" t="inlineStr">
        <is>
          <t>499 我们需要对产 品的营销效果 和ROI进行商 议。 Chúng tôi cần thảo luận về hiệu quả tiếp thị và ROI của sản phẩm. Wǒmen xūyào duì chǎnpǐn de yíngxiāo xiàoguǒ hé ROI jìnxíng shāngyì.</t>
        </is>
      </c>
      <c r="F500" s="114">
        <f>HYPERLINK("https://youglish.com/pronounce/我们需要对产品的营销效果和进行商议/chinese","🔍")</f>
        <v/>
      </c>
    </row>
    <row r="501" ht="42.75" customHeight="1" s="99">
      <c r="A501" s="94" t="inlineStr">
        <is>
          <t>626 ĐPTM.pdf</t>
        </is>
      </c>
      <c r="B501" s="95" t="inlineStr">
        <is>
          <t>500</t>
        </is>
      </c>
      <c r="C501" s="94" t="inlineStr">
        <is>
          <t>我们需要确认合同的合同期限和续约条款。</t>
        </is>
      </c>
      <c r="D501" s="94" t="inlineStr">
        <is>
          <t>Chúng tôi cần xác nhận các điều khoản về thời hạn hợp đồng và điều kiện gia hạn. Wǒmen xūyào quèrèn hétóng de hétóng qíxiàn hé xù yuē tiáokuǎn.</t>
        </is>
      </c>
      <c r="E501" s="94" t="inlineStr">
        <is>
          <t>500 我们需要确认 合同的合同期 限和续约条 款。 Chúng tôi cần xác nhận các điều khoản về thời hạn hợp đồng và điều kiện gia hạn. Wǒmen xūyào quèrèn hétóng de hétóng qíxiàn hé xù yuē tiáokuǎn.</t>
        </is>
      </c>
      <c r="F501" s="115">
        <f>HYPERLINK("https://youglish.com/pronounce/我们需要确认合同的合同期限和续约条款/chinese","🔍")</f>
        <v/>
      </c>
    </row>
    <row r="502" ht="57" customHeight="1" s="99">
      <c r="A502" s="92" t="inlineStr">
        <is>
          <t>626 ĐPTM.pdf</t>
        </is>
      </c>
      <c r="B502" s="93" t="inlineStr">
        <is>
          <t>501</t>
        </is>
      </c>
      <c r="C502" s="92" t="inlineStr">
        <is>
          <t>您能否为我们提供更多的市场营销和数字化品牌管理案例？</t>
        </is>
      </c>
      <c r="D502" s="92" t="inlineStr">
        <is>
          <t>Liệu bạn có thể cung cấp cho chúng tôi thêm các trường hợp nghiên cứu về quản lý thương hiệu và kỹ thuật số? Nín néng fǒu wèi wǒmen tígōng gèng duō de shìchǎng yíngxiāo hé shùzìhuà pǐnpái guǎnlǐ ànlì?</t>
        </is>
      </c>
      <c r="E502" s="92" t="inlineStr">
        <is>
          <t>501 您能否为我们 提供更多的市 场营销和数字 化品牌管理案 例？ Liệu bạn có thể cung cấp cho chúng tôi thêm các trường hợp nghiên cứu về quản lý thương hiệu và kỹ thuật số? Nín néng fǒu wèi wǒmen tígōng gèng duō de shìchǎng yíngxiāo hé shùzìhuà pǐnpái guǎnlǐ ànlì?</t>
        </is>
      </c>
      <c r="F502" s="114">
        <f>HYPERLINK("https://youglish.com/pronounce/您能否为我们提供更多的市场营销和数字化品牌管理案例/chinese","🔍")</f>
        <v/>
      </c>
    </row>
    <row r="503" ht="57" customHeight="1" s="99">
      <c r="A503" s="94" t="inlineStr">
        <is>
          <t>626 ĐPTM.pdf</t>
        </is>
      </c>
      <c r="B503" s="95" t="inlineStr">
        <is>
          <t>502</t>
        </is>
      </c>
      <c r="C503" s="94" t="inlineStr">
        <is>
          <t>我们需要对产品的市场推广和广告投放进行商议。</t>
        </is>
      </c>
      <c r="D503" s="94" t="inlineStr">
        <is>
          <t>Chúng tôi cần thảo luận về việc quảng bá sản phẩm và chiến lược quảng cáo. Wǒmen xūyào duì chǎnpǐn de shìchǎng tuīguǎng hé guǎnggào tóufàng jìnxíng shāngyì.</t>
        </is>
      </c>
      <c r="E503" s="94" t="inlineStr">
        <is>
          <t>502 我们需要对产 品的市场推广 和广告投放进 行商议。 Chúng tôi cần thảo luận về việc quảng bá sản phẩm và chiến lược quảng cáo. Wǒmen xūyào duì chǎnpǐn de shìchǎng tuīguǎng hé guǎnggào tóufàng jìnxíng shāngyì.</t>
        </is>
      </c>
      <c r="F503" s="115">
        <f>HYPERLINK("https://youglish.com/pronounce/我们需要对产品的市场推广和广告投放进行商议/chinese","🔍")</f>
        <v/>
      </c>
    </row>
    <row r="504" ht="42.75" customHeight="1" s="99">
      <c r="A504" s="92" t="inlineStr">
        <is>
          <t>626 ĐPTM.pdf</t>
        </is>
      </c>
      <c r="B504" s="93" t="inlineStr">
        <is>
          <t>503</t>
        </is>
      </c>
      <c r="C504" s="92" t="inlineStr">
        <is>
          <t>我们需要确认合同的保密和保护条款。</t>
        </is>
      </c>
      <c r="D504" s="92" t="inlineStr">
        <is>
          <t>Chúng tôi cần xác nhận các điều khoản về bảo mật và bảo vệ thông tin trong hợp đồng. Wǒmen xūyào quèrèn hétóng de bǎomì hé bǎohù tiáokuǎn.</t>
        </is>
      </c>
      <c r="E504" s="92" t="inlineStr">
        <is>
          <t>503 我们需要确认 合同的保密和 保护条款。 Chúng tôi cần xác nhận các điều khoản về bảo mật và bảo vệ thông tin trong hợp đồng. Wǒmen xūyào quèrèn hétóng de bǎomì hé bǎohù tiáokuǎn.</t>
        </is>
      </c>
      <c r="F504" s="114">
        <f>HYPERLINK("https://youglish.com/pronounce/我们需要确认合同的保密和保护条款/chinese","🔍")</f>
        <v/>
      </c>
    </row>
    <row r="505" ht="71.25" customHeight="1" s="99">
      <c r="A505" s="94" t="inlineStr">
        <is>
          <t>626 ĐPTM.pdf</t>
        </is>
      </c>
      <c r="B505" s="95" t="inlineStr">
        <is>
          <t>504</t>
        </is>
      </c>
      <c r="C505" s="94" t="inlineStr">
        <is>
          <t>您能否为我们提供更多的市场营销和数字化转型趋势分析报告？</t>
        </is>
      </c>
      <c r="D505" s="94" t="inlineStr">
        <is>
          <t>Liệu bạn có thể cung cấp cho chúng tôi thêm báo cáo phân tích về xu hướng chuyển đổi kỹ thuật số và tiếp thị? Nín néng fǒu wèi wǒmen tígōng gèng duō de shìchǎng yíngxiāo hé shùzìhuà zhuǎnxíng qūshì fēnxī bàogào?</t>
        </is>
      </c>
      <c r="E505" s="94" t="inlineStr">
        <is>
          <t>504 您能否为我们 提供更多的市 场营销和数字 化转型趋势分 析报告？ Liệu bạn có thể cung cấp cho chúng tôi thêm báo cáo phân tích về xu hướng chuyển đổi kỹ thuật số và tiếp thị? Nín néng fǒu wèi wǒmen tígōng gèng duō de shìchǎng yíngxiāo hé shùzìhuà zhuǎnxíng qūshì fēnxī bàogào?</t>
        </is>
      </c>
      <c r="F505" s="115">
        <f>HYPERLINK("https://youglish.com/pronounce/您能否为我们提供更多的市场营销和数字化转型趋势分析报告/chinese","🔍")</f>
        <v/>
      </c>
    </row>
    <row r="506" ht="57" customHeight="1" s="99">
      <c r="A506" s="92" t="inlineStr">
        <is>
          <t>626 ĐPTM.pdf</t>
        </is>
      </c>
      <c r="B506" s="93" t="inlineStr">
        <is>
          <t>505</t>
        </is>
      </c>
      <c r="C506" s="92" t="inlineStr">
        <is>
          <t>我们需要对产品的售后服务和客户体验进行商议。</t>
        </is>
      </c>
      <c r="D506" s="92" t="inlineStr">
        <is>
          <t>Chúng tôi cần thảo luận về dịch vụ hậu mãi và trải nghiệm khách hàng của sản phẩm. Wǒmen xūyào duì chǎnpǐn de shòuhòu fúwù hé kèhù tǐyàn jìnxíng shāngyì.</t>
        </is>
      </c>
      <c r="E506" s="92" t="inlineStr">
        <is>
          <t>505 我们需要对产 品的售后服务 和客户体验进 行商议。 Chúng tôi cần thảo luận về dịch vụ hậu mãi và trải nghiệm khách hàng của sản phẩm. Wǒmen xūyào duì chǎnpǐn de shòuhòu fúwù hé kèhù tǐyàn jìnxíng shāngyì.</t>
        </is>
      </c>
      <c r="F506" s="114">
        <f>HYPERLINK("https://youglish.com/pronounce/我们需要对产品的售后服务和客户体验进行商议/chinese","🔍")</f>
        <v/>
      </c>
    </row>
    <row r="507" ht="57" customHeight="1" s="99">
      <c r="A507" s="94" t="inlineStr">
        <is>
          <t>626 ĐPTM.pdf</t>
        </is>
      </c>
      <c r="B507" s="95" t="inlineStr">
        <is>
          <t>506</t>
        </is>
      </c>
      <c r="C507" s="94" t="inlineStr">
        <is>
          <t>我们需要确认合同的知识产权许可和授权条款。</t>
        </is>
      </c>
      <c r="D507" s="94" t="inlineStr">
        <is>
          <t>Chúng tôi cần xác nhận các điều khoản về bản quyền và phép thuê thông tin trong hợp đồng. Wǒmen xūyào quèrèn hétóng de zhīshì chǎnquán xǔkě hé shòuquán tiáokuǎn.</t>
        </is>
      </c>
      <c r="E507" s="94" t="inlineStr">
        <is>
          <t>506 我们需要确认 合同的知识产 权许可和授权 条款。 Chúng tôi cần xác nhận các điều khoản về bản quyền và phép thuê thông tin trong hợp đồng. Wǒmen xūyào quèrèn hétóng de zhīshì chǎnquán xǔkě hé shòuquán tiáokuǎn.</t>
        </is>
      </c>
      <c r="F507" s="115">
        <f>HYPERLINK("https://youglish.com/pronounce/我们需要确认合同的知识产权许可和授权条款/chinese","🔍")</f>
        <v/>
      </c>
    </row>
    <row r="508" ht="57" customHeight="1" s="99">
      <c r="A508" s="92" t="inlineStr">
        <is>
          <t>626 ĐPTM.pdf</t>
        </is>
      </c>
      <c r="B508" s="93" t="inlineStr">
        <is>
          <t>507</t>
        </is>
      </c>
      <c r="C508" s="92" t="inlineStr">
        <is>
          <t>您能否为我们提供更多的市场营销和数字化营销策略案例？</t>
        </is>
      </c>
      <c r="D508" s="92" t="inlineStr">
        <is>
          <t>Liệu bạn có thể cung cấp cho chúng tôi thêm các trường hợp nghiên cứu về chiến lược tiếp thị và kỹ thuật số? Nín néng fǒu wèi wǒmen tígōng gèng duō de shìchǎng yíngxiāo hé shùzìhuà yíngxiāo cèlüè ànlì?</t>
        </is>
      </c>
      <c r="E508" s="92" t="inlineStr">
        <is>
          <t>507 您能否为我们 提供更多的市 场营销和数字 化营销策略案 例？ Liệu bạn có thể cung cấp cho chúng tôi thêm các trường hợp nghiên cứu về chiến lược tiếp thị và kỹ thuật số? Nín néng fǒu wèi wǒmen tígōng gèng duō de shìchǎng yíngxiāo hé shùzìhuà yíngxiāo cèlüè ànlì?</t>
        </is>
      </c>
      <c r="F508" s="114">
        <f>HYPERLINK("https://youglish.com/pronounce/您能否为我们提供更多的市场营销和数字化营销策略案例/chinese","🔍")</f>
        <v/>
      </c>
    </row>
    <row r="509" ht="57" customHeight="1" s="99">
      <c r="A509" s="94" t="inlineStr">
        <is>
          <t>626 ĐPTM.pdf</t>
        </is>
      </c>
      <c r="B509" s="95" t="inlineStr">
        <is>
          <t>508</t>
        </is>
      </c>
      <c r="C509" s="94" t="inlineStr">
        <is>
          <t>我们需要对产品的市场定位和品牌定位进行商议。</t>
        </is>
      </c>
      <c r="D509" s="94" t="inlineStr">
        <is>
          <t>Chúng tôi cần thảo luận về định vị thị trường và định vị thương hiệu của sản phẩm. Wǒmen xūyào duì chǎnpǐn de shìchǎng dìngwèi hé pǐnpái dìngwèi jìnxíng shāngyì.</t>
        </is>
      </c>
      <c r="E509" s="94" t="inlineStr">
        <is>
          <t>508 我们需要对产 品的市场定位 和品牌定位进 行商议。 Chúng tôi cần thảo luận về định vị thị trường và định vị thương hiệu của sản phẩm. Wǒmen xūyào duì chǎnpǐn de shìchǎng dìngwèi hé pǐnpái dìngwèi jìnxíng shāngyì.</t>
        </is>
      </c>
      <c r="F509" s="115">
        <f>HYPERLINK("https://youglish.com/pronounce/我们需要对产品的市场定位和品牌定位进行商议/chinese","🔍")</f>
        <v/>
      </c>
    </row>
    <row r="510" ht="42.75" customHeight="1" s="99">
      <c r="A510" s="92" t="inlineStr">
        <is>
          <t>626 ĐPTM.pdf</t>
        </is>
      </c>
      <c r="B510" s="93" t="inlineStr">
        <is>
          <t>509</t>
        </is>
      </c>
      <c r="C510" s="92" t="inlineStr">
        <is>
          <t>我们需要确认合同的机密信息和数据保护条款。</t>
        </is>
      </c>
      <c r="D510" s="92" t="inlineStr">
        <is>
          <t>Chúng tôi cần xác nhận các điều khoản bảo mật thông tin và bảo vệ dữ liệu trong hợp đồng. Wǒmen xūyào quèrèn hétóng de jīmì xìnxī hé shùjù bǎohù tiáokuǎn.</t>
        </is>
      </c>
      <c r="E510" s="92" t="inlineStr">
        <is>
          <t>509 我们需要确认 合同的机密信 息和数据保护 条款。 Chúng tôi cần xác nhận các điều khoản bảo mật thông tin và bảo vệ dữ liệu trong hợp đồng. Wǒmen xūyào quèrèn hétóng de jīmì xìnxī hé shùjù bǎohù tiáokuǎn.</t>
        </is>
      </c>
      <c r="F510" s="114">
        <f>HYPERLINK("https://youglish.com/pronounce/我们需要确认合同的机密信息和数据保护条款/chinese","🔍")</f>
        <v/>
      </c>
    </row>
    <row r="511" ht="57" customHeight="1" s="99">
      <c r="A511" s="94" t="inlineStr">
        <is>
          <t>626 ĐPTM.pdf</t>
        </is>
      </c>
      <c r="B511" s="95" t="inlineStr">
        <is>
          <t>510</t>
        </is>
      </c>
      <c r="C511" s="94" t="inlineStr">
        <is>
          <t>您能否为我们提供更多的市场营销和数字化营销创意案例？</t>
        </is>
      </c>
      <c r="D511" s="94" t="inlineStr">
        <is>
          <t>Liệu ông có thể cung cấp cho chúng tôi nhiều hơn các tài liệu nghiên cứu về chiến lược tiếp thị và số hóa không? Nín néng fǒu wèi wǒmen tígōng gèng duō de shìchǎng yíngxiāo hé shùzìhuà yíngxiāo chuàngyì ànlì?</t>
        </is>
      </c>
      <c r="E511" s="94" t="inlineStr">
        <is>
          <t>510 您能否为我们 提供更多的市 场营销和数字 化营销创意案 例？ Liệu ông có thể cung cấp cho chúng tôi nhiều hơn các tài liệu nghiên cứu về chiến lược tiếp thị và số hóa không? Nín néng fǒu wèi wǒmen tígōng gèng duō de shìchǎng yíngxiāo hé shùzìhuà yíngxiāo chuàngyì ànlì?</t>
        </is>
      </c>
      <c r="F511" s="115">
        <f>HYPERLINK("https://youglish.com/pronounce/您能否为我们提供更多的市场营销和数字化营销创意案例/chinese","🔍")</f>
        <v/>
      </c>
    </row>
    <row r="512" ht="42.75" customHeight="1" s="99">
      <c r="A512" s="92" t="inlineStr">
        <is>
          <t>626 ĐPTM.pdf</t>
        </is>
      </c>
      <c r="B512" s="93" t="inlineStr">
        <is>
          <t>511</t>
        </is>
      </c>
      <c r="C512" s="92" t="inlineStr">
        <is>
          <t>我们需要对产品的渠道和销售网络进行商议。</t>
        </is>
      </c>
      <c r="D512" s="92" t="inlineStr">
        <is>
          <t>Chúng tôi cần thảo luận về kênh phân phối và mạng lưới bán hàng của sản phẩm. Wǒmen xūyào duì chǎnpǐn de qúdào hé xiāoshòu wǎngluò jìnxíng shāngyì.</t>
        </is>
      </c>
      <c r="E512" s="92" t="inlineStr">
        <is>
          <t>511 我们需要对产 品的渠道和销 售网络进行商 议。 Chúng tôi cần thảo luận về kênh phân phối và mạng lưới bán hàng của sản phẩm. Wǒmen xūyào duì chǎnpǐn de qúdào hé xiāoshòu wǎngluò jìnxíng shāngyì.</t>
        </is>
      </c>
      <c r="F512" s="114">
        <f>HYPERLINK("https://youglish.com/pronounce/我们需要对产品的渠道和销售网络进行商议/chinese","🔍")</f>
        <v/>
      </c>
    </row>
    <row r="513" ht="42.75" customHeight="1" s="99">
      <c r="A513" s="94" t="inlineStr">
        <is>
          <t>626 ĐPTM.pdf</t>
        </is>
      </c>
      <c r="B513" s="95" t="inlineStr">
        <is>
          <t>512</t>
        </is>
      </c>
      <c r="C513" s="94" t="inlineStr">
        <is>
          <t>我们需要确认合同的违约和赔偿责任条款。</t>
        </is>
      </c>
      <c r="D513" s="94" t="inlineStr">
        <is>
          <t>Chúng tôi cần xác nhận các điều khoản vi phạm hợp đồng và trách nhiệm bồi thường. Wǒmen xūyào quèrèn hétóng de wéiyuē hé péicháng zérèn tiáokuǎn.</t>
        </is>
      </c>
      <c r="E513" s="94" t="inlineStr">
        <is>
          <t>512 我们需要确认 合同的违约和 赔偿责任条 款。 Chúng tôi cần xác nhận các điều khoản vi phạm hợp đồng và trách nhiệm bồi thường. Wǒmen xūyào quèrèn hétóng de wéiyuē hé péicháng zérèn tiáokuǎn.</t>
        </is>
      </c>
      <c r="F513" s="115">
        <f>HYPERLINK("https://youglish.com/pronounce/我们需要确认合同的违约和赔偿责任条款/chinese","🔍")</f>
        <v/>
      </c>
    </row>
    <row r="514" ht="57" customHeight="1" s="99">
      <c r="A514" s="92" t="inlineStr">
        <is>
          <t>626 ĐPTM.pdf</t>
        </is>
      </c>
      <c r="B514" s="93" t="inlineStr">
        <is>
          <t>513</t>
        </is>
      </c>
      <c r="C514" s="92" t="inlineStr">
        <is>
          <t>您能否为我们提供更多的市场营销和数字化营销趋势分析报告？</t>
        </is>
      </c>
      <c r="D514" s="92" t="inlineStr">
        <is>
          <t>Ông có thể cung cấp cho chúng tôi nhiều hơn báo cáo phân tích xu hướng tiếp thị và số hóa không? Nín néng fǒu wèi wǒmen tígōng gèng duō de shìchǎng yíngxiāo hé shùzìhuà yíngxiāo qūshì fēnxī bàogào?</t>
        </is>
      </c>
      <c r="E514" s="92" t="inlineStr">
        <is>
          <t>513 您能否为我们 提供更多的市 场营销和数字 化营销趋势分 析报告？ Ông có thể cung cấp cho chúng tôi nhiều hơn báo cáo phân tích xu hướng tiếp thị và số hóa không? Nín néng fǒu wèi wǒmen tígōng gèng duō de shìchǎng yíngxiāo hé shùzìhuà yíngxiāo qūshì fēnxī bàogào?</t>
        </is>
      </c>
      <c r="F514" s="114">
        <f>HYPERLINK("https://youglish.com/pronounce/您能否为我们提供更多的市场营销和数字化营销趋势分析报告/chinese","🔍")</f>
        <v/>
      </c>
    </row>
    <row r="515" ht="42.75" customHeight="1" s="99">
      <c r="A515" s="94" t="inlineStr">
        <is>
          <t>626 ĐPTM.pdf</t>
        </is>
      </c>
      <c r="B515" s="95" t="inlineStr">
        <is>
          <t>514</t>
        </is>
      </c>
      <c r="C515" s="94" t="inlineStr">
        <is>
          <t>我们需要对产品的品质和品牌形象进行商议。</t>
        </is>
      </c>
      <c r="D515" s="94" t="inlineStr">
        <is>
          <t>Chúng tôi cần thảo luận về chất lượng sản phẩm và hình ảnh thương hiệu. Wǒmen xūyào duì chǎnpǐn de pǐnzhí hé pǐnpái xíngxiàng jìnxíng shāngyì.</t>
        </is>
      </c>
      <c r="E515" s="94" t="inlineStr">
        <is>
          <t>514 我们需要对产 品的品质和品 牌形象进行商 议。 Chúng tôi cần thảo luận về chất lượng sản phẩm và hình ảnh thương hiệu. Wǒmen xūyào duì chǎnpǐn de pǐnzhí hé pǐnpái xíngxiàng jìnxíng shāngyì.</t>
        </is>
      </c>
      <c r="F515" s="115">
        <f>HYPERLINK("https://youglish.com/pronounce/我们需要对产品的品质和品牌形象进行商议/chinese","🔍")</f>
        <v/>
      </c>
    </row>
    <row r="516" ht="42.75" customHeight="1" s="99">
      <c r="A516" s="92" t="inlineStr">
        <is>
          <t>626 ĐPTM.pdf</t>
        </is>
      </c>
      <c r="B516" s="93" t="inlineStr">
        <is>
          <t>515</t>
        </is>
      </c>
      <c r="C516" s="92" t="inlineStr">
        <is>
          <t>我们需要确认合同的标准和规范条款。</t>
        </is>
      </c>
      <c r="D516" s="92" t="inlineStr">
        <is>
          <t>Chúng tôi cần xác nhận các điều khoản và quy định chuẩn trong hợp đồng. Wǒmen xūyào quèrèn hétóng de biāozhǔn hé guīfàn tiáokuǎn.</t>
        </is>
      </c>
      <c r="E516" s="92" t="inlineStr">
        <is>
          <t>515 我们需要确认 合同的标准和 规范条款。 Chúng tôi cần xác nhận các điều khoản và quy định chuẩn trong hợp đồng. Wǒmen xūyào quèrèn hétóng de biāozhǔn hé guīfàn tiáokuǎn.</t>
        </is>
      </c>
      <c r="F516" s="114">
        <f>HYPERLINK("https://youglish.com/pronounce/我们需要确认合同的标准和规范条款/chinese","🔍")</f>
        <v/>
      </c>
    </row>
    <row r="517" ht="57" customHeight="1" s="99">
      <c r="A517" s="94" t="inlineStr">
        <is>
          <t>626 ĐPTM.pdf</t>
        </is>
      </c>
      <c r="B517" s="95" t="inlineStr">
        <is>
          <t>516</t>
        </is>
      </c>
      <c r="C517" s="94" t="inlineStr">
        <is>
          <t>您能否为我们提供更多的市场营销和数字化品牌建设案例？</t>
        </is>
      </c>
      <c r="D517" s="94" t="inlineStr">
        <is>
          <t>Liệu ông có thể cung cấp cho chúng tôi nhiều hơn các tài liệu tham khảo về xây dựng thương hiệu số hóa không? Nín néng fǒu wèi wǒmen tígōng gèng duō de shìchǎng yíngxiāo hé shùzìhuà pǐnpái jiànshè ànlì?</t>
        </is>
      </c>
      <c r="E517" s="94" t="inlineStr">
        <is>
          <t>516 您能否为我们 提供更多的市 场营销和数字 化品牌建设案 例？ Liệu ông có thể cung cấp cho chúng tôi nhiều hơn các tài liệu tham khảo về xây dựng thương hiệu số hóa không? Nín néng fǒu wèi wǒmen tígōng gèng duō de shìchǎng yíngxiāo hé shùzìhuà pǐnpái jiànshè ànlì?</t>
        </is>
      </c>
      <c r="F517" s="115">
        <f>HYPERLINK("https://youglish.com/pronounce/您能否为我们提供更多的市场营销和数字化品牌建设案例/chinese","🔍")</f>
        <v/>
      </c>
    </row>
    <row r="518" ht="57" customHeight="1" s="99">
      <c r="A518" s="92" t="inlineStr">
        <is>
          <t>626 ĐPTM.pdf</t>
        </is>
      </c>
      <c r="B518" s="93" t="inlineStr">
        <is>
          <t>517</t>
        </is>
      </c>
      <c r="C518" s="92" t="inlineStr">
        <is>
          <t>我们需要对产品的市场推广和促销活动进行商议。</t>
        </is>
      </c>
      <c r="D518" s="92" t="inlineStr">
        <is>
          <t>Chúng tôi cần thảo luận về chiến lược quảng cáo và khuyến mại của sản phẩm trên thị trường. Wǒmen xūyào duì chǎnpǐn de shìchǎng tuīguǎng hé cùxiāo huódòng jìnxíng shāngyì.</t>
        </is>
      </c>
      <c r="E518" s="92" t="inlineStr">
        <is>
          <t>517 我们需要对产 品的市场推广 和促销活动进 行商议。 Chúng tôi cần thảo luận về chiến lược quảng cáo và khuyến mại của sản phẩm trên thị trường. Wǒmen xūyào duì chǎnpǐn de shìchǎng tuīguǎng hé cùxiāo huódòng jìnxíng shāngyì.</t>
        </is>
      </c>
      <c r="F518" s="114">
        <f>HYPERLINK("https://youglish.com/pronounce/我们需要对产品的市场推广和促销活动进行商议/chinese","🔍")</f>
        <v/>
      </c>
    </row>
    <row r="519" ht="42.75" customHeight="1" s="99">
      <c r="A519" s="94" t="inlineStr">
        <is>
          <t>626 ĐPTM.pdf</t>
        </is>
      </c>
      <c r="B519" s="95" t="inlineStr">
        <is>
          <t>518</t>
        </is>
      </c>
      <c r="C519" s="94" t="inlineStr">
        <is>
          <t>我们需要确认合同的保密和保护责任条款。</t>
        </is>
      </c>
      <c r="D519" s="94" t="inlineStr">
        <is>
          <t>Chúng tôi cần xác nhận các điều khoản và trách nhiệm bảo mật và bảo vệ trong hợp đồng. Wǒmen xūyào quèrèn hétóng de bǎomì hé bǎohù zérèn tiáokuǎn.</t>
        </is>
      </c>
      <c r="E519" s="94" t="inlineStr">
        <is>
          <t>518 我们需要确认 合同的保密和 保护责任条 款。 Chúng tôi cần xác nhận các điều khoản và trách nhiệm bảo mật và bảo vệ trong hợp đồng. Wǒmen xūyào quèrèn hétóng de bǎomì hé bǎohù zérèn tiáokuǎn.</t>
        </is>
      </c>
      <c r="F519" s="115">
        <f>HYPERLINK("https://youglish.com/pronounce/我们需要确认合同的保密和保护责任条款/chinese","🔍")</f>
        <v/>
      </c>
    </row>
    <row r="520" ht="71.25" customHeight="1" s="99">
      <c r="A520" s="92" t="inlineStr">
        <is>
          <t>626 ĐPTM.pdf</t>
        </is>
      </c>
      <c r="B520" s="93" t="inlineStr">
        <is>
          <t>519</t>
        </is>
      </c>
      <c r="C520" s="92" t="inlineStr">
        <is>
          <t>您能否为我们提供更多的市场营销和数字化战略研究报告？</t>
        </is>
      </c>
      <c r="D520" s="92" t="inlineStr">
        <is>
          <t>Liệu ông có thể cung cấp cho chúng tôi nhiều hơn các báo cáo nghiên cứu về chiến lược tiếp thị và số hóa không không? Nín néng fǒu wèi wǒmen tígōng gèng duō de shìchǎng yíngxiāo hé shùzìhuà zhànlüè yán jiù bàogào?</t>
        </is>
      </c>
      <c r="E520" s="92" t="inlineStr">
        <is>
          <t>519 您能否为我们 提供更多的市 场营销和数字 化战略研究报 告？ Liệu ông có thể cung cấp cho chúng tôi nhiều hơn các báo cáo nghiên cứu về chiến lược tiếp thị và số hóa không không? Nín néng fǒu wèi wǒmen tígōng gèng duō de shìchǎng yíngxiāo hé shùzìhuà zhànlüè yán jiù bàogào?</t>
        </is>
      </c>
      <c r="F520" s="114">
        <f>HYPERLINK("https://youglish.com/pronounce/您能否为我们提供更多的市场营销和数字化战略研究报告/chinese","🔍")</f>
        <v/>
      </c>
    </row>
    <row r="521" ht="42.75" customHeight="1" s="99">
      <c r="A521" s="94" t="inlineStr">
        <is>
          <t>626 ĐPTM.pdf</t>
        </is>
      </c>
      <c r="B521" s="95" t="inlineStr">
        <is>
          <t>520</t>
        </is>
      </c>
      <c r="C521" s="94" t="inlineStr">
        <is>
          <t>我们需要对产品的市场需求和趋势进行商议。</t>
        </is>
      </c>
      <c r="D521" s="94" t="inlineStr">
        <is>
          <t>Chúng tôi cần thảo luận về nhu cầu và xu hướng thị trường của sản phẩm. Wǒmen xūyào duì chǎnpǐn de shìchǎng xūqiú hé qūshì jìnxíng shāngyì.</t>
        </is>
      </c>
      <c r="E521" s="94" t="inlineStr">
        <is>
          <t>520 我们需要对产 品的市场需求 和趋势进行商 议。 Chúng tôi cần thảo luận về nhu cầu và xu hướng thị trường của sản phẩm. Wǒmen xūyào duì chǎnpǐn de shìchǎng xūqiú hé qūshì jìnxíng shāngyì.</t>
        </is>
      </c>
      <c r="F521" s="115">
        <f>HYPERLINK("https://youglish.com/pronounce/我们需要对产品的市场需求和趋势进行商议/chinese","🔍")</f>
        <v/>
      </c>
    </row>
    <row r="522" ht="42.75" customHeight="1" s="99">
      <c r="A522" s="92" t="inlineStr">
        <is>
          <t>626 ĐPTM.pdf</t>
        </is>
      </c>
      <c r="B522" s="93" t="inlineStr">
        <is>
          <t>521</t>
        </is>
      </c>
      <c r="C522" s="92" t="inlineStr">
        <is>
          <t>我们需要确认合同的终止和退出条款。</t>
        </is>
      </c>
      <c r="D522" s="92" t="inlineStr">
        <is>
          <t>Chúng tôi cần xác nhận các điều khoản và quy định về chấm dứt và rút khỏi hợp đồng. Wǒmen xūyào quèrèn hétóng de zhōngzhǐ hé tuìchū tiáokuǎn.</t>
        </is>
      </c>
      <c r="E522" s="92" t="inlineStr">
        <is>
          <t>521 我们需要确认 合同的终止和 退出条款。 Chúng tôi cần xác nhận các điều khoản và quy định về chấm dứt và rút khỏi hợp đồng. Wǒmen xūyào quèrèn hétóng de zhōngzhǐ hé tuìchū tiáokuǎn.</t>
        </is>
      </c>
      <c r="F522" s="114">
        <f>HYPERLINK("https://youglish.com/pronounce/我们需要确认合同的终止和退出条款/chinese","🔍")</f>
        <v/>
      </c>
    </row>
    <row r="523" ht="57" customHeight="1" s="99">
      <c r="A523" s="94" t="inlineStr">
        <is>
          <t>626 ĐPTM.pdf</t>
        </is>
      </c>
      <c r="B523" s="95" t="inlineStr">
        <is>
          <t>522</t>
        </is>
      </c>
      <c r="C523" s="94" t="inlineStr">
        <is>
          <t>您能否为我们提供更多的市场营销和数字化转型案例？</t>
        </is>
      </c>
      <c r="D523" s="94" t="inlineStr">
        <is>
          <t>Liệu ông có thể cung cấp cho chúng tôi nhiều hơn các tài liệu tham khảo về chuyển đổi số hóa không? Nín néng fǒu wèi wǒmen tígōng gèng duō de shìchǎng yíngxiāo hé shùzìhuà zhuǎnxíng ànlì?</t>
        </is>
      </c>
      <c r="E523" s="94" t="inlineStr">
        <is>
          <t>522 您能否为我们 提供更多的市 场营销和数字 化转型案例？ Liệu ông có thể cung cấp cho chúng tôi nhiều hơn các tài liệu tham khảo về chuyển đổi số hóa không? Nín néng fǒu wèi wǒmen tígōng gèng duō de shìchǎng yíngxiāo hé shùzìhuà zhuǎnxíng ànlì?</t>
        </is>
      </c>
      <c r="F523" s="115">
        <f>HYPERLINK("https://youglish.com/pronounce/您能否为我们提供更多的市场营销和数字化转型案例/chinese","🔍")</f>
        <v/>
      </c>
    </row>
    <row r="524" ht="57" customHeight="1" s="99">
      <c r="A524" s="92" t="inlineStr">
        <is>
          <t>626 ĐPTM.pdf</t>
        </is>
      </c>
      <c r="B524" s="93" t="inlineStr">
        <is>
          <t>523</t>
        </is>
      </c>
      <c r="C524" s="92" t="inlineStr">
        <is>
          <t>我们需要对产品的市场竞争和差异化进行商议。</t>
        </is>
      </c>
      <c r="D524" s="92" t="inlineStr">
        <is>
          <t>Chúng tôi cần thảo luận về sự cạnh tranh và sự khác biệt trên thị trường của sản phẩm. Wǒmen xūyào duì chǎnpǐn de shìchǎng jìngzhēng hé chāyì huà jìnxíng shāngyì.</t>
        </is>
      </c>
      <c r="E524" s="92" t="inlineStr">
        <is>
          <t>523 我们需要对产 品的市场竞争 和差异化进行 商议。 Chúng tôi cần thảo luận về sự cạnh tranh và sự khác biệt trên thị trường của sản phẩm. Wǒmen xūyào duì chǎnpǐn de shìchǎng jìngzhēng hé chāyì huà jìnxíng shāngyì.</t>
        </is>
      </c>
      <c r="F524" s="114">
        <f>HYPERLINK("https://youglish.com/pronounce/我们需要对产品的市场竞争和差异化进行商议/chinese","🔍")</f>
        <v/>
      </c>
    </row>
    <row r="525" ht="57" customHeight="1" s="99">
      <c r="A525" s="94" t="inlineStr">
        <is>
          <t>626 ĐPTM.pdf</t>
        </is>
      </c>
      <c r="B525" s="95" t="inlineStr">
        <is>
          <t>524</t>
        </is>
      </c>
      <c r="C525" s="94" t="inlineStr">
        <is>
          <t>我们需要确认合同的知识产权保护和维护条款。</t>
        </is>
      </c>
      <c r="D525" s="94" t="inlineStr">
        <is>
          <t>Chúng tôi cần xác nhận các điều khoản bảo vệ và duy trì quyền sở hữu trí tuệ trong hợp đồng. Wǒmen xūyào quèrèn hétóng de zhīshì chǎnquán bǎohù hé wéihù tiáokuǎn.</t>
        </is>
      </c>
      <c r="E525" s="94" t="inlineStr">
        <is>
          <t>524 我们需要确认 合同的知识产 权保护和维护 条款。 Chúng tôi cần xác nhận các điều khoản bảo vệ và duy trì quyền sở hữu trí tuệ trong hợp đồng. Wǒmen xūyào quèrèn hétóng de zhīshì chǎnquán bǎohù hé wéihù tiáokuǎn.</t>
        </is>
      </c>
      <c r="F525" s="115">
        <f>HYPERLINK("https://youglish.com/pronounce/我们需要确认合同的知识产权保护和维护条款/chinese","🔍")</f>
        <v/>
      </c>
    </row>
    <row r="526" ht="57" customHeight="1" s="99">
      <c r="A526" s="92" t="inlineStr">
        <is>
          <t>626 ĐPTM.pdf</t>
        </is>
      </c>
      <c r="B526" s="93" t="inlineStr">
        <is>
          <t>525</t>
        </is>
      </c>
      <c r="C526" s="92" t="inlineStr">
        <is>
          <t>您能否为我们提供更多的市场营销和数字化品牌推广案例？</t>
        </is>
      </c>
      <c r="D526" s="92" t="inlineStr">
        <is>
          <t>Liệu ông có thể cung cấp cho chúng tôi nhiều hơn các tài liệu tham khảo về quảng bá thương hiệu số hóa không? Nín néng fǒu wèi wǒmen tígōng gèng duō de shìchǎng yíngxiāo hé shùzìhuà pǐnpái tuīguǎng ànlì?</t>
        </is>
      </c>
      <c r="E526" s="92" t="inlineStr">
        <is>
          <t>525 您能否为我们 提供更多的市 场营销和数字 化品牌推广案 例？ Liệu ông có thể cung cấp cho chúng tôi nhiều hơn các tài liệu tham khảo về quảng bá thương hiệu số hóa không? Nín néng fǒu wèi wǒmen tígōng gèng duō de shìchǎng yíngxiāo hé shùzìhuà pǐnpái tuīguǎng ànlì?</t>
        </is>
      </c>
      <c r="F526" s="114">
        <f>HYPERLINK("https://youglish.com/pronounce/您能否为我们提供更多的市场营销和数字化品牌推广案例/chinese","🔍")</f>
        <v/>
      </c>
    </row>
    <row r="527" ht="57" customHeight="1" s="99">
      <c r="A527" s="94" t="inlineStr">
        <is>
          <t>626 ĐPTM.pdf</t>
        </is>
      </c>
      <c r="B527" s="95" t="inlineStr">
        <is>
          <t>526</t>
        </is>
      </c>
      <c r="C527" s="94" t="inlineStr">
        <is>
          <t>我们需要对产品的市场份额和市场占有率进行商议。</t>
        </is>
      </c>
      <c r="D527" s="94" t="inlineStr">
        <is>
          <t>Chúng tôi cần thảo luận về thị phần và tỷ lệ chiếm thị trường của sản phẩm. Wǒmen xūyào duì chǎnpǐn de shìchǎng fèn'é hé shìchǎng zhànyǒu lǜ jìnxíng shāngyì.</t>
        </is>
      </c>
      <c r="E527" s="94" t="inlineStr">
        <is>
          <t>526 我们需要对产 品的市场份额 和市场占有率 进行商议。 Chúng tôi cần thảo luận về thị phần và tỷ lệ chiếm thị trường của sản phẩm. Wǒmen xūyào duì chǎnpǐn de shìchǎng fèn'é hé shìchǎng zhànyǒu lǜ jìnxíng shāngyì.</t>
        </is>
      </c>
      <c r="F527" s="115">
        <f>HYPERLINK("https://youglish.com/pronounce/我们需要对产品的市场份额和市场占有率进行商议/chinese","🔍")</f>
        <v/>
      </c>
    </row>
    <row r="528" ht="57" customHeight="1" s="99">
      <c r="A528" s="92" t="inlineStr">
        <is>
          <t>626 ĐPTM.pdf</t>
        </is>
      </c>
      <c r="B528" s="93" t="inlineStr">
        <is>
          <t>527</t>
        </is>
      </c>
      <c r="C528" s="92" t="inlineStr">
        <is>
          <t>我们需要确认合同的费用和付款方式条款。</t>
        </is>
      </c>
      <c r="D528" s="92" t="inlineStr">
        <is>
          <t>Chúng tôi cần xác nhận các điều khoản về chi phí và phương thức thanh toán trong hợp đồng. Wǒmen xūyào quèrèn hétóng de fèiyòng hé fùkuǎn fāngshì tiáokuǎn.</t>
        </is>
      </c>
      <c r="E528" s="92" t="inlineStr">
        <is>
          <t>527 我们需要确认 合同的费用和 付款方式条款。 Chúng tôi cần xác nhận các điều khoản về chi phí và phương thức thanh toán trong hợp đồng. Wǒmen xūyào quèrèn hétóng de fèiyòng hé fùkuǎn fāngshì tiáokuǎn.</t>
        </is>
      </c>
      <c r="F528" s="114">
        <f>HYPERLINK("https://youglish.com/pronounce/我们需要确认合同的费用和付款方式条款/chinese","🔍")</f>
        <v/>
      </c>
    </row>
    <row r="529" ht="71.25" customHeight="1" s="99">
      <c r="A529" s="94" t="inlineStr">
        <is>
          <t>626 ĐPTM.pdf</t>
        </is>
      </c>
      <c r="B529" s="95" t="inlineStr">
        <is>
          <t>528</t>
        </is>
      </c>
      <c r="C529" s="94" t="inlineStr">
        <is>
          <t>您能否为我们提供更多的市场营销和数字化营销趋势分析报告？</t>
        </is>
      </c>
      <c r="D529" s="94" t="inlineStr">
        <is>
          <t>Liệu bạn có thể cung cấp cho chúng tôi thêm nhiều báo cáo phân tích xu hướng tiếp thị và tiếp thị kỹ thuật số không? Nín néng fǒu wèi wǒmen tígōng gèng duō de shìchǎng yíngxiāo hé shùzìhuà yíngxiāo qūshì fēnxī bàogào?</t>
        </is>
      </c>
      <c r="E529" s="94" t="inlineStr">
        <is>
          <t>528 您能否为我们 提供更多的市 场营销和数字 化营销趋势分 析报告？ Liệu bạn có thể cung cấp cho chúng tôi thêm nhiều báo cáo phân tích xu hướng tiếp thị và tiếp thị kỹ thuật số không? Nín néng fǒu wèi wǒmen tígōng gèng duō de shìchǎng yíngxiāo hé shùzìhuà yíngxiāo qūshì fēnxī bàogào?</t>
        </is>
      </c>
      <c r="F529" s="115">
        <f>HYPERLINK("https://youglish.com/pronounce/您能否为我们提供更多的市场营销和数字化营销趋势分析报告/chinese","🔍")</f>
        <v/>
      </c>
    </row>
    <row r="530" ht="57" customHeight="1" s="99">
      <c r="A530" s="92" t="inlineStr">
        <is>
          <t>626 ĐPTM.pdf</t>
        </is>
      </c>
      <c r="B530" s="93" t="inlineStr">
        <is>
          <t>529</t>
        </is>
      </c>
      <c r="C530" s="92" t="inlineStr">
        <is>
          <t>我们需要对产品的市场反馈和用户评价进行商议。</t>
        </is>
      </c>
      <c r="D530" s="92" t="inlineStr">
        <is>
          <t>Chúng tôi cần thảo luận về phản hồi thị trường và đánh giá của người dùng đối với sản phẩm. Wǒmen xūyào duì chǎnpǐn de shìchǎng fǎnkuì hé yònghù píngjià jìnxíng shāngyì.</t>
        </is>
      </c>
      <c r="E530" s="92" t="inlineStr">
        <is>
          <t>529 我们需要对产 品的市场反馈 和用户评价进 行商议。 Chúng tôi cần thảo luận về phản hồi thị trường và đánh giá của người dùng đối với sản phẩm. Wǒmen xūyào duì chǎnpǐn de shìchǎng fǎnkuì hé yònghù píngjià jìnxíng shāngyì.</t>
        </is>
      </c>
      <c r="F530" s="114">
        <f>HYPERLINK("https://youglish.com/pronounce/我们需要对产品的市场反馈和用户评价进行商议/chinese","🔍")</f>
        <v/>
      </c>
    </row>
    <row r="531" ht="57" customHeight="1" s="99">
      <c r="A531" s="94" t="inlineStr">
        <is>
          <t>626 ĐPTM.pdf</t>
        </is>
      </c>
      <c r="B531" s="95" t="inlineStr">
        <is>
          <t>530</t>
        </is>
      </c>
      <c r="C531" s="94" t="inlineStr">
        <is>
          <t>我们需要确认合同的争议解决和仲裁方式条款。</t>
        </is>
      </c>
      <c r="D531" s="94" t="inlineStr">
        <is>
          <t>Chúng tôi cần xác nhận các điều khoản về giải quyết tranh chấp và phương thức trọng tài trong hợp đồng. Wǒmen xūyào quèrèn hétóng de zhēngyì jiějué hé zhòngcái fāngshì tiáokuǎn.</t>
        </is>
      </c>
      <c r="E531" s="94" t="inlineStr">
        <is>
          <t>530 我们需要确认 合同的争议解 决和仲裁方式 条款。 Chúng tôi cần xác nhận các điều khoản về giải quyết tranh chấp và phương thức trọng tài trong hợp đồng. Wǒmen xūyào quèrèn hétóng de zhēngyì jiějué hé zhòngcái fāngshì tiáokuǎn.</t>
        </is>
      </c>
      <c r="F531" s="115">
        <f>HYPERLINK("https://youglish.com/pronounce/我们需要确认合同的争议解决和仲裁方式条款/chinese","🔍")</f>
        <v/>
      </c>
    </row>
    <row r="532" ht="71.25" customHeight="1" s="99">
      <c r="A532" s="92" t="inlineStr">
        <is>
          <t>626 ĐPTM.pdf</t>
        </is>
      </c>
      <c r="B532" s="93" t="inlineStr">
        <is>
          <t>531</t>
        </is>
      </c>
      <c r="C532" s="92" t="inlineStr">
        <is>
          <t>您能否为我们提供更多的市场营销和数字化品牌管理咨询服务？</t>
        </is>
      </c>
      <c r="D532" s="92" t="inlineStr">
        <is>
          <t>Liệu bạn có thể cung cấp cho chúng tôi thêm nhiều dịch vụ tư vấn quản lý thương hiệu kỹ thuật số không? Nín néng fǒu wèi wǒmen tígōng gèng duō de shìchǎng yíngxiāo hé shùzìhuà pǐnpái guǎnlǐ zīxún fúwù?</t>
        </is>
      </c>
      <c r="E532" s="92" t="inlineStr">
        <is>
          <t>531 您能否为我们 提供更多的市 场营销和数字 化品牌管理咨 询服务？ Liệu bạn có thể cung cấp cho chúng tôi thêm nhiều dịch vụ tư vấn quản lý thương hiệu kỹ thuật số không? Nín néng fǒu wèi wǒmen tígōng gèng duō de shìchǎng yíngxiāo hé shùzìhuà pǐnpái guǎnlǐ zīxún fúwù?</t>
        </is>
      </c>
      <c r="F532" s="114">
        <f>HYPERLINK("https://youglish.com/pronounce/您能否为我们提供更多的市场营销和数字化品牌管理咨询服务/chinese","🔍")</f>
        <v/>
      </c>
    </row>
    <row r="533" ht="42.75" customHeight="1" s="99">
      <c r="A533" s="94" t="inlineStr">
        <is>
          <t>626 ĐPTM.pdf</t>
        </is>
      </c>
      <c r="B533" s="95" t="inlineStr">
        <is>
          <t>532</t>
        </is>
      </c>
      <c r="C533" s="94" t="inlineStr">
        <is>
          <t>我们需要对产品的市场分析和调研进行商议。</t>
        </is>
      </c>
      <c r="D533" s="94" t="inlineStr">
        <is>
          <t>Chúng tôi cần thảo luận về phân tích thị trường và nghiên cứu về sản phẩm. Wǒmen xūyào duì chǎnpǐn de shìchǎng fēnxī hé diàoyán jìnxíng shāngyì.</t>
        </is>
      </c>
      <c r="E533" s="94" t="inlineStr">
        <is>
          <t>532 我们需要对产 品的市场分析 和调研进行商 议。 Chúng tôi cần thảo luận về phân tích thị trường và nghiên cứu về sản phẩm. Wǒmen xūyào duì chǎnpǐn de shìchǎng fēnxī hé diàoyán jìnxíng shāngyì.</t>
        </is>
      </c>
      <c r="F533" s="115">
        <f>HYPERLINK("https://youglish.com/pronounce/我们需要对产品的市场分析和调研进行商议/chinese","🔍")</f>
        <v/>
      </c>
    </row>
    <row r="534" ht="57" customHeight="1" s="99">
      <c r="A534" s="92" t="inlineStr">
        <is>
          <t>626 ĐPTM.pdf</t>
        </is>
      </c>
      <c r="B534" s="93" t="inlineStr">
        <is>
          <t>533</t>
        </is>
      </c>
      <c r="C534" s="92" t="inlineStr">
        <is>
          <t>我们需要确认合同的合作方式和合作期限条款。</t>
        </is>
      </c>
      <c r="D534" s="92" t="inlineStr">
        <is>
          <t>Chúng tôi cần xác nhận các điều khoản về phương thức và thời hạn hợp tác trong hợp đồng. Wǒmen xūyào quèrèn hétóng de hézuò fāngshì hé hézuò qíxiàn tiáokuǎn.</t>
        </is>
      </c>
      <c r="E534" s="92" t="inlineStr">
        <is>
          <t>533 我们需要确认 合同的合作方 式和合作期限 条款。 Chúng tôi cần xác nhận các điều khoản về phương thức và thời hạn hợp tác trong hợp đồng. Wǒmen xūyào quèrèn hétóng de hézuò fāngshì hé hézuò qíxiàn tiáokuǎn.</t>
        </is>
      </c>
      <c r="F534" s="114">
        <f>HYPERLINK("https://youglish.com/pronounce/我们需要确认合同的合作方式和合作期限条款/chinese","🔍")</f>
        <v/>
      </c>
    </row>
    <row r="535" ht="71.25" customHeight="1" s="99">
      <c r="A535" s="94" t="inlineStr">
        <is>
          <t>626 ĐPTM.pdf</t>
        </is>
      </c>
      <c r="B535" s="95" t="inlineStr">
        <is>
          <t>534</t>
        </is>
      </c>
      <c r="C535" s="94" t="inlineStr">
        <is>
          <t>您能否为我们提供更多的市场营销和数字化营销策略分析报告？</t>
        </is>
      </c>
      <c r="D535" s="94" t="inlineStr">
        <is>
          <t>Liệu bạn có thể cung cấp cho chúng tôi thêm nhiều báo cáo phân tích chiến lược tiếp thị và tiếp thị kỹ thuật số không? Nín néng fǒu wèi wǒmen tígōng gèng duō de shìchǎng yíngxiāo hé shùzìhuà yíngxiāo cèlüè fēnxī bàogào?</t>
        </is>
      </c>
      <c r="E535" s="94" t="inlineStr">
        <is>
          <t>534 您能否为我们 提供更多的市 场营销和数字 化营销策略分 析报告？ Liệu bạn có thể cung cấp cho chúng tôi thêm nhiều báo cáo phân tích chiến lược tiếp thị và tiếp thị kỹ thuật số không? Nín néng fǒu wèi wǒmen tígōng gèng duō de shìchǎng yíngxiāo hé shùzìhuà yíngxiāo cèlüè fēnxī bàogào?</t>
        </is>
      </c>
      <c r="F535" s="115">
        <f>HYPERLINK("https://youglish.com/pronounce/您能否为我们提供更多的市场营销和数字化营销策略分析报告/chinese","🔍")</f>
        <v/>
      </c>
    </row>
    <row r="536" ht="42.75" customHeight="1" s="99">
      <c r="A536" s="92" t="inlineStr">
        <is>
          <t>626 ĐPTM.pdf</t>
        </is>
      </c>
      <c r="B536" s="93" t="inlineStr">
        <is>
          <t>535</t>
        </is>
      </c>
      <c r="C536" s="92" t="inlineStr">
        <is>
          <t>我们需要对产品的竞争优势和差异化进行商议。</t>
        </is>
      </c>
      <c r="D536" s="92" t="inlineStr">
        <is>
          <t>Chúng tôi cần thảo luận về lợi thế cạnh tranh và sự khác biệt của sản phẩm. Wǒmen xūyào duì chǎnpǐn de jìngzhēng yōushì hé chāyì huà jìnxíng shāngyì.</t>
        </is>
      </c>
      <c r="E536" s="92" t="inlineStr">
        <is>
          <t>535 我们需要对产 品的竞争优势 和差异化进行 商议。 Chúng tôi cần thảo luận về lợi thế cạnh tranh và sự khác biệt của sản phẩm. Wǒmen xūyào duì chǎnpǐn de jìngzhēng yōushì hé chāyì huà jìnxíng shāngyì.</t>
        </is>
      </c>
      <c r="F536" s="114">
        <f>HYPERLINK("https://youglish.com/pronounce/我们需要对产品的竞争优势和差异化进行商议/chinese","🔍")</f>
        <v/>
      </c>
    </row>
    <row r="537" ht="42.75" customHeight="1" s="99">
      <c r="A537" s="94" t="inlineStr">
        <is>
          <t>626 ĐPTM.pdf</t>
        </is>
      </c>
      <c r="B537" s="95" t="inlineStr">
        <is>
          <t>536</t>
        </is>
      </c>
      <c r="C537" s="94" t="inlineStr">
        <is>
          <t>我们需要确认合同的保险和责任险条款。</t>
        </is>
      </c>
      <c r="D537" s="94" t="inlineStr">
        <is>
          <t>Chúng tôi cần xác nhận các điều khoản về bảo hiểm và trách nhiệm trong hợp đồng. Wǒmen xūyào quèrèn hétóng de bǎoxiǎn hé zérèn xiǎn tiáokuǎn.</t>
        </is>
      </c>
      <c r="E537" s="94" t="inlineStr">
        <is>
          <t>536 我们需要确认 合同的保险和 责任险条款。 Chúng tôi cần xác nhận các điều khoản về bảo hiểm và trách nhiệm trong hợp đồng. Wǒmen xūyào quèrèn hétóng de bǎoxiǎn hé zérèn xiǎn tiáokuǎn.</t>
        </is>
      </c>
      <c r="F537" s="115">
        <f>HYPERLINK("https://youglish.com/pronounce/我们需要确认合同的保险和责任险条款/chinese","🔍")</f>
        <v/>
      </c>
    </row>
    <row r="538" ht="71.25" customHeight="1" s="99">
      <c r="A538" s="92" t="inlineStr">
        <is>
          <t>626 ĐPTM.pdf</t>
        </is>
      </c>
      <c r="B538" s="93" t="inlineStr">
        <is>
          <t>537</t>
        </is>
      </c>
      <c r="C538" s="92" t="inlineStr">
        <is>
          <t>您能否为我们提供更多的市场营销和数字化品牌建设咨询服务？</t>
        </is>
      </c>
      <c r="D538" s="92" t="inlineStr">
        <is>
          <t>Liệu bạn có thể cung cấp cho chúng tôi thêm nhiều dịch vụ tư vấn quản lý thương hiệu kỹ thuật số không? Nín néng fǒu wèi wǒmen tígōng gèng duō de shìchǎng yíngxiāo hé shùzìhuà pǐnpái jiànshè zīxún fúwù?</t>
        </is>
      </c>
      <c r="E538" s="92" t="inlineStr">
        <is>
          <t>537 您能否为我们 提供更多的市 场营销和数字 化品牌建设咨 询服务？ Liệu bạn có thể cung cấp cho chúng tôi thêm nhiều dịch vụ tư vấn quản lý thương hiệu kỹ thuật số không? Nín néng fǒu wèi wǒmen tígōng gèng duō de shìchǎng yíngxiāo hé shùzìhuà pǐnpái jiànshè zīxún fúwù?</t>
        </is>
      </c>
      <c r="F538" s="114">
        <f>HYPERLINK("https://youglish.com/pronounce/您能否为我们提供更多的市场营销和数字化品牌建设咨询服务/chinese","🔍")</f>
        <v/>
      </c>
    </row>
    <row r="539" ht="57" customHeight="1" s="99">
      <c r="A539" s="94" t="inlineStr">
        <is>
          <t>626 ĐPTM.pdf</t>
        </is>
      </c>
      <c r="B539" s="95" t="inlineStr">
        <is>
          <t>538</t>
        </is>
      </c>
      <c r="C539" s="94" t="inlineStr">
        <is>
          <t>我们需要对产品的市场定位和目标客户群进行商议。</t>
        </is>
      </c>
      <c r="D539" s="94" t="inlineStr">
        <is>
          <t>Chúng tôi cần thảo luận về vị trí thị trường và nhóm khách hàng mục tiêu của sản phẩm. Wǒmen xūyào duì chǎnpǐn de shìchǎng dìngwèi hé mùbiāo kèhù qún jìnxíng shāngyì.</t>
        </is>
      </c>
      <c r="E539" s="94" t="inlineStr">
        <is>
          <t>538 我们需要对产 品的市场定位 和目标客户群 进行商议。 Chúng tôi cần thảo luận về vị trí thị trường và nhóm khách hàng mục tiêu của sản phẩm. Wǒmen xūyào duì chǎnpǐn de shìchǎng dìngwèi hé mùbiāo kèhù qún jìnxíng shāngyì.</t>
        </is>
      </c>
      <c r="F539" s="115">
        <f>HYPERLINK("https://youglish.com/pronounce/我们需要对产品的市场定位和目标客户群进行商议/chinese","🔍")</f>
        <v/>
      </c>
    </row>
    <row r="540" ht="42.75" customHeight="1" s="99">
      <c r="A540" s="92" t="inlineStr">
        <is>
          <t>626 ĐPTM.pdf</t>
        </is>
      </c>
      <c r="B540" s="93" t="inlineStr">
        <is>
          <t>539</t>
        </is>
      </c>
      <c r="C540" s="92" t="inlineStr">
        <is>
          <t>我们需要确认合同的违约和违约责任条款。</t>
        </is>
      </c>
      <c r="D540" s="92" t="inlineStr">
        <is>
          <t>Chúng tôi cần xác nhận các điều khoản về vi phạm và trách nhiệm vi phạm trong hợp đồng. Wǒmen xūyào quèrèn hétóng de wéiyuē hé wéiyuē zérèn tiáokuǎn.</t>
        </is>
      </c>
      <c r="E540" s="92" t="inlineStr">
        <is>
          <t>539 我们需要确认 合同的违约和 违约责任条 款。 Chúng tôi cần xác nhận các điều khoản về vi phạm và trách nhiệm vi phạm trong hợp đồng. Wǒmen xūyào quèrèn hétóng de wéiyuē hé wéiyuē zérèn tiáokuǎn.</t>
        </is>
      </c>
      <c r="F540" s="114">
        <f>HYPERLINK("https://youglish.com/pronounce/我们需要确认合同的违约和违约责任条款/chinese","🔍")</f>
        <v/>
      </c>
    </row>
    <row r="541" ht="71.25" customHeight="1" s="99">
      <c r="A541" s="94" t="inlineStr">
        <is>
          <t>626 ĐPTM.pdf</t>
        </is>
      </c>
      <c r="B541" s="95" t="inlineStr">
        <is>
          <t>540</t>
        </is>
      </c>
      <c r="C541" s="94" t="inlineStr">
        <is>
          <t>您能否为我们提供更多的市场营销和数字化营销创意咨询服务？</t>
        </is>
      </c>
      <c r="D541" s="94" t="inlineStr">
        <is>
          <t>Liệu bạn có thể cung cấp cho chúng tôi thêm nhiều dịch vụ tư vấn sáng tạo tiếp thị và tiếp thị kỹ thuật số không? Nín néng fǒu wèi wǒmen tígōng gèng duō de shìchǎng yíngxiāo hé shùzìhuà yíngxiāo chuàngyì zīxún fúwù?</t>
        </is>
      </c>
      <c r="E541" s="94" t="inlineStr">
        <is>
          <t>540 您能否为我们 提供更多的市 场营销和数字 化营销创意咨 询服务？ Liệu bạn có thể cung cấp cho chúng tôi thêm nhiều dịch vụ tư vấn sáng tạo tiếp thị và tiếp thị kỹ thuật số không? Nín néng fǒu wèi wǒmen tígōng gèng duō de shìchǎng yíngxiāo hé shùzìhuà yíngxiāo chuàngyì zīxún fúwù?</t>
        </is>
      </c>
      <c r="F541" s="115">
        <f>HYPERLINK("https://youglish.com/pronounce/您能否为我们提供更多的市场营销和数字化营销创意咨询服务/chinese","🔍")</f>
        <v/>
      </c>
    </row>
    <row r="542" ht="57" customHeight="1" s="99">
      <c r="A542" s="92" t="inlineStr">
        <is>
          <t>626 ĐPTM.pdf</t>
        </is>
      </c>
      <c r="B542" s="93" t="inlineStr">
        <is>
          <t>541</t>
        </is>
      </c>
      <c r="C542" s="92" t="inlineStr">
        <is>
          <t>我们需要对产品的销售预测和市场份额进行商议。</t>
        </is>
      </c>
      <c r="D542" s="92" t="inlineStr">
        <is>
          <t>Chúng tôi cần thảo luận về dự báo doanh số bán hàng và thị phần của sản phẩm. Wǒmen xūyào duì chǎnpǐn de xiāoshòu yùcè hé shìchǎng fèn'é jìnxíng shāngyì.</t>
        </is>
      </c>
      <c r="E542" s="92" t="inlineStr">
        <is>
          <t>541 我们需要对产 品的销售预测 和市场份额进 行商议。 Chúng tôi cần thảo luận về dự báo doanh số bán hàng và thị phần của sản phẩm. Wǒmen xūyào duì chǎnpǐn de xiāoshòu yùcè hé shìchǎng fèn'é jìnxíng shāngyì.</t>
        </is>
      </c>
      <c r="F542" s="114">
        <f>HYPERLINK("https://youglish.com/pronounce/我们需要对产品的销售预测和市场份额进行商议/chinese","🔍")</f>
        <v/>
      </c>
    </row>
    <row r="543" ht="42.75" customHeight="1" s="99">
      <c r="A543" s="94" t="inlineStr">
        <is>
          <t>626 ĐPTM.pdf</t>
        </is>
      </c>
      <c r="B543" s="95" t="inlineStr">
        <is>
          <t>542</t>
        </is>
      </c>
      <c r="C543" s="94" t="inlineStr">
        <is>
          <t>我们需要确认合同的合同变更和修改条款。</t>
        </is>
      </c>
      <c r="D543" s="94" t="inlineStr">
        <is>
          <t>Chúng tôi cần xác nhận các điều khoản về thay đổi và sửa đổi hợp đồng. Wǒmen xūyào quèrèn hétóng de hétóng biàngēng hé xiūgǎi tiáokuǎn.</t>
        </is>
      </c>
      <c r="E543" s="94" t="inlineStr">
        <is>
          <t>542 我们需要确认 合同的合同变 更和修改条款。 Chúng tôi cần xác nhận các điều khoản về thay đổi và sửa đổi hợp đồng. Wǒmen xūyào quèrèn hétóng de hétóng biàngēng hé xiūgǎi tiáokuǎn.</t>
        </is>
      </c>
      <c r="F543" s="115">
        <f>HYPERLINK("https://youglish.com/pronounce/我们需要确认合同的合同变更和修改条款/chinese","🔍")</f>
        <v/>
      </c>
    </row>
    <row r="544" ht="57" customHeight="1" s="99">
      <c r="A544" s="92" t="inlineStr">
        <is>
          <t>626 ĐPTM.pdf</t>
        </is>
      </c>
      <c r="B544" s="93" t="inlineStr">
        <is>
          <t>543</t>
        </is>
      </c>
      <c r="C544" s="92" t="inlineStr">
        <is>
          <t>您能否为我们提供更多的市场营销和数字化转型咨询服务？</t>
        </is>
      </c>
      <c r="D544" s="92" t="inlineStr">
        <is>
          <t>Có thể cho chúng tôi cung cấp thêm dịch vụ tư vấn chiến lược tiếp thị và chuyển đổi số không? Nín néng fǒu wèi wǒmen tígōng gèng duō de shìchǎng yíngxiāo hé shùzìhuà zhuǎnxíng zīxún fúwù?</t>
        </is>
      </c>
      <c r="E544" s="92" t="inlineStr">
        <is>
          <t>543 您能否为我们 提供更多的市 场营销和数字 化转型咨询服 务？ Có thể cho chúng tôi cung cấp thêm dịch vụ tư vấn chiến lược tiếp thị và chuyển đổi số không? Nín néng fǒu wèi wǒmen tígōng gèng duō de shìchǎng yíngxiāo hé shùzìhuà zhuǎnxíng zīxún fúwù?</t>
        </is>
      </c>
      <c r="F544" s="114">
        <f>HYPERLINK("https://youglish.com/pronounce/您能否为我们提供更多的市场营销和数字化转型咨询服务/chinese","🔍")</f>
        <v/>
      </c>
    </row>
    <row r="545" ht="42.75" customHeight="1" s="99">
      <c r="A545" s="94" t="inlineStr">
        <is>
          <t>626 ĐPTM.pdf</t>
        </is>
      </c>
      <c r="B545" s="95" t="inlineStr">
        <is>
          <t>544</t>
        </is>
      </c>
      <c r="C545" s="94" t="inlineStr">
        <is>
          <t>我们需要对产品的市场趋势和前景进行商议。</t>
        </is>
      </c>
      <c r="D545" s="94" t="inlineStr">
        <is>
          <t>Chúng tôi cần thảo luận về xu hướng và triển vọng thị trường sản phẩm. Wǒmen xūyào duì chǎnpǐn de shìchǎng qūshì hé qiánjǐng jìnxíng shāngyì.</t>
        </is>
      </c>
      <c r="E545" s="94" t="inlineStr">
        <is>
          <t>544 我们需要对产 品的市场趋势 和前景进行商 议。 Chúng tôi cần thảo luận về xu hướng và triển vọng thị trường sản phẩm. Wǒmen xūyào duì chǎnpǐn de shìchǎng qūshì hé qiánjǐng jìnxíng shāngyì.</t>
        </is>
      </c>
      <c r="F545" s="115">
        <f>HYPERLINK("https://youglish.com/pronounce/我们需要对产品的市场趋势和前景进行商议/chinese","🔍")</f>
        <v/>
      </c>
    </row>
    <row r="546" ht="57" customHeight="1" s="99">
      <c r="A546" s="92" t="inlineStr">
        <is>
          <t>626 ĐPTM.pdf</t>
        </is>
      </c>
      <c r="B546" s="93" t="inlineStr">
        <is>
          <t>545</t>
        </is>
      </c>
      <c r="C546" s="92" t="inlineStr">
        <is>
          <t>我们需要确认合同的知识产权和技术转让条款。</t>
        </is>
      </c>
      <c r="D546" s="92" t="inlineStr">
        <is>
          <t>Chúng tôi cần xác nhận các điều khoản về quyền sở hữu trí tuệ và chuyển giao công nghệ trong hợp đồng. Wǒmen xūyào quèrèn hétóng de zhīshì chǎnquán hé jìshù zhuǎnràng tiáokuǎn.</t>
        </is>
      </c>
      <c r="E546" s="92" t="inlineStr">
        <is>
          <t>545 我们需要确认 合同的知识产 权和技术转让 条款。 Chúng tôi cần xác nhận các điều khoản về quyền sở hữu trí tuệ và chuyển giao công nghệ trong hợp đồng. Wǒmen xūyào quèrèn hétóng de zhīshì chǎnquán hé jìshù zhuǎnràng tiáokuǎn.</t>
        </is>
      </c>
      <c r="F546" s="114">
        <f>HYPERLINK("https://youglish.com/pronounce/我们需要确认合同的知识产权和技术转让条款/chinese","🔍")</f>
        <v/>
      </c>
    </row>
    <row r="547" ht="57" customHeight="1" s="99">
      <c r="A547" s="94" t="inlineStr">
        <is>
          <t>626 ĐPTM.pdf</t>
        </is>
      </c>
      <c r="B547" s="95" t="inlineStr">
        <is>
          <t>546</t>
        </is>
      </c>
      <c r="C547" s="94" t="inlineStr">
        <is>
          <t>您能否为我们提供更多的市场营销和数字化品牌推广咨询服务？</t>
        </is>
      </c>
      <c r="D547" s="94" t="inlineStr">
        <is>
          <t>Có thể cho chúng tôi cung cấp thêm dịch vụ tư vấn quản lý thương hiệu và quảng bá số không? Nín néng fǒu wèi wǒmen tígōng gèng duō de shìchǎng yíngxiāo hé shùzìhuà pǐnpái tuīguǎng zīxún fúwù?</t>
        </is>
      </c>
      <c r="E547" s="94" t="inlineStr">
        <is>
          <t>546 您能否为我们 提供更多的市 场营销和数字 化品牌推广咨 询服务？ Có thể cho chúng tôi cung cấp thêm dịch vụ tư vấn quản lý thương hiệu và quảng bá số không? Nín néng fǒu wèi wǒmen tígōng gèng duō de shìchǎng yíngxiāo hé shùzìhuà pǐnpái tuīguǎng zīxún fúwù?</t>
        </is>
      </c>
      <c r="F547" s="115">
        <f>HYPERLINK("https://youglish.com/pronounce/您能否为我们提供更多的市场营销和数字化品牌推广咨询服务/chinese","🔍")</f>
        <v/>
      </c>
    </row>
    <row r="548" ht="57" customHeight="1" s="99">
      <c r="A548" s="92" t="inlineStr">
        <is>
          <t>626 ĐPTM.pdf</t>
        </is>
      </c>
      <c r="B548" s="93" t="inlineStr">
        <is>
          <t>547</t>
        </is>
      </c>
      <c r="C548" s="92" t="inlineStr">
        <is>
          <t>我们需要对产品的促销策略和营销计划进行商议。</t>
        </is>
      </c>
      <c r="D548" s="92" t="inlineStr">
        <is>
          <t>Chúng tôi cần thảo luận về chiến lược khuyến mãi và kế hoạch tiếp thị sản phẩm. Wǒmen xūyào duì chǎnpǐn de cùxiāo cèlüè hé yíngxiāo jìhuà jìnxíng shāngyì.</t>
        </is>
      </c>
      <c r="E548" s="92" t="inlineStr">
        <is>
          <t>547 我们需要对产 品的促销策略 和营销计划进 行商议。 Chúng tôi cần thảo luận về chiến lược khuyến mãi và kế hoạch tiếp thị sản phẩm. Wǒmen xūyào duì chǎnpǐn de cùxiāo cèlüè hé yíngxiāo jìhuà jìnxíng shāngyì.</t>
        </is>
      </c>
      <c r="F548" s="114">
        <f>HYPERLINK("https://youglish.com/pronounce/我们需要对产品的促销策略和营销计划进行商议/chinese","🔍")</f>
        <v/>
      </c>
    </row>
    <row r="549" ht="57" customHeight="1" s="99">
      <c r="A549" s="94" t="inlineStr">
        <is>
          <t>626 ĐPTM.pdf</t>
        </is>
      </c>
      <c r="B549" s="95" t="inlineStr">
        <is>
          <t>548</t>
        </is>
      </c>
      <c r="C549" s="94" t="inlineStr">
        <is>
          <t>我们需要确认合同的法律适用和管辖条款。</t>
        </is>
      </c>
      <c r="D549" s="94" t="inlineStr">
        <is>
          <t>Chúng tôi cần xác nhận các điều khoản về áp dụng pháp luật và thẩm quyền giải quyết tranh chấp trong hợp đồng. Wǒmen xūyào quèrèn hétóng de fǎlǜ shìyòng hé guǎnxiá tiáokuǎn.</t>
        </is>
      </c>
      <c r="E549" s="94" t="inlineStr">
        <is>
          <t>548 我们需要确认 合同的法律适 用和管辖条 款。 Chúng tôi cần xác nhận các điều khoản về áp dụng pháp luật và thẩm quyền giải quyết tranh chấp trong hợp đồng. Wǒmen xūyào quèrèn hétóng de fǎlǜ shìyòng hé guǎnxiá tiáokuǎn.</t>
        </is>
      </c>
      <c r="F549" s="115">
        <f>HYPERLINK("https://youglish.com/pronounce/我们需要确认合同的法律适用和管辖条款/chinese","🔍")</f>
        <v/>
      </c>
    </row>
    <row r="550" ht="57" customHeight="1" s="99">
      <c r="A550" s="92" t="inlineStr">
        <is>
          <t>626 ĐPTM.pdf</t>
        </is>
      </c>
      <c r="B550" s="93" t="inlineStr">
        <is>
          <t>549</t>
        </is>
      </c>
      <c r="C550" s="92" t="inlineStr">
        <is>
          <t>您能否为我们提供更多的市场营销和数字化营销趋势分析报告？</t>
        </is>
      </c>
      <c r="D550" s="92" t="inlineStr">
        <is>
          <t>Có thể cho chúng tôi cung cấp thêm báo cáo phân tích xu hướng tiếp thị và chuyển đổi số không? Nín néng fǒu wèi wǒmen tígōng gèng duō de shìchǎng yíngxiāo hé shùzìhuà yíngxiāo qūshì fēnxī bàogào?</t>
        </is>
      </c>
      <c r="E550" s="92" t="inlineStr">
        <is>
          <t>549 您能否为我们 提供更多的市 场营销和数字 化营销趋势分 析报告？ Có thể cho chúng tôi cung cấp thêm báo cáo phân tích xu hướng tiếp thị và chuyển đổi số không? Nín néng fǒu wèi wǒmen tígōng gèng duō de shìchǎng yíngxiāo hé shùzìhuà yíngxiāo qūshì fēnxī bàogào?</t>
        </is>
      </c>
      <c r="F550" s="114">
        <f>HYPERLINK("https://youglish.com/pronounce/您能否为我们提供更多的市场营销和数字化营销趋势分析报告/chinese","🔍")</f>
        <v/>
      </c>
    </row>
    <row r="551" ht="42.75" customHeight="1" s="99">
      <c r="A551" s="94" t="inlineStr">
        <is>
          <t>626 ĐPTM.pdf</t>
        </is>
      </c>
      <c r="B551" s="95" t="inlineStr">
        <is>
          <t>550</t>
        </is>
      </c>
      <c r="C551" s="94" t="inlineStr">
        <is>
          <t>我们需要对产品的市场份额和销售额进行商议。</t>
        </is>
      </c>
      <c r="D551" s="94" t="inlineStr">
        <is>
          <t>Chúng tôi cần thảo luận về thị phần và doanh số sản phẩm. Wǒmen xūyào duì chǎnpǐn de shìchǎng fèn'é hé xiāoshòu é jìnxíng shāngyì.</t>
        </is>
      </c>
      <c r="E551" s="94" t="inlineStr">
        <is>
          <t>550 我们需要对产 品的市场份额 和销售额进行 商议。 Chúng tôi cần thảo luận về thị phần và doanh số sản phẩm. Wǒmen xūyào duì chǎnpǐn de shìchǎng fèn'é hé xiāoshòu é jìnxíng shāngyì.</t>
        </is>
      </c>
      <c r="F551" s="115">
        <f>HYPERLINK("https://youglish.com/pronounce/我们需要对产品的市场份额和销售额进行商议/chinese","🔍")</f>
        <v/>
      </c>
    </row>
    <row r="552" ht="42.75" customHeight="1" s="99">
      <c r="A552" s="92" t="inlineStr">
        <is>
          <t>626 ĐPTM.pdf</t>
        </is>
      </c>
      <c r="B552" s="93" t="inlineStr">
        <is>
          <t>551</t>
        </is>
      </c>
      <c r="C552" s="92" t="inlineStr">
        <is>
          <t>我们需要确认合同的保密和保护条款。</t>
        </is>
      </c>
      <c r="D552" s="92" t="inlineStr">
        <is>
          <t>Chúng tôi cần xác nhận các điều khoản về bảo mật và bảo vệ trong hợp đồng. Wǒmen xūyào quèrèn hétóng de bǎomì hé bǎohù tiáokuǎn.</t>
        </is>
      </c>
      <c r="E552" s="92" t="inlineStr">
        <is>
          <t>551 我们需要确认 合同的保密和 保护条款。 Chúng tôi cần xác nhận các điều khoản về bảo mật và bảo vệ trong hợp đồng. Wǒmen xūyào quèrèn hétóng de bǎomì hé bǎohù tiáokuǎn.</t>
        </is>
      </c>
      <c r="F552" s="114">
        <f>HYPERLINK("https://youglish.com/pronounce/我们需要确认合同的保密和保护条款/chinese","🔍")</f>
        <v/>
      </c>
    </row>
    <row r="553" ht="57" customHeight="1" s="99">
      <c r="A553" s="94" t="inlineStr">
        <is>
          <t>626 ĐPTM.pdf</t>
        </is>
      </c>
      <c r="B553" s="95" t="inlineStr">
        <is>
          <t>552</t>
        </is>
      </c>
      <c r="C553" s="94" t="inlineStr">
        <is>
          <t>您能否为我们提供更多的市场营销和数字化品牌管理咨询服务？</t>
        </is>
      </c>
      <c r="D553" s="94" t="inlineStr">
        <is>
          <t>Có thể cho chúng tôi cung cấp thêm dịch vụ tư vấn quản lý thương hiệu và chuyển đổi số không? Nín néng fǒu wèi wǒmen tígōng gèng duō de shìchǎng yíngxiāo hé shùzìhuà pǐnpái guǎnlǐ zīxún fúwù?</t>
        </is>
      </c>
      <c r="E553" s="94" t="inlineStr">
        <is>
          <t>552 您能否为我们 提供更多的市 场营销和数字 化品牌管理咨 询服务？ Có thể cho chúng tôi cung cấp thêm dịch vụ tư vấn quản lý thương hiệu và chuyển đổi số không? Nín néng fǒu wèi wǒmen tígōng gèng duō de shìchǎng yíngxiāo hé shùzìhuà pǐnpái guǎnlǐ zīxún fúwù?</t>
        </is>
      </c>
      <c r="F553" s="115">
        <f>HYPERLINK("https://youglish.com/pronounce/您能否为我们提供更多的市场营销和数字化品牌管理咨询服务/chinese","🔍")</f>
        <v/>
      </c>
    </row>
    <row r="554" ht="57" customHeight="1" s="99">
      <c r="A554" s="92" t="inlineStr">
        <is>
          <t>626 ĐPTM.pdf</t>
        </is>
      </c>
      <c r="B554" s="93" t="inlineStr">
        <is>
          <t>553</t>
        </is>
      </c>
      <c r="C554" s="92" t="inlineStr">
        <is>
          <t>我们需要对产品的市场需求和用户行为进行商议。</t>
        </is>
      </c>
      <c r="D554" s="92" t="inlineStr">
        <is>
          <t>Chúng tôi cần thảo luận về nhu cầu thị trường và hành vi người dùng của sản phẩm. Wǒmen xūyào duì chǎnpǐn de shìchǎng xūqiú hé yònghù xíngwéi jìnxíng shāngyì.</t>
        </is>
      </c>
      <c r="E554" s="92" t="inlineStr">
        <is>
          <t>553 我们需要对产 品的市场需求 和用户行为进 行商议。 Chúng tôi cần thảo luận về nhu cầu thị trường và hành vi người dùng của sản phẩm. Wǒmen xūyào duì chǎnpǐn de shìchǎng xūqiú hé yònghù xíngwéi jìnxíng shāngyì.</t>
        </is>
      </c>
      <c r="F554" s="114">
        <f>HYPERLINK("https://youglish.com/pronounce/我们需要对产品的市场需求和用户行为进行商议/chinese","🔍")</f>
        <v/>
      </c>
    </row>
    <row r="555" ht="42.75" customHeight="1" s="99">
      <c r="A555" s="94" t="inlineStr">
        <is>
          <t>626 ĐPTM.pdf</t>
        </is>
      </c>
      <c r="B555" s="95" t="inlineStr">
        <is>
          <t>554</t>
        </is>
      </c>
      <c r="C555" s="94" t="inlineStr">
        <is>
          <t>我们需要确认合同的终止和解除条款。</t>
        </is>
      </c>
      <c r="D555" s="94" t="inlineStr">
        <is>
          <t>Chúng tôi cần xác nhận các điều khoản về chấm dứt và hủy bỏ trong hợp đồng. Wǒmen xūyào quèrèn hétóng de zhōngzhǐ hé jiěchú tiáokuǎn.</t>
        </is>
      </c>
      <c r="E555" s="94" t="inlineStr">
        <is>
          <t>554 我们需要确认 合同的终止和 解除条款。 Chúng tôi cần xác nhận các điều khoản về chấm dứt và hủy bỏ trong hợp đồng. Wǒmen xūyào quèrèn hétóng de zhōngzhǐ hé jiěchú tiáokuǎn.</t>
        </is>
      </c>
      <c r="F555" s="115">
        <f>HYPERLINK("https://youglish.com/pronounce/我们需要确认合同的终止和解除条款/chinese","🔍")</f>
        <v/>
      </c>
    </row>
    <row r="556" ht="57" customHeight="1" s="99">
      <c r="A556" s="92" t="inlineStr">
        <is>
          <t>626 ĐPTM.pdf</t>
        </is>
      </c>
      <c r="B556" s="93" t="inlineStr">
        <is>
          <t>555</t>
        </is>
      </c>
      <c r="C556" s="92" t="inlineStr">
        <is>
          <t>您能否为我们提供更多的市场营销和数字化转型趋势分析报告？</t>
        </is>
      </c>
      <c r="D556" s="92" t="inlineStr">
        <is>
          <t>Có thể cho chúng tôi cung cấp thêm báo cáo phân tích xu hướng tiếp thị và chuyển đổi số không? Nín néng fǒu wèi wǒmen tígōng gèng duō de shìchǎng yíngxiāo hé shùzìhuà zhuǎnxíng qūshì fēnxī bàogào?</t>
        </is>
      </c>
      <c r="E556" s="92" t="inlineStr">
        <is>
          <t>555 您能否为我们 提供更多的市 场营销和数字 化转型趋势分 析报告？ Có thể cho chúng tôi cung cấp thêm báo cáo phân tích xu hướng tiếp thị và chuyển đổi số không? Nín néng fǒu wèi wǒmen tígōng gèng duō de shìchǎng yíngxiāo hé shùzìhuà zhuǎnxíng qūshì fēnxī bàogào?</t>
        </is>
      </c>
      <c r="F556" s="114">
        <f>HYPERLINK("https://youglish.com/pronounce/您能否为我们提供更多的市场营销和数字化转型趋势分析报告/chinese","🔍")</f>
        <v/>
      </c>
    </row>
    <row r="557" ht="57" customHeight="1" s="99">
      <c r="A557" s="94" t="inlineStr">
        <is>
          <t>626 ĐPTM.pdf</t>
        </is>
      </c>
      <c r="B557" s="95" t="inlineStr">
        <is>
          <t>556</t>
        </is>
      </c>
      <c r="C557" s="94" t="inlineStr">
        <is>
          <t>我们需要对产品的市场定位和营销策略进行商议。</t>
        </is>
      </c>
      <c r="D557" s="94" t="inlineStr">
        <is>
          <t>Chúng tôi cần thảo luận về định vị thị trường và chiến lược tiếp thị sản phẩm. Wǒmen xūyào duì chǎnpǐn de shìchǎng dìngwèi hé yíngxiāo cèlüè jìnxíng shāngyì.</t>
        </is>
      </c>
      <c r="E557" s="94" t="inlineStr">
        <is>
          <t>556 我们需要对产 品的市场定位 和营销策略进 行商议。 Chúng tôi cần thảo luận về định vị thị trường và chiến lược tiếp thị sản phẩm. Wǒmen xūyào duì chǎnpǐn de shìchǎng dìngwèi hé yíngxiāo cèlüè jìnxíng shāngyì.</t>
        </is>
      </c>
      <c r="F557" s="115">
        <f>HYPERLINK("https://youglish.com/pronounce/我们需要对产品的市场定位和营销策略进行商议/chinese","🔍")</f>
        <v/>
      </c>
    </row>
    <row r="558" ht="57" customHeight="1" s="99">
      <c r="A558" s="92" t="inlineStr">
        <is>
          <t>626 ĐPTM.pdf</t>
        </is>
      </c>
      <c r="B558" s="93" t="inlineStr">
        <is>
          <t>557</t>
        </is>
      </c>
      <c r="C558" s="92" t="inlineStr">
        <is>
          <t>我们需要确认合同的知识产权保护和维护责任条款。</t>
        </is>
      </c>
      <c r="D558" s="92" t="inlineStr">
        <is>
          <t>Chúng tôi cần xác nhận các điều khoản về bảo vệ và chịu trách nhiệm về quyền sở hữu trí tuệ trong hợp đồng. Wǒmen xūyào quèrèn hétóng de zhīshì chǎnquán bǎohù hé wéihù zérèn tiáokuǎn.</t>
        </is>
      </c>
      <c r="E558" s="92" t="inlineStr">
        <is>
          <t>557 我们需要确认 合同的知识产 权保护和维护 责任条款。 Chúng tôi cần xác nhận các điều khoản về bảo vệ và chịu trách nhiệm về quyền sở hữu trí tuệ trong hợp đồng. Wǒmen xūyào quèrèn hétóng de zhīshì chǎnquán bǎohù hé wéihù zérèn tiáokuǎn.</t>
        </is>
      </c>
      <c r="F558" s="114">
        <f>HYPERLINK("https://youglish.com/pronounce/我们需要确认合同的知识产权保护和维护责任条款/chinese","🔍")</f>
        <v/>
      </c>
    </row>
    <row r="559" ht="57" customHeight="1" s="99">
      <c r="A559" s="94" t="inlineStr">
        <is>
          <t>626 ĐPTM.pdf</t>
        </is>
      </c>
      <c r="B559" s="95" t="inlineStr">
        <is>
          <t>558</t>
        </is>
      </c>
      <c r="C559" s="94" t="inlineStr">
        <is>
          <t>您能否为我们提供更多的市场营销和数字化品牌建设咨询服务？</t>
        </is>
      </c>
      <c r="D559" s="94" t="inlineStr">
        <is>
          <t>Có thể cho chúng tôi cung cấp thêm dịch vụ tư vấn quản lý thương hiệu và xây dựng số không? Nín néng fǒu wèi wǒmen tígōng gèng duō de shìchǎng yíngxiāo hé shùzìhuà pǐnpái jiànshè zīxún fúwù?</t>
        </is>
      </c>
      <c r="E559" s="94" t="inlineStr">
        <is>
          <t>558 您能否为我们 提供更多的市 场营销和数字 化品牌建设咨 询服务？ Có thể cho chúng tôi cung cấp thêm dịch vụ tư vấn quản lý thương hiệu và xây dựng số không? Nín néng fǒu wèi wǒmen tígōng gèng duō de shìchǎng yíngxiāo hé shùzìhuà pǐnpái jiànshè zīxún fúwù?</t>
        </is>
      </c>
      <c r="F559" s="115">
        <f>HYPERLINK("https://youglish.com/pronounce/您能否为我们提供更多的市场营销和数字化品牌建设咨询服务/chinese","🔍")</f>
        <v/>
      </c>
    </row>
    <row r="560" ht="57" customHeight="1" s="99">
      <c r="A560" s="92" t="inlineStr">
        <is>
          <t>626 ĐPTM.pdf</t>
        </is>
      </c>
      <c r="B560" s="93" t="inlineStr">
        <is>
          <t>559</t>
        </is>
      </c>
      <c r="C560" s="92" t="inlineStr">
        <is>
          <t>我们需要对产品的市场研究和竞争分析进行商议。</t>
        </is>
      </c>
      <c r="D560" s="92" t="inlineStr">
        <is>
          <t>Chúng tôi cần thảo luận về nghiên cứu thị trường và phân tích cạnh tranh của sản phẩm. Wǒmen xūyào duì chǎnpǐn de shìchǎng yánjiū hé jìngzhēng fēnxī jìnxíng shāngyì.</t>
        </is>
      </c>
      <c r="E560" s="92" t="inlineStr">
        <is>
          <t>559 我们需要对产 品的市场研究 和竞争分析进 行商议。 Chúng tôi cần thảo luận về nghiên cứu thị trường và phân tích cạnh tranh của sản phẩm. Wǒmen xūyào duì chǎnpǐn de shìchǎng yánjiū hé jìngzhēng fēnxī jìnxíng shāngyì.</t>
        </is>
      </c>
      <c r="F560" s="114">
        <f>HYPERLINK("https://youglish.com/pronounce/我们需要对产品的市场研究和竞争分析进行商议/chinese","🔍")</f>
        <v/>
      </c>
    </row>
    <row r="561" ht="57" customHeight="1" s="99">
      <c r="A561" s="94" t="inlineStr">
        <is>
          <t>626 ĐPTM.pdf</t>
        </is>
      </c>
      <c r="B561" s="95" t="inlineStr">
        <is>
          <t>560</t>
        </is>
      </c>
      <c r="C561" s="94" t="inlineStr">
        <is>
          <t>您能否为我们提供更多的市场营销和数字化营销推广咨询服务？</t>
        </is>
      </c>
      <c r="D561" s="94" t="inlineStr">
        <is>
          <t>Có thể cho chúng tôi cung cấp thêm dịch vụ tư vấn quảng bá và tiếp thị số không? Nín néng fǒu wèi wǒmen tígōng gèng duō de shìchǎng yíngxiāo hé shùzìhuà yíngxiāo tuīguǎng zīxún fúwù?</t>
        </is>
      </c>
      <c r="E561" s="94" t="inlineStr">
        <is>
          <t>560 您能否为我们 提供更多的市 场营销和数字 化营销推广咨 询服务？ Có thể cho chúng tôi cung cấp thêm dịch vụ tư vấn quảng bá và tiếp thị số không? Nín néng fǒu wèi wǒmen tígōng gèng duō de shìchǎng yíngxiāo hé shùzìhuà yíngxiāo tuīguǎng zīxún fúwù?</t>
        </is>
      </c>
      <c r="F561" s="115">
        <f>HYPERLINK("https://youglish.com/pronounce/您能否为我们提供更多的市场营销和数字化营销推广咨询服务/chinese","🔍")</f>
        <v/>
      </c>
    </row>
    <row r="562" ht="57" customHeight="1" s="99">
      <c r="A562" s="92" t="inlineStr">
        <is>
          <t>626 ĐPTM.pdf</t>
        </is>
      </c>
      <c r="B562" s="93" t="inlineStr">
        <is>
          <t>561</t>
        </is>
      </c>
      <c r="C562" s="92" t="inlineStr">
        <is>
          <t>我们需要对产品的销售渠道和销售方式进行商议。</t>
        </is>
      </c>
      <c r="D562" s="92" t="inlineStr">
        <is>
          <t>Chúng tôi cần thảo luận về kênh bán hàng và phương thức bán hàng của sản phẩm. Wǒmen xūyào duì chǎnpǐn de xiāoshòu qúdào hé xiāoshòu fāngshì jìnxíng shāngyì.</t>
        </is>
      </c>
      <c r="E562" s="92" t="inlineStr">
        <is>
          <t>561 我们需要对产 品的销售渠道 和销售方式进 行商议。 Chúng tôi cần thảo luận về kênh bán hàng và phương thức bán hàng của sản phẩm. Wǒmen xūyào duì chǎnpǐn de xiāoshòu qúdào hé xiāoshòu fāngshì jìnxíng shāngyì.</t>
        </is>
      </c>
      <c r="F562" s="114">
        <f>HYPERLINK("https://youglish.com/pronounce/我们需要对产品的销售渠道和销售方式进行商议/chinese","🔍")</f>
        <v/>
      </c>
    </row>
    <row r="563" ht="42.75" customHeight="1" s="99">
      <c r="A563" s="94" t="inlineStr">
        <is>
          <t>626 ĐPTM.pdf</t>
        </is>
      </c>
      <c r="B563" s="95" t="inlineStr">
        <is>
          <t>562</t>
        </is>
      </c>
      <c r="C563" s="94" t="inlineStr">
        <is>
          <t>我们需要确认合同的风险管理和控制条款。</t>
        </is>
      </c>
      <c r="D563" s="94" t="inlineStr">
        <is>
          <t>Chúng tôi cần xác nhận các điều khoản quản lý và kiểm soát rủi ro trong hợp đồng. Wǒmen xūyào quèrèn hétóng de fēngxiǎn guǎnlǐ hé kòngzhì tiáokuǎn.</t>
        </is>
      </c>
      <c r="E563" s="94" t="inlineStr">
        <is>
          <t>562 我们需要确认 合同的风险管 理和控制条款。 Chúng tôi cần xác nhận các điều khoản quản lý và kiểm soát rủi ro trong hợp đồng. Wǒmen xūyào quèrèn hétóng de fēngxiǎn guǎnlǐ hé kòngzhì tiáokuǎn.</t>
        </is>
      </c>
      <c r="F563" s="115">
        <f>HYPERLINK("https://youglish.com/pronounce/我们需要确认合同的风险管理和控制条款/chinese","🔍")</f>
        <v/>
      </c>
    </row>
    <row r="564" ht="71.25" customHeight="1" s="99">
      <c r="A564" s="92" t="inlineStr">
        <is>
          <t>626 ĐPTM.pdf</t>
        </is>
      </c>
      <c r="B564" s="93" t="inlineStr">
        <is>
          <t>563</t>
        </is>
      </c>
      <c r="C564" s="92" t="inlineStr">
        <is>
          <t>您能否为我们提供更多的市场营销和数字化品牌推广创意咨询服务？</t>
        </is>
      </c>
      <c r="D564" s="92" t="inlineStr">
        <is>
          <t>Liệu bạn có thể cung cấp cho chúng tôi thêm dịch vụ tư vấn tiếp thị và xây dựng thương hiệu số sáng tạo? Nín néng fǒu wèi wǒmen tígōng gèng duō de shìchǎng yíngxiāo hé shùzìhuà pǐnpái tuīguǎng chuàngyì zīxún fúwù?</t>
        </is>
      </c>
      <c r="E564" s="92" t="inlineStr">
        <is>
          <t>563 您能否为我们 提供更多的市 场营销和数字 化品牌推广创 意咨询服务？ Liệu bạn có thể cung cấp cho chúng tôi thêm dịch vụ tư vấn tiếp thị và xây dựng thương hiệu số sáng tạo? Nín néng fǒu wèi wǒmen tígōng gèng duō de shìchǎng yíngxiāo hé shùzìhuà pǐnpái tuīguǎng chuàngyì zīxún fúwù?</t>
        </is>
      </c>
      <c r="F564" s="114">
        <f>HYPERLINK("https://youglish.com/pronounce/您能否为我们提供更多的市场营销和数字化品牌推广创意咨询服务/chinese","🔍")</f>
        <v/>
      </c>
    </row>
    <row r="565" ht="57" customHeight="1" s="99">
      <c r="A565" s="94" t="inlineStr">
        <is>
          <t>626 ĐPTM.pdf</t>
        </is>
      </c>
      <c r="B565" s="95" t="inlineStr">
        <is>
          <t>564</t>
        </is>
      </c>
      <c r="C565" s="94" t="inlineStr">
        <is>
          <t>我们需要对产品的市场份额和品牌知名度进行商议。</t>
        </is>
      </c>
      <c r="D565" s="94" t="inlineStr">
        <is>
          <t>Chúng tôi cần thảo luận về thị phần và độ nổi tiếng của thương hiệu sản phẩm. Wǒmen xūyào duì chǎnpǐn de shìchǎng fèn'é hé pǐnpái zhīmíngdù jìnxíng shāngyì.</t>
        </is>
      </c>
      <c r="E565" s="94" t="inlineStr">
        <is>
          <t>564 我们需要对产 品的市场份额 和品牌知名度 进行商议。 Chúng tôi cần thảo luận về thị phần và độ nổi tiếng của thương hiệu sản phẩm. Wǒmen xūyào duì chǎnpǐn de shìchǎng fèn'é hé pǐnpái zhīmíngdù jìnxíng shāngyì.</t>
        </is>
      </c>
      <c r="F565" s="115">
        <f>HYPERLINK("https://youglish.com/pronounce/我们需要对产品的市场份额和品牌知名度进行商议/chinese","🔍")</f>
        <v/>
      </c>
    </row>
    <row r="566" ht="57" customHeight="1" s="99">
      <c r="A566" s="92" t="inlineStr">
        <is>
          <t>626 ĐPTM.pdf</t>
        </is>
      </c>
      <c r="B566" s="93" t="inlineStr">
        <is>
          <t>565</t>
        </is>
      </c>
      <c r="C566" s="92" t="inlineStr">
        <is>
          <t>我们需要确认合同的违约金和赔偿责任条款。</t>
        </is>
      </c>
      <c r="D566" s="92" t="inlineStr">
        <is>
          <t>Chúng tôi cần xác nhận các điều khoản về tiền phạt vi phạm và trách nhiệm bồi thường trong hợp đồng. Wǒmen xūyào quèrèn hétóng de wéiyuē jīn hé péicháng zérèn tiáokuǎn.</t>
        </is>
      </c>
      <c r="E566" s="92" t="inlineStr">
        <is>
          <t>565 我们需要确认 合同的违约金 和赔偿责任条 款。 Chúng tôi cần xác nhận các điều khoản về tiền phạt vi phạm và trách nhiệm bồi thường trong hợp đồng. Wǒmen xūyào quèrèn hétóng de wéiyuē jīn hé péicháng zérèn tiáokuǎn.</t>
        </is>
      </c>
      <c r="F566" s="114">
        <f>HYPERLINK("https://youglish.com/pronounce/我们需要确认合同的违约金和赔偿责任条款/chinese","🔍")</f>
        <v/>
      </c>
    </row>
    <row r="567" ht="71.25" customHeight="1" s="99">
      <c r="A567" s="94" t="inlineStr">
        <is>
          <t>626 ĐPTM.pdf</t>
        </is>
      </c>
      <c r="B567" s="95" t="inlineStr">
        <is>
          <t>566</t>
        </is>
      </c>
      <c r="C567" s="94" t="inlineStr">
        <is>
          <t>您能否为我们提供更多的市场营销和数字化转型创新咨询服务？</t>
        </is>
      </c>
      <c r="D567" s="94" t="inlineStr">
        <is>
          <t>Liệu bạn có thể cung cấp cho chúng tôi thêm dịch vụ tư vấn sáng tạo trong tiếp thị và chuyển đổi số? Nín néng fǒu wèi wǒmen tígōng gèng duō de shìchǎng yíngxiāo hé shùzìhuà zhuǎnxíng chuàngxīn zīxún fúwù?</t>
        </is>
      </c>
      <c r="E567" s="94" t="inlineStr">
        <is>
          <t>566 您能否为我们 提供更多的市 场营销和数字 化转型创新咨 询服务？ Liệu bạn có thể cung cấp cho chúng tôi thêm dịch vụ tư vấn sáng tạo trong tiếp thị và chuyển đổi số? Nín néng fǒu wèi wǒmen tígōng gèng duō de shìchǎng yíngxiāo hé shùzìhuà zhuǎnxíng chuàngxīn zīxún fúwù?</t>
        </is>
      </c>
      <c r="F567" s="115">
        <f>HYPERLINK("https://youglish.com/pronounce/您能否为我们提供更多的市场营销和数字化转型创新咨询服务/chinese","🔍")</f>
        <v/>
      </c>
    </row>
    <row r="568" ht="42.75" customHeight="1" s="99">
      <c r="A568" s="92" t="inlineStr">
        <is>
          <t>626 ĐPTM.pdf</t>
        </is>
      </c>
      <c r="B568" s="93" t="inlineStr">
        <is>
          <t>567</t>
        </is>
      </c>
      <c r="C568" s="92" t="inlineStr">
        <is>
          <t>我们需要对产品的市场趋势和前景进行商议。</t>
        </is>
      </c>
      <c r="D568" s="92" t="inlineStr">
        <is>
          <t>Chúng tôi cần thảo luận về xu hướng và triển vọng thị trường của sản phẩm. Wǒmen xūyào duì chǎnpǐn de shìchǎng qūshì hé qiánjǐng jìnxíng shāngyì.</t>
        </is>
      </c>
      <c r="E568" s="92" t="inlineStr">
        <is>
          <t>567 我们需要对产 品的市场趋势 和前景进行商 议。 Chúng tôi cần thảo luận về xu hướng và triển vọng thị trường của sản phẩm. Wǒmen xūyào duì chǎnpǐn de shìchǎng qūshì hé qiánjǐng jìnxíng shāngyì.</t>
        </is>
      </c>
      <c r="F568" s="114">
        <f>HYPERLINK("https://youglish.com/pronounce/我们需要对产品的市场趋势和前景进行商议/chinese","🔍")</f>
        <v/>
      </c>
    </row>
    <row r="569" ht="42.75" customHeight="1" s="99">
      <c r="A569" s="94" t="inlineStr">
        <is>
          <t>626 ĐPTM.pdf</t>
        </is>
      </c>
      <c r="B569" s="95" t="inlineStr">
        <is>
          <t>568</t>
        </is>
      </c>
      <c r="C569" s="94" t="inlineStr">
        <is>
          <t>我们需要确认合同的仲裁和诉讼条款。</t>
        </is>
      </c>
      <c r="D569" s="94" t="inlineStr">
        <is>
          <t>Chúng tôi cần xác nhận các điều khoản về trọng tài và kiện cáo trong hợp đồng. Wǒmen xūyào quèrèn hétóng de zhòngcái hé sùsòng tiáokuǎn.</t>
        </is>
      </c>
      <c r="E569" s="94" t="inlineStr">
        <is>
          <t>568 我们需要确认 合同的仲裁和 诉讼条款。 Chúng tôi cần xác nhận các điều khoản về trọng tài và kiện cáo trong hợp đồng. Wǒmen xūyào quèrèn hétóng de zhòngcái hé sùsòng tiáokuǎn.</t>
        </is>
      </c>
      <c r="F569" s="115">
        <f>HYPERLINK("https://youglish.com/pronounce/我们需要确认合同的仲裁和诉讼条款/chinese","🔍")</f>
        <v/>
      </c>
    </row>
    <row r="570" ht="71.25" customHeight="1" s="99">
      <c r="A570" s="92" t="inlineStr">
        <is>
          <t>626 ĐPTM.pdf</t>
        </is>
      </c>
      <c r="B570" s="93" t="inlineStr">
        <is>
          <t>569</t>
        </is>
      </c>
      <c r="C570" s="92" t="inlineStr">
        <is>
          <t>您能否为我们提供更多的市场营销和数字化营销推广策略分析报告？</t>
        </is>
      </c>
      <c r="D570" s="92" t="inlineStr">
        <is>
          <t>Liệu bạn có thể cung cấp cho chúng tôi thêm báo cáo phân tích chiến lược tiếp thị và quảng bá số hóa? Nín néng fǒu wèi wǒmen tígōng gèng duō de shìchǎng yíngxiāo hé shùzìhuà yíngxiāo tuīguǎng cèlüè fēnxī bàogào?</t>
        </is>
      </c>
      <c r="E570" s="92" t="inlineStr">
        <is>
          <t>569 您能否为我们 提供更多的市 场营销和数字 化营销推广策 略分析报告？ Liệu bạn có thể cung cấp cho chúng tôi thêm báo cáo phân tích chiến lược tiếp thị và quảng bá số hóa? Nín néng fǒu wèi wǒmen tígōng gèng duō de shìchǎng yíngxiāo hé shùzìhuà yíngxiāo tuīguǎng cèlüè fēnxī bàogào?</t>
        </is>
      </c>
      <c r="F570" s="114">
        <f>HYPERLINK("https://youglish.com/pronounce/您能否为我们提供更多的市场营销和数字化营销推广策略分析报告/chinese","🔍")</f>
        <v/>
      </c>
    </row>
    <row r="571" ht="57" customHeight="1" s="99">
      <c r="A571" s="94" t="inlineStr">
        <is>
          <t>626 ĐPTM.pdf</t>
        </is>
      </c>
      <c r="B571" s="95" t="inlineStr">
        <is>
          <t>570</t>
        </is>
      </c>
      <c r="C571" s="94" t="inlineStr">
        <is>
          <t>我们需要对产品的销售预测和市场需求进行商议。</t>
        </is>
      </c>
      <c r="D571" s="94" t="inlineStr">
        <is>
          <t>Chúng tôi cần thảo luận về dự đoán doanh số bán hàng và nhu cầu thị trường của sản phẩm. Wǒmen xūyào duì chǎnpǐn de xiāoshòu yùcè hé shìchǎng xūqiú jìnxíng shāngyì.</t>
        </is>
      </c>
      <c r="E571" s="94" t="inlineStr">
        <is>
          <t>570 我们需要对产 品的销售预测 和市场需求进 行商议。 Chúng tôi cần thảo luận về dự đoán doanh số bán hàng và nhu cầu thị trường của sản phẩm. Wǒmen xūyào duì chǎnpǐn de xiāoshòu yùcè hé shìchǎng xūqiú jìnxíng shāngyì.</t>
        </is>
      </c>
      <c r="F571" s="115">
        <f>HYPERLINK("https://youglish.com/pronounce/我们需要对产品的销售预测和市场需求进行商议/chinese","🔍")</f>
        <v/>
      </c>
    </row>
    <row r="572" ht="57" customHeight="1" s="99">
      <c r="A572" s="92" t="inlineStr">
        <is>
          <t>626 ĐPTM.pdf</t>
        </is>
      </c>
      <c r="B572" s="93" t="inlineStr">
        <is>
          <t>571</t>
        </is>
      </c>
      <c r="C572" s="92" t="inlineStr">
        <is>
          <t>我们需要确认合同的不可抗力和豁免条款。</t>
        </is>
      </c>
      <c r="D572" s="92" t="inlineStr">
        <is>
          <t>Chúng tôi cần xác nhận các điều khoản về trường hợp bất khả kháng và miễn trừ trách nhiệm trong hợp đồng. Wǒmen xūyào quèrèn hétóng de bùkěkànglì hé huòmiǎn tiáokuǎn.</t>
        </is>
      </c>
      <c r="E572" s="92" t="inlineStr">
        <is>
          <t>571 我们需要确认 合同的不可抗 力和豁免条款。 Chúng tôi cần xác nhận các điều khoản về trường hợp bất khả kháng và miễn trừ trách nhiệm trong hợp đồng. Wǒmen xūyào quèrèn hétóng de bùkěkànglì hé huòmiǎn tiáokuǎn.</t>
        </is>
      </c>
      <c r="F572" s="114">
        <f>HYPERLINK("https://youglish.com/pronounce/我们需要确认合同的不可抗力和豁免条款/chinese","🔍")</f>
        <v/>
      </c>
    </row>
    <row r="573" ht="71.25" customHeight="1" s="99">
      <c r="A573" s="94" t="inlineStr">
        <is>
          <t>626 ĐPTM.pdf</t>
        </is>
      </c>
      <c r="B573" s="95" t="inlineStr">
        <is>
          <t>572</t>
        </is>
      </c>
      <c r="C573" s="94" t="inlineStr">
        <is>
          <t>您能否为我们提供更多的市场营销和数字化品牌建设策略分析报告？</t>
        </is>
      </c>
      <c r="D573" s="94" t="inlineStr">
        <is>
          <t>Liệu bạn có thể cung cấp cho chúng tôi thêm báo cáo phân tích chiến lược xây dựng thương hiệu và kinh doanh số hóa? Nín néng fǒu wèi wǒmen tígōng gèng duō de shìchǎng yíngxiāo hé shùzìhuà pǐnpái jiànshè cèlüè fēnxī bàogào?</t>
        </is>
      </c>
      <c r="E573" s="94" t="inlineStr">
        <is>
          <t>572 您能否为我们 提供更多的市 场营销和数字 化品牌建设策 略分析报告？ Liệu bạn có thể cung cấp cho chúng tôi thêm báo cáo phân tích chiến lược xây dựng thương hiệu và kinh doanh số hóa? Nín néng fǒu wèi wǒmen tígōng gèng duō de shìchǎng yíngxiāo hé shùzìhuà pǐnpái jiànshè cèlüè fēnxī bàogào?</t>
        </is>
      </c>
      <c r="F573" s="115">
        <f>HYPERLINK("https://youglish.com/pronounce/您能否为我们提供更多的市场营销和数字化品牌建设策略分析报告/chinese","🔍")</f>
        <v/>
      </c>
    </row>
    <row r="574" ht="57" customHeight="1" s="99">
      <c r="A574" s="92" t="inlineStr">
        <is>
          <t>626 ĐPTM.pdf</t>
        </is>
      </c>
      <c r="B574" s="93" t="inlineStr">
        <is>
          <t>573</t>
        </is>
      </c>
      <c r="C574" s="92" t="inlineStr">
        <is>
          <t>我们需要对产品的市场调研和消费者洞察进行商议。</t>
        </is>
      </c>
      <c r="D574" s="92" t="inlineStr">
        <is>
          <t>Chúng tôi cần thảo luận về nghiên cứu thị trường và hiểu biết người tiêu dùng của sản phẩm. Wǒmen xūyào duì chǎnpǐn de shìchǎng tiáo yán hé xiāofèi zhě dòngchá jìnxíng shāngyì.</t>
        </is>
      </c>
      <c r="E574" s="92" t="inlineStr">
        <is>
          <t>573 我们需要对产 品的市场调研 和消费者洞察 进行商议。 Chúng tôi cần thảo luận về nghiên cứu thị trường và hiểu biết người tiêu dùng của sản phẩm. Wǒmen xūyào duì chǎnpǐn de shìchǎng tiáo yán hé xiāofèi zhě dòngchá jìnxíng shāngyì.</t>
        </is>
      </c>
      <c r="F574" s="114">
        <f>HYPERLINK("https://youglish.com/pronounce/我们需要对产品的市场调研和消费者洞察进行商议/chinese","🔍")</f>
        <v/>
      </c>
    </row>
    <row r="575" ht="42.75" customHeight="1" s="99">
      <c r="A575" s="94" t="inlineStr">
        <is>
          <t>626 ĐPTM.pdf</t>
        </is>
      </c>
      <c r="B575" s="95" t="inlineStr">
        <is>
          <t>574</t>
        </is>
      </c>
      <c r="C575" s="94" t="inlineStr">
        <is>
          <t>我们需要确认合同的合同解释和执行条款。</t>
        </is>
      </c>
      <c r="D575" s="94" t="inlineStr">
        <is>
          <t>Chúng tôi cần xác nhận các điều khoản về giải thích và thi hành hợp đồng. Wǒmen xūyào quèrèn hétóng de hétóng jiěshì hé zhíxíng tiáokuǎn.</t>
        </is>
      </c>
      <c r="E575" s="94" t="inlineStr">
        <is>
          <t>574 我们需要确认 合同的合同解 释和执行条 款。 Chúng tôi cần xác nhận các điều khoản về giải thích và thi hành hợp đồng. Wǒmen xūyào quèrèn hétóng de hétóng jiěshì hé zhíxíng tiáokuǎn.</t>
        </is>
      </c>
      <c r="F575" s="115">
        <f>HYPERLINK("https://youglish.com/pronounce/我们需要确认合同的合同解释和执行条款/chinese","🔍")</f>
        <v/>
      </c>
    </row>
    <row r="576" ht="71.25" customHeight="1" s="99">
      <c r="A576" s="92" t="inlineStr">
        <is>
          <t>626 ĐPTM.pdf</t>
        </is>
      </c>
      <c r="B576" s="93" t="inlineStr">
        <is>
          <t>575</t>
        </is>
      </c>
      <c r="C576" s="92" t="inlineStr">
        <is>
          <t>您能否为我们提供更多的市场营销和数字化转型创新策略分析报告？</t>
        </is>
      </c>
      <c r="D576" s="92" t="inlineStr">
        <is>
          <t>Liệu bạn có thể cung cấp cho chúng tôi thêm báo cáo phân tích chiến lược sáng tạo trong tiếp thị và chuyển đổi số? Nín néng fǒu wèi wǒmen tígōng gèng duō de shìchǎng yíngxiāo hé shùzìhuà zhuǎnxíng chuàngxīn cèlüè fēnxī bàogào?</t>
        </is>
      </c>
      <c r="E576" s="92" t="inlineStr">
        <is>
          <t>575 您能否为我们 提供更多的市 场营销和数字 化转型创新策 略分析报告？ Liệu bạn có thể cung cấp cho chúng tôi thêm báo cáo phân tích chiến lược sáng tạo trong tiếp thị và chuyển đổi số? Nín néng fǒu wèi wǒmen tígōng gèng duō de shìchǎng yíngxiāo hé shùzìhuà zhuǎnxíng chuàngxīn cèlüè fēnxī bàogào?</t>
        </is>
      </c>
      <c r="F576" s="114">
        <f>HYPERLINK("https://youglish.com/pronounce/您能否为我们提供更多的市场营销和数字化转型创新策略分析报告/chinese","🔍")</f>
        <v/>
      </c>
    </row>
    <row r="577" ht="57" customHeight="1" s="99">
      <c r="A577" s="94" t="inlineStr">
        <is>
          <t>626 ĐPTM.pdf</t>
        </is>
      </c>
      <c r="B577" s="95" t="inlineStr">
        <is>
          <t>576</t>
        </is>
      </c>
      <c r="C577" s="94" t="inlineStr">
        <is>
          <t>我们需要对产品的市场定位和竞争优势进行商议。</t>
        </is>
      </c>
      <c r="D577" s="94" t="inlineStr">
        <is>
          <t>Chúng tôi cần thảo luận về vị trí thị trường và ưu thế cạnh tranh của sản phẩm. Wǒmen xūyào duì chǎnpǐn de shìchǎng dìngwèi hé jìngzhēng yōushì jìnxíng shāngyì.</t>
        </is>
      </c>
      <c r="E577" s="94" t="inlineStr">
        <is>
          <t>576 我们需要对产 品的市场定位 和竞争优势进 行商议。 Chúng tôi cần thảo luận về vị trí thị trường và ưu thế cạnh tranh của sản phẩm. Wǒmen xūyào duì chǎnpǐn de shìchǎng dìngwèi hé jìngzhēng yōushì jìnxíng shāngyì.</t>
        </is>
      </c>
      <c r="F577" s="115">
        <f>HYPERLINK("https://youglish.com/pronounce/我们需要对产品的市场定位和竞争优势进行商议/chinese","🔍")</f>
        <v/>
      </c>
    </row>
    <row r="578" ht="42.75" customHeight="1" s="99">
      <c r="A578" s="92" t="inlineStr">
        <is>
          <t>626 ĐPTM.pdf</t>
        </is>
      </c>
      <c r="B578" s="93" t="inlineStr">
        <is>
          <t>577</t>
        </is>
      </c>
      <c r="C578" s="92" t="inlineStr">
        <is>
          <t>我们需要确认合同的付款和结算条款。</t>
        </is>
      </c>
      <c r="D578" s="92" t="inlineStr">
        <is>
          <t>Chúng tôi cần xác nhận các điều khoản về thanh toán và giải ngân trong hợp đồng. Wǒmen xūyào quèrèn hétóng de fùkuǎn hé jiésuàn tiáokuǎn.</t>
        </is>
      </c>
      <c r="E578" s="92" t="inlineStr">
        <is>
          <t>577 我们需要确认 合同的付款和 结算条款。 Chúng tôi cần xác nhận các điều khoản về thanh toán và giải ngân trong hợp đồng. Wǒmen xūyào quèrèn hétóng de fùkuǎn hé jiésuàn tiáokuǎn.</t>
        </is>
      </c>
      <c r="F578" s="114">
        <f>HYPERLINK("https://youglish.com/pronounce/我们需要确认合同的付款和结算条款/chinese","🔍")</f>
        <v/>
      </c>
    </row>
    <row r="579" ht="71.25" customHeight="1" s="99">
      <c r="A579" s="94" t="inlineStr">
        <is>
          <t>626 ĐPTM.pdf</t>
        </is>
      </c>
      <c r="B579" s="95" t="inlineStr">
        <is>
          <t>578</t>
        </is>
      </c>
      <c r="C579" s="94" t="inlineStr">
        <is>
          <t>您能否为我们提供更多的市场营销和数字化品牌管理策略分析报告？</t>
        </is>
      </c>
      <c r="D579" s="94" t="inlineStr">
        <is>
          <t>Bạn có thể cung cấp cho chúng tôi thêm các báo cáo phân tích chiến lược tiếp thị và quản lý thương hiệu kỹ thuật số không? Nín néng fǒu wèi wǒmen tígōng gèng duō de shìchǎng yíngxiāo hé shùzìhuà pǐnpái guǎnlǐ cèlüè fēnxī bàogào?</t>
        </is>
      </c>
      <c r="E579" s="94" t="inlineStr">
        <is>
          <t>578 您能否为我们 提供更多的市 场营销和数字 化品牌管理策 略分析报告？ Bạn có thể cung cấp cho chúng tôi thêm các báo cáo phân tích chiến lược tiếp thị và quản lý thương hiệu kỹ thuật số không? Nín néng fǒu wèi wǒmen tígōng gèng duō de shìchǎng yíngxiāo hé shùzìhuà pǐnpái guǎnlǐ cèlüè fēnxī bàogào?</t>
        </is>
      </c>
      <c r="F579" s="115">
        <f>HYPERLINK("https://youglish.com/pronounce/您能否为我们提供更多的市场营销和数字化品牌管理策略分析报告/chinese","🔍")</f>
        <v/>
      </c>
    </row>
    <row r="580" ht="42.75" customHeight="1" s="99">
      <c r="A580" s="92" t="inlineStr">
        <is>
          <t>626 ĐPTM.pdf</t>
        </is>
      </c>
      <c r="B580" s="93" t="inlineStr">
        <is>
          <t>579</t>
        </is>
      </c>
      <c r="C580" s="92" t="inlineStr">
        <is>
          <t>我们需要对产品的市场趋势和前景进行商议。</t>
        </is>
      </c>
      <c r="D580" s="92" t="inlineStr">
        <is>
          <t>Chúng tôi cần thảo luận về xu hướng và triển vọng thị trường sản phẩm. Wǒmen xūyào duì chǎnpǐn de shìchǎng qūshì hé qiánjǐng jìnxíng shāngyì.</t>
        </is>
      </c>
      <c r="E580" s="92" t="inlineStr">
        <is>
          <t>579 我们需要对产 品的市场趋势 和前景进行商 议。 Chúng tôi cần thảo luận về xu hướng và triển vọng thị trường sản phẩm. Wǒmen xūyào duì chǎnpǐn de shìchǎng qūshì hé qiánjǐng jìnxíng shāngyì.</t>
        </is>
      </c>
      <c r="F580" s="114">
        <f>HYPERLINK("https://youglish.com/pronounce/我们需要对产品的市场趋势和前景进行商议/chinese","🔍")</f>
        <v/>
      </c>
    </row>
    <row r="581" ht="57" customHeight="1" s="99">
      <c r="A581" s="94" t="inlineStr">
        <is>
          <t>626 ĐPTM.pdf</t>
        </is>
      </c>
      <c r="B581" s="95" t="inlineStr">
        <is>
          <t>580</t>
        </is>
      </c>
      <c r="C581" s="94" t="inlineStr">
        <is>
          <t>我们需要确认合同的保密和保护责任条款。</t>
        </is>
      </c>
      <c r="D581" s="94" t="inlineStr">
        <is>
          <t>Chúng tôi cần xác nhận các điều khoản quản lý rủi ro và trách nhiệm bảo vệ bí mật trong hợp đồng. Wǒmen xūyào quèrèn hétóng de bǎomì hé bǎohù zérèn tiáokuǎn.</t>
        </is>
      </c>
      <c r="E581" s="94" t="inlineStr">
        <is>
          <t>580 我们需要确认 合同的保密和 保护责任条 款。 Chúng tôi cần xác nhận các điều khoản quản lý rủi ro và trách nhiệm bảo vệ bí mật trong hợp đồng. Wǒmen xūyào quèrèn hétóng de bǎomì hé bǎohù zérèn tiáokuǎn.</t>
        </is>
      </c>
      <c r="F581" s="115">
        <f>HYPERLINK("https://youglish.com/pronounce/我们需要确认合同的保密和保护责任条款/chinese","🔍")</f>
        <v/>
      </c>
    </row>
    <row r="582" ht="57" customHeight="1" s="99">
      <c r="A582" s="92" t="inlineStr">
        <is>
          <t>626 ĐPTM.pdf</t>
        </is>
      </c>
      <c r="B582" s="93" t="inlineStr">
        <is>
          <t>581</t>
        </is>
      </c>
      <c r="C582" s="92" t="inlineStr">
        <is>
          <t>您能否为我们提供更多的市场营销和数字化营销趋势分析报告？</t>
        </is>
      </c>
      <c r="D582" s="92" t="inlineStr">
        <is>
          <t>Bạn có thể cung cấp cho chúng tôi thêm báo cáo phân tích xu hướng tiếp thị và kỹ thuật số không? Nín néng fǒu wèi wǒmen tígōng gèng duō de shìchǎng yíngxiāo hé shùzìhuà yíngxiāo qūshì fēnxī bàogào?</t>
        </is>
      </c>
      <c r="E582" s="92" t="inlineStr">
        <is>
          <t>581 您能否为我们 提供更多的市 场营销和数字 化营销趋势分 析报告？ Bạn có thể cung cấp cho chúng tôi thêm báo cáo phân tích xu hướng tiếp thị và kỹ thuật số không? Nín néng fǒu wèi wǒmen tígōng gèng duō de shìchǎng yíngxiāo hé shùzìhuà yíngxiāo qūshì fēnxī bàogào?</t>
        </is>
      </c>
      <c r="F582" s="114">
        <f>HYPERLINK("https://youglish.com/pronounce/您能否为我们提供更多的市场营销和数字化营销趋势分析报告/chinese","🔍")</f>
        <v/>
      </c>
    </row>
    <row r="583" ht="57" customHeight="1" s="99">
      <c r="A583" s="94" t="inlineStr">
        <is>
          <t>626 ĐPTM.pdf</t>
        </is>
      </c>
      <c r="B583" s="95" t="inlineStr">
        <is>
          <t>582</t>
        </is>
      </c>
      <c r="C583" s="94" t="inlineStr">
        <is>
          <t>我们需要对产品的销售渠道和推广策略进行商议。</t>
        </is>
      </c>
      <c r="D583" s="94" t="inlineStr">
        <is>
          <t>Chúng tôi cần thảo luận về kênh bán hàng và chiến lược quảng bá sản phẩm. Wǒmen xūyào duì chǎnpǐn de xiāoshòu qúdào hé tuīguǎng cèlüè jìnxíng shāngyì.</t>
        </is>
      </c>
      <c r="E583" s="94" t="inlineStr">
        <is>
          <t>582 我们需要对产 品的销售渠道 和推广策略进 行商议。 Chúng tôi cần thảo luận về kênh bán hàng và chiến lược quảng bá sản phẩm. Wǒmen xūyào duì chǎnpǐn de xiāoshòu qúdào hé tuīguǎng cèlüè jìnxíng shāngyì.</t>
        </is>
      </c>
      <c r="F583" s="115">
        <f>HYPERLINK("https://youglish.com/pronounce/我们需要对产品的销售渠道和推广策略进行商议/chinese","🔍")</f>
        <v/>
      </c>
    </row>
    <row r="584" ht="57" customHeight="1" s="99">
      <c r="A584" s="92" t="inlineStr">
        <is>
          <t>626 ĐPTM.pdf</t>
        </is>
      </c>
      <c r="B584" s="93" t="inlineStr">
        <is>
          <t>583</t>
        </is>
      </c>
      <c r="C584" s="92" t="inlineStr">
        <is>
          <t>我们需要确认合同的不可抗力和免责条款。</t>
        </is>
      </c>
      <c r="D584" s="92" t="inlineStr">
        <is>
          <t>Chúng tôi cần xác nhận các điều khoản về lực mạnh từ bên ngoài và miễn trừ trách nhiệm trong hợp đồng. Wǒmen xūyào quèrèn hétóng de bùkěkànglì hé miǎnzé tiáokuǎn.</t>
        </is>
      </c>
      <c r="E584" s="92" t="inlineStr">
        <is>
          <t>583 我们需要确认 合同的不可抗 力和免责条 款。 Chúng tôi cần xác nhận các điều khoản về lực mạnh từ bên ngoài và miễn trừ trách nhiệm trong hợp đồng. Wǒmen xūyào quèrèn hétóng de bùkěkànglì hé miǎnzé tiáokuǎn.</t>
        </is>
      </c>
      <c r="F584" s="114">
        <f>HYPERLINK("https://youglish.com/pronounce/我们需要确认合同的不可抗力和免责条款/chinese","🔍")</f>
        <v/>
      </c>
    </row>
    <row r="585" ht="71.25" customHeight="1" s="99">
      <c r="A585" s="94" t="inlineStr">
        <is>
          <t>626 ĐPTM.pdf</t>
        </is>
      </c>
      <c r="B585" s="95" t="inlineStr">
        <is>
          <t>584</t>
        </is>
      </c>
      <c r="C585" s="94" t="inlineStr">
        <is>
          <t>您能否为我们提供更多的市场营销和数字化品牌建设策略分析报告？</t>
        </is>
      </c>
      <c r="D585" s="94" t="inlineStr">
        <is>
          <t>Bạn có thể cung cấp cho chúng tôi thêm báo cáo phân tích chiến lược xây dựng thương hiệu và kỹ thuật số không? Nín néng fǒu wèi wǒmen tígōng gèng duō de shìchǎng yíngxiāo hé shùzìhuà pǐnpái jiànshè cèlüè fēnxī bàogào?</t>
        </is>
      </c>
      <c r="E585" s="94" t="inlineStr">
        <is>
          <t>584 您能否为我们 提供更多的市 场营销和数字 化品牌建设策 略分析报告？ Bạn có thể cung cấp cho chúng tôi thêm báo cáo phân tích chiến lược xây dựng thương hiệu và kỹ thuật số không? Nín néng fǒu wèi wǒmen tígōng gèng duō de shìchǎng yíngxiāo hé shùzìhuà pǐnpái jiànshè cèlüè fēnxī bàogào?</t>
        </is>
      </c>
      <c r="F585" s="115">
        <f>HYPERLINK("https://youglish.com/pronounce/您能否为我们提供更多的市场营销和数字化品牌建设策略分析报告/chinese","🔍")</f>
        <v/>
      </c>
    </row>
    <row r="586" ht="57" customHeight="1" s="99">
      <c r="A586" s="92" t="inlineStr">
        <is>
          <t>626 ĐPTM.pdf</t>
        </is>
      </c>
      <c r="B586" s="93" t="inlineStr">
        <is>
          <t>585</t>
        </is>
      </c>
      <c r="C586" s="92" t="inlineStr">
        <is>
          <t>我们需要对产品的市场调研和用户行为进行商议。</t>
        </is>
      </c>
      <c r="D586" s="92" t="inlineStr">
        <is>
          <t>Chúng tôi cần thảo luận về nghiên cứu thị trường và hành vi người dùng sản phẩm. Wǒmen xūyào duì chǎnpǐn de shìchǎng tiáo yán hé yònghù xíngwéi jìnxíng shāngyì.</t>
        </is>
      </c>
      <c r="E586" s="92" t="inlineStr">
        <is>
          <t>585 我们需要对产 品的市场调研 和用户行为进 行商议。 Chúng tôi cần thảo luận về nghiên cứu thị trường và hành vi người dùng sản phẩm. Wǒmen xūyào duì chǎnpǐn de shìchǎng tiáo yán hé yònghù xíngwéi jìnxíng shāngyì.</t>
        </is>
      </c>
      <c r="F586" s="114">
        <f>HYPERLINK("https://youglish.com/pronounce/我们需要对产品的市场调研和用户行为进行商议/chinese","🔍")</f>
        <v/>
      </c>
    </row>
    <row r="587" ht="57" customHeight="1" s="99">
      <c r="A587" s="94" t="inlineStr">
        <is>
          <t>626 ĐPTM.pdf</t>
        </is>
      </c>
      <c r="B587" s="95" t="inlineStr">
        <is>
          <t>586</t>
        </is>
      </c>
      <c r="C587" s="94" t="inlineStr">
        <is>
          <t>我们需要确认合同的知识产权和技术转让条款。</t>
        </is>
      </c>
      <c r="D587" s="94" t="inlineStr">
        <is>
          <t>Chúng tôi cần xác nhận các điều khoản về quyền sở hữu trí tuệ và chuyển giao công nghệ trong hợp đồng. Wǒmen xūyào quèrèn hétóng de zhīshì chǎnquán hé jìshù zhuǎnràng tiáokuǎn.</t>
        </is>
      </c>
      <c r="E587" s="94" t="inlineStr">
        <is>
          <t>586 我们需要确认 合同的知识产 权和技术转让 条款。 Chúng tôi cần xác nhận các điều khoản về quyền sở hữu trí tuệ và chuyển giao công nghệ trong hợp đồng. Wǒmen xūyào quèrèn hétóng de zhīshì chǎnquán hé jìshù zhuǎnràng tiáokuǎn.</t>
        </is>
      </c>
      <c r="F587" s="115">
        <f>HYPERLINK("https://youglish.com/pronounce/我们需要确认合同的知识产权和技术转让条款/chinese","🔍")</f>
        <v/>
      </c>
    </row>
    <row r="588" ht="71.25" customHeight="1" s="99">
      <c r="A588" s="92" t="inlineStr">
        <is>
          <t>626 ĐPTM.pdf</t>
        </is>
      </c>
      <c r="B588" s="93" t="inlineStr">
        <is>
          <t>587</t>
        </is>
      </c>
      <c r="C588" s="92" t="inlineStr">
        <is>
          <t>您能否为我们提供更多的市场营销和数字化转型创新策略分析报告？</t>
        </is>
      </c>
      <c r="D588" s="92" t="inlineStr">
        <is>
          <t>Bạn có thể cung cấp cho chúng tôi thêm báo cáo phân tích chiến lược chuyển đổi số và đổi mới không? Nín néng fǒu wèi wǒmen tígōng gèng duō de shìchǎng yíngxiāo hé shùzìhuà zhuǎnxíng chuàngxīn cèlüè fēnxī bàogào?</t>
        </is>
      </c>
      <c r="E588" s="92" t="inlineStr">
        <is>
          <t>587 您能否为我们 提供更多的市 场营销和数字 化转型创新策 略分析报告？ Bạn có thể cung cấp cho chúng tôi thêm báo cáo phân tích chiến lược chuyển đổi số và đổi mới không? Nín néng fǒu wèi wǒmen tígōng gèng duō de shìchǎng yíngxiāo hé shùzìhuà zhuǎnxíng chuàngxīn cèlüè fēnxī bàogào?</t>
        </is>
      </c>
      <c r="F588" s="114">
        <f>HYPERLINK("https://youglish.com/pronounce/您能否为我们提供更多的市场营销和数字化转型创新策略分析报告/chinese","🔍")</f>
        <v/>
      </c>
    </row>
    <row r="589" ht="42.75" customHeight="1" s="99">
      <c r="A589" s="94" t="inlineStr">
        <is>
          <t>626 ĐPTM.pdf</t>
        </is>
      </c>
      <c r="B589" s="95" t="inlineStr">
        <is>
          <t>588</t>
        </is>
      </c>
      <c r="C589" s="94" t="inlineStr">
        <is>
          <t>我们需要商讨产品的定价和销售策略。</t>
        </is>
      </c>
      <c r="D589" s="94" t="inlineStr">
        <is>
          <t>Chúng tôi cần thảo luận về giá cả sản phẩm và chiến lược bán hàng. Wǒmen xūyào shāngtǎo chǎnpǐn de dìngjià hé xiāoshòu cèlüè.</t>
        </is>
      </c>
      <c r="E589" s="94" t="inlineStr">
        <is>
          <t>588 我们需要商讨 产品的定价和 销售策略。 Chúng tôi cần thảo luận về giá cả sản phẩm và chiến lược bán hàng. Wǒmen xūyào shāngtǎo chǎnpǐn de dìngjià hé xiāoshòu cèlüè.</t>
        </is>
      </c>
      <c r="F589" s="115">
        <f>HYPERLINK("https://youglish.com/pronounce/我们需要商讨产品的定价和销售策略/chinese","🔍")</f>
        <v/>
      </c>
    </row>
    <row r="590" ht="42.75" customHeight="1" s="99">
      <c r="A590" s="92" t="inlineStr">
        <is>
          <t>626 ĐPTM.pdf</t>
        </is>
      </c>
      <c r="B590" s="93" t="inlineStr">
        <is>
          <t>589</t>
        </is>
      </c>
      <c r="C590" s="92" t="inlineStr">
        <is>
          <t>我们需要确认合同的解决争议的方式和程序。</t>
        </is>
      </c>
      <c r="D590" s="92" t="inlineStr">
        <is>
          <t>Chúng tôi cần xác nhận cách thức và thủ tục giải quyết tranh chấp trong hợp đồng. Wǒmen xūyào quèrèn hétóng de jiějué zhēngyì de fāngshì hé chéngxù.</t>
        </is>
      </c>
      <c r="E590" s="92" t="inlineStr">
        <is>
          <t>589 我们需要确认 合同的解决争 议的方式和程 序。 Chúng tôi cần xác nhận cách thức và thủ tục giải quyết tranh chấp trong hợp đồng. Wǒmen xūyào quèrèn hétóng de jiějué zhēngyì de fāngshì hé chéngxù.</t>
        </is>
      </c>
      <c r="F590" s="114">
        <f>HYPERLINK("https://youglish.com/pronounce/我们需要确认合同的解决争议的方式和程序/chinese","🔍")</f>
        <v/>
      </c>
    </row>
    <row r="591" ht="57" customHeight="1" s="99">
      <c r="A591" s="94" t="inlineStr">
        <is>
          <t>626 ĐPTM.pdf</t>
        </is>
      </c>
      <c r="B591" s="95" t="inlineStr">
        <is>
          <t>590</t>
        </is>
      </c>
      <c r="C591" s="94" t="inlineStr">
        <is>
          <t>您能否为我们提供更多的市场营销和数字化营销推广咨询服务？</t>
        </is>
      </c>
      <c r="D591" s="94" t="inlineStr">
        <is>
          <t>Bạn có thể cung cấp cho chúng tôi thêm dịch vụ tư vấn quảng bá tiếp thị và kỹ thuật số không? Nín néng fǒu wèi wǒmen tígōng gèng duō de shìchǎng yíngxiāo hé shùzìhuà yíngxiāo tuīguǎng zīxún fúwù?</t>
        </is>
      </c>
      <c r="E591" s="94" t="inlineStr">
        <is>
          <t>590 您能否为我们 提供更多的市 场营销和数字 化营销推广咨 询服务？ Bạn có thể cung cấp cho chúng tôi thêm dịch vụ tư vấn quảng bá tiếp thị và kỹ thuật số không? Nín néng fǒu wèi wǒmen tígōng gèng duō de shìchǎng yíngxiāo hé shùzìhuà yíngxiāo tuīguǎng zīxún fúwù?</t>
        </is>
      </c>
      <c r="F591" s="115">
        <f>HYPERLINK("https://youglish.com/pronounce/您能否为我们提供更多的市场营销和数字化营销推广咨询服务/chinese","🔍")</f>
        <v/>
      </c>
    </row>
    <row r="592" ht="42.75" customHeight="1" s="99">
      <c r="A592" s="92" t="inlineStr">
        <is>
          <t>626 ĐPTM.pdf</t>
        </is>
      </c>
      <c r="B592" s="93" t="inlineStr">
        <is>
          <t>591</t>
        </is>
      </c>
      <c r="C592" s="92" t="inlineStr">
        <is>
          <t>我们需要商讨产品的生产和供应链管理。</t>
        </is>
      </c>
      <c r="D592" s="92" t="inlineStr">
        <is>
          <t>Chúng tôi cần thảo luận về quản lý sản xuất và chuỗi cung ứng sản phẩm. Wǒmen xūyào shāngtǎo chǎnpǐn de shēngchǎn hé gōngyìng liàn guǎnlǐ.</t>
        </is>
      </c>
      <c r="E592" s="92" t="inlineStr">
        <is>
          <t>591 我们需要商讨 产品的生产和 供应链管理。 Chúng tôi cần thảo luận về quản lý sản xuất và chuỗi cung ứng sản phẩm. Wǒmen xūyào shāngtǎo chǎnpǐn de shēngchǎn hé gōngyìng liàn guǎnlǐ.</t>
        </is>
      </c>
      <c r="F592" s="114">
        <f>HYPERLINK("https://youglish.com/pronounce/我们需要商讨产品的生产和供应链管理/chinese","🔍")</f>
        <v/>
      </c>
    </row>
    <row r="593" ht="42.75" customHeight="1" s="99">
      <c r="A593" s="94" t="inlineStr">
        <is>
          <t>626 ĐPTM.pdf</t>
        </is>
      </c>
      <c r="B593" s="95" t="inlineStr">
        <is>
          <t>592</t>
        </is>
      </c>
      <c r="C593" s="94" t="inlineStr">
        <is>
          <t>我们需要确认合同的终止和解除条款。</t>
        </is>
      </c>
      <c r="D593" s="94" t="inlineStr">
        <is>
          <t>Chúng tôi cần xác nhận các điều khoản về chấm dứt và hủy bỏ hợp đồng. Wǒmen xūyào quèrèn hétóng de zhōngzhǐ hé jiěchú tiáokuǎn.</t>
        </is>
      </c>
      <c r="E593" s="94" t="inlineStr">
        <is>
          <t>592 我们需要确认 合同的终止和 解除条款。 Chúng tôi cần xác nhận các điều khoản về chấm dứt và hủy bỏ hợp đồng. Wǒmen xūyào quèrèn hétóng de zhōngzhǐ hé jiěchú tiáokuǎn.</t>
        </is>
      </c>
      <c r="F593" s="115">
        <f>HYPERLINK("https://youglish.com/pronounce/我们需要确认合同的终止和解除条款/chinese","🔍")</f>
        <v/>
      </c>
    </row>
    <row r="594" ht="71.25" customHeight="1" s="99">
      <c r="A594" s="92" t="inlineStr">
        <is>
          <t>626 ĐPTM.pdf</t>
        </is>
      </c>
      <c r="B594" s="93" t="inlineStr">
        <is>
          <t>593</t>
        </is>
      </c>
      <c r="C594" s="92" t="inlineStr">
        <is>
          <t>您能否为我们提供更多的市场营销和数字化品牌推广创意咨询服务？</t>
        </is>
      </c>
      <c r="D594" s="92" t="inlineStr">
        <is>
          <t>Bạn có thể cung cấp cho chúng tôi thêm dịch vụ tư vấn sáng tạo cho chiến dịch quảng bá thương hiệu không? Nín néng fǒu wèi wǒmen tígōng gèng duō de shìchǎng yíngxiāo hé shùzìhuà pǐnpái tuīguǎng chuàngyì zīxún fúwù?</t>
        </is>
      </c>
      <c r="E594" s="92" t="inlineStr">
        <is>
          <t>593 您能否为我们 提供更多的市 场营销和数字 化品牌推广创 意咨询服务？ Bạn có thể cung cấp cho chúng tôi thêm dịch vụ tư vấn sáng tạo cho chiến dịch quảng bá thương hiệu không? Nín néng fǒu wèi wǒmen tígōng gèng duō de shìchǎng yíngxiāo hé shùzìhuà pǐnpái tuīguǎng chuàngyì zīxún fúwù?</t>
        </is>
      </c>
      <c r="F594" s="114">
        <f>HYPERLINK("https://youglish.com/pronounce/您能否为我们提供更多的市场营销和数字化品牌推广创意咨询服务/chinese","🔍")</f>
        <v/>
      </c>
    </row>
    <row r="595" ht="57" customHeight="1" s="99">
      <c r="A595" s="94" t="inlineStr">
        <is>
          <t>626 ĐPTM.pdf</t>
        </is>
      </c>
      <c r="B595" s="95" t="inlineStr">
        <is>
          <t>594</t>
        </is>
      </c>
      <c r="C595" s="94" t="inlineStr">
        <is>
          <t>我们需要对产品的市场定位和目标客户进行商议。</t>
        </is>
      </c>
      <c r="D595" s="94" t="inlineStr">
        <is>
          <t>Chúng tôi cần thảo luận về định vị thị trường và đối tượng khách hàng mục tiêu của sản phẩm. Wǒmen xūyào duì chǎnpǐn de shìchǎng dìngwèi hé mùbiāo kèhù jìnxíng shāngyì.</t>
        </is>
      </c>
      <c r="E595" s="94" t="inlineStr">
        <is>
          <t>594 我们需要对产 品的市场定位 和目标客户进 行商议。 Chúng tôi cần thảo luận về định vị thị trường và đối tượng khách hàng mục tiêu của sản phẩm. Wǒmen xūyào duì chǎnpǐn de shìchǎng dìngwèi hé mùbiāo kèhù jìnxíng shāngyì.</t>
        </is>
      </c>
      <c r="F595" s="115">
        <f>HYPERLINK("https://youglish.com/pronounce/我们需要对产品的市场定位和目标客户进行商议/chinese","🔍")</f>
        <v/>
      </c>
    </row>
    <row r="596" ht="57" customHeight="1" s="99">
      <c r="A596" s="92" t="inlineStr">
        <is>
          <t>626 ĐPTM.pdf</t>
        </is>
      </c>
      <c r="B596" s="93" t="inlineStr">
        <is>
          <t>595</t>
        </is>
      </c>
      <c r="C596" s="92" t="inlineStr">
        <is>
          <t>我们需要确认合同的适用法律和管辖法院条款。</t>
        </is>
      </c>
      <c r="D596" s="92" t="inlineStr">
        <is>
          <t>Chúng tôi cần xác nhận các điều khoản liên quan đến pháp luật áp dụng và tòa án có thẩm quyền trong hợp đồng. Wǒmen xūyào quèrèn hétóng de shìyòng fǎlǜ hé guǎnxiá fǎyuàn tiáokuǎn.</t>
        </is>
      </c>
      <c r="E596" s="92" t="inlineStr">
        <is>
          <t>595 我们需要确认 合同的适用法 律和管辖法院 条款。 Chúng tôi cần xác nhận các điều khoản liên quan đến pháp luật áp dụng và tòa án có thẩm quyền trong hợp đồng. Wǒmen xūyào quèrèn hétóng de shìyòng fǎlǜ hé guǎnxiá fǎyuàn tiáokuǎn.</t>
        </is>
      </c>
      <c r="F596" s="114">
        <f>HYPERLINK("https://youglish.com/pronounce/我们需要确认合同的适用法律和管辖法院条款/chinese","🔍")</f>
        <v/>
      </c>
    </row>
    <row r="597" ht="71.25" customHeight="1" s="99">
      <c r="A597" s="94" t="inlineStr">
        <is>
          <t>626 ĐPTM.pdf</t>
        </is>
      </c>
      <c r="B597" s="95" t="inlineStr">
        <is>
          <t>596</t>
        </is>
      </c>
      <c r="C597" s="94" t="inlineStr">
        <is>
          <t>您能否为我们提供更多的市场营销和数字化转型创新咨询服务？</t>
        </is>
      </c>
      <c r="D597" s="94" t="inlineStr">
        <is>
          <t>Liệu bạn có thể cung cấp cho chúng tôi thêm dịch vụ tư vấn chiến lược tiếp thị và đổi mới kỹ thuật số không? Nín néng fǒu wèi wǒmen tígōng gèng duō de shìchǎng yíngxiāo hé shùzìhuà zhuǎnxíng chuàngxīn zīxún fúwù?</t>
        </is>
      </c>
      <c r="E597" s="94" t="inlineStr">
        <is>
          <t>596 您能否为我们 提供更多的市 场营销和数字 化转型创新咨 询服务？ Liệu bạn có thể cung cấp cho chúng tôi thêm dịch vụ tư vấn chiến lược tiếp thị và đổi mới kỹ thuật số không? Nín néng fǒu wèi wǒmen tígōng gèng duō de shìchǎng yíngxiāo hé shùzìhuà zhuǎnxíng chuàngxīn zīxún fúwù?</t>
        </is>
      </c>
      <c r="F597" s="115">
        <f>HYPERLINK("https://youglish.com/pronounce/您能否为我们提供更多的市场营销和数字化转型创新咨询服务/chinese","🔍")</f>
        <v/>
      </c>
    </row>
    <row r="598" ht="42.75" customHeight="1" s="99">
      <c r="A598" s="92" t="inlineStr">
        <is>
          <t>626 ĐPTM.pdf</t>
        </is>
      </c>
      <c r="B598" s="93" t="inlineStr">
        <is>
          <t>597</t>
        </is>
      </c>
      <c r="C598" s="92" t="inlineStr">
        <is>
          <t>我们需要商讨产品的研发和创新方案。</t>
        </is>
      </c>
      <c r="D598" s="92" t="inlineStr">
        <is>
          <t>Chúng tôi cần thảo luận về kế hoạch nghiên cứu và đổi mới sản phẩm. Wǒmen xūyào shāngtǎo chǎnpǐn de yánfā hé chuàngxīn fāng'àn.</t>
        </is>
      </c>
      <c r="E598" s="92" t="inlineStr">
        <is>
          <t>597 我们需要商讨 产品的研发和 创新方案。 Chúng tôi cần thảo luận về kế hoạch nghiên cứu và đổi mới sản phẩm. Wǒmen xūyào shāngtǎo chǎnpǐn de yánfā hé chuàngxīn fāng'àn.</t>
        </is>
      </c>
      <c r="F598" s="114">
        <f>HYPERLINK("https://youglish.com/pronounce/我们需要商讨产品的研发和创新方案/chinese","🔍")</f>
        <v/>
      </c>
    </row>
    <row r="599" ht="57" customHeight="1" s="99">
      <c r="A599" s="94" t="inlineStr">
        <is>
          <t>626 ĐPTM.pdf</t>
        </is>
      </c>
      <c r="B599" s="95" t="inlineStr">
        <is>
          <t>598</t>
        </is>
      </c>
      <c r="C599" s="94" t="inlineStr">
        <is>
          <t>我们需要确认合同的保险和责任限制条款。</t>
        </is>
      </c>
      <c r="D599" s="94" t="inlineStr">
        <is>
          <t>Chúng tôi cần xác nhận các điều khoản liên quan đến bảo hiểm và giới hạn trách nhiệm trong hợp đồng. Wǒmen xūyào quèrèn hétóng de bǎoxiǎn hé zérèn xiànzhì tiáokuǎn.</t>
        </is>
      </c>
      <c r="E599" s="94" t="inlineStr">
        <is>
          <t>598 我们需要确认 合同的保险和 责任限制条 款。 Chúng tôi cần xác nhận các điều khoản liên quan đến bảo hiểm và giới hạn trách nhiệm trong hợp đồng. Wǒmen xūyào quèrèn hétóng de bǎoxiǎn hé zérèn xiànzhì tiáokuǎn.</t>
        </is>
      </c>
      <c r="F599" s="115">
        <f>HYPERLINK("https://youglish.com/pronounce/我们需要确认合同的保险和责任限制条款/chinese","🔍")</f>
        <v/>
      </c>
    </row>
    <row r="600" ht="71.25" customHeight="1" s="99">
      <c r="A600" s="92" t="inlineStr">
        <is>
          <t>626 ĐPTM.pdf</t>
        </is>
      </c>
      <c r="B600" s="93" t="inlineStr">
        <is>
          <t>599</t>
        </is>
      </c>
      <c r="C600" s="92" t="inlineStr">
        <is>
          <t>您能否为我们提供更多的市场营销和数字化营销推广策略分析报告？</t>
        </is>
      </c>
      <c r="D600" s="92" t="inlineStr">
        <is>
          <t>Liệu bạn có thể cung cấp cho chúng tôi thêm báo cáo phân tích chiến lược tiếp thị và đổi mới kỹ thuật số không? Nín néng fǒu wèi wǒmen tígōng gèng duō de shìchǎng yíngxiāo hé shùzìhuà yíngxiāo tuīguǎng cèlüè fēnxī bàogào?</t>
        </is>
      </c>
      <c r="E600" s="92" t="inlineStr">
        <is>
          <t>599 您能否为我们 提供更多的市 场营销和数字 化营销推广策 略分析报告？ Liệu bạn có thể cung cấp cho chúng tôi thêm báo cáo phân tích chiến lược tiếp thị và đổi mới kỹ thuật số không? Nín néng fǒu wèi wǒmen tígōng gèng duō de shìchǎng yíngxiāo hé shùzìhuà yíngxiāo tuīguǎng cèlüè fēnxī bàogào?</t>
        </is>
      </c>
      <c r="F600" s="114">
        <f>HYPERLINK("https://youglish.com/pronounce/您能否为我们提供更多的市场营销和数字化营销推广策略分析报告/chinese","🔍")</f>
        <v/>
      </c>
    </row>
    <row r="601" ht="42.75" customHeight="1" s="99">
      <c r="A601" s="94" t="inlineStr">
        <is>
          <t>626 ĐPTM.pdf</t>
        </is>
      </c>
      <c r="B601" s="95" t="inlineStr">
        <is>
          <t>600</t>
        </is>
      </c>
      <c r="C601" s="94" t="inlineStr">
        <is>
          <t>我们需要商讨产品的销售预测和市场份额。</t>
        </is>
      </c>
      <c r="D601" s="94" t="inlineStr">
        <is>
          <t>Chúng tôi cần thảo luận về dự đoán doanh số bán hàng và thị phần sản phẩm. Wǒmen xūyào shāngtǎo chǎnpǐn de xiāoshòu yùcè hé shìchǎng fèn'é.</t>
        </is>
      </c>
      <c r="E601" s="94" t="inlineStr">
        <is>
          <t>600 我们需要商讨 产品的销售预 测和市场份 额。 Chúng tôi cần thảo luận về dự đoán doanh số bán hàng và thị phần sản phẩm. Wǒmen xūyào shāngtǎo chǎnpǐn de xiāoshòu yùcè hé shìchǎng fèn'é.</t>
        </is>
      </c>
      <c r="F601" s="115">
        <f>HYPERLINK("https://youglish.com/pronounce/我们需要商讨产品的销售预测和市场份额/chinese","🔍")</f>
        <v/>
      </c>
    </row>
    <row r="602" ht="57" customHeight="1" s="99">
      <c r="A602" s="92" t="inlineStr">
        <is>
          <t>626 ĐPTM.pdf</t>
        </is>
      </c>
      <c r="B602" s="93" t="inlineStr">
        <is>
          <t>601</t>
        </is>
      </c>
      <c r="C602" s="92" t="inlineStr">
        <is>
          <t>我们需要确认合同的保密和知识产权保护条款。</t>
        </is>
      </c>
      <c r="D602" s="92" t="inlineStr">
        <is>
          <t>Chúng tôi cần xác nhận các điều khoản liên quan đến bảo mật và bảo vệ quyền sở hữu trí tuệ trong hợp đồng. Wǒmen xūyào quèrèn hétóng de bǎomì hé zhīshì chǎnquán bǎohù tiáokuǎn.</t>
        </is>
      </c>
      <c r="E602" s="92" t="inlineStr">
        <is>
          <t>601 我们需要确认 合同的保密和 知识产权保护 条款。 Chúng tôi cần xác nhận các điều khoản liên quan đến bảo mật và bảo vệ quyền sở hữu trí tuệ trong hợp đồng. Wǒmen xūyào quèrèn hétóng de bǎomì hé zhīshì chǎnquán bǎohù tiáokuǎn.</t>
        </is>
      </c>
      <c r="F602" s="114">
        <f>HYPERLINK("https://youglish.com/pronounce/我们需要确认合同的保密和知识产权保护条款/chinese","🔍")</f>
        <v/>
      </c>
    </row>
    <row r="603" ht="71.25" customHeight="1" s="99">
      <c r="A603" s="94" t="inlineStr">
        <is>
          <t>626 ĐPTM.pdf</t>
        </is>
      </c>
      <c r="B603" s="95" t="inlineStr">
        <is>
          <t>602</t>
        </is>
      </c>
      <c r="C603" s="94" t="inlineStr">
        <is>
          <t>您能否为我们提供更多的市场营销和数字化品牌建设策略分析报告？</t>
        </is>
      </c>
      <c r="D603" s="94" t="inlineStr">
        <is>
          <t>Liệu bạn có thể cung cấp cho chúng tôi thêm báo cáo phân tích chiến lược xây dựng thương hiệu và đổi mới kỹ thuật số không? Nín néng fǒu wèi wǒmen tígōng gèng duō de shìchǎng yíngxiāo hé shùzìhuà pǐnpái jiànshè cèlüè fēnxī bàogào?</t>
        </is>
      </c>
      <c r="E603" s="94" t="inlineStr">
        <is>
          <t>602 您能否为我们 提供更多的市 场营销和数字 化品牌建设策 略分析报告？ Liệu bạn có thể cung cấp cho chúng tôi thêm báo cáo phân tích chiến lược xây dựng thương hiệu và đổi mới kỹ thuật số không? Nín néng fǒu wèi wǒmen tígōng gèng duō de shìchǎng yíngxiāo hé shùzìhuà pǐnpái jiànshè cèlüè fēnxī bàogào?</t>
        </is>
      </c>
      <c r="F603" s="115">
        <f>HYPERLINK("https://youglish.com/pronounce/您能否为我们提供更多的市场营销和数字化品牌建设策略分析报告/chinese","🔍")</f>
        <v/>
      </c>
    </row>
    <row r="604" ht="42.75" customHeight="1" s="99">
      <c r="A604" s="92" t="inlineStr">
        <is>
          <t>626 ĐPTM.pdf</t>
        </is>
      </c>
      <c r="B604" s="93" t="inlineStr">
        <is>
          <t>603</t>
        </is>
      </c>
      <c r="C604" s="92" t="inlineStr">
        <is>
          <t>我们需要商讨产品的生命周期和更新计划。</t>
        </is>
      </c>
      <c r="D604" s="92" t="inlineStr">
        <is>
          <t>Chúng tôi cần thảo luận về tuổi thọ sản phẩm và kế hoạch cập nhật. Wǒmen xūyào shāngtǎo chǎnpǐn de shēngmìng zhōuqí hé gēngxīn jìhuà.</t>
        </is>
      </c>
      <c r="E604" s="92" t="inlineStr">
        <is>
          <t>603 我们需要商讨 产品的生命周 期和更新计 划。 Chúng tôi cần thảo luận về tuổi thọ sản phẩm và kế hoạch cập nhật. Wǒmen xūyào shāngtǎo chǎnpǐn de shēngmìng zhōuqí hé gēngxīn jìhuà.</t>
        </is>
      </c>
      <c r="F604" s="114">
        <f>HYPERLINK("https://youglish.com/pronounce/我们需要商讨产品的生命周期和更新计划/chinese","🔍")</f>
        <v/>
      </c>
    </row>
    <row r="605" ht="57" customHeight="1" s="99">
      <c r="A605" s="94" t="inlineStr">
        <is>
          <t>626 ĐPTM.pdf</t>
        </is>
      </c>
      <c r="B605" s="95" t="inlineStr">
        <is>
          <t>604</t>
        </is>
      </c>
      <c r="C605" s="94" t="inlineStr">
        <is>
          <t>我们需要确认合同的付款方式和期限条款。</t>
        </is>
      </c>
      <c r="D605" s="94" t="inlineStr">
        <is>
          <t>Chúng tôi cần xác nhận các điều khoản liên quan đến phương thức thanh toán và thời hạn thanh toán trong hợp đồng. Wǒmen xūyào quèrèn hétóng de fùkuǎn fāngshì hé qíxiàn tiáokuǎn.</t>
        </is>
      </c>
      <c r="E605" s="94" t="inlineStr">
        <is>
          <t>604 我们需要确认 合同的付款方 式和期限条款。 Chúng tôi cần xác nhận các điều khoản liên quan đến phương thức thanh toán và thời hạn thanh toán trong hợp đồng. Wǒmen xūyào quèrèn hétóng de fùkuǎn fāngshì hé qíxiàn tiáokuǎn.</t>
        </is>
      </c>
      <c r="F605" s="115">
        <f>HYPERLINK("https://youglish.com/pronounce/我们需要确认合同的付款方式和期限条款/chinese","🔍")</f>
        <v/>
      </c>
    </row>
    <row r="606" ht="71.25" customHeight="1" s="99">
      <c r="A606" s="92" t="inlineStr">
        <is>
          <t>626 ĐPTM.pdf</t>
        </is>
      </c>
      <c r="B606" s="93" t="inlineStr">
        <is>
          <t>605</t>
        </is>
      </c>
      <c r="C606" s="92" t="inlineStr">
        <is>
          <t>您能否为我们提供更多的市场营销和数字化转型创新策略分析报告？</t>
        </is>
      </c>
      <c r="D606" s="92" t="inlineStr">
        <is>
          <t>Liệu bạn có thể cung cấp cho chúng tôi thêm báo cáo phân tích chiến lược tiếp thị và đổi mới kỹ thuật số không? Nín néng fǒu wèi wǒmen tígōng gèng duō de shìchǎng yíngxiāo hé shùzìhuà zhuǎnxíng chuàngxīn cèlüè fēnxī bàogào?</t>
        </is>
      </c>
      <c r="E606" s="92" t="inlineStr">
        <is>
          <t>605 您能否为我们 提供更多的市 场营销和数字 化转型创新策 略分析报告？ Liệu bạn có thể cung cấp cho chúng tôi thêm báo cáo phân tích chiến lược tiếp thị và đổi mới kỹ thuật số không? Nín néng fǒu wèi wǒmen tígōng gèng duō de shìchǎng yíngxiāo hé shùzìhuà zhuǎnxíng chuàngxīn cèlüè fēnxī bàogào?</t>
        </is>
      </c>
      <c r="F606" s="114">
        <f>HYPERLINK("https://youglish.com/pronounce/您能否为我们提供更多的市场营销和数字化转型创新策略分析报告/chinese","🔍")</f>
        <v/>
      </c>
    </row>
    <row r="607" ht="42.75" customHeight="1" s="99">
      <c r="A607" s="94" t="inlineStr">
        <is>
          <t>626 ĐPTM.pdf</t>
        </is>
      </c>
      <c r="B607" s="95" t="inlineStr">
        <is>
          <t>606</t>
        </is>
      </c>
      <c r="C607" s="94" t="inlineStr">
        <is>
          <t>我们需要商讨产品的销售渠道和推广策略。</t>
        </is>
      </c>
      <c r="D607" s="94" t="inlineStr">
        <is>
          <t>Chúng tôi cần thảo luận về kế hoạch phân phối và chiến lược quảng cáo sản phẩm. Wǒmen xūyào shāngtǎo chǎnpǐn de xiāoshòu qúdào hé tuīguǎng cèlüè.</t>
        </is>
      </c>
      <c r="E607" s="94" t="inlineStr">
        <is>
          <t>606 我们需要商讨 产品的销售渠 道和推广策略。 Chúng tôi cần thảo luận về kế hoạch phân phối và chiến lược quảng cáo sản phẩm. Wǒmen xūyào shāngtǎo chǎnpǐn de xiāoshòu qúdào hé tuīguǎng cèlüè.</t>
        </is>
      </c>
      <c r="F607" s="115">
        <f>HYPERLINK("https://youglish.com/pronounce/我们需要商讨产品的销售渠道和推广策略/chinese","🔍")</f>
        <v/>
      </c>
    </row>
    <row r="608" ht="57" customHeight="1" s="99">
      <c r="A608" s="92" t="inlineStr">
        <is>
          <t>626 ĐPTM.pdf</t>
        </is>
      </c>
      <c r="B608" s="93" t="inlineStr">
        <is>
          <t>607</t>
        </is>
      </c>
      <c r="C608" s="92" t="inlineStr">
        <is>
          <t>我们需要确认合同的违约责任和赔偿金额条款。</t>
        </is>
      </c>
      <c r="D608" s="92" t="inlineStr">
        <is>
          <t>Chúng tôi cần xác nhận các điều khoản liên quan đến trách nhiệm vi phạm và số tiền bồi thường trong hợp đồng. Wǒmen xūyào quèrèn hétóng de wéiyuē zérèn hé péicháng jīn'é tiáokuǎn.</t>
        </is>
      </c>
      <c r="E608" s="92" t="inlineStr">
        <is>
          <t>607 我们需要确认 合同的违约责 任和赔偿金额 条款。 Chúng tôi cần xác nhận các điều khoản liên quan đến trách nhiệm vi phạm và số tiền bồi thường trong hợp đồng. Wǒmen xūyào quèrèn hétóng de wéiyuē zérèn hé péicháng jīn'é tiáokuǎn.</t>
        </is>
      </c>
      <c r="F608" s="114">
        <f>HYPERLINK("https://youglish.com/pronounce/我们需要确认合同的违约责任和赔偿金额条款/chinese","🔍")</f>
        <v/>
      </c>
    </row>
    <row r="609" ht="71.25" customHeight="1" s="99">
      <c r="A609" s="94" t="inlineStr">
        <is>
          <t>626 ĐPTM.pdf</t>
        </is>
      </c>
      <c r="B609" s="95" t="inlineStr">
        <is>
          <t>608</t>
        </is>
      </c>
      <c r="C609" s="94" t="inlineStr">
        <is>
          <t>您能否为我们提供更多的市场营销和数字化品牌管理策略分析报告？</t>
        </is>
      </c>
      <c r="D609" s="94" t="inlineStr">
        <is>
          <t>Liệu bạn có thể cung cấp cho chúng tôi thêm báo cáo phân tích chiến lược quản lý thương hiệu và đổi mới kỹ thuật số không? Nín néng fǒu wèi wǒmen tígōng gèng duō de shìchǎng yíngxiāo hé shùzìhuà pǐnpái guǎnlǐ cèlüè fēnxī bàogào?</t>
        </is>
      </c>
      <c r="E609" s="94" t="inlineStr">
        <is>
          <t>608 您能否为我们 提供更多的市 场营销和数字 化品牌管理策 略分析报告？ Liệu bạn có thể cung cấp cho chúng tôi thêm báo cáo phân tích chiến lược quản lý thương hiệu và đổi mới kỹ thuật số không? Nín néng fǒu wèi wǒmen tígōng gèng duō de shìchǎng yíngxiāo hé shùzìhuà pǐnpái guǎnlǐ cèlüè fēnxī bàogào?</t>
        </is>
      </c>
      <c r="F609" s="115">
        <f>HYPERLINK("https://youglish.com/pronounce/您能否为我们提供更多的市场营销和数字化品牌管理策略分析报告/chinese","🔍")</f>
        <v/>
      </c>
    </row>
    <row r="610" ht="57" customHeight="1" s="99">
      <c r="A610" s="92" t="inlineStr">
        <is>
          <t>626 ĐPTM.pdf</t>
        </is>
      </c>
      <c r="B610" s="93" t="inlineStr">
        <is>
          <t>609</t>
        </is>
      </c>
      <c r="C610" s="92" t="inlineStr">
        <is>
          <t>我们需要商讨产品的市场竞争和不确定因素。</t>
        </is>
      </c>
      <c r="D610" s="92" t="inlineStr">
        <is>
          <t>Chúng tôi cần thảo luận về sự cạnh tranh trên thị trường và các yếu tố không chắc chắn của sản phẩm. Wǒmen xūyào shāngtǎo chǎnpǐn de shìchǎng jìngzhēng hé bù quèdìng yīnsù.</t>
        </is>
      </c>
      <c r="E610" s="92" t="inlineStr">
        <is>
          <t>609 我们需要商讨 产品的市场竞 争和不确定因 素。 Chúng tôi cần thảo luận về sự cạnh tranh trên thị trường và các yếu tố không chắc chắn của sản phẩm. Wǒmen xūyào shāngtǎo chǎnpǐn de shìchǎng jìngzhēng hé bù quèdìng yīnsù.</t>
        </is>
      </c>
      <c r="F610" s="114">
        <f>HYPERLINK("https://youglish.com/pronounce/我们需要商讨产品的市场竞争和不确定因素/chinese","🔍")</f>
        <v/>
      </c>
    </row>
    <row r="611" ht="42.75" customHeight="1" s="99">
      <c r="A611" s="94" t="inlineStr">
        <is>
          <t>626 ĐPTM.pdf</t>
        </is>
      </c>
      <c r="B611" s="95" t="inlineStr">
        <is>
          <t>610</t>
        </is>
      </c>
      <c r="C611" s="94" t="inlineStr">
        <is>
          <t>我们需要确认合同的转让和分拆条款。</t>
        </is>
      </c>
      <c r="D611" s="94" t="inlineStr">
        <is>
          <t>Chúng tôi cần xác nhận các điều khoản liên quan đến chuyển nhượng và phân tách trong hợp đồng. Wǒmen xūyào quèrèn hétóng de zhuǎnràng hé fēn chāi tiáokuǎn.</t>
        </is>
      </c>
      <c r="E611" s="94" t="inlineStr">
        <is>
          <t>610 我们需要确认 合同的转让和 分拆条款。 Chúng tôi cần xác nhận các điều khoản liên quan đến chuyển nhượng và phân tách trong hợp đồng. Wǒmen xūyào quèrèn hétóng de zhuǎnràng hé fēn chāi tiáokuǎn.</t>
        </is>
      </c>
      <c r="F611" s="115">
        <f>HYPERLINK("https://youglish.com/pronounce/我们需要确认合同的转让和分拆条款/chinese","🔍")</f>
        <v/>
      </c>
    </row>
    <row r="612" ht="57" customHeight="1" s="99">
      <c r="A612" s="92" t="inlineStr">
        <is>
          <t>626 ĐPTM.pdf</t>
        </is>
      </c>
      <c r="B612" s="93" t="inlineStr">
        <is>
          <t>611</t>
        </is>
      </c>
      <c r="C612" s="92" t="inlineStr">
        <is>
          <t>您能否为我们提供更多的市场营销和数字化营销趋势分析报告？</t>
        </is>
      </c>
      <c r="D612" s="92" t="inlineStr">
        <is>
          <t>Bạn có thể cung cấp cho chúng tôi thêm báo cáo phân tích xu hướng tiếp thị và tiếp thị số không? Nín néng fǒu wèi wǒmen tígōng gèng duō de shìchǎng yíngxiāo hé shùzìhuà yíngxiāo qūshì fēnxī bàogào?</t>
        </is>
      </c>
      <c r="E612" s="92" t="inlineStr">
        <is>
          <t>611 您能否为我们 提供更多的市 场营销和数字 化营销趋势分 析报告？ Bạn có thể cung cấp cho chúng tôi thêm báo cáo phân tích xu hướng tiếp thị và tiếp thị số không? Nín néng fǒu wèi wǒmen tígōng gèng duō de shìchǎng yíngxiāo hé shùzìhuà yíngxiāo qūshì fēnxī bàogào?</t>
        </is>
      </c>
      <c r="F612" s="114">
        <f>HYPERLINK("https://youglish.com/pronounce/您能否为我们提供更多的市场营销和数字化营销趋势分析报告/chinese","🔍")</f>
        <v/>
      </c>
    </row>
    <row r="613" ht="42.75" customHeight="1" s="99">
      <c r="A613" s="94" t="inlineStr">
        <is>
          <t>626 ĐPTM.pdf</t>
        </is>
      </c>
      <c r="B613" s="95" t="inlineStr">
        <is>
          <t>612</t>
        </is>
      </c>
      <c r="C613" s="94" t="inlineStr">
        <is>
          <t>我们需要商讨产品的品牌定位和品牌形象。</t>
        </is>
      </c>
      <c r="D613" s="94" t="inlineStr">
        <is>
          <t>Chúng tôi cần thảo luận về định vị thương hiệu và hình ảnh thương hiệu của sản phẩm. Wǒmen xūyào shāngtǎo chǎnpǐn de pǐnpái dìngwèi hé pǐnpái xíngxiàng.</t>
        </is>
      </c>
      <c r="E613" s="94" t="inlineStr">
        <is>
          <t>612 我们需要商讨 产品的品牌定 位和品牌形象。 Chúng tôi cần thảo luận về định vị thương hiệu và hình ảnh thương hiệu của sản phẩm. Wǒmen xūyào shāngtǎo chǎnpǐn de pǐnpái dìngwèi hé pǐnpái xíngxiàng.</t>
        </is>
      </c>
      <c r="F613" s="115">
        <f>HYPERLINK("https://youglish.com/pronounce/我们需要商讨产品的品牌定位和品牌形象/chinese","🔍")</f>
        <v/>
      </c>
    </row>
    <row r="614" ht="42.75" customHeight="1" s="99">
      <c r="A614" s="92" t="inlineStr">
        <is>
          <t>626 ĐPTM.pdf</t>
        </is>
      </c>
      <c r="B614" s="93" t="inlineStr">
        <is>
          <t>613</t>
        </is>
      </c>
      <c r="C614" s="92" t="inlineStr">
        <is>
          <t>我们需要确认合同的生效和履行条款。</t>
        </is>
      </c>
      <c r="D614" s="92" t="inlineStr">
        <is>
          <t>Chúng tôi cần xác nhận các điều khoản về hiệu lực và thực hiện của hợp đồng. Wǒmen xūyào quèrèn hétóng de shēngxiào hé lǚxíng tiáokuǎn.</t>
        </is>
      </c>
      <c r="E614" s="92" t="inlineStr">
        <is>
          <t>613 我们需要确认 合同的生效和 履行条款。 Chúng tôi cần xác nhận các điều khoản về hiệu lực và thực hiện của hợp đồng. Wǒmen xūyào quèrèn hétóng de shēngxiào hé lǚxíng tiáokuǎn.</t>
        </is>
      </c>
      <c r="F614" s="114">
        <f>HYPERLINK("https://youglish.com/pronounce/我们需要确认合同的生效和履行条款/chinese","🔍")</f>
        <v/>
      </c>
    </row>
    <row r="615" ht="71.25" customHeight="1" s="99">
      <c r="A615" s="94" t="inlineStr">
        <is>
          <t>626 ĐPTM.pdf</t>
        </is>
      </c>
      <c r="B615" s="95" t="inlineStr">
        <is>
          <t>614</t>
        </is>
      </c>
      <c r="C615" s="94" t="inlineStr">
        <is>
          <t>您能否为我们提供更多的市场营销和数字化品牌建设策略分析报告？</t>
        </is>
      </c>
      <c r="D615" s="94" t="inlineStr">
        <is>
          <t>Bạn có thể cung cấp cho chúng tôi thêm báo cáo phân tích chiến lược xây dựng thương hiệu số không? Nín néng fǒu wèi wǒmen tígōng gèng duō de shìchǎng yíngxiāo hé shùzìhuà pǐnpái jiànshè cèlüè fēnxī bàogào?</t>
        </is>
      </c>
      <c r="E615" s="94" t="inlineStr">
        <is>
          <t>614 您能否为我们 提供更多的市 场营销和数字 化品牌建设策 略分析报告？ Bạn có thể cung cấp cho chúng tôi thêm báo cáo phân tích chiến lược xây dựng thương hiệu số không? Nín néng fǒu wèi wǒmen tígōng gèng duō de shìchǎng yíngxiāo hé shùzìhuà pǐnpái jiànshè cèlüè fēnxī bàogào?</t>
        </is>
      </c>
      <c r="F615" s="115">
        <f>HYPERLINK("https://youglish.com/pronounce/您能否为我们提供更多的市场营销和数字化品牌建设策略分析报告/chinese","🔍")</f>
        <v/>
      </c>
    </row>
    <row r="616" ht="57" customHeight="1" s="99">
      <c r="A616" s="92" t="inlineStr">
        <is>
          <t>626 ĐPTM.pdf</t>
        </is>
      </c>
      <c r="B616" s="93" t="inlineStr">
        <is>
          <t>615</t>
        </is>
      </c>
      <c r="C616" s="92" t="inlineStr">
        <is>
          <t>我们需要商讨产品的目标市场和消费者特征。</t>
        </is>
      </c>
      <c r="D616" s="92" t="inlineStr">
        <is>
          <t>Chúng tôi cần thảo luận về thị trường mục tiêu và đặc điểm của khách hàng cho sản phẩm. Wǒmen xūyào shāngtǎo chǎnpǐn de mùbiāo shìchǎng hé xiāofèi zhě tèzhēng.</t>
        </is>
      </c>
      <c r="E616" s="92" t="inlineStr">
        <is>
          <t>615 我们需要商讨 产品的目标市 场和消费者特 征。 Chúng tôi cần thảo luận về thị trường mục tiêu và đặc điểm của khách hàng cho sản phẩm. Wǒmen xūyào shāngtǎo chǎnpǐn de mùbiāo shìchǎng hé xiāofèi zhě tèzhēng.</t>
        </is>
      </c>
      <c r="F616" s="114">
        <f>HYPERLINK("https://youglish.com/pronounce/我们需要商讨产品的目标市场和消费者特征/chinese","🔍")</f>
        <v/>
      </c>
    </row>
    <row r="617" ht="42.75" customHeight="1" s="99">
      <c r="A617" s="94" t="inlineStr">
        <is>
          <t>626 ĐPTM.pdf</t>
        </is>
      </c>
      <c r="B617" s="95" t="inlineStr">
        <is>
          <t>616</t>
        </is>
      </c>
      <c r="C617" s="94" t="inlineStr">
        <is>
          <t>我们需要确认合同的保证和担保条款。</t>
        </is>
      </c>
      <c r="D617" s="94" t="inlineStr">
        <is>
          <t>Chúng tôi cần xác nhận các điều khoản về bảo đảm và cam kết của hợp đồng. Wǒmen xūyào quèrèn hétóng de bǎozhèng hé dānbǎo tiáokuǎn.</t>
        </is>
      </c>
      <c r="E617" s="94" t="inlineStr">
        <is>
          <t>616 我们需要确认 合同的保证和 担保条款。 Chúng tôi cần xác nhận các điều khoản về bảo đảm và cam kết của hợp đồng. Wǒmen xūyào quèrèn hétóng de bǎozhèng hé dānbǎo tiáokuǎn.</t>
        </is>
      </c>
      <c r="F617" s="115">
        <f>HYPERLINK("https://youglish.com/pronounce/我们需要确认合同的保证和担保条款/chinese","🔍")</f>
        <v/>
      </c>
    </row>
    <row r="618" ht="42.75" customHeight="1" s="99">
      <c r="A618" s="92" t="inlineStr">
        <is>
          <t>626 ĐPTM.pdf</t>
        </is>
      </c>
      <c r="B618" s="93" t="inlineStr">
        <is>
          <t>617</t>
        </is>
      </c>
      <c r="C618" s="92" t="inlineStr">
        <is>
          <t>我们需要商讨产品的质量控制和售后服务。</t>
        </is>
      </c>
      <c r="D618" s="92" t="inlineStr">
        <is>
          <t>Chúng tôi cần thảo luận về quản lý chất lượng sản phẩm và dịch vụ hậu mãi. Wǒmen xūyào shāngtǎo chǎnpǐn de zhìliàng kòngzhì hé shòuhòu fúwù.</t>
        </is>
      </c>
      <c r="E618" s="92" t="inlineStr">
        <is>
          <t>617 我们需要商讨 产品的质量控 制和售后服 务。 Chúng tôi cần thảo luận về quản lý chất lượng sản phẩm và dịch vụ hậu mãi. Wǒmen xūyào shāngtǎo chǎnpǐn de zhìliàng kòngzhì hé shòuhòu fúwù.</t>
        </is>
      </c>
      <c r="F618" s="114">
        <f>HYPERLINK("https://youglish.com/pronounce/我们需要商讨产品的质量控制和售后服务/chinese","🔍")</f>
        <v/>
      </c>
    </row>
    <row r="619" ht="42.75" customHeight="1" s="99">
      <c r="A619" s="94" t="inlineStr">
        <is>
          <t>626 ĐPTM.pdf</t>
        </is>
      </c>
      <c r="B619" s="95" t="inlineStr">
        <is>
          <t>618</t>
        </is>
      </c>
      <c r="C619" s="94" t="inlineStr">
        <is>
          <t>我们需要确认合同的变更和修订条款。</t>
        </is>
      </c>
      <c r="D619" s="94" t="inlineStr">
        <is>
          <t>Chúng tôi cần xác nhận các điều khoản về thay đổi và sửa đổi của hợp đồng. Wǒmen xūyào quèrèn hétóng de biàngēng hé xiūdìng tiáokuǎn.</t>
        </is>
      </c>
      <c r="E619" s="94" t="inlineStr">
        <is>
          <t>618 我们需要确认 合同的变更和 修订条款。 Chúng tôi cần xác nhận các điều khoản về thay đổi và sửa đổi của hợp đồng. Wǒmen xūyào quèrèn hétóng de biàngēng hé xiūdìng tiáokuǎn.</t>
        </is>
      </c>
      <c r="F619" s="115">
        <f>HYPERLINK("https://youglish.com/pronounce/我们需要确认合同的变更和修订条款/chinese","🔍")</f>
        <v/>
      </c>
    </row>
    <row r="620" ht="57" customHeight="1" s="99">
      <c r="A620" s="92" t="inlineStr">
        <is>
          <t>626 ĐPTM.pdf</t>
        </is>
      </c>
      <c r="B620" s="93" t="inlineStr">
        <is>
          <t>619</t>
        </is>
      </c>
      <c r="C620" s="92" t="inlineStr">
        <is>
          <t>您能否为我们提供更多的市场营销和数字化品牌管理案例研究？</t>
        </is>
      </c>
      <c r="D620" s="92" t="inlineStr">
        <is>
          <t>Bạn có thể cung cấp cho chúng tôi thêm các nghiên cứu về quản lý thương hiệu số không? Nín néng fǒu wèi wǒmen tígōng gèng duō de shìchǎng yíngxiāo hé shùzìhuà pǐnpái guǎnlǐ ànlì yánjiū?</t>
        </is>
      </c>
      <c r="E620" s="92" t="inlineStr">
        <is>
          <t>619 您能否为我们 提供更多的市 场营销和数字 化品牌管理案 例研究？ Bạn có thể cung cấp cho chúng tôi thêm các nghiên cứu về quản lý thương hiệu số không? Nín néng fǒu wèi wǒmen tígōng gèng duō de shìchǎng yíngxiāo hé shùzìhuà pǐnpái guǎnlǐ ànlì yánjiū?</t>
        </is>
      </c>
      <c r="F620" s="114">
        <f>HYPERLINK("https://youglish.com/pronounce/您能否为我们提供更多的市场营销和数字化品牌管理案例研究/chinese","🔍")</f>
        <v/>
      </c>
    </row>
    <row r="621" ht="57" customHeight="1" s="99">
      <c r="A621" s="94" t="inlineStr">
        <is>
          <t>626 ĐPTM.pdf</t>
        </is>
      </c>
      <c r="B621" s="95" t="inlineStr">
        <is>
          <t>620</t>
        </is>
      </c>
      <c r="C621" s="94" t="inlineStr">
        <is>
          <t>我们需要商讨产品的供应商管理和合作伙伴关系。</t>
        </is>
      </c>
      <c r="D621" s="94" t="inlineStr">
        <is>
          <t>Chúng tôi cần thảo luận về quản lý nhà cung cấp và mối quan hệ đối tác cho sản phẩm. Wǒmen xūyào shāngtǎo chǎnpǐn de gōngyìng shāng guǎnlǐ hé hézuò huǒbàn guānxì.</t>
        </is>
      </c>
      <c r="E621" s="94" t="inlineStr">
        <is>
          <t>620 我们需要商讨 产品的供应商 管理和合作伙 伴关系。 Chúng tôi cần thảo luận về quản lý nhà cung cấp và mối quan hệ đối tác cho sản phẩm. Wǒmen xūyào shāngtǎo chǎnpǐn de gōngyìng shāng guǎnlǐ hé hézuò huǒbàn guānxì.</t>
        </is>
      </c>
      <c r="F621" s="115">
        <f>HYPERLINK("https://youglish.com/pronounce/我们需要商讨产品的供应商管理和合作伙伴关系/chinese","🔍")</f>
        <v/>
      </c>
    </row>
    <row r="622" ht="57" customHeight="1" s="99">
      <c r="A622" s="92" t="inlineStr">
        <is>
          <t>626 ĐPTM.pdf</t>
        </is>
      </c>
      <c r="B622" s="93" t="inlineStr">
        <is>
          <t>621</t>
        </is>
      </c>
      <c r="C622" s="92" t="inlineStr">
        <is>
          <t>我们需要确认合同的机密信息保护和安全保障条款。</t>
        </is>
      </c>
      <c r="D622" s="92" t="inlineStr">
        <is>
          <t>Chúng tôi cần xác nhận các điều khoản về bảo vệ thông tin bí mật và đảm bảo an ninh của hợp đồng. Wǒmen xūyào quèrèn hétóng de jīmì xìnxī bǎohù hé ānquán bǎozhàng tiáokuǎn.</t>
        </is>
      </c>
      <c r="E622" s="92" t="inlineStr">
        <is>
          <t>621 我们需要确认 合同的机密信 息保护和安全 保障条款。 Chúng tôi cần xác nhận các điều khoản về bảo vệ thông tin bí mật và đảm bảo an ninh của hợp đồng. Wǒmen xūyào quèrèn hétóng de jīmì xìnxī bǎohù hé ānquán bǎozhàng tiáokuǎn.</t>
        </is>
      </c>
      <c r="F622" s="114">
        <f>HYPERLINK("https://youglish.com/pronounce/我们需要确认合同的机密信息保护和安全保障条款/chinese","🔍")</f>
        <v/>
      </c>
    </row>
    <row r="623" ht="71.25" customHeight="1" s="99">
      <c r="A623" s="94" t="inlineStr">
        <is>
          <t>626 ĐPTM.pdf</t>
        </is>
      </c>
      <c r="B623" s="95" t="inlineStr">
        <is>
          <t>622</t>
        </is>
      </c>
      <c r="C623" s="94" t="inlineStr">
        <is>
          <t>您能否为我们提供更多的市场营销和数字化转型创新案例研究？</t>
        </is>
      </c>
      <c r="D623" s="94" t="inlineStr">
        <is>
          <t>Bạn có thể cung cấp cho chúng tôi thêm các nghiên cứu về chuyển đổi kỹ thuật số và đổi mới không? Nín néng fǒu wèi wǒmen tígōng gèng duō de shìchǎng yíngxiāo hé shùzìhuà zhuǎnxíng chuàngxīn ànlì yánjiū?</t>
        </is>
      </c>
      <c r="E623" s="94" t="inlineStr">
        <is>
          <t>622 您能否为我们 提供更多的市 场营销和数字 化转型创新案 例研究？ Bạn có thể cung cấp cho chúng tôi thêm các nghiên cứu về chuyển đổi kỹ thuật số và đổi mới không? Nín néng fǒu wèi wǒmen tígōng gèng duō de shìchǎng yíngxiāo hé shùzìhuà zhuǎnxíng chuàngxīn ànlì yánjiū?</t>
        </is>
      </c>
      <c r="F623" s="115">
        <f>HYPERLINK("https://youglish.com/pronounce/您能否为我们提供更多的市场营销和数字化转型创新案例研究/chinese","🔍")</f>
        <v/>
      </c>
    </row>
    <row r="624" ht="42.75" customHeight="1" s="99">
      <c r="A624" s="92" t="inlineStr">
        <is>
          <t>626 ĐPTM.pdf</t>
        </is>
      </c>
      <c r="B624" s="93" t="inlineStr">
        <is>
          <t>623</t>
        </is>
      </c>
      <c r="C624" s="92" t="inlineStr">
        <is>
          <t>我们需要商讨产品的生产和交付周期。</t>
        </is>
      </c>
      <c r="D624" s="92" t="inlineStr">
        <is>
          <t>Chúng tôi cần thảo luận về chu kỳ sản xuất và giao hàng cho sản phẩm. Wǒmen xūyào shāngtǎo chǎnpǐn de shēngchǎn hé jiāofù zhōuqí.</t>
        </is>
      </c>
      <c r="E624" s="92" t="inlineStr">
        <is>
          <t>623 我们需要商讨 产品的生产和 交付周期。 Chúng tôi cần thảo luận về chu kỳ sản xuất và giao hàng cho sản phẩm. Wǒmen xūyào shāngtǎo chǎnpǐn de shēngchǎn hé jiāofù zhōuqí.</t>
        </is>
      </c>
      <c r="F624" s="114">
        <f>HYPERLINK("https://youglish.com/pronounce/我们需要商讨产品的生产和交付周期/chinese","🔍")</f>
        <v/>
      </c>
    </row>
    <row r="625" ht="42.75" customHeight="1" s="99">
      <c r="A625" s="94" t="inlineStr">
        <is>
          <t>626 ĐPTM.pdf</t>
        </is>
      </c>
      <c r="B625" s="95" t="inlineStr">
        <is>
          <t>624</t>
        </is>
      </c>
      <c r="C625" s="94" t="inlineStr">
        <is>
          <t>我们需要确认合同的不可抗力和解除条款。</t>
        </is>
      </c>
      <c r="D625" s="94" t="inlineStr">
        <is>
          <t>Chúng tôi cần xác nhận các điều khoản về sự cố không thể ngăn cản và giải phóng của hợp đồng. Wǒmen xūyào quèrèn hétóng de bùkěkànglì hé jiěchú tiáokuǎn.</t>
        </is>
      </c>
      <c r="E625" s="94" t="inlineStr">
        <is>
          <t>624 我们需要确认 合同的不可抗 力和解除条款。 Chúng tôi cần xác nhận các điều khoản về sự cố không thể ngăn cản và giải phóng của hợp đồng. Wǒmen xūyào quèrèn hétóng de bùkěkànglì hé jiěchú tiáokuǎn.</t>
        </is>
      </c>
      <c r="F625" s="115">
        <f>HYPERLINK("https://youglish.com/pronounce/我们需要确认合同的不可抗力和解除条款/chinese","🔍")</f>
        <v/>
      </c>
    </row>
    <row r="626" ht="57" customHeight="1" s="99">
      <c r="A626" s="92" t="inlineStr">
        <is>
          <t>626 ĐPTM.pdf</t>
        </is>
      </c>
      <c r="B626" s="93" t="inlineStr">
        <is>
          <t>625</t>
        </is>
      </c>
      <c r="C626" s="92" t="inlineStr">
        <is>
          <t>您能否为我们提供更多的市场营销和数字化营销趋势案例研究？</t>
        </is>
      </c>
      <c r="D626" s="92" t="inlineStr">
        <is>
          <t>Bạn có thể cung cấp cho chúng tôi thêm các nghiên cứu về xu hướng tiếp thị số không? Nín néng fǒu wèi wǒmen tígōng gèng duō de shìchǎng yíngxiāo hé shùzìhuà yíngxiāo qūshì ànlì yánjiū?</t>
        </is>
      </c>
      <c r="E626" s="92" t="inlineStr">
        <is>
          <t>625 您能否为我们 提供更多的市 场营销和数字 化营销趋势案 例研究？ Bạn có thể cung cấp cho chúng tôi thêm các nghiên cứu về xu hướng tiếp thị số không? Nín néng fǒu wèi wǒmen tígōng gèng duō de shìchǎng yíngxiāo hé shùzìhuà yíngxiāo qūshì ànlì yánjiū?</t>
        </is>
      </c>
      <c r="F626" s="114">
        <f>HYPERLINK("https://youglish.com/pronounce/您能否为我们提供更多的市场营销和数字化营销趋势案例研究/chinese","🔍")</f>
        <v/>
      </c>
    </row>
    <row r="627" ht="42.75" customHeight="1" s="99">
      <c r="A627" s="94" t="inlineStr">
        <is>
          <t>626 ĐPTM.pdf</t>
        </is>
      </c>
      <c r="B627" s="95" t="inlineStr">
        <is>
          <t>626</t>
        </is>
      </c>
      <c r="C627" s="94" t="inlineStr">
        <is>
          <t>我们需要商讨产品的环保和社会责任。</t>
        </is>
      </c>
      <c r="D627" s="94" t="inlineStr">
        <is>
          <t>Chúng tôi cần thảo luận về vấn đề bảo vệ môi trường và trách nhiệm xã hội cho sản phẩm. Wǒmen xūyào shāngtǎo chǎnpǐn de huánbǎo hé shèhuì zérèn.</t>
        </is>
      </c>
      <c r="E627" s="94" t="inlineStr">
        <is>
          <t>626 我们需要商讨 产品的环保和 社会责任。 Chúng tôi cần thảo luận về vấn đề bảo vệ môi trường và trách nhiệm xã hội cho sản phẩm. Wǒmen xūyào shāngtǎo chǎnpǐn de huánbǎo hé shèhuì zérèn.</t>
        </is>
      </c>
      <c r="F627" s="115">
        <f>HYPERLINK("https://youglish.com/pronounce/我们需要商讨产品的环保和社会责任/chinese","🔍")</f>
        <v/>
      </c>
    </row>
    <row r="628" ht="57" customHeight="1" s="99">
      <c r="A628" s="92" t="inlineStr">
        <is>
          <t>626 ĐPTM.pdf</t>
        </is>
      </c>
      <c r="B628" s="93" t="inlineStr">
        <is>
          <t>627</t>
        </is>
      </c>
      <c r="C628" s="92" t="inlineStr">
        <is>
          <t>我们需要确认合同的所有权和知识产权归属条款。</t>
        </is>
      </c>
      <c r="D628" s="92" t="inlineStr">
        <is>
          <t>Chúng tôi cần xác nhận các điều khoản về quyền sở hữu và sở hữu trí tuệ của hợp đồng. Wǒmen xūyào quèrèn hétóng de suǒyǒuquán hé zhīshì chǎnquán guīshǔ tiáokuǎn.</t>
        </is>
      </c>
      <c r="E628" s="92" t="inlineStr">
        <is>
          <t>627 我们需要确认 合同的所有权 和知识产权归 属条款。 Chúng tôi cần xác nhận các điều khoản về quyền sở hữu và sở hữu trí tuệ của hợp đồng. Wǒmen xūyào quèrèn hétóng de suǒyǒuquán hé zhīshì chǎnquán guīshǔ tiáokuǎn.</t>
        </is>
      </c>
      <c r="F628" s="114">
        <f>HYPERLINK("https://youglish.com/pronounce/我们需要确认合同的所有权和知识产权归属条款/chinese","🔍")</f>
        <v/>
      </c>
    </row>
    <row r="629" ht="57" customHeight="1" s="99">
      <c r="A629" s="94" t="inlineStr">
        <is>
          <t>626 ĐPTM.pdf</t>
        </is>
      </c>
      <c r="B629" s="95" t="inlineStr">
        <is>
          <t>628</t>
        </is>
      </c>
      <c r="C629" s="94" t="inlineStr">
        <is>
          <t>您能否为我们提供更多的市场营销和数字化品牌管理案例分析？</t>
        </is>
      </c>
      <c r="D629" s="94" t="inlineStr">
        <is>
          <t>Bạn có thể cung cấp cho chúng tôi thêm các phân tích về quản lý thương hiệu số không? Nín néng fǒu wèi wǒmen tígōng gèng duō de shìchǎng yíngxiāo hé shùzìhuà pǐnpái guǎnlǐ ànlì fēnxī?</t>
        </is>
      </c>
      <c r="E629" s="94" t="inlineStr">
        <is>
          <t>628 您能否为我们 提供更多的市 场营销和数字 化品牌管理案 例分析？ Bạn có thể cung cấp cho chúng tôi thêm các phân tích về quản lý thương hiệu số không? Nín néng fǒu wèi wǒmen tígōng gèng duō de shìchǎng yíngxiāo hé shùzìhuà pǐnpái guǎnlǐ ànlì fēnxī?</t>
        </is>
      </c>
      <c r="F629" s="115">
        <f>HYPERLINK("https://youglish.com/pronounce/您能否为我们提供更多的市场营销和数字化品牌管理案例分析/chinese","🔍")</f>
        <v/>
      </c>
    </row>
    <row r="630" ht="42.75" customHeight="1" s="99">
      <c r="A630" s="92" t="inlineStr">
        <is>
          <t>626 ĐPTM.pdf</t>
        </is>
      </c>
      <c r="B630" s="93" t="inlineStr">
        <is>
          <t>629</t>
        </is>
      </c>
      <c r="C630" s="92" t="inlineStr">
        <is>
          <t>我们需要商讨产品的创新和技术研发。</t>
        </is>
      </c>
      <c r="D630" s="92" t="inlineStr">
        <is>
          <t>Chúng tôi cần thảo luận về đổi mới và nghiên cứu công nghệ cho sản phẩm. Wǒmen xūyào shāngtǎo chǎnpǐn de chuàngxīn hé jìshù yánfā.</t>
        </is>
      </c>
      <c r="E630" s="92" t="inlineStr">
        <is>
          <t>629 我们需要商讨 产品的创新和 技术研发。 Chúng tôi cần thảo luận về đổi mới và nghiên cứu công nghệ cho sản phẩm. Wǒmen xūyào shāngtǎo chǎnpǐn de chuàngxīn hé jìshù yánfā.</t>
        </is>
      </c>
      <c r="F630" s="114">
        <f>HYPERLINK("https://youglish.com/pronounce/我们需要商讨产品的创新和技术研发/chinese","🔍")</f>
        <v/>
      </c>
    </row>
    <row r="631" ht="71.25" customHeight="1" s="99">
      <c r="A631" s="94" t="inlineStr">
        <is>
          <t>626 ĐPTM.pdf</t>
        </is>
      </c>
      <c r="B631" s="95" t="inlineStr">
        <is>
          <t>630</t>
        </is>
      </c>
      <c r="C631" s="94" t="inlineStr">
        <is>
          <t>我们需要确认合同的违约责任和赔偿条款。</t>
        </is>
      </c>
      <c r="D631" s="94" t="inlineStr">
        <is>
          <t>Chúng tôi cần xác nhận các điều khoản về trách nhiệm vi phạm và bồi thường trong hợp đồng. Bạn có thể cung cấp cho chúng tôi thêm các báo cáo phân tích xu hướng tiếp thị và tiếp thị kỹ thuật số không? Wǒmen xūyào quèrèn hétóng de wéiyuē zérèn hé péicháng tiáokuǎn.</t>
        </is>
      </c>
      <c r="E631" s="94" t="inlineStr">
        <is>
          <t>630 我们需要确认 合同的违约责 任和赔偿条 款。 Chúng tôi cần xác nhận các điều khoản về trách nhiệm vi phạm và bồi thường trong hợp đồng. Bạn có thể cung cấp cho chúng tôi thêm các báo cáo phân tích xu hướng tiếp thị và tiếp thị kỹ thuật số không? Wǒmen xūyào quèrèn hétóng de wéiyuē zérèn hé péicháng tiáokuǎn.</t>
        </is>
      </c>
      <c r="F631" s="115">
        <f>HYPERLINK("https://youglish.com/pronounce/我们需要确认合同的违约责任和赔偿条款/chinese","🔍")</f>
        <v/>
      </c>
    </row>
    <row r="632" ht="71.25" customHeight="1" s="99">
      <c r="A632" s="92" t="inlineStr">
        <is>
          <t>626 ĐPTM.pdf</t>
        </is>
      </c>
      <c r="B632" s="93" t="inlineStr">
        <is>
          <t>631</t>
        </is>
      </c>
      <c r="C632" s="92" t="inlineStr">
        <is>
          <t>您能否为我们提供更多的市场营销和数字化转型创新案例分析？</t>
        </is>
      </c>
      <c r="D632" s="92" t="inlineStr">
        <is>
          <t>Chúng tôi cần thảo luận về thiết kế và đóng gói sản phẩm. Chúng tôi cần xác nhận các điều khoản về bảo hiểm và giới hạn trách nhiệm trong hợp đồng. Nín néng fǒu wèi wǒmen tígōng gèng duō de shìchǎng yíngxiāo hé shùzìhuà zhuǎnxíng chuàngxīn ànlì fēnxī?</t>
        </is>
      </c>
      <c r="E632" s="92" t="inlineStr">
        <is>
          <t>631 您能否为我们 提供更多的市 场营销和数字 化转型创新案 例分析？ Chúng tôi cần thảo luận về thiết kế và đóng gói sản phẩm. Chúng tôi cần xác nhận các điều khoản về bảo hiểm và giới hạn trách nhiệm trong hợp đồng. Nín néng fǒu wèi wǒmen tígōng gèng duō de shìchǎng yíngxiāo hé shùzìhuà zhuǎnxíng chuàngxīn ànlì fēnxī?</t>
        </is>
      </c>
      <c r="F632" s="114">
        <f>HYPERLINK("https://youglish.com/pronounce/您能否为我们提供更多的市场营销和数字化转型创新案例分析/chinese","🔍")</f>
        <v/>
      </c>
    </row>
    <row r="633" ht="42.75" customHeight="1" s="99">
      <c r="A633" s="94" t="inlineStr">
        <is>
          <t>626 ĐPTM.pdf</t>
        </is>
      </c>
      <c r="B633" s="95" t="inlineStr">
        <is>
          <t>632</t>
        </is>
      </c>
      <c r="C633" s="94" t="inlineStr">
        <is>
          <t>我们需要商讨产品的设计和包装。</t>
        </is>
      </c>
      <c r="D633" s="94" t="inlineStr">
        <is>
          <t>Chúng tôi cần thảo luận về thiết kế và đóng gói sản phẩm. Wǒmen xūyào shāngtǎo chǎnpǐn de shèjì hé bāozhuāng.</t>
        </is>
      </c>
      <c r="E633" s="94" t="inlineStr">
        <is>
          <t>632 我们需要商讨 产品的设计和 包装。 Chúng tôi cần thảo luận về thiết kế và đóng gói sản phẩm. Wǒmen xūyào shāngtǎo chǎnpǐn de shèjì hé bāozhuāng.</t>
        </is>
      </c>
      <c r="F633" s="115">
        <f>HYPERLINK("https://youglish.com/pronounce/我们需要商讨产品的设计和包装/chinese","🔍")</f>
        <v/>
      </c>
    </row>
    <row r="634" ht="42.75" customHeight="1" s="99">
      <c r="A634" s="92" t="inlineStr">
        <is>
          <t>626 ĐPTM.pdf</t>
        </is>
      </c>
      <c r="B634" s="93" t="inlineStr">
        <is>
          <t>633</t>
        </is>
      </c>
      <c r="C634" s="92" t="inlineStr">
        <is>
          <t>我们需要确认合同的保险和责任限制条款。</t>
        </is>
      </c>
      <c r="D634" s="92" t="inlineStr">
        <is>
          <t>Chúng tôi cần xác nhận các điều khoản về bảo hiểm và giới hạn trách nhiệm trong hợp đồng. Wǒmen xūyào quèrèn hétóng de bǎoxiǎn hé zérèn xiànzhì tiáokuǎn.</t>
        </is>
      </c>
      <c r="E634" s="92" t="inlineStr">
        <is>
          <t>633 我们需要确认 合同的保险和 责任限制条 款。 Chúng tôi cần xác nhận các điều khoản về bảo hiểm và giới hạn trách nhiệm trong hợp đồng. Wǒmen xūyào quèrèn hétóng de bǎoxiǎn hé zérèn xiànzhì tiáokuǎn.</t>
        </is>
      </c>
      <c r="F634" s="114">
        <f>HYPERLINK("https://youglish.com/pronounce/我们需要确认合同的保险和责任限制条款/chinese","🔍")</f>
        <v/>
      </c>
    </row>
    <row r="635" ht="71.25" customHeight="1" s="99">
      <c r="A635" s="94" t="inlineStr">
        <is>
          <t>626 ĐPTM.pdf</t>
        </is>
      </c>
      <c r="B635" s="95" t="inlineStr">
        <is>
          <t>634</t>
        </is>
      </c>
      <c r="C635" s="94" t="inlineStr">
        <is>
          <t>您能否为我们提供更多的市场营销和数字化营销趋势案例分析？</t>
        </is>
      </c>
      <c r="D635" s="94" t="inlineStr">
        <is>
          <t>Bạn có thể cung cấp cho chúng tôi nhiều hơn các phân tích về xu hướng tiếp thị và chuyển đổi số không? Nín néng fǒu wèi wǒmen tígōng gèng duō de shìchǎng yíngxiāo hé shùzìhuà yíngxiāo qūshì ànlì fēnxī?</t>
        </is>
      </c>
      <c r="E635" s="94" t="inlineStr">
        <is>
          <t>634 您能否为我们 提供更多的市 场营销和数字 化营销趋势案 例分析？ Bạn có thể cung cấp cho chúng tôi nhiều hơn các phân tích về xu hướng tiếp thị và chuyển đổi số không? Nín néng fǒu wèi wǒmen tígōng gèng duō de shìchǎng yíngxiāo hé shùzìhuà yíngxiāo qūshì ànlì fēnxī?</t>
        </is>
      </c>
      <c r="F635" s="115">
        <f>HYPERLINK("https://youglish.com/pronounce/您能否为我们提供更多的市场营销和数字化营销趋势案例分析/chinese","🔍")</f>
        <v/>
      </c>
    </row>
    <row r="636" ht="42.75" customHeight="1" s="99">
      <c r="A636" s="92" t="inlineStr">
        <is>
          <t>626 ĐPTM.pdf</t>
        </is>
      </c>
      <c r="B636" s="93" t="inlineStr">
        <is>
          <t>635</t>
        </is>
      </c>
      <c r="C636" s="92" t="inlineStr">
        <is>
          <t>我们需要商讨产品的测试和质量检验。</t>
        </is>
      </c>
      <c r="D636" s="92" t="inlineStr">
        <is>
          <t>Chúng tôi cần thảo luận về kiểm tra sản phẩm và kiểm định chất lượng. Wǒmen xūyào shāngtǎo chǎnpǐn de cèshì hé zhìliàng jiǎnyàn.</t>
        </is>
      </c>
      <c r="E636" s="92" t="inlineStr">
        <is>
          <t>635 我们需要商讨 产品的测试和 质量检验。 Chúng tôi cần thảo luận về kiểm tra sản phẩm và kiểm định chất lượng. Wǒmen xūyào shāngtǎo chǎnpǐn de cèshì hé zhìliàng jiǎnyàn.</t>
        </is>
      </c>
      <c r="F636" s="114">
        <f>HYPERLINK("https://youglish.com/pronounce/我们需要商讨产品的测试和质量检验/chinese","🔍")</f>
        <v/>
      </c>
    </row>
    <row r="637" ht="57" customHeight="1" s="99">
      <c r="A637" s="94" t="inlineStr">
        <is>
          <t>626 ĐPTM.pdf</t>
        </is>
      </c>
      <c r="B637" s="95" t="inlineStr">
        <is>
          <t>636</t>
        </is>
      </c>
      <c r="C637" s="94" t="inlineStr">
        <is>
          <t>我们需要确认合同的法律适用和管辖法院条款。</t>
        </is>
      </c>
      <c r="D637" s="94" t="inlineStr">
        <is>
          <t>Chúng tôi cần xác nhận các điều khoản về áp dụng pháp luật và tòa án có thẩm quyền trong hợp đồng. Wǒmen xūyào quèrèn hétóng de fǎlǜ shìyòng hé guǎnxiá fǎyuàn tiáokuǎn.</t>
        </is>
      </c>
      <c r="E637" s="94" t="inlineStr">
        <is>
          <t>636 我们需要确认 合同的法律适 用和管辖法院 条款。 Chúng tôi cần xác nhận các điều khoản về áp dụng pháp luật và tòa án có thẩm quyền trong hợp đồng. Wǒmen xūyào quèrèn hétóng de fǎlǜ shìyòng hé guǎnxiá fǎyuàn tiáokuǎn.</t>
        </is>
      </c>
      <c r="F637" s="115">
        <f>HYPERLINK("https://youglish.com/pronounce/我们需要确认合同的法律适用和管辖法院条款/chinese","🔍")</f>
        <v/>
      </c>
    </row>
    <row r="638" ht="71.25" customHeight="1" s="99">
      <c r="A638" s="92" t="inlineStr">
        <is>
          <t>626 ĐPTM.pdf</t>
        </is>
      </c>
      <c r="B638" s="93" t="inlineStr">
        <is>
          <t>637</t>
        </is>
      </c>
      <c r="C638" s="92" t="inlineStr">
        <is>
          <t>您能否为我们提供更多的市场营销和数字化品牌管理案例分享？</t>
        </is>
      </c>
      <c r="D638" s="92" t="inlineStr">
        <is>
          <t>Bạn có thể cung cấp cho chúng tôi nhiều hơn về chia sẻ các câu chuyện về quản lý thương hiệu và chuyển đổi số không? Nín néng fǒu wèi wǒmen tígōng gèng duō de shìchǎng yíngxiāo hé shùzìhuà pǐnpái guǎnlǐ ànlì fēnxiǎng?</t>
        </is>
      </c>
      <c r="E638" s="92" t="inlineStr">
        <is>
          <t>637 您能否为我们 提供更多的市 场营销和数字 化品牌管理案 例分享？ Bạn có thể cung cấp cho chúng tôi nhiều hơn về chia sẻ các câu chuyện về quản lý thương hiệu và chuyển đổi số không? Nín néng fǒu wèi wǒmen tígōng gèng duō de shìchǎng yíngxiāo hé shùzìhuà pǐnpái guǎnlǐ ànlì fēnxiǎng?</t>
        </is>
      </c>
      <c r="F638" s="114">
        <f>HYPERLINK("https://youglish.com/pronounce/您能否为我们提供更多的市场营销和数字化品牌管理案例分享/chinese","🔍")</f>
        <v/>
      </c>
    </row>
    <row r="639" ht="42.75" customHeight="1" s="99">
      <c r="A639" s="94" t="inlineStr">
        <is>
          <t>626 ĐPTM.pdf</t>
        </is>
      </c>
      <c r="B639" s="95" t="inlineStr">
        <is>
          <t>638</t>
        </is>
      </c>
      <c r="C639" s="94" t="inlineStr">
        <is>
          <t>我们需要商讨产品的原材料采购和物流管理。</t>
        </is>
      </c>
      <c r="D639" s="94" t="inlineStr">
        <is>
          <t>Chúng tôi cần thảo luận về việc mua nguyên liệu và quản lý vận chuyển sản phẩm. Wǒmen xūyào shāngtǎo chǎnpǐn de yuáncáiliào cǎigòu hé wùliú guǎnlǐ.</t>
        </is>
      </c>
      <c r="E639" s="94" t="inlineStr">
        <is>
          <t>638 我们需要商讨 产品的原材料 采购和物流管 理。 Chúng tôi cần thảo luận về việc mua nguyên liệu và quản lý vận chuyển sản phẩm. Wǒmen xūyào shāngtǎo chǎnpǐn de yuáncáiliào cǎigòu hé wùliú guǎnlǐ.</t>
        </is>
      </c>
      <c r="F639" s="115">
        <f>HYPERLINK("https://youglish.com/pronounce/我们需要商讨产品的原材料采购和物流管理/chinese","🔍")</f>
        <v/>
      </c>
    </row>
    <row r="640" ht="57" customHeight="1" s="99">
      <c r="A640" s="92" t="inlineStr">
        <is>
          <t>626 ĐPTM.pdf</t>
        </is>
      </c>
      <c r="B640" s="93" t="inlineStr">
        <is>
          <t>639</t>
        </is>
      </c>
      <c r="C640" s="92" t="inlineStr">
        <is>
          <t>我们需要确认合同的保密和机密信息保护条款。</t>
        </is>
      </c>
      <c r="D640" s="92" t="inlineStr">
        <is>
          <t>Chúng tôi cần xác nhận các điều khoản về bảo mật và bảo vệ thông tin bí mật trong hợp đồng. Wǒmen xūyào quèrèn hétóng de bǎomì hé jīmì xìnxī bǎohù tiáokuǎn.</t>
        </is>
      </c>
      <c r="E640" s="92" t="inlineStr">
        <is>
          <t>639 我们需要确认 合同的保密和 机密信息保护 条款。 Chúng tôi cần xác nhận các điều khoản về bảo mật và bảo vệ thông tin bí mật trong hợp đồng. Wǒmen xūyào quèrèn hétóng de bǎomì hé jīmì xìnxī bǎohù tiáokuǎn.</t>
        </is>
      </c>
      <c r="F640" s="114">
        <f>HYPERLINK("https://youglish.com/pronounce/我们需要确认合同的保密和机密信息保护条款/chinese","🔍")</f>
        <v/>
      </c>
    </row>
    <row r="641" ht="57" customHeight="1" s="99">
      <c r="A641" s="94" t="inlineStr">
        <is>
          <t>626 ĐPTM.pdf</t>
        </is>
      </c>
      <c r="B641" s="95" t="inlineStr">
        <is>
          <t>640</t>
        </is>
      </c>
      <c r="C641" s="94" t="inlineStr">
        <is>
          <t>您能否为我们提供更多的市场营销和数字化转型创新案例分享？</t>
        </is>
      </c>
      <c r="D641" s="94" t="inlineStr">
        <is>
          <t>Bạn có thể cung cấp cho chúng tôi nhiều hơn các phân tích về chuyển đổi số và đổi mới không? Nín néng fǒu wèi wǒmen tígōng gèng duō de shìchǎng yíngxiāo hé shùzìhuà zhuǎnxíng chuàngxīn ànlì fēnxiǎng?</t>
        </is>
      </c>
      <c r="E641" s="94" t="inlineStr">
        <is>
          <t>640 您能否为我们 提供更多的市 场营销和数字 化转型创新案 例分享？ Bạn có thể cung cấp cho chúng tôi nhiều hơn các phân tích về chuyển đổi số và đổi mới không? Nín néng fǒu wèi wǒmen tígōng gèng duō de shìchǎng yíngxiāo hé shùzìhuà zhuǎnxíng chuàngxīn ànlì fēnxiǎng?</t>
        </is>
      </c>
      <c r="F641" s="115">
        <f>HYPERLINK("https://youglish.com/pronounce/您能否为我们提供更多的市场营销和数字化转型创新案例分享/chinese","🔍")</f>
        <v/>
      </c>
    </row>
    <row r="642" ht="42.75" customHeight="1" s="99">
      <c r="A642" s="92" t="inlineStr">
        <is>
          <t>626 ĐPTM.pdf</t>
        </is>
      </c>
      <c r="B642" s="93" t="inlineStr">
        <is>
          <t>641</t>
        </is>
      </c>
      <c r="C642" s="92" t="inlineStr">
        <is>
          <t>我们需要商讨产品的品牌升级和改进。</t>
        </is>
      </c>
      <c r="D642" s="92" t="inlineStr">
        <is>
          <t>Chúng tôi cần thảo luận về việc nâng cấp và cải tiến thương hiệu sản phẩm. Wǒmen xūyào shāngtǎo chǎnpǐn de pǐnpái shēngjí hé gǎijìn.</t>
        </is>
      </c>
      <c r="E642" s="92" t="inlineStr">
        <is>
          <t>641 我们需要商讨 产品的品牌升 级和改进。 Chúng tôi cần thảo luận về việc nâng cấp và cải tiến thương hiệu sản phẩm. Wǒmen xūyào shāngtǎo chǎnpǐn de pǐnpái shēngjí hé gǎijìn.</t>
        </is>
      </c>
      <c r="F642" s="114">
        <f>HYPERLINK("https://youglish.com/pronounce/我们需要商讨产品的品牌升级和改进/chinese","🔍")</f>
        <v/>
      </c>
    </row>
    <row r="643" ht="42.75" customHeight="1" s="99">
      <c r="A643" s="94" t="inlineStr">
        <is>
          <t>626 ĐPTM.pdf</t>
        </is>
      </c>
      <c r="B643" s="95" t="inlineStr">
        <is>
          <t>642</t>
        </is>
      </c>
      <c r="C643" s="94" t="inlineStr">
        <is>
          <t>我们需要确认合同的履行和终止条款。</t>
        </is>
      </c>
      <c r="D643" s="94" t="inlineStr">
        <is>
          <t>Chúng tôi cần xác nhận các điều khoản thực hiện và chấm dứt của hợp đồng. Wǒmen xūyào quèrèn hétóng de lǚxíng hé zhōngzhǐ tiáokuǎn.</t>
        </is>
      </c>
      <c r="E643" s="94" t="inlineStr">
        <is>
          <t>642 我们需要确认 合同的履行和 终止条款。 Chúng tôi cần xác nhận các điều khoản thực hiện và chấm dứt của hợp đồng. Wǒmen xūyào quèrèn hétóng de lǚxíng hé zhōngzhǐ tiáokuǎn.</t>
        </is>
      </c>
      <c r="F643" s="115">
        <f>HYPERLINK("https://youglish.com/pronounce/我们需要确认合同的履行和终止条款/chinese","🔍")</f>
        <v/>
      </c>
    </row>
    <row r="644" ht="71.25" customHeight="1" s="99">
      <c r="A644" s="92" t="inlineStr">
        <is>
          <t>626 ĐPTM.pdf</t>
        </is>
      </c>
      <c r="B644" s="93" t="inlineStr">
        <is>
          <t>643</t>
        </is>
      </c>
      <c r="C644" s="92" t="inlineStr">
        <is>
          <t>您能否为我们提供更多的市场营销和数字化营销趋势案例分享？</t>
        </is>
      </c>
      <c r="D644" s="92" t="inlineStr">
        <is>
          <t>Liệu bạn có thể cung cấp cho chúng tôi thêm báo cáo phân tích xu hướng tiếp thị và tiếp thị số để chia sẻ? Nín néng fǒu wèi wǒmen tígōng gèng duō de shìchǎng yíngxiāo hé shùzìhuà yíngxiāo qūshì ànlì fēnxiǎng?</t>
        </is>
      </c>
      <c r="E644" s="92" t="inlineStr">
        <is>
          <t>643 您能否为我们 提供更多的市 场营销和数字 化营销趋势案 例分享？ Liệu bạn có thể cung cấp cho chúng tôi thêm báo cáo phân tích xu hướng tiếp thị và tiếp thị số để chia sẻ? Nín néng fǒu wèi wǒmen tígōng gèng duō de shìchǎng yíngxiāo hé shùzìhuà yíngxiāo qūshì ànlì fēnxiǎng?</t>
        </is>
      </c>
      <c r="F644" s="114">
        <f>HYPERLINK("https://youglish.com/pronounce/您能否为我们提供更多的市场营销和数字化营销趋势案例分享/chinese","🔍")</f>
        <v/>
      </c>
    </row>
    <row r="645" ht="42.75" customHeight="1" s="99">
      <c r="A645" s="94" t="inlineStr">
        <is>
          <t>626 ĐPTM.pdf</t>
        </is>
      </c>
      <c r="B645" s="95" t="inlineStr">
        <is>
          <t>644</t>
        </is>
      </c>
      <c r="C645" s="94" t="inlineStr">
        <is>
          <t>我们需要商讨产品的市场营销和促销方案。</t>
        </is>
      </c>
      <c r="D645" s="94" t="inlineStr">
        <is>
          <t>Chúng tôi cần thảo luận về kế hoạch tiếp thị và khuyến mãi cho sản phẩm. Wǒmen xūyào shāngtǎo chǎnpǐn de shìchǎng yíngxiāo hé cùxiāo fāng'àn.</t>
        </is>
      </c>
      <c r="E645" s="94" t="inlineStr">
        <is>
          <t>644 我们需要商讨 产品的市场营 销和促销方 案。 Chúng tôi cần thảo luận về kế hoạch tiếp thị và khuyến mãi cho sản phẩm. Wǒmen xūyào shāngtǎo chǎnpǐn de shìchǎng yíngxiāo hé cùxiāo fāng'àn.</t>
        </is>
      </c>
      <c r="F645" s="115">
        <f>HYPERLINK("https://youglish.com/pronounce/我们需要商讨产品的市场营销和促销方案/chinese","🔍")</f>
        <v/>
      </c>
    </row>
    <row r="646" ht="42.75" customHeight="1" s="99">
      <c r="A646" s="92" t="inlineStr">
        <is>
          <t>626 ĐPTM.pdf</t>
        </is>
      </c>
      <c r="B646" s="93" t="inlineStr">
        <is>
          <t>645</t>
        </is>
      </c>
      <c r="C646" s="92" t="inlineStr">
        <is>
          <t>我们需要确认合同的付款方式和期限。</t>
        </is>
      </c>
      <c r="D646" s="92" t="inlineStr">
        <is>
          <t>Chúng tôi cần xác nhận các phương thức thanh toán và thời hạn của hợp đồng. Wǒmen xūyào quèrèn hétóng de fùkuǎn fāngshì hé qíxiàn.</t>
        </is>
      </c>
      <c r="E646" s="92" t="inlineStr">
        <is>
          <t>645 我们需要确认 合同的付款方 式和期限。 Chúng tôi cần xác nhận các phương thức thanh toán và thời hạn của hợp đồng. Wǒmen xūyào quèrèn hétóng de fùkuǎn fāngshì hé qíxiàn.</t>
        </is>
      </c>
      <c r="F646" s="114">
        <f>HYPERLINK("https://youglish.com/pronounce/我们需要确认合同的付款方式和期限/chinese","🔍")</f>
        <v/>
      </c>
    </row>
    <row r="647" ht="327.75" customHeight="1" s="99">
      <c r="A647" s="94" t="inlineStr">
        <is>
          <t>626 ĐPTM.pdf</t>
        </is>
      </c>
      <c r="B647" s="95" t="inlineStr">
        <is>
          <t>646</t>
        </is>
      </c>
      <c r="C647" s="94" t="inlineStr">
        <is>
          <t>您能否为我们提供更多的市场营销和数字化品牌管理案例故事？</t>
        </is>
      </c>
      <c r="D647" s="94" t="inlineStr">
        <is>
          <t>Liệu bạn có thể cung cấp cho chúng tôi thêm câu chuyện quản lý thương hiệu và số hóa thương hiệu trong thị trường tiếp thị? Nín néng fǒu wèi wǒmen tígōng gèng duō de shìchǎng yíngxiāo hé shùzìhuà pǐnpái guǎnlǐ ànlì gùshì? HỌC BÁ CHINESE TỰ HÀO SỞ HỮU: ✪ Tư duy ngôn ngữ từ Đại học Harvard: Chương trình đào tạo chuẩn quốc tế, được cố vấn chuyên môn bởi PGS.TS Hà Bảo Chương (Nguyên Giám đốc chương trình Tiếng Trung tại Đại học Harvard). ✪ Phương pháp PBL (Project-Based Learning) độc quyền: Không học vẹt lý thuyết, lộ trình tập trung vào việc xử lý các dự án thực tế tại văn phòng và nhà máy. Kiến thức được chắt lọc trọng tâm giúp người đi làm tối ưu hóa hiệu quả và rút ngắn thời gian học tối đa. ✪ Đội ngũ Giáo viên Thạc sĩ - Tiến sĩ thực chiến: Được dẫn dắt trực tiếp bởi các Thạc sĩ, Tiến sĩ chính quy giàu kinh nghiệm thực địa. Không chỉ giỏi chuyên môn, các thầy cô còn am hiểu văn hóa doanh nghiệp Trung - Đài để truyền tài tư duy làm việc thực tế cho học viên. ✪ Cam kết đầu ra bằng văn bản: Đảm bảo năng lực ứng dụng công việc thực tế theo đúng các tiêu chí trong hợp đồng đào tạo. Học viên được hỗ trợ học lại hoàn toàn miễn phí nếu không đạt mục tiêu đầu ra như cam kết. ✪ Bảo chứng uy tín từ thị trường nhân sự: Học Bá Chinese tự hào là đối tác tin cậy được hơn 5000 học viên và hơn 100 doanh nghiệp lựa chọn đồng hành trên con đường bứt phá ngôn ngữ và thăng tiến sự nghiệp. Hãy liên hệ với Học Bá qua hotline 0888861786 hoặc click nút dưới đây để được tư vấn chi tiết nha!</t>
        </is>
      </c>
      <c r="E647" s="94" t="inlineStr">
        <is>
          <t>646 您能否为我们 提供更多的市 场营销和数字 化品牌管理案 例故事？ Liệu bạn có thể cung cấp cho chúng tôi thêm câu chuyện quản lý thương hiệu và số hóa thương hiệu trong thị trường tiếp thị? Nín néng fǒu wèi wǒmen tígōng gèng duō de shìchǎng yíngxiāo hé shùzìhuà pǐnpái guǎnlǐ ànlì gùshì? HỌC BÁ CHINESE TỰ HÀO SỞ HỮU: ✪ Tư duy ngôn ngữ từ Đại học Harvard: Chương trình đào tạo chuẩn quốc tế, được cố vấn chuyên môn bởi PGS.TS Hà Bảo Chương (Nguyên Giám đốc chương trình Tiếng Trung tại Đại học Harvard). ✪ Phương pháp PBL (Project-Based Learning) độc quyền: Không học vẹt lý thuyết, lộ trình tập trung vào việc xử lý các dự án thực tế tại văn phòng và nhà máy. Kiến thức được chắt lọc trọng tâm giúp người đi làm tối ưu hóa hiệu quả và rút ngắn thời gian học tối đa. ✪ Đội ngũ Giáo viên Thạc sĩ - Tiến sĩ thực chiến: Được dẫn dắt trực tiếp bởi các Thạc sĩ, Tiến sĩ chính quy giàu kinh nghiệm thực địa. Không chỉ giỏi chuyên môn, các thầy cô còn am hiểu văn hóa doanh nghiệp Trung - Đài để truyền tài tư duy làm việc thực tế cho học viên. ✪ Cam kết đầu ra bằng văn bản: Đảm bảo năng lực ứng dụng công việc thực tế theo đúng các tiêu chí trong hợp đồng đào tạo. Học viên được hỗ trợ học lại hoàn toàn miễn phí nếu không đạt mục tiêu đầu ra như cam kết. ✪ Bảo chứng uy tín từ thị trường nhân sự: Học Bá Chinese tự hào là đối tác tin cậy được hơn 5000 học viên và hơn 100 doanh nghiệp lựa chọn đồng hành trên con đường bứt phá ngôn ngữ và thăng tiến sự nghiệp. Hãy liên hệ với Học Bá qua hotline 0888861786 hoặc click nút dưới đây để được tư vấn chi tiết nha!</t>
        </is>
      </c>
      <c r="F647" s="115">
        <f>HYPERLINK("https://youglish.com/pronounce/您能否为我们提供更多的市场营销和数字化品牌管理案例故事/chinese","🔍")</f>
        <v/>
      </c>
    </row>
    <row r="648" ht="28.5" customHeight="1" s="99">
      <c r="A648" s="92" t="inlineStr">
        <is>
          <t>PDF Tiếng Trung Đàm Phán Thương Mại _ HỌC BÁ CHINESE.pdf</t>
        </is>
      </c>
      <c r="B648" s="93" t="inlineStr">
        <is>
          <t>1</t>
        </is>
      </c>
      <c r="C648" s="92" t="inlineStr">
        <is>
          <t>你好，很高兴认识您。</t>
        </is>
      </c>
      <c r="D648" s="92" t="inlineStr">
        <is>
          <t>Nı ̌hǎo, hěn gāoxìng rènshi nín. Xin chào, rất vui được gặp anh/chị.</t>
        </is>
      </c>
      <c r="E648" s="92" t="inlineStr">
        <is>
          <t>你好，很高兴认识您。 Nı ̌hǎo, hěn gāoxìng rènshi nín. Xin chào, rất vui được gặp anh/chị.</t>
        </is>
      </c>
      <c r="F648" s="114">
        <f>HYPERLINK("https://youglish.com/pronounce/你好很高兴认识您/chinese","🔍")</f>
        <v/>
      </c>
    </row>
    <row r="649" ht="28.5" customHeight="1" s="99">
      <c r="A649" s="94" t="inlineStr">
        <is>
          <t>PDF Tiếng Trung Đàm Phán Thương Mại _ HỌC BÁ CHINESE.pdf</t>
        </is>
      </c>
      <c r="B649" s="95" t="inlineStr">
        <is>
          <t>2</t>
        </is>
      </c>
      <c r="C649" s="94" t="inlineStr">
        <is>
          <t>欢迎来到我们公司。</t>
        </is>
      </c>
      <c r="D649" s="94" t="inlineStr">
        <is>
          <t>Huānyíng láidào wǒmen gōngsī. Chào mừng anh/chị đến công ty chúng tôi</t>
        </is>
      </c>
      <c r="E649" s="94" t="inlineStr">
        <is>
          <t>欢迎来到我们公司。 Huānyíng láidào wǒmen gōngsī. Chào mừng anh/chị đến công ty chúng tôi</t>
        </is>
      </c>
      <c r="F649" s="115">
        <f>HYPERLINK("https://youglish.com/pronounce/欢迎来到我们公司/chinese","🔍")</f>
        <v/>
      </c>
    </row>
    <row r="650" ht="28.5" customHeight="1" s="99">
      <c r="A650" s="92" t="inlineStr">
        <is>
          <t>PDF Tiếng Trung Đàm Phán Thương Mại _ HỌC BÁ CHINESE.pdf</t>
        </is>
      </c>
      <c r="B650" s="93" t="inlineStr">
        <is>
          <t>3</t>
        </is>
      </c>
      <c r="C650" s="92" t="inlineStr">
        <is>
          <t>请问您怎么称呼？</t>
        </is>
      </c>
      <c r="D650" s="92" t="inlineStr">
        <is>
          <t>Qıňgwèn nín zěnme chēnghu? Xin hỏi anh/chị xưng hô thế nào?</t>
        </is>
      </c>
      <c r="E650" s="92" t="inlineStr">
        <is>
          <t>请问您怎么称呼？ Qıňgwèn nín zěnme chēnghu? Xin hỏi anh/chị xưng hô thế nào?</t>
        </is>
      </c>
      <c r="F650" s="114">
        <f>HYPERLINK("https://youglish.com/pronounce/请问您怎么称呼/chinese","🔍")</f>
        <v/>
      </c>
    </row>
    <row r="651" ht="28.5" customHeight="1" s="99">
      <c r="A651" s="94" t="inlineStr">
        <is>
          <t>PDF Tiếng Trung Đàm Phán Thương Mại _ HỌC BÁ CHINESE.pdf</t>
        </is>
      </c>
      <c r="B651" s="95" t="inlineStr">
        <is>
          <t>4</t>
        </is>
      </c>
      <c r="C651" s="94" t="inlineStr">
        <is>
          <t>这是我的名片。</t>
        </is>
      </c>
      <c r="D651" s="94" t="inlineStr">
        <is>
          <t>Zhè shì wǒ de míngpiàn. Đây là danh thiếp của tôi.</t>
        </is>
      </c>
      <c r="E651" s="94" t="inlineStr">
        <is>
          <t>这是我的名片。 Zhè shì wǒ de míngpiàn. Đây là danh thiếp của tôi.</t>
        </is>
      </c>
      <c r="F651" s="115">
        <f>HYPERLINK("https://youglish.com/pronounce/这是我的名片/chinese","🔍")</f>
        <v/>
      </c>
    </row>
    <row r="652" ht="28.5" customHeight="1" s="99">
      <c r="A652" s="92" t="inlineStr">
        <is>
          <t>PDF Tiếng Trung Đàm Phán Thương Mại _ HỌC BÁ CHINESE.pdf</t>
        </is>
      </c>
      <c r="B652" s="93" t="inlineStr">
        <is>
          <t>5</t>
        </is>
      </c>
      <c r="C652" s="92" t="inlineStr">
        <is>
          <t>我是负责采购的。</t>
        </is>
      </c>
      <c r="D652" s="92" t="inlineStr">
        <is>
          <t>Wǒ shì fùzé cǎigòu de. Tôi phụ trách thu mua.</t>
        </is>
      </c>
      <c r="E652" s="92" t="inlineStr">
        <is>
          <t>我是负责采购的。 Wǒ shì fùzé cǎigòu de. Tôi phụ trách thu mua.</t>
        </is>
      </c>
      <c r="F652" s="114">
        <f>HYPERLINK("https://youglish.com/pronounce/我是负责采购的/chinese","🔍")</f>
        <v/>
      </c>
    </row>
    <row r="653" ht="28.5" customHeight="1" s="99">
      <c r="A653" s="94" t="inlineStr">
        <is>
          <t>PDF Tiếng Trung Đàm Phán Thương Mại _ HỌC BÁ CHINESE.pdf</t>
        </is>
      </c>
      <c r="B653" s="95" t="inlineStr">
        <is>
          <t>6</t>
        </is>
      </c>
      <c r="C653" s="94" t="inlineStr">
        <is>
          <t>以后请多关照。</t>
        </is>
      </c>
      <c r="D653" s="94" t="inlineStr">
        <is>
          <t>Yıȟòu qıňg duō guānzhào. Sau này mong được giúp đỡ nhiều.</t>
        </is>
      </c>
      <c r="E653" s="94" t="inlineStr">
        <is>
          <t>以后请多关照。 Yıȟòu qıňg duō guānzhào. Sau này mong được giúp đỡ nhiều.</t>
        </is>
      </c>
      <c r="F653" s="115">
        <f>HYPERLINK("https://youglish.com/pronounce/以后请多关照/chinese","🔍")</f>
        <v/>
      </c>
    </row>
    <row r="654" ht="28.5" customHeight="1" s="99">
      <c r="A654" s="92" t="inlineStr">
        <is>
          <t>PDF Tiếng Trung Đàm Phán Thương Mại _ HỌC BÁ CHINESE.pdf</t>
        </is>
      </c>
      <c r="B654" s="93" t="inlineStr">
        <is>
          <t>7</t>
        </is>
      </c>
      <c r="C654" s="92" t="inlineStr">
        <is>
          <t>您是第一次来中国吗？</t>
        </is>
      </c>
      <c r="D654" s="92" t="inlineStr">
        <is>
          <t>Nín shì dì yī cì lái Zhōngguó ma? Đây là lần đầu anh/chị đến Trung Quốc à?</t>
        </is>
      </c>
      <c r="E654" s="92" t="inlineStr">
        <is>
          <t>您是第一次来中国吗？ Nín shì dì yī cì lái Zhōngguó ma? Đây là lần đầu anh/chị đến Trung Quốc à?</t>
        </is>
      </c>
      <c r="F654" s="114">
        <f>HYPERLINK("https://youglish.com/pronounce/您是第一次来中国吗/chinese","🔍")</f>
        <v/>
      </c>
    </row>
    <row r="655" ht="28.5" customHeight="1" s="99">
      <c r="A655" s="94" t="inlineStr">
        <is>
          <t>PDF Tiếng Trung Đàm Phán Thương Mại _ HỌC BÁ CHINESE.pdf</t>
        </is>
      </c>
      <c r="B655" s="95" t="inlineStr">
        <is>
          <t>8</t>
        </is>
      </c>
      <c r="C655" s="94" t="inlineStr">
        <is>
          <t>路上辛苦了。</t>
        </is>
      </c>
      <c r="D655" s="94" t="inlineStr">
        <is>
          <t>Lùshang xīnkǔ le. Anh/chị đi đường vất vả rồi.</t>
        </is>
      </c>
      <c r="E655" s="94" t="inlineStr">
        <is>
          <t>路上辛苦了。 Lùshang xīnkǔ le. Anh/chị đi đường vất vả rồi.</t>
        </is>
      </c>
      <c r="F655" s="115">
        <f>HYPERLINK("https://youglish.com/pronounce/路上辛苦了/chinese","🔍")</f>
        <v/>
      </c>
    </row>
    <row r="656" ht="28.5" customHeight="1" s="99">
      <c r="A656" s="92" t="inlineStr">
        <is>
          <t>PDF Tiếng Trung Đàm Phán Thương Mại _ HỌC BÁ CHINESE.pdf</t>
        </is>
      </c>
      <c r="B656" s="93" t="inlineStr">
        <is>
          <t>9</t>
        </is>
      </c>
      <c r="C656" s="92" t="inlineStr">
        <is>
          <t>请坐，请喝茶。</t>
        </is>
      </c>
      <c r="D656" s="92" t="inlineStr">
        <is>
          <t>Qıňg zuò, qıňg hē chá. Mời ngồi, mời uống trà.</t>
        </is>
      </c>
      <c r="E656" s="92" t="inlineStr">
        <is>
          <t>请坐，请喝茶。 Qıňg zuò, qıňg hē chá. Mời ngồi, mời uống trà.</t>
        </is>
      </c>
      <c r="F656" s="114">
        <f>HYPERLINK("https://youglish.com/pronounce/请坐请喝茶/chinese","🔍")</f>
        <v/>
      </c>
    </row>
    <row r="657" ht="28.5" customHeight="1" s="99">
      <c r="A657" s="94" t="inlineStr">
        <is>
          <t>PDF Tiếng Trung Đàm Phán Thương Mại _ HỌC BÁ CHINESE.pdf</t>
        </is>
      </c>
      <c r="B657" s="95" t="inlineStr">
        <is>
          <t>10</t>
        </is>
      </c>
      <c r="C657" s="94" t="inlineStr">
        <is>
          <t>希望我们合作愉快。</t>
        </is>
      </c>
      <c r="D657" s="94" t="inlineStr">
        <is>
          <t>Xīwàng wǒmen hézuò yúkuài. Hy vọng chúng ta hợp tác vui vẻ.</t>
        </is>
      </c>
      <c r="E657" s="94" t="inlineStr">
        <is>
          <t>希望我们合作愉快。 Xīwàng wǒmen hézuò yúkuài. Hy vọng chúng ta hợp tác vui vẻ.</t>
        </is>
      </c>
      <c r="F657" s="115">
        <f>HYPERLINK("https://youglish.com/pronounce/希望我们合作愉快/chinese","🔍")</f>
        <v/>
      </c>
    </row>
    <row r="658" ht="28.5" customHeight="1" s="99">
      <c r="A658" s="92" t="inlineStr">
        <is>
          <t>PDF Tiếng Trung Đàm Phán Thương Mại _ HỌC BÁ CHINESE.pdf</t>
        </is>
      </c>
      <c r="B658" s="93" t="inlineStr">
        <is>
          <t>11</t>
        </is>
      </c>
      <c r="C658" s="92" t="inlineStr">
        <is>
          <t>会议马上开始。</t>
        </is>
      </c>
      <c r="D658" s="92" t="inlineStr">
        <is>
          <t>Huìyì mǎshàng kāishı.̌ Cuộc họp sắp bắt đầu.</t>
        </is>
      </c>
      <c r="E658" s="92" t="inlineStr">
        <is>
          <t>会议马上开始。 Huìyì mǎshàng kāishı.̌ Cuộc họp sắp bắt đầu.</t>
        </is>
      </c>
      <c r="F658" s="114">
        <f>HYPERLINK("https://youglish.com/pronounce/会议马上开始/chinese","🔍")</f>
        <v/>
      </c>
    </row>
    <row r="659" ht="28.5" customHeight="1" s="99">
      <c r="A659" s="94" t="inlineStr">
        <is>
          <t>PDF Tiếng Trung Đàm Phán Thương Mại _ HỌC BÁ CHINESE.pdf</t>
        </is>
      </c>
      <c r="B659" s="95" t="inlineStr">
        <is>
          <t>12</t>
        </is>
      </c>
      <c r="C659" s="94" t="inlineStr">
        <is>
          <t>今天我们主要讨论价格。</t>
        </is>
      </c>
      <c r="D659" s="94" t="inlineStr">
        <is>
          <t>Jīntiān wǒmen zhǔyào tǎolùn jiàgé.</t>
        </is>
      </c>
      <c r="E659" s="94" t="inlineStr">
        <is>
          <t>今天我们主要讨论价格。 Jīntiān wǒmen zhǔyào tǎolùn jiàgé.</t>
        </is>
      </c>
      <c r="F659" s="115">
        <f>HYPERLINK("https://youglish.com/pronounce/今天我们主要讨论价格/chinese","🔍")</f>
        <v/>
      </c>
    </row>
    <row r="660" ht="28.5" customHeight="1" s="99">
      <c r="A660" s="92" t="inlineStr">
        <is>
          <t>PDF Tiếng Trung Đàm Phán Thương Mại _ HỌC BÁ CHINESE.pdf</t>
        </is>
      </c>
      <c r="B660" s="93" t="inlineStr">
        <is>
          <t>13</t>
        </is>
      </c>
      <c r="C660" s="92" t="inlineStr">
        <is>
          <t>我们先了解一下产品吧。</t>
        </is>
      </c>
      <c r="D660" s="92" t="inlineStr">
        <is>
          <t>Wǒmen xiān liǎojiě yíxià chǎnpıň ba.</t>
        </is>
      </c>
      <c r="E660" s="92" t="inlineStr">
        <is>
          <t>我们先了解一下产品吧。 Wǒmen xiān liǎojiě yíxià chǎnpıň ba.</t>
        </is>
      </c>
      <c r="F660" s="114">
        <f>HYPERLINK("https://youglish.com/pronounce/我们先了解一下产品吧/chinese","🔍")</f>
        <v/>
      </c>
    </row>
    <row r="661" ht="28.5" customHeight="1" s="99">
      <c r="A661" s="94" t="inlineStr">
        <is>
          <t>PDF Tiếng Trung Đàm Phán Thương Mại _ HỌC BÁ CHINESE.pdf</t>
        </is>
      </c>
      <c r="B661" s="95" t="inlineStr">
        <is>
          <t>14</t>
        </is>
      </c>
      <c r="C661" s="94" t="inlineStr">
        <is>
          <t>您可以介绍一下公司吗？</t>
        </is>
      </c>
      <c r="D661" s="94" t="inlineStr">
        <is>
          <t>Nín kěyı ̌jièshào yíxià gōngsī ma? Anh/chị có thể giới thiệu công ty không?</t>
        </is>
      </c>
      <c r="E661" s="94" t="inlineStr">
        <is>
          <t>您可以介绍一下公司吗？ Nín kěyı ̌jièshào yíxià gōngsī ma? Anh/chị có thể giới thiệu công ty không?</t>
        </is>
      </c>
      <c r="F661" s="115">
        <f>HYPERLINK("https://youglish.com/pronounce/您可以介绍一下公司吗/chinese","🔍")</f>
        <v/>
      </c>
    </row>
    <row r="662" ht="28.5" customHeight="1" s="99">
      <c r="A662" s="92" t="inlineStr">
        <is>
          <t>PDF Tiếng Trung Đàm Phán Thương Mại _ HỌC BÁ CHINESE.pdf</t>
        </is>
      </c>
      <c r="B662" s="93" t="inlineStr">
        <is>
          <t>15</t>
        </is>
      </c>
      <c r="C662" s="92" t="inlineStr">
        <is>
          <t>我们已经合作很多年了。</t>
        </is>
      </c>
      <c r="D662" s="92" t="inlineStr">
        <is>
          <t>Wǒmen yıǰīng hézuò hěn duō nián le.</t>
        </is>
      </c>
      <c r="E662" s="92" t="inlineStr">
        <is>
          <t>我们已经合作很多年了。 Wǒmen yıǰīng hézuò hěn duō nián le.</t>
        </is>
      </c>
      <c r="F662" s="114">
        <f>HYPERLINK("https://youglish.com/pronounce/我们已经合作很多年了/chinese","🔍")</f>
        <v/>
      </c>
    </row>
    <row r="663" ht="28.5" customHeight="1" s="99">
      <c r="A663" s="94" t="inlineStr">
        <is>
          <t>PDF Tiếng Trung Đàm Phán Thương Mại _ HỌC BÁ CHINESE.pdf</t>
        </is>
      </c>
      <c r="B663" s="95" t="inlineStr">
        <is>
          <t>16</t>
        </is>
      </c>
      <c r="C663" s="94" t="inlineStr">
        <is>
          <t>这是我们的最新产品。</t>
        </is>
      </c>
      <c r="D663" s="94" t="inlineStr">
        <is>
          <t>Zhè shì wǒmen de zuìxīn chǎnpıň. Đây là sản phẩm mới nhất của chúng tôi.</t>
        </is>
      </c>
      <c r="E663" s="94" t="inlineStr">
        <is>
          <t>这是我们的最新产品。 Zhè shì wǒmen de zuìxīn chǎnpıň. Đây là sản phẩm mới nhất của chúng tôi.</t>
        </is>
      </c>
      <c r="F663" s="115">
        <f>HYPERLINK("https://youglish.com/pronounce/这是我们的最新产品/chinese","🔍")</f>
        <v/>
      </c>
    </row>
    <row r="664" ht="28.5" customHeight="1" s="99">
      <c r="A664" s="92" t="inlineStr">
        <is>
          <t>PDF Tiếng Trung Đàm Phán Thương Mại _ HỌC BÁ CHINESE.pdf</t>
        </is>
      </c>
      <c r="B664" s="93" t="inlineStr">
        <is>
          <t>17</t>
        </is>
      </c>
      <c r="C664" s="92" t="inlineStr">
        <is>
          <t>您对这个产品感兴趣吗？</t>
        </is>
      </c>
      <c r="D664" s="92" t="inlineStr">
        <is>
          <t>Nín duì zhège chǎnpıň gǎn xìngqù ma?</t>
        </is>
      </c>
      <c r="E664" s="92" t="inlineStr">
        <is>
          <t>您对这个产品感兴趣吗？ Nín duì zhège chǎnpıň gǎn xìngqù ma?</t>
        </is>
      </c>
      <c r="F664" s="114">
        <f>HYPERLINK("https://youglish.com/pronounce/您对这个产品感兴趣吗/chinese","🔍")</f>
        <v/>
      </c>
    </row>
    <row r="665" ht="28.5" customHeight="1" s="99">
      <c r="A665" s="94" t="inlineStr">
        <is>
          <t>PDF Tiếng Trung Đàm Phán Thương Mại _ HỌC BÁ CHINESE.pdf</t>
        </is>
      </c>
      <c r="B665" s="95" t="inlineStr">
        <is>
          <t>18</t>
        </is>
      </c>
      <c r="C665" s="94" t="inlineStr">
        <is>
          <t>我们可以开始谈了吗？</t>
        </is>
      </c>
      <c r="D665" s="94" t="inlineStr">
        <is>
          <t>Wǒmen kěyı ̌kāishı ̌tán le ma? Chúng ta có thể bắt đầu trao đổi được chưa?</t>
        </is>
      </c>
      <c r="E665" s="94" t="inlineStr">
        <is>
          <t>我们可以开始谈了吗？ Wǒmen kěyı ̌kāishı ̌tán le ma? Chúng ta có thể bắt đầu trao đổi được chưa?</t>
        </is>
      </c>
      <c r="F665" s="115">
        <f>HYPERLINK("https://youglish.com/pronounce/我们可以开始谈了吗/chinese","🔍")</f>
        <v/>
      </c>
    </row>
    <row r="666" ht="28.5" customHeight="1" s="99">
      <c r="A666" s="92" t="inlineStr">
        <is>
          <t>PDF Tiếng Trung Đàm Phán Thương Mại _ HỌC BÁ CHINESE.pdf</t>
        </is>
      </c>
      <c r="B666" s="93" t="inlineStr">
        <is>
          <t>19</t>
        </is>
      </c>
      <c r="C666" s="92" t="inlineStr">
        <is>
          <t>这个产品多少钱？</t>
        </is>
      </c>
      <c r="D666" s="92" t="inlineStr">
        <is>
          <t>Zhège chǎnpıň duōshao qián? Sản phẩm này bao nhiêu tiền?</t>
        </is>
      </c>
      <c r="E666" s="92" t="inlineStr">
        <is>
          <t>这个产品多少钱？ Zhège chǎnpıň duōshao qián? Sản phẩm này bao nhiêu tiền?</t>
        </is>
      </c>
      <c r="F666" s="114">
        <f>HYPERLINK("https://youglish.com/pronounce/这个产品多少钱/chinese","🔍")</f>
        <v/>
      </c>
    </row>
    <row r="667" ht="28.5" customHeight="1" s="99">
      <c r="A667" s="94" t="inlineStr">
        <is>
          <t>PDF Tiếng Trung Đàm Phán Thương Mại _ HỌC BÁ CHINESE.pdf</t>
        </is>
      </c>
      <c r="B667" s="95" t="inlineStr">
        <is>
          <t>20</t>
        </is>
      </c>
      <c r="C667" s="94" t="inlineStr">
        <is>
          <t>请给我报价。</t>
        </is>
      </c>
      <c r="D667" s="94" t="inlineStr">
        <is>
          <t>Qıňg gěi wǒ bàojià. Vui lòng báo giá cho tôi.</t>
        </is>
      </c>
      <c r="E667" s="94" t="inlineStr">
        <is>
          <t>请给我报价。 Qıňg gěi wǒ bàojià. Vui lòng báo giá cho tôi.</t>
        </is>
      </c>
      <c r="F667" s="115">
        <f>HYPERLINK("https://youglish.com/pronounce/请给我报价/chinese","🔍")</f>
        <v/>
      </c>
    </row>
    <row r="668" ht="28.5" customHeight="1" s="99">
      <c r="A668" s="92" t="inlineStr">
        <is>
          <t>PDF Tiếng Trung Đàm Phán Thương Mại _ HỌC BÁ CHINESE.pdf</t>
        </is>
      </c>
      <c r="B668" s="93" t="inlineStr">
        <is>
          <t>21</t>
        </is>
      </c>
      <c r="C668" s="92" t="inlineStr">
        <is>
          <t>这是最低价吗？</t>
        </is>
      </c>
      <c r="D668" s="92" t="inlineStr">
        <is>
          <t>Zhè shì zuìdī jià ma? Đây là giá thấp nhất chưa?</t>
        </is>
      </c>
      <c r="E668" s="92" t="inlineStr">
        <is>
          <t>这是最低价吗？ Zhè shì zuìdī jià ma? Đây là giá thấp nhất chưa?</t>
        </is>
      </c>
      <c r="F668" s="114">
        <f>HYPERLINK("https://youglish.com/pronounce/这是最低价吗/chinese","🔍")</f>
        <v/>
      </c>
    </row>
    <row r="669" ht="28.5" customHeight="1" s="99">
      <c r="A669" s="94" t="inlineStr">
        <is>
          <t>PDF Tiếng Trung Đàm Phán Thương Mại _ HỌC BÁ CHINESE.pdf</t>
        </is>
      </c>
      <c r="B669" s="95" t="inlineStr">
        <is>
          <t>22</t>
        </is>
      </c>
      <c r="C669" s="94" t="inlineStr">
        <is>
          <t>价格还能便宜一点吗？</t>
        </is>
      </c>
      <c r="D669" s="94" t="inlineStr">
        <is>
          <t>Jiàgé hái néng piányi yìdiǎn ma? Giá có thể rẻ thêm chút không?</t>
        </is>
      </c>
      <c r="E669" s="94" t="inlineStr">
        <is>
          <t>价格还能便宜一点吗？ Jiàgé hái néng piányi yìdiǎn ma? Giá có thể rẻ thêm chút không?</t>
        </is>
      </c>
      <c r="F669" s="115">
        <f>HYPERLINK("https://youglish.com/pronounce/价格还能便宜一点吗/chinese","🔍")</f>
        <v/>
      </c>
    </row>
    <row r="670" ht="28.5" customHeight="1" s="99">
      <c r="A670" s="92" t="inlineStr">
        <is>
          <t>PDF Tiếng Trung Đàm Phán Thương Mại _ HỌC BÁ CHINESE.pdf</t>
        </is>
      </c>
      <c r="B670" s="93" t="inlineStr">
        <is>
          <t>23</t>
        </is>
      </c>
      <c r="C670" s="92" t="inlineStr">
        <is>
          <t>这个价格太高了。</t>
        </is>
      </c>
      <c r="D670" s="92" t="inlineStr">
        <is>
          <t>Zhège jiàgé tài gāo le. Giá này cao quá.</t>
        </is>
      </c>
      <c r="E670" s="92" t="inlineStr">
        <is>
          <t>这个价格太高了。 Zhège jiàgé tài gāo le. Giá này cao quá.</t>
        </is>
      </c>
      <c r="F670" s="114">
        <f>HYPERLINK("https://youglish.com/pronounce/这个价格太高了/chinese","🔍")</f>
        <v/>
      </c>
    </row>
    <row r="671" ht="28.5" customHeight="1" s="99">
      <c r="A671" s="94" t="inlineStr">
        <is>
          <t>PDF Tiếng Trung Đàm Phán Thương Mại _ HỌC BÁ CHINESE.pdf</t>
        </is>
      </c>
      <c r="B671" s="95" t="inlineStr">
        <is>
          <t>24</t>
        </is>
      </c>
      <c r="C671" s="94" t="inlineStr">
        <is>
          <t>别的供应商报价更低。</t>
        </is>
      </c>
      <c r="D671" s="94" t="inlineStr">
        <is>
          <t>Bié de gōngyìngshāng bàojià gèng dī.</t>
        </is>
      </c>
      <c r="E671" s="94" t="inlineStr">
        <is>
          <t>别的供应商报价更低。 Bié de gōngyìngshāng bàojià gèng dī.</t>
        </is>
      </c>
      <c r="F671" s="115">
        <f>HYPERLINK("https://youglish.com/pronounce/别的供应商报价更低/chinese","🔍")</f>
        <v/>
      </c>
    </row>
    <row r="672" ht="28.5" customHeight="1" s="99">
      <c r="A672" s="92" t="inlineStr">
        <is>
          <t>PDF Tiếng Trung Đàm Phán Thương Mại _ HỌC BÁ CHINESE.pdf</t>
        </is>
      </c>
      <c r="B672" s="93" t="inlineStr">
        <is>
          <t>25</t>
        </is>
      </c>
      <c r="C672" s="92" t="inlineStr">
        <is>
          <t>如果数量大，可以优惠吗？</t>
        </is>
      </c>
      <c r="D672" s="92" t="inlineStr">
        <is>
          <t>Rúguǒ shùliàng dà, kěyı ̌yōuhuì ma?</t>
        </is>
      </c>
      <c r="E672" s="92" t="inlineStr">
        <is>
          <t>如果数量大，可以优惠吗？ Rúguǒ shùliàng dà, kěyı ̌yōuhuì ma?</t>
        </is>
      </c>
      <c r="F672" s="114">
        <f>HYPERLINK("https://youglish.com/pronounce/如果数量大可以优惠吗/chinese","🔍")</f>
        <v/>
      </c>
    </row>
    <row r="673" ht="28.5" customHeight="1" s="99">
      <c r="A673" s="94" t="inlineStr">
        <is>
          <t>PDF Tiếng Trung Đàm Phán Thương Mại _ HỌC BÁ CHINESE.pdf</t>
        </is>
      </c>
      <c r="B673" s="95" t="inlineStr">
        <is>
          <t>26</t>
        </is>
      </c>
      <c r="C673" s="94" t="inlineStr">
        <is>
          <t>我们想长期合作。</t>
        </is>
      </c>
      <c r="D673" s="94" t="inlineStr">
        <is>
          <t>Wǒmen xiǎng chángqī hézuò. Chúng tôi muốn hợp tác lâu dài.</t>
        </is>
      </c>
      <c r="E673" s="94" t="inlineStr">
        <is>
          <t>我们想长期合作。 Wǒmen xiǎng chángqī hézuò. Chúng tôi muốn hợp tác lâu dài.</t>
        </is>
      </c>
      <c r="F673" s="115">
        <f>HYPERLINK("https://youglish.com/pronounce/我们想长期合作/chinese","🔍")</f>
        <v/>
      </c>
    </row>
    <row r="674" ht="28.5" customHeight="1" s="99">
      <c r="A674" s="92" t="inlineStr">
        <is>
          <t>PDF Tiếng Trung Đàm Phán Thương Mại _ HỌC BÁ CHINESE.pdf</t>
        </is>
      </c>
      <c r="B674" s="93" t="inlineStr">
        <is>
          <t>27</t>
        </is>
      </c>
      <c r="C674" s="92" t="inlineStr">
        <is>
          <t>长期合作的话，价格可以再</t>
        </is>
      </c>
      <c r="D674" s="92" t="n"/>
      <c r="E674" s="92" t="inlineStr">
        <is>
          <t>长期合作的话，价格可以再</t>
        </is>
      </c>
      <c r="F674" s="114">
        <f>HYPERLINK("https://youglish.com/pronounce/长期合作的话价格可以再/chinese","🔍")</f>
        <v/>
      </c>
    </row>
    <row r="675" ht="28.5" customHeight="1" s="99">
      <c r="A675" s="94" t="inlineStr">
        <is>
          <t>PDF Tiếng Trung Đàm Phán Thương Mại _ HỌC BÁ CHINESE.pdf</t>
        </is>
      </c>
      <c r="B675" s="95" t="inlineStr">
        <is>
          <t>28</t>
        </is>
      </c>
      <c r="C675" s="94" t="inlineStr">
        <is>
          <t>谈。</t>
        </is>
      </c>
      <c r="D675" s="94" t="inlineStr">
        <is>
          <t>Chángqī hézuò de huà, jiàgé kěyı ̌ zài tán. Nếu hợp tác lâu dài thì giá có thể thương lượng thêm.</t>
        </is>
      </c>
      <c r="E675" s="94" t="inlineStr">
        <is>
          <t>谈。 Chángqī hézuò de huà, jiàgé kěyı ̌ zài tán. Nếu hợp tác lâu dài thì giá có thể thương lượng thêm.</t>
        </is>
      </c>
      <c r="F675" s="115">
        <f>HYPERLINK("https://youglish.com/pronounce/谈/chinese","🔍")</f>
        <v/>
      </c>
    </row>
    <row r="676" ht="28.5" customHeight="1" s="99">
      <c r="A676" s="92" t="inlineStr">
        <is>
          <t>PDF Tiếng Trung Đàm Phán Thương Mại _ HỌC BÁ CHINESE.pdf</t>
        </is>
      </c>
      <c r="B676" s="93" t="inlineStr">
        <is>
          <t>29</t>
        </is>
      </c>
      <c r="C676" s="92" t="inlineStr">
        <is>
          <t>您能给我们更好的价格吗？</t>
        </is>
      </c>
      <c r="D676" s="92" t="inlineStr">
        <is>
          <t>Nín néng gěi wǒmen gèng hǎo de jiàgé ma?</t>
        </is>
      </c>
      <c r="E676" s="92" t="inlineStr">
        <is>
          <t>您能给我们更好的价格吗？ Nín néng gěi wǒmen gèng hǎo de jiàgé ma?</t>
        </is>
      </c>
      <c r="F676" s="114">
        <f>HYPERLINK("https://youglish.com/pronounce/您能给我们更好的价格吗/chinese","🔍")</f>
        <v/>
      </c>
    </row>
    <row r="677" ht="28.5" customHeight="1" s="99">
      <c r="A677" s="94" t="inlineStr">
        <is>
          <t>PDF Tiếng Trung Đàm Phán Thương Mại _ HỌC BÁ CHINESE.pdf</t>
        </is>
      </c>
      <c r="B677" s="95" t="inlineStr">
        <is>
          <t>30</t>
        </is>
      </c>
      <c r="C677" s="94" t="inlineStr">
        <is>
          <t>我们预算有限。</t>
        </is>
      </c>
      <c r="D677" s="94" t="inlineStr">
        <is>
          <t>Wǒmen yùsuàn yǒuxiàn. Ngân sách của chúng tôi có hạn.</t>
        </is>
      </c>
      <c r="E677" s="94" t="inlineStr">
        <is>
          <t>我们预算有限。 Wǒmen yùsuàn yǒuxiàn. Ngân sách của chúng tôi có hạn.</t>
        </is>
      </c>
      <c r="F677" s="115">
        <f>HYPERLINK("https://youglish.com/pronounce/我们预算有限/chinese","🔍")</f>
        <v/>
      </c>
    </row>
    <row r="678" ht="28.5" customHeight="1" s="99">
      <c r="A678" s="92" t="inlineStr">
        <is>
          <t>PDF Tiếng Trung Đàm Phán Thương Mại _ HỌC BÁ CHINESE.pdf</t>
        </is>
      </c>
      <c r="B678" s="93" t="inlineStr">
        <is>
          <t>31</t>
        </is>
      </c>
      <c r="C678" s="92" t="inlineStr">
        <is>
          <t>我们需要再考虑一下。</t>
        </is>
      </c>
      <c r="D678" s="92" t="inlineStr">
        <is>
          <t>Wǒmen xūyào zài kǎolǜ yíxià. Chúng tôi cần cân nhắc thêm.</t>
        </is>
      </c>
      <c r="E678" s="92" t="inlineStr">
        <is>
          <t>我们需要再考虑一下。 Wǒmen xūyào zài kǎolǜ yíxià. Chúng tôi cần cân nhắc thêm.</t>
        </is>
      </c>
      <c r="F678" s="114">
        <f>HYPERLINK("https://youglish.com/pronounce/我们需要再考虑一下/chinese","🔍")</f>
        <v/>
      </c>
    </row>
    <row r="679" ht="28.5" customHeight="1" s="99">
      <c r="A679" s="94" t="inlineStr">
        <is>
          <t>PDF Tiếng Trung Đàm Phán Thương Mại _ HỌC BÁ CHINESE.pdf</t>
        </is>
      </c>
      <c r="B679" s="95" t="inlineStr">
        <is>
          <t>32</t>
        </is>
      </c>
      <c r="C679" s="94" t="inlineStr">
        <is>
          <t>如果现金付款，可以便宜吗？</t>
        </is>
      </c>
      <c r="D679" s="94" t="inlineStr">
        <is>
          <t>Rúguǒ xiànjīn fùkuǎn, kěyı ̌piányi ma?</t>
        </is>
      </c>
      <c r="E679" s="94" t="inlineStr">
        <is>
          <t>如果现金付款，可以便宜吗？ Rúguǒ xiànjīn fùkuǎn, kěyı ̌piányi ma?</t>
        </is>
      </c>
      <c r="F679" s="115">
        <f>HYPERLINK("https://youglish.com/pronounce/如果现金付款可以便宜吗/chinese","🔍")</f>
        <v/>
      </c>
    </row>
    <row r="680" ht="28.5" customHeight="1" s="99">
      <c r="A680" s="92" t="inlineStr">
        <is>
          <t>PDF Tiếng Trung Đàm Phán Thương Mại _ HỌC BÁ CHINESE.pdf</t>
        </is>
      </c>
      <c r="B680" s="93" t="inlineStr">
        <is>
          <t>33</t>
        </is>
      </c>
      <c r="C680" s="92" t="inlineStr">
        <is>
          <t>我们第一次合作，希望价格优</t>
        </is>
      </c>
      <c r="D680" s="92" t="n"/>
      <c r="E680" s="92" t="inlineStr">
        <is>
          <t>我们第一次合作，希望价格优</t>
        </is>
      </c>
      <c r="F680" s="114">
        <f>HYPERLINK("https://youglish.com/pronounce/我们第一次合作希望价格优/chinese","🔍")</f>
        <v/>
      </c>
    </row>
    <row r="681" ht="28.5" customHeight="1" s="99">
      <c r="A681" s="94" t="inlineStr">
        <is>
          <t>PDF Tiếng Trung Đàm Phán Thương Mại _ HỌC BÁ CHINESE.pdf</t>
        </is>
      </c>
      <c r="B681" s="95" t="inlineStr">
        <is>
          <t>34</t>
        </is>
      </c>
      <c r="C681" s="94" t="inlineStr">
        <is>
          <t>惠一点。</t>
        </is>
      </c>
      <c r="D681" s="94" t="inlineStr">
        <is>
          <t>Wǒmen dì yī cì hézuò, xīwàng jiàgé yōuhuì yìdiǎn. Đây là lần đầu hợp tác, mong giá ưu đãi hơn chút.</t>
        </is>
      </c>
      <c r="E681" s="94" t="inlineStr">
        <is>
          <t>惠一点。 Wǒmen dì yī cì hézuò, xīwàng jiàgé yōuhuì yìdiǎn. Đây là lần đầu hợp tác, mong giá ưu đãi hơn chút.</t>
        </is>
      </c>
      <c r="F681" s="115">
        <f>HYPERLINK("https://youglish.com/pronounce/惠一点/chinese","🔍")</f>
        <v/>
      </c>
    </row>
    <row r="682" ht="28.5" customHeight="1" s="99">
      <c r="A682" s="92" t="inlineStr">
        <is>
          <t>PDF Tiếng Trung Đàm Phán Thương Mại _ HỌC BÁ CHINESE.pdf</t>
        </is>
      </c>
      <c r="B682" s="93" t="inlineStr">
        <is>
          <t>35</t>
        </is>
      </c>
      <c r="C682" s="92" t="inlineStr">
        <is>
          <t>这个价格包含运费吗？</t>
        </is>
      </c>
      <c r="D682" s="92" t="inlineStr">
        <is>
          <t>Zhège jiàgé bāohán yùnfèi ma? Giá này đã bao gồm phí vận chuyển chưa?</t>
        </is>
      </c>
      <c r="E682" s="92" t="inlineStr">
        <is>
          <t>这个价格包含运费吗？ Zhège jiàgé bāohán yùnfèi ma? Giá này đã bao gồm phí vận chuyển chưa?</t>
        </is>
      </c>
      <c r="F682" s="114">
        <f>HYPERLINK("https://youglish.com/pronounce/这个价格包含运费吗/chinese","🔍")</f>
        <v/>
      </c>
    </row>
    <row r="683" ht="28.5" customHeight="1" s="99">
      <c r="A683" s="94" t="inlineStr">
        <is>
          <t>PDF Tiếng Trung Đàm Phán Thương Mại _ HỌC BÁ CHINESE.pdf</t>
        </is>
      </c>
      <c r="B683" s="95" t="inlineStr">
        <is>
          <t>36</t>
        </is>
      </c>
      <c r="C683" s="94" t="inlineStr">
        <is>
          <t>含税吗？</t>
        </is>
      </c>
      <c r="D683" s="94" t="inlineStr">
        <is>
          <t>Hán shuì ma? Có bao gồm thuế không?</t>
        </is>
      </c>
      <c r="E683" s="94" t="inlineStr">
        <is>
          <t>含税吗？ Hán shuì ma? Có bao gồm thuế không?</t>
        </is>
      </c>
      <c r="F683" s="115">
        <f>HYPERLINK("https://youglish.com/pronounce/含税吗/chinese","🔍")</f>
        <v/>
      </c>
    </row>
    <row r="684" ht="28.5" customHeight="1" s="99">
      <c r="A684" s="92" t="inlineStr">
        <is>
          <t>PDF Tiếng Trung Đàm Phán Thương Mại _ HỌC BÁ CHINESE.pdf</t>
        </is>
      </c>
      <c r="B684" s="93" t="inlineStr">
        <is>
          <t>37</t>
        </is>
      </c>
      <c r="C684" s="92" t="inlineStr">
        <is>
          <t>我们需要正式报价单。</t>
        </is>
      </c>
      <c r="D684" s="92" t="inlineStr">
        <is>
          <t>Wǒmen xūyào zhèngshì bàojiàdān.</t>
        </is>
      </c>
      <c r="E684" s="92" t="inlineStr">
        <is>
          <t>我们需要正式报价单。 Wǒmen xūyào zhèngshì bàojiàdān.</t>
        </is>
      </c>
      <c r="F684" s="114">
        <f>HYPERLINK("https://youglish.com/pronounce/我们需要正式报价单/chinese","🔍")</f>
        <v/>
      </c>
    </row>
    <row r="685" ht="28.5" customHeight="1" s="99">
      <c r="A685" s="94" t="inlineStr">
        <is>
          <t>PDF Tiếng Trung Đàm Phán Thương Mại _ HỌC BÁ CHINESE.pdf</t>
        </is>
      </c>
      <c r="B685" s="95" t="inlineStr">
        <is>
          <t>38</t>
        </is>
      </c>
      <c r="C685" s="94" t="inlineStr">
        <is>
          <t>最低起订量是多少？</t>
        </is>
      </c>
      <c r="D685" s="94" t="inlineStr">
        <is>
          <t>Zuìdī qıďìngliàng shì duōshao? Số lượng đặt tối thiểu là bao nhiêu?</t>
        </is>
      </c>
      <c r="E685" s="94" t="inlineStr">
        <is>
          <t>最低起订量是多少？ Zuìdī qıďìngliàng shì duōshao? Số lượng đặt tối thiểu là bao nhiêu?</t>
        </is>
      </c>
      <c r="F685" s="115">
        <f>HYPERLINK("https://youglish.com/pronounce/最低起订量是多少/chinese","🔍")</f>
        <v/>
      </c>
    </row>
    <row r="686" ht="28.5" customHeight="1" s="99">
      <c r="A686" s="92" t="inlineStr">
        <is>
          <t>PDF Tiếng Trung Đàm Phán Thương Mại _ HỌC BÁ CHINESE.pdf</t>
        </is>
      </c>
      <c r="B686" s="93" t="inlineStr">
        <is>
          <t>39</t>
        </is>
      </c>
      <c r="C686" s="92" t="inlineStr">
        <is>
          <t>我们先小量试单。</t>
        </is>
      </c>
      <c r="D686" s="92" t="inlineStr">
        <is>
          <t>Wǒmen xiān xiǎoliàng shìdān. Trước tiên chúng tôi muốn thử đơn nhỏ.</t>
        </is>
      </c>
      <c r="E686" s="92" t="inlineStr">
        <is>
          <t>我们先小量试单。 Wǒmen xiān xiǎoliàng shìdān. Trước tiên chúng tôi muốn thử đơn nhỏ.</t>
        </is>
      </c>
      <c r="F686" s="114">
        <f>HYPERLINK("https://youglish.com/pronounce/我们先小量试单/chinese","🔍")</f>
        <v/>
      </c>
    </row>
    <row r="687" ht="28.5" customHeight="1" s="99">
      <c r="A687" s="94" t="inlineStr">
        <is>
          <t>PDF Tiếng Trung Đàm Phán Thương Mại _ HỌC BÁ CHINESE.pdf</t>
        </is>
      </c>
      <c r="B687" s="95" t="inlineStr">
        <is>
          <t>40</t>
        </is>
      </c>
      <c r="C687" s="94" t="inlineStr">
        <is>
          <t>可以少订一点吗？</t>
        </is>
      </c>
      <c r="D687" s="94" t="inlineStr">
        <is>
          <t>Kěyı ̌shǎo dìng yìdiǎn ma? Có thể đặt ít hơn một chút không?</t>
        </is>
      </c>
      <c r="E687" s="94" t="inlineStr">
        <is>
          <t>可以少订一点吗？ Kěyı ̌shǎo dìng yìdiǎn ma? Có thể đặt ít hơn một chút không?</t>
        </is>
      </c>
      <c r="F687" s="115">
        <f>HYPERLINK("https://youglish.com/pronounce/可以少订一点吗/chinese","🔍")</f>
        <v/>
      </c>
    </row>
    <row r="688" ht="28.5" customHeight="1" s="99">
      <c r="A688" s="92" t="inlineStr">
        <is>
          <t>PDF Tiếng Trung Đàm Phán Thương Mại _ HỌC BÁ CHINESE.pdf</t>
        </is>
      </c>
      <c r="B688" s="93" t="inlineStr">
        <is>
          <t>41</t>
        </is>
      </c>
      <c r="C688" s="92" t="inlineStr">
        <is>
          <t>以后订单会越来越多。</t>
        </is>
      </c>
      <c r="D688" s="92" t="inlineStr">
        <is>
          <t>Yıȟòu dìngdān huì yuèláiyuè duō. Sau này đơn hàng sẽ ngày càng nhiều.</t>
        </is>
      </c>
      <c r="E688" s="92" t="inlineStr">
        <is>
          <t>以后订单会越来越多。 Yıȟòu dìngdān huì yuèláiyuè duō. Sau này đơn hàng sẽ ngày càng nhiều.</t>
        </is>
      </c>
      <c r="F688" s="114">
        <f>HYPERLINK("https://youglish.com/pronounce/以后订单会越来越多/chinese","🔍")</f>
        <v/>
      </c>
    </row>
    <row r="689" ht="28.5" customHeight="1" s="99">
      <c r="A689" s="94" t="inlineStr">
        <is>
          <t>PDF Tiếng Trung Đàm Phán Thương Mại _ HỌC BÁ CHINESE.pdf</t>
        </is>
      </c>
      <c r="B689" s="95" t="inlineStr">
        <is>
          <t>42</t>
        </is>
      </c>
      <c r="C689" s="94" t="inlineStr">
        <is>
          <t>我们每个月都会下单。</t>
        </is>
      </c>
      <c r="D689" s="94" t="inlineStr">
        <is>
          <t>Wǒmen měi gè yuè dōu huì xiàdān.</t>
        </is>
      </c>
      <c r="E689" s="94" t="inlineStr">
        <is>
          <t>我们每个月都会下单。 Wǒmen měi gè yuè dōu huì xiàdān.</t>
        </is>
      </c>
      <c r="F689" s="115">
        <f>HYPERLINK("https://youglish.com/pronounce/我们每个月都会下单/chinese","🔍")</f>
        <v/>
      </c>
    </row>
    <row r="690" ht="28.5" customHeight="1" s="99">
      <c r="A690" s="92" t="inlineStr">
        <is>
          <t>PDF Tiếng Trung Đàm Phán Thương Mại _ HỌC BÁ CHINESE.pdf</t>
        </is>
      </c>
      <c r="B690" s="93" t="inlineStr">
        <is>
          <t>43</t>
        </is>
      </c>
      <c r="C690" s="92" t="inlineStr">
        <is>
          <t>一箱有多少个？</t>
        </is>
      </c>
      <c r="D690" s="92" t="inlineStr">
        <is>
          <t>Yì xiāng yǒu duōshao gè? Một thùng có bao nhiêu cái?</t>
        </is>
      </c>
      <c r="E690" s="92" t="inlineStr">
        <is>
          <t>一箱有多少个？ Yì xiāng yǒu duōshao gè? Một thùng có bao nhiêu cái?</t>
        </is>
      </c>
      <c r="F690" s="114">
        <f>HYPERLINK("https://youglish.com/pronounce/一箱有多少个/chinese","🔍")</f>
        <v/>
      </c>
    </row>
    <row r="691" ht="28.5" customHeight="1" s="99">
      <c r="A691" s="94" t="inlineStr">
        <is>
          <t>PDF Tiếng Trung Đàm Phán Thương Mại _ HỌC BÁ CHINESE.pdf</t>
        </is>
      </c>
      <c r="B691" s="95" t="inlineStr">
        <is>
          <t>44</t>
        </is>
      </c>
      <c r="C691" s="94" t="inlineStr">
        <is>
          <t>一件多少公斤？</t>
        </is>
      </c>
      <c r="D691" s="94" t="inlineStr">
        <is>
          <t>Yí jiàn duōshao gōngjīn? Một kiện nặng bao nhiêu kg?</t>
        </is>
      </c>
      <c r="E691" s="94" t="inlineStr">
        <is>
          <t>一件多少公斤？ Yí jiàn duōshao gōngjīn? Một kiện nặng bao nhiêu kg?</t>
        </is>
      </c>
      <c r="F691" s="115">
        <f>HYPERLINK("https://youglish.com/pronounce/一件多少公斤/chinese","🔍")</f>
        <v/>
      </c>
    </row>
    <row r="692" ht="28.5" customHeight="1" s="99">
      <c r="A692" s="92" t="inlineStr">
        <is>
          <t>PDF Tiếng Trung Đàm Phán Thương Mại _ HỌC BÁ CHINESE.pdf</t>
        </is>
      </c>
      <c r="B692" s="93" t="inlineStr">
        <is>
          <t>45</t>
        </is>
      </c>
      <c r="C692" s="92" t="inlineStr">
        <is>
          <t>可以混款吗？</t>
        </is>
      </c>
      <c r="D692" s="92" t="inlineStr">
        <is>
          <t>Kěyı ̌hùn kuǎn ma? Có thể trộn mẫu/mã không?</t>
        </is>
      </c>
      <c r="E692" s="92" t="inlineStr">
        <is>
          <t>可以混款吗？ Kěyı ̌hùn kuǎn ma? Có thể trộn mẫu/mã không?</t>
        </is>
      </c>
      <c r="F692" s="114">
        <f>HYPERLINK("https://youglish.com/pronounce/可以混款吗/chinese","🔍")</f>
        <v/>
      </c>
    </row>
    <row r="693" ht="28.5" customHeight="1" s="99">
      <c r="A693" s="94" t="inlineStr">
        <is>
          <t>PDF Tiếng Trung Đàm Phán Thương Mại _ HỌC BÁ CHINESE.pdf</t>
        </is>
      </c>
      <c r="B693" s="95" t="inlineStr">
        <is>
          <t>46</t>
        </is>
      </c>
      <c r="C693" s="94" t="inlineStr">
        <is>
          <t>颜色可以混吗？</t>
        </is>
      </c>
      <c r="D693" s="94" t="inlineStr">
        <is>
          <t>Yánsè kěyı ̌hùn ma? Có thể trộn màu không?</t>
        </is>
      </c>
      <c r="E693" s="94" t="inlineStr">
        <is>
          <t>颜色可以混吗？ Yánsè kěyı ̌hùn ma? Có thể trộn màu không?</t>
        </is>
      </c>
      <c r="F693" s="115">
        <f>HYPERLINK("https://youglish.com/pronounce/颜色可以混吗/chinese","🔍")</f>
        <v/>
      </c>
    </row>
    <row r="694" ht="28.5" customHeight="1" s="99">
      <c r="A694" s="92" t="inlineStr">
        <is>
          <t>PDF Tiếng Trung Đàm Phán Thương Mại _ HỌC BÁ CHINESE.pdf</t>
        </is>
      </c>
      <c r="B694" s="93" t="inlineStr">
        <is>
          <t>47</t>
        </is>
      </c>
      <c r="C694" s="92" t="inlineStr">
        <is>
          <t>尺寸可以自己选吗？</t>
        </is>
      </c>
      <c r="D694" s="92" t="inlineStr">
        <is>
          <t>Chıčùn kěyı ̌zìjı ̌xuǎn ma? Có thể tự chọn kích thước không?</t>
        </is>
      </c>
      <c r="E694" s="92" t="inlineStr">
        <is>
          <t>尺寸可以自己选吗？ Chıčùn kěyı ̌zìjı ̌xuǎn ma? Có thể tự chọn kích thước không?</t>
        </is>
      </c>
      <c r="F694" s="114">
        <f>HYPERLINK("https://youglish.com/pronounce/尺寸可以自己选吗/chinese","🔍")</f>
        <v/>
      </c>
    </row>
    <row r="695" ht="28.5" customHeight="1" s="99">
      <c r="A695" s="94" t="inlineStr">
        <is>
          <t>PDF Tiếng Trung Đàm Phán Thương Mại _ HỌC BÁ CHINESE.pdf</t>
        </is>
      </c>
      <c r="B695" s="95" t="inlineStr">
        <is>
          <t>48</t>
        </is>
      </c>
      <c r="C695" s="94" t="inlineStr">
        <is>
          <t>我们需要500件。</t>
        </is>
      </c>
      <c r="D695" s="94" t="inlineStr">
        <is>
          <t>Wǒmen xūyào wǔbǎi jiàn. Chúng tôi cần 500 sản phẩm.</t>
        </is>
      </c>
      <c r="E695" s="94" t="inlineStr">
        <is>
          <t>我们需要500件。 Wǒmen xūyào wǔbǎi jiàn. Chúng tôi cần 500 sản phẩm.</t>
        </is>
      </c>
      <c r="F695" s="115">
        <f>HYPERLINK("https://youglish.com/pronounce/我们需要件/chinese","🔍")</f>
        <v/>
      </c>
    </row>
    <row r="696" ht="28.5" customHeight="1" s="99">
      <c r="A696" s="92" t="inlineStr">
        <is>
          <t>PDF Tiếng Trung Đàm Phán Thương Mại _ HỌC BÁ CHINESE.pdf</t>
        </is>
      </c>
      <c r="B696" s="93" t="inlineStr">
        <is>
          <t>49</t>
        </is>
      </c>
      <c r="C696" s="92" t="inlineStr">
        <is>
          <t>这个数量能做吗？</t>
        </is>
      </c>
      <c r="D696" s="92" t="inlineStr">
        <is>
          <t>Zhège shùliàng néng zuò ma? Số lượng này có làm được không?</t>
        </is>
      </c>
      <c r="E696" s="92" t="inlineStr">
        <is>
          <t>这个数量能做吗？ Zhège shùliàng néng zuò ma? Số lượng này có làm được không?</t>
        </is>
      </c>
      <c r="F696" s="114">
        <f>HYPERLINK("https://youglish.com/pronounce/这个数量能做吗/chinese","🔍")</f>
        <v/>
      </c>
    </row>
    <row r="697" ht="28.5" customHeight="1" s="99">
      <c r="A697" s="94" t="inlineStr">
        <is>
          <t>PDF Tiếng Trung Đàm Phán Thương Mại _ HỌC BÁ CHINESE.pdf</t>
        </is>
      </c>
      <c r="B697" s="95" t="inlineStr">
        <is>
          <t>50</t>
        </is>
      </c>
      <c r="C697" s="94" t="inlineStr">
        <is>
          <t>库存够吗？</t>
        </is>
      </c>
      <c r="D697" s="94" t="inlineStr">
        <is>
          <t>Kùcún gòu ma? Tồn kho có đủ không?</t>
        </is>
      </c>
      <c r="E697" s="94" t="inlineStr">
        <is>
          <t>库存够吗？ Kùcún gòu ma? Tồn kho có đủ không?</t>
        </is>
      </c>
      <c r="F697" s="115">
        <f>HYPERLINK("https://youglish.com/pronounce/库存够吗/chinese","🔍")</f>
        <v/>
      </c>
    </row>
    <row r="698" ht="28.5" customHeight="1" s="99">
      <c r="A698" s="92" t="inlineStr">
        <is>
          <t>PDF Tiếng Trung Đàm Phán Thương Mại _ HỌC BÁ CHINESE.pdf</t>
        </is>
      </c>
      <c r="B698" s="93" t="inlineStr">
        <is>
          <t>51</t>
        </is>
      </c>
      <c r="C698" s="92" t="inlineStr">
        <is>
          <t>什么时候可以补货？</t>
        </is>
      </c>
      <c r="D698" s="92" t="inlineStr">
        <is>
          <t>Shénme shíhou kěyı ̌bǔhuò? Khi nào có thể bổ sung hàng?</t>
        </is>
      </c>
      <c r="E698" s="92" t="inlineStr">
        <is>
          <t>什么时候可以补货？ Shénme shíhou kěyı ̌bǔhuò? Khi nào có thể bổ sung hàng?</t>
        </is>
      </c>
      <c r="F698" s="114">
        <f>HYPERLINK("https://youglish.com/pronounce/什么时候可以补货/chinese","🔍")</f>
        <v/>
      </c>
    </row>
    <row r="699" ht="28.5" customHeight="1" s="99">
      <c r="A699" s="94" t="inlineStr">
        <is>
          <t>PDF Tiếng Trung Đàm Phán Thương Mại _ HỌC BÁ CHINESE.pdf</t>
        </is>
      </c>
      <c r="B699" s="95" t="inlineStr">
        <is>
          <t>52</t>
        </is>
      </c>
      <c r="C699" s="94" t="inlineStr">
        <is>
          <t>我们需要长期稳定供货。</t>
        </is>
      </c>
      <c r="D699" s="94" t="inlineStr">
        <is>
          <t>Wǒmen xūyào chángqī wěndìng gōnghuò.</t>
        </is>
      </c>
      <c r="E699" s="94" t="inlineStr">
        <is>
          <t>我们需要长期稳定供货。 Wǒmen xūyào chángqī wěndìng gōnghuò.</t>
        </is>
      </c>
      <c r="F699" s="115">
        <f>HYPERLINK("https://youglish.com/pronounce/我们需要长期稳定供货/chinese","🔍")</f>
        <v/>
      </c>
    </row>
    <row r="700" ht="28.5" customHeight="1" s="99">
      <c r="A700" s="92" t="inlineStr">
        <is>
          <t>PDF Tiếng Trung Đàm Phán Thương Mại _ HỌC BÁ CHINESE.pdf</t>
        </is>
      </c>
      <c r="B700" s="93" t="inlineStr">
        <is>
          <t>53</t>
        </is>
      </c>
      <c r="C700" s="92" t="inlineStr">
        <is>
          <t>含税吗？</t>
        </is>
      </c>
      <c r="D700" s="92" t="inlineStr">
        <is>
          <t>Hán shuì ma? Có bao gồm thuế không?</t>
        </is>
      </c>
      <c r="E700" s="92" t="inlineStr">
        <is>
          <t>含税吗？ Hán shuì ma? Có bao gồm thuế không?</t>
        </is>
      </c>
      <c r="F700" s="114">
        <f>HYPERLINK("https://youglish.com/pronounce/含税吗/chinese","🔍")</f>
        <v/>
      </c>
    </row>
    <row r="701" ht="28.5" customHeight="1" s="99">
      <c r="A701" s="94" t="inlineStr">
        <is>
          <t>PDF Tiếng Trung Đàm Phán Thương Mại _ HỌC BÁ CHINESE.pdf</t>
        </is>
      </c>
      <c r="B701" s="95" t="inlineStr">
        <is>
          <t>54</t>
        </is>
      </c>
      <c r="C701" s="94" t="inlineStr">
        <is>
          <t>可以走海运吗？</t>
        </is>
      </c>
      <c r="D701" s="94" t="inlineStr">
        <is>
          <t>Kěyı ̌zǒu hǎiyùn ma? Có thể đi đường biển không?</t>
        </is>
      </c>
      <c r="E701" s="94" t="inlineStr">
        <is>
          <t>可以走海运吗？ Kěyı ̌zǒu hǎiyùn ma? Có thể đi đường biển không?</t>
        </is>
      </c>
      <c r="F701" s="115">
        <f>HYPERLINK("https://youglish.com/pronounce/可以走海运吗/chinese","🔍")</f>
        <v/>
      </c>
    </row>
    <row r="702" ht="28.5" customHeight="1" s="99">
      <c r="A702" s="92" t="inlineStr">
        <is>
          <t>PDF Tiếng Trung Đàm Phán Thương Mại _ HỌC BÁ CHINESE.pdf</t>
        </is>
      </c>
      <c r="B702" s="93" t="inlineStr">
        <is>
          <t>55</t>
        </is>
      </c>
      <c r="C702" s="92" t="inlineStr">
        <is>
          <t>我们想走空运。</t>
        </is>
      </c>
      <c r="D702" s="92" t="inlineStr">
        <is>
          <t>Wǒmen xiǎng zǒu kōngyùn. Chúng tôi muốn đi đường hàng không.</t>
        </is>
      </c>
      <c r="E702" s="92" t="inlineStr">
        <is>
          <t>我们想走空运。 Wǒmen xiǎng zǒu kōngyùn. Chúng tôi muốn đi đường hàng không.</t>
        </is>
      </c>
      <c r="F702" s="114">
        <f>HYPERLINK("https://youglish.com/pronounce/我们想走空运/chinese","🔍")</f>
        <v/>
      </c>
    </row>
    <row r="703" ht="28.5" customHeight="1" s="99">
      <c r="A703" s="94" t="inlineStr">
        <is>
          <t>PDF Tiếng Trung Đàm Phán Thương Mại _ HỌC BÁ CHINESE.pdf</t>
        </is>
      </c>
      <c r="B703" s="95" t="inlineStr">
        <is>
          <t>56</t>
        </is>
      </c>
      <c r="C703" s="94" t="inlineStr">
        <is>
          <t>运费是多少？</t>
        </is>
      </c>
      <c r="D703" s="94" t="inlineStr">
        <is>
          <t>Yùnfèi shì duōshao? Phí vận chuyển là bao nhiêu?</t>
        </is>
      </c>
      <c r="E703" s="94" t="inlineStr">
        <is>
          <t>运费是多少？ Yùnfèi shì duōshao? Phí vận chuyển là bao nhiêu?</t>
        </is>
      </c>
      <c r="F703" s="115">
        <f>HYPERLINK("https://youglish.com/pronounce/运费是多少/chinese","🔍")</f>
        <v/>
      </c>
    </row>
    <row r="704" ht="28.5" customHeight="1" s="99">
      <c r="A704" s="92" t="inlineStr">
        <is>
          <t>PDF Tiếng Trung Đàm Phán Thương Mại _ HỌC BÁ CHINESE.pdf</t>
        </is>
      </c>
      <c r="B704" s="93" t="inlineStr">
        <is>
          <t>57</t>
        </is>
      </c>
      <c r="C704" s="92" t="inlineStr">
        <is>
          <t>这个价格包含运费吗？</t>
        </is>
      </c>
      <c r="D704" s="92" t="inlineStr">
        <is>
          <t>Zhège jiàgé bāohán yùnfèi ma? Giá này đã bao gồm phí vận chuyển chưa?</t>
        </is>
      </c>
      <c r="E704" s="92" t="inlineStr">
        <is>
          <t>这个价格包含运费吗？ Zhège jiàgé bāohán yùnfèi ma? Giá này đã bao gồm phí vận chuyển chưa?</t>
        </is>
      </c>
      <c r="F704" s="114">
        <f>HYPERLINK("https://youglish.com/pronounce/这个价格包含运费吗/chinese","🔍")</f>
        <v/>
      </c>
    </row>
    <row r="705" ht="28.5" customHeight="1" s="99">
      <c r="A705" s="94" t="inlineStr">
        <is>
          <t>PDF Tiếng Trung Đàm Phán Thương Mại _ HỌC BÁ CHINESE.pdf</t>
        </is>
      </c>
      <c r="B705" s="95" t="inlineStr">
        <is>
          <t>58</t>
        </is>
      </c>
      <c r="C705" s="94" t="inlineStr">
        <is>
          <t>多久可以发货？</t>
        </is>
      </c>
      <c r="D705" s="94" t="inlineStr">
        <is>
          <t>Duōjiǔ kěyı ̌fāhuò? Bao lâu có thể gửi hàng?</t>
        </is>
      </c>
      <c r="E705" s="94" t="inlineStr">
        <is>
          <t>多久可以发货？ Duōjiǔ kěyı ̌fāhuò? Bao lâu có thể gửi hàng?</t>
        </is>
      </c>
      <c r="F705" s="115">
        <f>HYPERLINK("https://youglish.com/pronounce/多久可以发货/chinese","🔍")</f>
        <v/>
      </c>
    </row>
    <row r="706" ht="28.5" customHeight="1" s="99">
      <c r="A706" s="92" t="inlineStr">
        <is>
          <t>PDF Tiếng Trung Đàm Phán Thương Mại _ HỌC BÁ CHINESE.pdf</t>
        </is>
      </c>
      <c r="B706" s="93" t="inlineStr">
        <is>
          <t>59</t>
        </is>
      </c>
      <c r="C706" s="92" t="inlineStr">
        <is>
          <t>什么时候能到？</t>
        </is>
      </c>
      <c r="D706" s="92" t="inlineStr">
        <is>
          <t>Shénme shíhou néng dào? Khi nào hàng tới nơi?</t>
        </is>
      </c>
      <c r="E706" s="92" t="inlineStr">
        <is>
          <t>什么时候能到？ Shénme shíhou néng dào? Khi nào hàng tới nơi?</t>
        </is>
      </c>
      <c r="F706" s="114">
        <f>HYPERLINK("https://youglish.com/pronounce/什么时候能到/chinese","🔍")</f>
        <v/>
      </c>
    </row>
    <row r="707" ht="28.5" customHeight="1" s="99">
      <c r="A707" s="94" t="inlineStr">
        <is>
          <t>PDF Tiếng Trung Đàm Phán Thương Mại _ HỌC BÁ CHINESE.pdf</t>
        </is>
      </c>
      <c r="B707" s="95" t="inlineStr">
        <is>
          <t>60</t>
        </is>
      </c>
      <c r="C707" s="94" t="inlineStr">
        <is>
          <t>我们需要尽快发货。</t>
        </is>
      </c>
      <c r="D707" s="94" t="inlineStr">
        <is>
          <t>Wǒmen xūyào jıňkuài fāhuò. Chúng tôi cần gửi hàng càng sớm càng tốt.</t>
        </is>
      </c>
      <c r="E707" s="94" t="inlineStr">
        <is>
          <t>我们需要尽快发货。 Wǒmen xūyào jıňkuài fāhuò. Chúng tôi cần gửi hàng càng sớm càng tốt.</t>
        </is>
      </c>
      <c r="F707" s="115">
        <f>HYPERLINK("https://youglish.com/pronounce/我们需要尽快发货/chinese","🔍")</f>
        <v/>
      </c>
    </row>
    <row r="708" ht="28.5" customHeight="1" s="99">
      <c r="A708" s="92" t="inlineStr">
        <is>
          <t>PDF Tiếng Trung Đàm Phán Thương Mại _ HỌC BÁ CHINESE.pdf</t>
        </is>
      </c>
      <c r="B708" s="93" t="inlineStr">
        <is>
          <t>61</t>
        </is>
      </c>
      <c r="C708" s="92" t="inlineStr">
        <is>
          <t>请按时发货。</t>
        </is>
      </c>
      <c r="D708" s="92" t="inlineStr">
        <is>
          <t>Qıňg ànshí fāhuò. Vui lòng gửi hàng đúng hạn.</t>
        </is>
      </c>
      <c r="E708" s="92" t="inlineStr">
        <is>
          <t>请按时发货。 Qıňg ànshí fāhuò. Vui lòng gửi hàng đúng hạn.</t>
        </is>
      </c>
      <c r="F708" s="114">
        <f>HYPERLINK("https://youglish.com/pronounce/请按时发货/chinese","🔍")</f>
        <v/>
      </c>
    </row>
    <row r="709" ht="28.5" customHeight="1" s="99">
      <c r="A709" s="94" t="inlineStr">
        <is>
          <t>PDF Tiếng Trung Đàm Phán Thương Mại _ HỌC BÁ CHINESE.pdf</t>
        </is>
      </c>
      <c r="B709" s="95" t="inlineStr">
        <is>
          <t>62</t>
        </is>
      </c>
      <c r="C709" s="94" t="inlineStr">
        <is>
          <t>发货前请通知我们。</t>
        </is>
      </c>
      <c r="D709" s="94" t="inlineStr">
        <is>
          <t>Fāhuò qián qıňg tōngzhī wǒmen. Trước khi gửi hàng vui lòng thông báo cho chúng tôi.</t>
        </is>
      </c>
      <c r="E709" s="94" t="inlineStr">
        <is>
          <t>发货前请通知我们。 Fāhuò qián qıňg tōngzhī wǒmen. Trước khi gửi hàng vui lòng thông báo cho chúng tôi.</t>
        </is>
      </c>
      <c r="F709" s="115">
        <f>HYPERLINK("https://youglish.com/pronounce/发货前请通知我们/chinese","🔍")</f>
        <v/>
      </c>
    </row>
    <row r="710" ht="28.5" customHeight="1" s="99">
      <c r="A710" s="92" t="inlineStr">
        <is>
          <t>PDF Tiếng Trung Đàm Phán Thương Mại _ HỌC BÁ CHINESE.pdf</t>
        </is>
      </c>
      <c r="B710" s="93" t="inlineStr">
        <is>
          <t>63</t>
        </is>
      </c>
      <c r="C710" s="92" t="inlineStr">
        <is>
          <t>请发物流单号给我。</t>
        </is>
      </c>
      <c r="D710" s="92" t="inlineStr">
        <is>
          <t>Qıňg fā wùliú dānhào gěi wǒ. Vui lòng gửi mã vận đơn cho tôi.</t>
        </is>
      </c>
      <c r="E710" s="92" t="inlineStr">
        <is>
          <t>请发物流单号给我。 Qıňg fā wùliú dānhào gěi wǒ. Vui lòng gửi mã vận đơn cho tôi.</t>
        </is>
      </c>
      <c r="F710" s="114">
        <f>HYPERLINK("https://youglish.com/pronounce/请发物流单号给我/chinese","🔍")</f>
        <v/>
      </c>
    </row>
    <row r="711" ht="28.5" customHeight="1" s="99">
      <c r="A711" s="94" t="inlineStr">
        <is>
          <t>PDF Tiếng Trung Đàm Phán Thương Mại _ HỌC BÁ CHINESE.pdf</t>
        </is>
      </c>
      <c r="B711" s="95" t="inlineStr">
        <is>
          <t>64</t>
        </is>
      </c>
      <c r="C711" s="94" t="inlineStr">
        <is>
          <t>货已经发了吗？</t>
        </is>
      </c>
      <c r="D711" s="94" t="inlineStr">
        <is>
          <t>Huò yıǰīng fā le ma? Hàng đã gửi chưa?</t>
        </is>
      </c>
      <c r="E711" s="94" t="inlineStr">
        <is>
          <t>货已经发了吗？ Huò yıǰīng fā le ma? Hàng đã gửi chưa?</t>
        </is>
      </c>
      <c r="F711" s="115">
        <f>HYPERLINK("https://youglish.com/pronounce/货已经发了吗/chinese","🔍")</f>
        <v/>
      </c>
    </row>
    <row r="712" ht="28.5" customHeight="1" s="99">
      <c r="A712" s="92" t="inlineStr">
        <is>
          <t>PDF Tiếng Trung Đàm Phán Thương Mại _ HỌC BÁ CHINESE.pdf</t>
        </is>
      </c>
      <c r="B712" s="93" t="inlineStr">
        <is>
          <t>65</t>
        </is>
      </c>
      <c r="C712" s="92" t="inlineStr">
        <is>
          <t>货现在到哪里了？</t>
        </is>
      </c>
      <c r="D712" s="92" t="inlineStr">
        <is>
          <t>Huò xiànzài dào nǎli le? Hàng hiện đang ở đâu rồi?</t>
        </is>
      </c>
      <c r="E712" s="92" t="inlineStr">
        <is>
          <t>货现在到哪里了？ Huò xiànzài dào nǎli le? Hàng hiện đang ở đâu rồi?</t>
        </is>
      </c>
      <c r="F712" s="114">
        <f>HYPERLINK("https://youglish.com/pronounce/货现在到哪里了/chinese","🔍")</f>
        <v/>
      </c>
    </row>
    <row r="713" ht="28.5" customHeight="1" s="99">
      <c r="A713" s="94" t="inlineStr">
        <is>
          <t>PDF Tiếng Trung Đàm Phán Thương Mại _ HỌC BÁ CHINESE.pdf</t>
        </is>
      </c>
      <c r="B713" s="95" t="inlineStr">
        <is>
          <t>66</t>
        </is>
      </c>
      <c r="C713" s="94" t="inlineStr">
        <is>
          <t>包装要牢固一点。</t>
        </is>
      </c>
      <c r="D713" s="94" t="inlineStr">
        <is>
          <t>Bāozhuāng yào láogù yìdiǎn. Bao bì cần chắc chắn hơn một chút.</t>
        </is>
      </c>
      <c r="E713" s="94" t="inlineStr">
        <is>
          <t>包装要牢固一点。 Bāozhuāng yào láogù yìdiǎn. Bao bì cần chắc chắn hơn một chút.</t>
        </is>
      </c>
      <c r="F713" s="115">
        <f>HYPERLINK("https://youglish.com/pronounce/包装要牢固一点/chinese","🔍")</f>
        <v/>
      </c>
    </row>
    <row r="714" ht="28.5" customHeight="1" s="99">
      <c r="A714" s="92" t="inlineStr">
        <is>
          <t>PDF Tiếng Trung Đàm Phán Thương Mại _ HỌC BÁ CHINESE.pdf</t>
        </is>
      </c>
      <c r="B714" s="93" t="inlineStr">
        <is>
          <t>67</t>
        </is>
      </c>
      <c r="C714" s="92" t="inlineStr">
        <is>
          <t>产品容易损坏吗？</t>
        </is>
      </c>
      <c r="D714" s="92" t="inlineStr">
        <is>
          <t>Chǎnpıň róngyì sǔnhuài ma? Sản phẩm có dễ hỏng không?</t>
        </is>
      </c>
      <c r="E714" s="92" t="inlineStr">
        <is>
          <t>产品容易损坏吗？ Chǎnpıň róngyì sǔnhuài ma? Sản phẩm có dễ hỏng không?</t>
        </is>
      </c>
      <c r="F714" s="114">
        <f>HYPERLINK("https://youglish.com/pronounce/产品容易损坏吗/chinese","🔍")</f>
        <v/>
      </c>
    </row>
    <row r="715" ht="28.5" customHeight="1" s="99">
      <c r="A715" s="94" t="inlineStr">
        <is>
          <t>PDF Tiếng Trung Đàm Phán Thương Mại _ HỌC BÁ CHINESE.pdf</t>
        </is>
      </c>
      <c r="B715" s="95" t="inlineStr">
        <is>
          <t>68</t>
        </is>
      </c>
      <c r="C715" s="94" t="inlineStr">
        <is>
          <t>请做好防水包装。</t>
        </is>
      </c>
      <c r="D715" s="94" t="inlineStr">
        <is>
          <t>Qıňg zuò hǎo fángshuı ̌ bāozhuāng.</t>
        </is>
      </c>
      <c r="E715" s="94" t="inlineStr">
        <is>
          <t>请做好防水包装。 Qıňg zuò hǎo fángshuı ̌ bāozhuāng.</t>
        </is>
      </c>
      <c r="F715" s="115">
        <f>HYPERLINK("https://youglish.com/pronounce/请做好防水包装/chinese","🔍")</f>
        <v/>
      </c>
    </row>
    <row r="716" ht="28.5" customHeight="1" s="99">
      <c r="A716" s="92" t="inlineStr">
        <is>
          <t>PDF Tiếng Trung Đàm Phán Thương Mại _ HỌC BÁ CHINESE.pdf</t>
        </is>
      </c>
      <c r="B716" s="93" t="inlineStr">
        <is>
          <t>69</t>
        </is>
      </c>
      <c r="C716" s="92" t="inlineStr">
        <is>
          <t>外箱需要贴标签。</t>
        </is>
      </c>
      <c r="D716" s="92" t="inlineStr">
        <is>
          <t>Wàixiāng xūyào tiē biāoqiān. Thùng ngoài cần dán nhãn.</t>
        </is>
      </c>
      <c r="E716" s="92" t="inlineStr">
        <is>
          <t>外箱需要贴标签。 Wàixiāng xūyào tiē biāoqiān. Thùng ngoài cần dán nhãn.</t>
        </is>
      </c>
      <c r="F716" s="114">
        <f>HYPERLINK("https://youglish.com/pronounce/外箱需要贴标签/chinese","🔍")</f>
        <v/>
      </c>
    </row>
    <row r="717" ht="28.5" customHeight="1" s="99">
      <c r="A717" s="94" t="inlineStr">
        <is>
          <t>PDF Tiếng Trung Đàm Phán Thương Mại _ HỌC BÁ CHINESE.pdf</t>
        </is>
      </c>
      <c r="B717" s="95" t="inlineStr">
        <is>
          <t>70</t>
        </is>
      </c>
      <c r="C717" s="94" t="inlineStr">
        <is>
          <t>请把地址确认一下。</t>
        </is>
      </c>
      <c r="D717" s="94" t="inlineStr">
        <is>
          <t>Qıňg bǎ dìzhı ̌quèrèn yíxià. Vui lòng xác nhận lại địa chỉ.</t>
        </is>
      </c>
      <c r="E717" s="94" t="inlineStr">
        <is>
          <t>请把地址确认一下。 Qıňg bǎ dìzhı ̌quèrèn yíxià. Vui lòng xác nhận lại địa chỉ.</t>
        </is>
      </c>
      <c r="F717" s="115">
        <f>HYPERLINK("https://youglish.com/pronounce/请把地址确认一下/chinese","🔍")</f>
        <v/>
      </c>
    </row>
    <row r="718" ht="28.5" customHeight="1" s="99">
      <c r="A718" s="92" t="inlineStr">
        <is>
          <t>PDF Tiếng Trung Đàm Phán Thương Mại _ HỌC BÁ CHINESE.pdf</t>
        </is>
      </c>
      <c r="B718" s="93" t="inlineStr">
        <is>
          <t>71</t>
        </is>
      </c>
      <c r="C718" s="92" t="inlineStr">
        <is>
          <t>这是收货地址。</t>
        </is>
      </c>
      <c r="D718" s="92" t="inlineStr">
        <is>
          <t>Zhè shì shōuhuò dìzhı.̌ Đây là địa chỉ nhận hàng.</t>
        </is>
      </c>
      <c r="E718" s="92" t="inlineStr">
        <is>
          <t>这是收货地址。 Zhè shì shōuhuò dìzhı.̌ Đây là địa chỉ nhận hàng.</t>
        </is>
      </c>
      <c r="F718" s="114">
        <f>HYPERLINK("https://youglish.com/pronounce/这是收货地址/chinese","🔍")</f>
        <v/>
      </c>
    </row>
    <row r="719" ht="28.5" customHeight="1" s="99">
      <c r="A719" s="94" t="inlineStr">
        <is>
          <t>PDF Tiếng Trung Đàm Phán Thương Mại _ HỌC BÁ CHINESE.pdf</t>
        </is>
      </c>
      <c r="B719" s="95" t="inlineStr">
        <is>
          <t>72</t>
        </is>
      </c>
      <c r="C719" s="94" t="inlineStr">
        <is>
          <t>你们支持什么付款方式？</t>
        </is>
      </c>
      <c r="D719" s="94" t="inlineStr">
        <is>
          <t>Nım̌en zhīchí shénme fùkuǎn fāngshì?</t>
        </is>
      </c>
      <c r="E719" s="94" t="inlineStr">
        <is>
          <t>你们支持什么付款方式？ Nım̌en zhīchí shénme fùkuǎn fāngshì?</t>
        </is>
      </c>
      <c r="F719" s="115">
        <f>HYPERLINK("https://youglish.com/pronounce/你们支持什么付款方式/chinese","🔍")</f>
        <v/>
      </c>
    </row>
    <row r="720" ht="28.5" customHeight="1" s="99">
      <c r="A720" s="92" t="inlineStr">
        <is>
          <t>PDF Tiếng Trung Đàm Phán Thương Mại _ HỌC BÁ CHINESE.pdf</t>
        </is>
      </c>
      <c r="B720" s="93" t="inlineStr">
        <is>
          <t>73</t>
        </is>
      </c>
      <c r="C720" s="92" t="inlineStr">
        <is>
          <t>可以银行转账吗？</t>
        </is>
      </c>
      <c r="D720" s="92" t="inlineStr">
        <is>
          <t>Kěyı ̌yínháng zhuǎnzhàng ma? Có thể chuyển khoản ngân hàng không?</t>
        </is>
      </c>
      <c r="E720" s="92" t="inlineStr">
        <is>
          <t>可以银行转账吗？ Kěyı ̌yínháng zhuǎnzhàng ma? Có thể chuyển khoản ngân hàng không?</t>
        </is>
      </c>
      <c r="F720" s="114">
        <f>HYPERLINK("https://youglish.com/pronounce/可以银行转账吗/chinese","🔍")</f>
        <v/>
      </c>
    </row>
    <row r="721" ht="28.5" customHeight="1" s="99">
      <c r="A721" s="94" t="inlineStr">
        <is>
          <t>PDF Tiếng Trung Đàm Phán Thương Mại _ HỌC BÁ CHINESE.pdf</t>
        </is>
      </c>
      <c r="B721" s="95" t="inlineStr">
        <is>
          <t>74</t>
        </is>
      </c>
      <c r="C721" s="94" t="inlineStr">
        <is>
          <t>我们用美元付款。</t>
        </is>
      </c>
      <c r="D721" s="94" t="inlineStr">
        <is>
          <t>Wǒmen yòng měiyuán fùkuǎn. Chúng tôi thanh toán bằng USD.</t>
        </is>
      </c>
      <c r="E721" s="94" t="inlineStr">
        <is>
          <t>我们用美元付款。 Wǒmen yòng měiyuán fùkuǎn. Chúng tôi thanh toán bằng USD.</t>
        </is>
      </c>
      <c r="F721" s="115">
        <f>HYPERLINK("https://youglish.com/pronounce/我们用美元付款/chinese","🔍")</f>
        <v/>
      </c>
    </row>
    <row r="722" ht="28.5" customHeight="1" s="99">
      <c r="A722" s="92" t="inlineStr">
        <is>
          <t>PDF Tiếng Trung Đàm Phán Thương Mại _ HỌC BÁ CHINESE.pdf</t>
        </is>
      </c>
      <c r="B722" s="93" t="inlineStr">
        <is>
          <t>75</t>
        </is>
      </c>
      <c r="C722" s="92" t="inlineStr">
        <is>
          <t>可以分期付款吗？</t>
        </is>
      </c>
      <c r="D722" s="92" t="inlineStr">
        <is>
          <t>Kěyı ̌fēnqī fùkuǎn ma? Có thể thanh toán nhiều đợt không?</t>
        </is>
      </c>
      <c r="E722" s="92" t="inlineStr">
        <is>
          <t>可以分期付款吗？ Kěyı ̌fēnqī fùkuǎn ma? Có thể thanh toán nhiều đợt không?</t>
        </is>
      </c>
      <c r="F722" s="114">
        <f>HYPERLINK("https://youglish.com/pronounce/可以分期付款吗/chinese","🔍")</f>
        <v/>
      </c>
    </row>
    <row r="723" ht="28.5" customHeight="1" s="99">
      <c r="A723" s="94" t="inlineStr">
        <is>
          <t>PDF Tiếng Trung Đàm Phán Thương Mại _ HỌC BÁ CHINESE.pdf</t>
        </is>
      </c>
      <c r="B723" s="95" t="inlineStr">
        <is>
          <t>76</t>
        </is>
      </c>
      <c r="C723" s="94" t="inlineStr">
        <is>
          <t>定金是多少？</t>
        </is>
      </c>
      <c r="D723" s="94" t="inlineStr">
        <is>
          <t>Dìngjīn shì duōshao? Tiền cọc là bao nhiêu?</t>
        </is>
      </c>
      <c r="E723" s="94" t="inlineStr">
        <is>
          <t>定金是多少？ Dìngjīn shì duōshao? Tiền cọc là bao nhiêu?</t>
        </is>
      </c>
      <c r="F723" s="115">
        <f>HYPERLINK("https://youglish.com/pronounce/定金是多少/chinese","🔍")</f>
        <v/>
      </c>
    </row>
    <row r="724" ht="28.5" customHeight="1" s="99">
      <c r="A724" s="92" t="inlineStr">
        <is>
          <t>PDF Tiếng Trung Đàm Phán Thương Mại _ HỌC BÁ CHINESE.pdf</t>
        </is>
      </c>
      <c r="B724" s="93" t="inlineStr">
        <is>
          <t>77</t>
        </is>
      </c>
      <c r="C724" s="92" t="inlineStr">
        <is>
          <t>先付定金可以吗？</t>
        </is>
      </c>
      <c r="D724" s="92" t="inlineStr">
        <is>
          <t>Xiān fù dìngjīn kěyı ̌ma? Trả tiền cọc trước có được không?</t>
        </is>
      </c>
      <c r="E724" s="92" t="inlineStr">
        <is>
          <t>先付定金可以吗？ Xiān fù dìngjīn kěyı ̌ma? Trả tiền cọc trước có được không?</t>
        </is>
      </c>
      <c r="F724" s="114">
        <f>HYPERLINK("https://youglish.com/pronounce/先付定金可以吗/chinese","🔍")</f>
        <v/>
      </c>
    </row>
    <row r="725" ht="28.5" customHeight="1" s="99">
      <c r="A725" s="94" t="inlineStr">
        <is>
          <t>PDF Tiếng Trung Đàm Phán Thương Mại _ HỌC BÁ CHINESE.pdf</t>
        </is>
      </c>
      <c r="B725" s="95" t="inlineStr">
        <is>
          <t>78</t>
        </is>
      </c>
      <c r="C725" s="94" t="inlineStr">
        <is>
          <t>尾款什么时候付？</t>
        </is>
      </c>
      <c r="D725" s="94" t="inlineStr">
        <is>
          <t>Wěikuǎn shénme shíhou fù? Khi nào thanh toán phần còn lại?</t>
        </is>
      </c>
      <c r="E725" s="94" t="inlineStr">
        <is>
          <t>尾款什么时候付？ Wěikuǎn shénme shíhou fù? Khi nào thanh toán phần còn lại?</t>
        </is>
      </c>
      <c r="F725" s="115">
        <f>HYPERLINK("https://youglish.com/pronounce/尾款什么时候付/chinese","🔍")</f>
        <v/>
      </c>
    </row>
    <row r="726" ht="28.5" customHeight="1" s="99">
      <c r="A726" s="92" t="inlineStr">
        <is>
          <t>PDF Tiếng Trung Đàm Phán Thương Mại _ HỌC BÁ CHINESE.pdf</t>
        </is>
      </c>
      <c r="B726" s="93" t="inlineStr">
        <is>
          <t>79</t>
        </is>
      </c>
      <c r="C726" s="92" t="inlineStr">
        <is>
          <t>请发付款信息给我。</t>
        </is>
      </c>
      <c r="D726" s="92" t="inlineStr">
        <is>
          <t>Qıňg fā fùkuǎn xìnxī gěi wǒ. Vui lòng gửi thông tin thanh toán cho tôi.</t>
        </is>
      </c>
      <c r="E726" s="92" t="inlineStr">
        <is>
          <t>请发付款信息给我。 Qıňg fā fùkuǎn xìnxī gěi wǒ. Vui lòng gửi thông tin thanh toán cho tôi.</t>
        </is>
      </c>
      <c r="F726" s="114">
        <f>HYPERLINK("https://youglish.com/pronounce/请发付款信息给我/chinese","🔍")</f>
        <v/>
      </c>
    </row>
    <row r="727" ht="28.5" customHeight="1" s="99">
      <c r="A727" s="94" t="inlineStr">
        <is>
          <t>PDF Tiếng Trung Đàm Phán Thương Mại _ HỌC BÁ CHINESE.pdf</t>
        </is>
      </c>
      <c r="B727" s="95" t="inlineStr">
        <is>
          <t>80</t>
        </is>
      </c>
      <c r="C727" s="94" t="inlineStr">
        <is>
          <t>我们今天安排付款。</t>
        </is>
      </c>
      <c r="D727" s="94" t="inlineStr">
        <is>
          <t>Wǒmen jīntiān ānpái fùkuǎn. Hôm nay chúng tôi sẽ sắp xếp thanh toán.</t>
        </is>
      </c>
      <c r="E727" s="94" t="inlineStr">
        <is>
          <t>我们今天安排付款。 Wǒmen jīntiān ānpái fùkuǎn. Hôm nay chúng tôi sẽ sắp xếp thanh toán.</t>
        </is>
      </c>
      <c r="F727" s="115">
        <f>HYPERLINK("https://youglish.com/pronounce/我们今天安排付款/chinese","🔍")</f>
        <v/>
      </c>
    </row>
    <row r="728" ht="28.5" customHeight="1" s="99">
      <c r="A728" s="92" t="inlineStr">
        <is>
          <t>PDF Tiếng Trung Đàm Phán Thương Mại _ HỌC BÁ CHINESE.pdf</t>
        </is>
      </c>
      <c r="B728" s="93" t="inlineStr">
        <is>
          <t>81</t>
        </is>
      </c>
      <c r="C728" s="92" t="inlineStr">
        <is>
          <t>钱已经转过去了。</t>
        </is>
      </c>
      <c r="D728" s="92" t="inlineStr">
        <is>
          <t>Qián yıǰīng zhuǎn guòqù le. Tiền đã được chuyển rồi.</t>
        </is>
      </c>
      <c r="E728" s="92" t="inlineStr">
        <is>
          <t>钱已经转过去了。 Qián yıǰīng zhuǎn guòqù le. Tiền đã được chuyển rồi.</t>
        </is>
      </c>
      <c r="F728" s="114">
        <f>HYPERLINK("https://youglish.com/pronounce/钱已经转过去了/chinese","🔍")</f>
        <v/>
      </c>
    </row>
    <row r="729" ht="28.5" customHeight="1" s="99">
      <c r="A729" s="94" t="inlineStr">
        <is>
          <t>PDF Tiếng Trung Đàm Phán Thương Mại _ HỌC BÁ CHINESE.pdf</t>
        </is>
      </c>
      <c r="B729" s="95" t="inlineStr">
        <is>
          <t>82</t>
        </is>
      </c>
      <c r="C729" s="94" t="inlineStr">
        <is>
          <t>您查收一下。</t>
        </is>
      </c>
      <c r="D729" s="94" t="inlineStr">
        <is>
          <t>Nín cháshōu yíxià. Anh/chị kiểm tra giúp nhé.</t>
        </is>
      </c>
      <c r="E729" s="94" t="inlineStr">
        <is>
          <t>您查收一下。 Nín cháshōu yíxià. Anh/chị kiểm tra giúp nhé.</t>
        </is>
      </c>
      <c r="F729" s="115">
        <f>HYPERLINK("https://youglish.com/pronounce/您查收一下/chinese","🔍")</f>
        <v/>
      </c>
    </row>
    <row r="730" ht="28.5" customHeight="1" s="99">
      <c r="A730" s="92" t="inlineStr">
        <is>
          <t>PDF Tiếng Trung Đàm Phán Thương Mại _ HỌC BÁ CHINESE.pdf</t>
        </is>
      </c>
      <c r="B730" s="93" t="inlineStr">
        <is>
          <t>83</t>
        </is>
      </c>
      <c r="C730" s="92" t="inlineStr">
        <is>
          <t>我们还没收到款。</t>
        </is>
      </c>
      <c r="D730" s="92" t="inlineStr">
        <is>
          <t>Wǒmen hái méi shōudào kuǎn. Chúng tôi vẫn chưa nhận được tiền.</t>
        </is>
      </c>
      <c r="E730" s="92" t="inlineStr">
        <is>
          <t>我们还没收到款。 Wǒmen hái méi shōudào kuǎn. Chúng tôi vẫn chưa nhận được tiền.</t>
        </is>
      </c>
      <c r="F730" s="114">
        <f>HYPERLINK("https://youglish.com/pronounce/我们还没收到款/chinese","🔍")</f>
        <v/>
      </c>
    </row>
    <row r="731" ht="28.5" customHeight="1" s="99">
      <c r="A731" s="94" t="inlineStr">
        <is>
          <t>PDF Tiếng Trung Đàm Phán Thương Mại _ HỌC BÁ CHINESE.pdf</t>
        </is>
      </c>
      <c r="B731" s="95" t="inlineStr">
        <is>
          <t>84</t>
        </is>
      </c>
      <c r="C731" s="94" t="inlineStr">
        <is>
          <t>付款后请通知我们。</t>
        </is>
      </c>
      <c r="D731" s="94" t="inlineStr">
        <is>
          <t>Fùkuǎn hòu qıňg tōngzhī wǒmen. Sau khi thanh toán vui lòng báo cho chúng tôi.</t>
        </is>
      </c>
      <c r="E731" s="94" t="inlineStr">
        <is>
          <t>付款后请通知我们。 Fùkuǎn hòu qıňg tōngzhī wǒmen. Sau khi thanh toán vui lòng báo cho chúng tôi.</t>
        </is>
      </c>
      <c r="F731" s="115">
        <f>HYPERLINK("https://youglish.com/pronounce/付款后请通知我们/chinese","🔍")</f>
        <v/>
      </c>
    </row>
    <row r="732" ht="28.5" customHeight="1" s="99">
      <c r="A732" s="92" t="inlineStr">
        <is>
          <t>PDF Tiếng Trung Đàm Phán Thương Mại _ HỌC BÁ CHINESE.pdf</t>
        </is>
      </c>
      <c r="B732" s="93" t="inlineStr">
        <is>
          <t>85</t>
        </is>
      </c>
      <c r="C732" s="92" t="inlineStr">
        <is>
          <t>请开发票。</t>
        </is>
      </c>
      <c r="D732" s="92" t="inlineStr">
        <is>
          <t>Qıňg kāi fāpiào. Vui lòng xuất hóa đơn.</t>
        </is>
      </c>
      <c r="E732" s="92" t="inlineStr">
        <is>
          <t>请开发票。 Qıňg kāi fāpiào. Vui lòng xuất hóa đơn.</t>
        </is>
      </c>
      <c r="F732" s="114">
        <f>HYPERLINK("https://youglish.com/pronounce/请开发票/chinese","🔍")</f>
        <v/>
      </c>
    </row>
    <row r="733" ht="28.5" customHeight="1" s="99">
      <c r="A733" s="94" t="inlineStr">
        <is>
          <t>PDF Tiếng Trung Đàm Phán Thương Mại _ HỌC BÁ CHINESE.pdf</t>
        </is>
      </c>
      <c r="B733" s="95" t="inlineStr">
        <is>
          <t>86</t>
        </is>
      </c>
      <c r="C733" s="94" t="inlineStr">
        <is>
          <t>需要增值税发票。</t>
        </is>
      </c>
      <c r="D733" s="94" t="inlineStr">
        <is>
          <t>Xūyào zēngzhíshuì fāpiào. Cần hóa đơn VAT.</t>
        </is>
      </c>
      <c r="E733" s="94" t="inlineStr">
        <is>
          <t>需要增值税发票。 Xūyào zēngzhíshuì fāpiào. Cần hóa đơn VAT.</t>
        </is>
      </c>
      <c r="F733" s="115">
        <f>HYPERLINK("https://youglish.com/pronounce/需要增值税发票/chinese","🔍")</f>
        <v/>
      </c>
    </row>
    <row r="734" ht="28.5" customHeight="1" s="99">
      <c r="A734" s="92" t="inlineStr">
        <is>
          <t>PDF Tiếng Trung Đàm Phán Thương Mại _ HỌC BÁ CHINESE.pdf</t>
        </is>
      </c>
      <c r="B734" s="93" t="inlineStr">
        <is>
          <t>87</t>
        </is>
      </c>
      <c r="C734" s="92" t="inlineStr">
        <is>
          <t>这个价格含税吗？</t>
        </is>
      </c>
      <c r="D734" s="92" t="inlineStr">
        <is>
          <t>Zhège jiàgé hán shuì ma? Giá này có bao gồm thuế không?</t>
        </is>
      </c>
      <c r="E734" s="92" t="inlineStr">
        <is>
          <t>这个价格含税吗？ Zhège jiàgé hán shuì ma? Giá này có bao gồm thuế không?</t>
        </is>
      </c>
      <c r="F734" s="114">
        <f>HYPERLINK("https://youglish.com/pronounce/这个价格含税吗/chinese","🔍")</f>
        <v/>
      </c>
    </row>
    <row r="735" ht="28.5" customHeight="1" s="99">
      <c r="A735" s="94" t="inlineStr">
        <is>
          <t>PDF Tiếng Trung Đàm Phán Thương Mại _ HỌC BÁ CHINESE.pdf</t>
        </is>
      </c>
      <c r="B735" s="95" t="inlineStr">
        <is>
          <t>88</t>
        </is>
      </c>
      <c r="C735" s="94" t="inlineStr">
        <is>
          <t>我们需要月结。</t>
        </is>
      </c>
      <c r="D735" s="94" t="inlineStr">
        <is>
          <t>Wǒmen xūyào yuèjié. Chúng tôi cần thanh toán cuối tháng.</t>
        </is>
      </c>
      <c r="E735" s="94" t="inlineStr">
        <is>
          <t>我们需要月结。 Wǒmen xūyào yuèjié. Chúng tôi cần thanh toán cuối tháng.</t>
        </is>
      </c>
      <c r="F735" s="115">
        <f>HYPERLINK("https://youglish.com/pronounce/我们需要月结/chinese","🔍")</f>
        <v/>
      </c>
    </row>
    <row r="736" ht="28.5" customHeight="1" s="99">
      <c r="A736" s="92" t="inlineStr">
        <is>
          <t>PDF Tiếng Trung Đàm Phán Thương Mại _ HỌC BÁ CHINESE.pdf</t>
        </is>
      </c>
      <c r="B736" s="93" t="inlineStr">
        <is>
          <t>89</t>
        </is>
      </c>
      <c r="C736" s="92" t="inlineStr">
        <is>
          <t>可以延期付款吗？</t>
        </is>
      </c>
      <c r="D736" s="92" t="inlineStr">
        <is>
          <t>Kěyı ̌yánqī fùkuǎn ma? Có thể gia hạn thanh toán không?</t>
        </is>
      </c>
      <c r="E736" s="92" t="inlineStr">
        <is>
          <t>可以延期付款吗？ Kěyı ̌yánqī fùkuǎn ma? Có thể gia hạn thanh toán không?</t>
        </is>
      </c>
      <c r="F736" s="114">
        <f>HYPERLINK("https://youglish.com/pronounce/可以延期付款吗/chinese","🔍")</f>
        <v/>
      </c>
    </row>
    <row r="737" ht="28.5" customHeight="1" s="99">
      <c r="A737" s="94" t="inlineStr">
        <is>
          <t>PDF Tiếng Trung Đàm Phán Thương Mại _ HỌC BÁ CHINESE.pdf</t>
        </is>
      </c>
      <c r="B737" s="95" t="inlineStr">
        <is>
          <t>90</t>
        </is>
      </c>
      <c r="C737" s="94" t="inlineStr">
        <is>
          <t>请确认到账。</t>
        </is>
      </c>
      <c r="D737" s="94" t="inlineStr">
        <is>
          <t>Qıňg quèrèn dàozhàng Vui lòng xác nhận đã nhận tiền.</t>
        </is>
      </c>
      <c r="E737" s="94" t="inlineStr">
        <is>
          <t>请确认到账。 Qıňg quèrèn dàozhàng Vui lòng xác nhận đã nhận tiền.</t>
        </is>
      </c>
      <c r="F737" s="115">
        <f>HYPERLINK("https://youglish.com/pronounce/请确认到账/chinese","🔍")</f>
        <v/>
      </c>
    </row>
    <row r="738" ht="28.5" customHeight="1" s="99">
      <c r="A738" s="92" t="inlineStr">
        <is>
          <t>PDF Tiếng Trung Đàm Phán Thương Mại _ HỌC BÁ CHINESE.pdf</t>
        </is>
      </c>
      <c r="B738" s="93" t="inlineStr">
        <is>
          <t>91</t>
        </is>
      </c>
      <c r="C738" s="92" t="inlineStr">
        <is>
          <t>我们需要先看样品。</t>
        </is>
      </c>
      <c r="D738" s="92" t="inlineStr">
        <is>
          <t>Wǒmen xūyào xiān kàn yàngpıň. Chúng tôi cần xem mẫu trước.</t>
        </is>
      </c>
      <c r="E738" s="92" t="inlineStr">
        <is>
          <t>我们需要先看样品。 Wǒmen xūyào xiān kàn yàngpıň. Chúng tôi cần xem mẫu trước.</t>
        </is>
      </c>
      <c r="F738" s="114">
        <f>HYPERLINK("https://youglish.com/pronounce/我们需要先看样品/chinese","🔍")</f>
        <v/>
      </c>
    </row>
    <row r="739" ht="28.5" customHeight="1" s="99">
      <c r="A739" s="94" t="inlineStr">
        <is>
          <t>PDF Tiếng Trung Đàm Phán Thương Mại _ HỌC BÁ CHINESE.pdf</t>
        </is>
      </c>
      <c r="B739" s="95" t="inlineStr">
        <is>
          <t>92</t>
        </is>
      </c>
      <c r="C739" s="94" t="inlineStr">
        <is>
          <t>可以免费寄样吗？</t>
        </is>
      </c>
      <c r="D739" s="94" t="inlineStr">
        <is>
          <t>Kěyı ̌miǎnfèi jìyàng ma? Có thể gửi mẫu miễn phí không?</t>
        </is>
      </c>
      <c r="E739" s="94" t="inlineStr">
        <is>
          <t>可以免费寄样吗？ Kěyı ̌miǎnfèi jìyàng ma? Có thể gửi mẫu miễn phí không?</t>
        </is>
      </c>
      <c r="F739" s="115">
        <f>HYPERLINK("https://youglish.com/pronounce/可以免费寄样吗/chinese","🔍")</f>
        <v/>
      </c>
    </row>
    <row r="740" ht="28.5" customHeight="1" s="99">
      <c r="A740" s="92" t="inlineStr">
        <is>
          <t>PDF Tiếng Trung Đàm Phán Thương Mại _ HỌC BÁ CHINESE.pdf</t>
        </is>
      </c>
      <c r="B740" s="93" t="inlineStr">
        <is>
          <t>93</t>
        </is>
      </c>
      <c r="C740" s="92" t="inlineStr">
        <is>
          <t>样品质量不错。</t>
        </is>
      </c>
      <c r="D740" s="92" t="inlineStr">
        <is>
          <t>Yàngpıň zhìliàng búcuò. Chất lượng mẫu khá tốt.</t>
        </is>
      </c>
      <c r="E740" s="92" t="inlineStr">
        <is>
          <t>样品质量不错。 Yàngpıň zhìliàng búcuò. Chất lượng mẫu khá tốt.</t>
        </is>
      </c>
      <c r="F740" s="114">
        <f>HYPERLINK("https://youglish.com/pronounce/样品质量不错/chinese","🔍")</f>
        <v/>
      </c>
    </row>
    <row r="741" ht="28.5" customHeight="1" s="99">
      <c r="A741" s="94" t="inlineStr">
        <is>
          <t>PDF Tiếng Trung Đàm Phán Thương Mại _ HỌC BÁ CHINESE.pdf</t>
        </is>
      </c>
      <c r="B741" s="95" t="inlineStr">
        <is>
          <t>94</t>
        </is>
      </c>
      <c r="C741" s="94" t="inlineStr">
        <is>
          <t>颜色跟图片不一样。</t>
        </is>
      </c>
      <c r="D741" s="94" t="inlineStr">
        <is>
          <t>Yánsè gēn túpiàn bù yíyàng. Màu sắc không giống hình ảnh.</t>
        </is>
      </c>
      <c r="E741" s="94" t="inlineStr">
        <is>
          <t>颜色跟图片不一样。 Yánsè gēn túpiàn bù yíyàng. Màu sắc không giống hình ảnh.</t>
        </is>
      </c>
      <c r="F741" s="115">
        <f>HYPERLINK("https://youglish.com/pronounce/颜色跟图片不一样/chinese","🔍")</f>
        <v/>
      </c>
    </row>
    <row r="742" ht="28.5" customHeight="1" s="99">
      <c r="A742" s="92" t="inlineStr">
        <is>
          <t>PDF Tiếng Trung Đàm Phán Thương Mại _ HỌC BÁ CHINESE.pdf</t>
        </is>
      </c>
      <c r="B742" s="93" t="inlineStr">
        <is>
          <t>95</t>
        </is>
      </c>
      <c r="C742" s="92" t="inlineStr">
        <is>
          <t>这个产品有问题。</t>
        </is>
      </c>
      <c r="D742" s="92" t="inlineStr">
        <is>
          <t>Zhège chǎnpıň yǒu wèntí. Sản phẩm này có vấn đề.</t>
        </is>
      </c>
      <c r="E742" s="92" t="inlineStr">
        <is>
          <t>这个产品有问题。 Zhège chǎnpıň yǒu wèntí. Sản phẩm này có vấn đề.</t>
        </is>
      </c>
      <c r="F742" s="114">
        <f>HYPERLINK("https://youglish.com/pronounce/这个产品有问题/chinese","🔍")</f>
        <v/>
      </c>
    </row>
    <row r="743" ht="28.5" customHeight="1" s="99">
      <c r="A743" s="94" t="inlineStr">
        <is>
          <t>PDF Tiếng Trung Đàm Phán Thương Mại _ HỌC BÁ CHINESE.pdf</t>
        </is>
      </c>
      <c r="B743" s="95" t="inlineStr">
        <is>
          <t>96</t>
        </is>
      </c>
      <c r="C743" s="94" t="inlineStr">
        <is>
          <t>有一些产品损坏了。</t>
        </is>
      </c>
      <c r="D743" s="94" t="inlineStr">
        <is>
          <t>Yǒu yìxiē chǎnpıň sǔnhuài le. Có một số sản phẩm bị hỏng.</t>
        </is>
      </c>
      <c r="E743" s="94" t="inlineStr">
        <is>
          <t>有一些产品损坏了。 Yǒu yìxiē chǎnpıň sǔnhuài le. Có một số sản phẩm bị hỏng.</t>
        </is>
      </c>
      <c r="F743" s="115">
        <f>HYPERLINK("https://youglish.com/pronounce/有一些产品损坏了/chinese","🔍")</f>
        <v/>
      </c>
    </row>
    <row r="744" ht="28.5" customHeight="1" s="99">
      <c r="A744" s="92" t="inlineStr">
        <is>
          <t>PDF Tiếng Trung Đàm Phán Thương Mại _ HỌC BÁ CHINESE.pdf</t>
        </is>
      </c>
      <c r="B744" s="93" t="inlineStr">
        <is>
          <t>97</t>
        </is>
      </c>
      <c r="C744" s="92" t="inlineStr">
        <is>
          <t>数量不对。</t>
        </is>
      </c>
      <c r="D744" s="92" t="inlineStr">
        <is>
          <t>Shùliàng bú duì. Số lượng không đúng.</t>
        </is>
      </c>
      <c r="E744" s="92" t="inlineStr">
        <is>
          <t>数量不对。 Shùliàng bú duì. Số lượng không đúng.</t>
        </is>
      </c>
      <c r="F744" s="114">
        <f>HYPERLINK("https://youglish.com/pronounce/数量不对/chinese","🔍")</f>
        <v/>
      </c>
    </row>
    <row r="745" ht="28.5" customHeight="1" s="99">
      <c r="A745" s="94" t="inlineStr">
        <is>
          <t>PDF Tiếng Trung Đàm Phán Thương Mại _ HỌC BÁ CHINESE.pdf</t>
        </is>
      </c>
      <c r="B745" s="95" t="inlineStr">
        <is>
          <t>98</t>
        </is>
      </c>
      <c r="C745" s="94" t="inlineStr">
        <is>
          <t>少发了十件。</t>
        </is>
      </c>
      <c r="D745" s="94" t="inlineStr">
        <is>
          <t>Shǎo fā le shí jiàn. Gửi thiếu 10 sản phẩm.</t>
        </is>
      </c>
      <c r="E745" s="94" t="inlineStr">
        <is>
          <t>少发了十件。 Shǎo fā le shí jiàn. Gửi thiếu 10 sản phẩm.</t>
        </is>
      </c>
      <c r="F745" s="115">
        <f>HYPERLINK("https://youglish.com/pronounce/少发了十件/chinese","🔍")</f>
        <v/>
      </c>
    </row>
    <row r="746" ht="28.5" customHeight="1" s="99">
      <c r="A746" s="92" t="inlineStr">
        <is>
          <t>PDF Tiếng Trung Đàm Phán Thương Mại _ HỌC BÁ CHINESE.pdf</t>
        </is>
      </c>
      <c r="B746" s="93" t="inlineStr">
        <is>
          <t>99</t>
        </is>
      </c>
      <c r="C746" s="92" t="inlineStr">
        <is>
          <t>质量不太稳定。</t>
        </is>
      </c>
      <c r="D746" s="92" t="inlineStr">
        <is>
          <t>Zhìliàng bú tài wěndìng. Chất lượng chưa ổn định lắm.</t>
        </is>
      </c>
      <c r="E746" s="92" t="inlineStr">
        <is>
          <t>质量不太稳定。 Zhìliàng bú tài wěndìng. Chất lượng chưa ổn định lắm.</t>
        </is>
      </c>
      <c r="F746" s="114">
        <f>HYPERLINK("https://youglish.com/pronounce/质量不太稳定/chinese","🔍")</f>
        <v/>
      </c>
    </row>
    <row r="747" ht="28.5" customHeight="1" s="99">
      <c r="A747" s="94" t="inlineStr">
        <is>
          <t>PDF Tiếng Trung Đàm Phán Thương Mại _ HỌC BÁ CHINESE.pdf</t>
        </is>
      </c>
      <c r="B747" s="95" t="inlineStr">
        <is>
          <t>100</t>
        </is>
      </c>
      <c r="C747" s="94" t="inlineStr">
        <is>
          <t>请帮我们处理一下。</t>
        </is>
      </c>
      <c r="D747" s="94" t="inlineStr">
        <is>
          <t>Qıňg bāng wǒmen chǔlı ̌yíxià. Vui lòng hỗ trợ xử lý giúp chúng tôi.</t>
        </is>
      </c>
      <c r="E747" s="94" t="inlineStr">
        <is>
          <t>请帮我们处理一下。 Qıňg bāng wǒmen chǔlı ̌yíxià. Vui lòng hỗ trợ xử lý giúp chúng tôi.</t>
        </is>
      </c>
      <c r="F747" s="115">
        <f>HYPERLINK("https://youglish.com/pronounce/请帮我们处理一下/chinese","🔍")</f>
        <v/>
      </c>
    </row>
    <row r="748" ht="28.5" customHeight="1" s="99">
      <c r="A748" s="92" t="inlineStr">
        <is>
          <t>PDF Tiếng Trung Đàm Phán Thương Mại _ HỌC BÁ CHINESE.pdf</t>
        </is>
      </c>
      <c r="B748" s="93" t="inlineStr">
        <is>
          <t>101</t>
        </is>
      </c>
      <c r="C748" s="92" t="inlineStr">
        <is>
          <t>可以退货吗？</t>
        </is>
      </c>
      <c r="D748" s="92" t="inlineStr">
        <is>
          <t>Kěyı ̌tuìhuò ma? Có thể trả hàng không?</t>
        </is>
      </c>
      <c r="E748" s="92" t="inlineStr">
        <is>
          <t>可以退货吗？ Kěyı ̌tuìhuò ma? Có thể trả hàng không?</t>
        </is>
      </c>
      <c r="F748" s="114">
        <f>HYPERLINK("https://youglish.com/pronounce/可以退货吗/chinese","🔍")</f>
        <v/>
      </c>
    </row>
    <row r="749" ht="28.5" customHeight="1" s="99">
      <c r="A749" s="94" t="inlineStr">
        <is>
          <t>PDF Tiếng Trung Đàm Phán Thương Mại _ HỌC BÁ CHINESE.pdf</t>
        </is>
      </c>
      <c r="B749" s="95" t="inlineStr">
        <is>
          <t>102</t>
        </is>
      </c>
      <c r="C749" s="94" t="inlineStr">
        <is>
          <t>我们想换货。</t>
        </is>
      </c>
      <c r="D749" s="94" t="inlineStr">
        <is>
          <t>Wǒmen xiǎng huànhuò. Chúng tôi muốn đổi hàng.</t>
        </is>
      </c>
      <c r="E749" s="94" t="inlineStr">
        <is>
          <t>我们想换货。 Wǒmen xiǎng huànhuò. Chúng tôi muốn đổi hàng.</t>
        </is>
      </c>
      <c r="F749" s="115">
        <f>HYPERLINK("https://youglish.com/pronounce/我们想换货/chinese","🔍")</f>
        <v/>
      </c>
    </row>
    <row r="750" ht="28.5" customHeight="1" s="99">
      <c r="A750" s="92" t="inlineStr">
        <is>
          <t>PDF Tiếng Trung Đàm Phán Thương Mại _ HỌC BÁ CHINESE.pdf</t>
        </is>
      </c>
      <c r="B750" s="93" t="inlineStr">
        <is>
          <t>103</t>
        </is>
      </c>
      <c r="C750" s="92" t="inlineStr">
        <is>
          <t>请尽快补发。</t>
        </is>
      </c>
      <c r="D750" s="92" t="inlineStr">
        <is>
          <t>Qıňg jıňkuài bǔfā. Vui lòng gửi bù sớm nhất có thể.</t>
        </is>
      </c>
      <c r="E750" s="92" t="inlineStr">
        <is>
          <t>请尽快补发。 Qıňg jıňkuài bǔfā. Vui lòng gửi bù sớm nhất có thể.</t>
        </is>
      </c>
      <c r="F750" s="114">
        <f>HYPERLINK("https://youglish.com/pronounce/请尽快补发/chinese","🔍")</f>
        <v/>
      </c>
    </row>
    <row r="751" ht="28.5" customHeight="1" s="99">
      <c r="A751" s="94" t="inlineStr">
        <is>
          <t>PDF Tiếng Trung Đàm Phán Thương Mại _ HỌC BÁ CHINESE.pdf</t>
        </is>
      </c>
      <c r="B751" s="95" t="inlineStr">
        <is>
          <t>104</t>
        </is>
      </c>
      <c r="C751" s="94" t="inlineStr">
        <is>
          <t>下次请注意质量。</t>
        </is>
      </c>
      <c r="D751" s="94" t="inlineStr">
        <is>
          <t>Xià cì qıňg zhùyì zhìliàng. Lần sau vui lòng chú ý chất lượng.</t>
        </is>
      </c>
      <c r="E751" s="94" t="inlineStr">
        <is>
          <t>下次请注意质量。 Xià cì qıňg zhùyì zhìliàng. Lần sau vui lòng chú ý chất lượng.</t>
        </is>
      </c>
      <c r="F751" s="115">
        <f>HYPERLINK("https://youglish.com/pronounce/下次请注意质量/chinese","🔍")</f>
        <v/>
      </c>
    </row>
    <row r="752" ht="28.5" customHeight="1" s="99">
      <c r="A752" s="92" t="inlineStr">
        <is>
          <t>PDF Tiếng Trung Đàm Phán Thương Mại _ HỌC BÁ CHINESE.pdf</t>
        </is>
      </c>
      <c r="B752" s="93" t="inlineStr">
        <is>
          <t>105</t>
        </is>
      </c>
      <c r="C752" s="92" t="inlineStr">
        <is>
          <t>希望以后不要再出现这个问</t>
        </is>
      </c>
      <c r="D752" s="92" t="n"/>
      <c r="E752" s="92" t="inlineStr">
        <is>
          <t>希望以后不要再出现这个问</t>
        </is>
      </c>
      <c r="F752" s="114">
        <f>HYPERLINK("https://youglish.com/pronounce/希望以后不要再出现这个问/chinese","🔍")</f>
        <v/>
      </c>
    </row>
    <row r="753" ht="28.5" customHeight="1" s="99">
      <c r="A753" s="94" t="inlineStr">
        <is>
          <t>PDF Tiếng Trung Đàm Phán Thương Mại _ HỌC BÁ CHINESE.pdf</t>
        </is>
      </c>
      <c r="B753" s="95" t="inlineStr">
        <is>
          <t>106</t>
        </is>
      </c>
      <c r="C753" s="94" t="inlineStr">
        <is>
          <t>题。</t>
        </is>
      </c>
      <c r="D753" s="94" t="inlineStr">
        <is>
          <t>Xīwàng yıȟòu búyào zài chūxiàn zhège wèntí. Hy vọng sau này không xảy ra vấn đề này nữa.</t>
        </is>
      </c>
      <c r="E753" s="94" t="inlineStr">
        <is>
          <t>题。 Xīwàng yıȟòu búyào zài chūxiàn zhège wèntí. Hy vọng sau này không xảy ra vấn đề này nữa.</t>
        </is>
      </c>
      <c r="F753" s="115">
        <f>HYPERLINK("https://youglish.com/pronounce/题/chinese","🔍")</f>
        <v/>
      </c>
    </row>
    <row r="754" ht="28.5" customHeight="1" s="99">
      <c r="A754" s="92" t="inlineStr">
        <is>
          <t>PDF Tiếng Trung Đàm Phán Thương Mại _ HỌC BÁ CHINESE.pdf</t>
        </is>
      </c>
      <c r="B754" s="93" t="inlineStr">
        <is>
          <t>107</t>
        </is>
      </c>
      <c r="C754" s="92" t="inlineStr">
        <is>
          <t>产品和描述不一致。</t>
        </is>
      </c>
      <c r="D754" s="92" t="inlineStr">
        <is>
          <t>Chǎnpıň hé miáoshù bù yízhì. Sản phẩm không giống mô tả.</t>
        </is>
      </c>
      <c r="E754" s="92" t="inlineStr">
        <is>
          <t>产品和描述不一致。 Chǎnpıň hé miáoshù bù yízhì. Sản phẩm không giống mô tả.</t>
        </is>
      </c>
      <c r="F754" s="114">
        <f>HYPERLINK("https://youglish.com/pronounce/产品和描述不一致/chinese","🔍")</f>
        <v/>
      </c>
    </row>
    <row r="755" ht="28.5" customHeight="1" s="99">
      <c r="A755" s="94" t="inlineStr">
        <is>
          <t>PDF Tiếng Trung Đàm Phán Thương Mại _ HỌC BÁ CHINESE.pdf</t>
        </is>
      </c>
      <c r="B755" s="95" t="inlineStr">
        <is>
          <t>108</t>
        </is>
      </c>
      <c r="C755" s="94" t="inlineStr">
        <is>
          <t>包装已经破了。</t>
        </is>
      </c>
      <c r="D755" s="94" t="inlineStr">
        <is>
          <t>Bāozhuāng yıǰīng pò le. Bao bì đã bị rách.</t>
        </is>
      </c>
      <c r="E755" s="94" t="inlineStr">
        <is>
          <t>包装已经破了。 Bāozhuāng yıǰīng pò le. Bao bì đã bị rách.</t>
        </is>
      </c>
      <c r="F755" s="115">
        <f>HYPERLINK("https://youglish.com/pronounce/包装已经破了/chinese","🔍")</f>
        <v/>
      </c>
    </row>
    <row r="756" ht="28.5" customHeight="1" s="99">
      <c r="A756" s="92" t="inlineStr">
        <is>
          <t>PDF Tiếng Trung Đàm Phán Thương Mại _ HỌC BÁ CHINESE.pdf</t>
        </is>
      </c>
      <c r="B756" s="93" t="inlineStr">
        <is>
          <t>109</t>
        </is>
      </c>
      <c r="C756" s="92" t="inlineStr">
        <is>
          <t>我们需要质量报告。</t>
        </is>
      </c>
      <c r="D756" s="92" t="inlineStr">
        <is>
          <t>Wǒmen xūyào zhìliàng bàogào. Chúng tôi cần báo cáo chất lượng.</t>
        </is>
      </c>
      <c r="E756" s="92" t="inlineStr">
        <is>
          <t>我们需要质量报告。 Wǒmen xūyào zhìliàng bàogào. Chúng tôi cần báo cáo chất lượng.</t>
        </is>
      </c>
      <c r="F756" s="114">
        <f>HYPERLINK("https://youglish.com/pronounce/我们需要质量报告/chinese","🔍")</f>
        <v/>
      </c>
    </row>
    <row r="757" ht="28.5" customHeight="1" s="99">
      <c r="A757" s="94" t="inlineStr">
        <is>
          <t>PDF Tiếng Trung Đàm Phán Thương Mại _ HỌC BÁ CHINESE.pdf</t>
        </is>
      </c>
      <c r="B757" s="95" t="inlineStr">
        <is>
          <t>110</t>
        </is>
      </c>
      <c r="C757" s="94" t="inlineStr">
        <is>
          <t>请提供检测报告。</t>
        </is>
      </c>
      <c r="D757" s="94" t="inlineStr">
        <is>
          <t>Qıňg tígōng jiǎncè bàogào. Vui lòng cung cấp báo cáo kiểm định.</t>
        </is>
      </c>
      <c r="E757" s="94" t="inlineStr">
        <is>
          <t>请提供检测报告。 Qıňg tígōng jiǎncè bàogào. Vui lòng cung cấp báo cáo kiểm định.</t>
        </is>
      </c>
      <c r="F757" s="115">
        <f>HYPERLINK("https://youglish.com/pronounce/请提供检测报告/chinese","🔍")</f>
        <v/>
      </c>
    </row>
    <row r="758" ht="28.5" customHeight="1" s="99">
      <c r="A758" s="92" t="inlineStr">
        <is>
          <t>PDF Tiếng Trung Đàm Phán Thương Mại _ HỌC BÁ CHINESE.pdf</t>
        </is>
      </c>
      <c r="B758" s="93" t="inlineStr">
        <is>
          <t>111</t>
        </is>
      </c>
      <c r="C758" s="92" t="inlineStr">
        <is>
          <t>我们需要正式合同。</t>
        </is>
      </c>
      <c r="D758" s="92" t="inlineStr">
        <is>
          <t>Wǒmen xūyào zhèngshì hétong. Chúng tôi cần hợp đồng chính thức.</t>
        </is>
      </c>
      <c r="E758" s="92" t="inlineStr">
        <is>
          <t>我们需要正式合同。 Wǒmen xūyào zhèngshì hétong. Chúng tôi cần hợp đồng chính thức.</t>
        </is>
      </c>
      <c r="F758" s="114">
        <f>HYPERLINK("https://youglish.com/pronounce/我们需要正式合同/chinese","🔍")</f>
        <v/>
      </c>
    </row>
    <row r="759" ht="28.5" customHeight="1" s="99">
      <c r="A759" s="94" t="inlineStr">
        <is>
          <t>PDF Tiếng Trung Đàm Phán Thương Mại _ HỌC BÁ CHINESE.pdf</t>
        </is>
      </c>
      <c r="B759" s="95" t="inlineStr">
        <is>
          <t>112</t>
        </is>
      </c>
      <c r="C759" s="94" t="inlineStr">
        <is>
          <t>请先发合同给我。</t>
        </is>
      </c>
      <c r="D759" s="94" t="inlineStr">
        <is>
          <t>Qıňg xiān fā hétong gěi wǒ. Vui lòng gửi hợp đồng cho tôi trước.</t>
        </is>
      </c>
      <c r="E759" s="94" t="inlineStr">
        <is>
          <t>请先发合同给我。 Qıňg xiān fā hétong gěi wǒ. Vui lòng gửi hợp đồng cho tôi trước.</t>
        </is>
      </c>
      <c r="F759" s="115">
        <f>HYPERLINK("https://youglish.com/pronounce/请先发合同给我/chinese","🔍")</f>
        <v/>
      </c>
    </row>
    <row r="760" ht="28.5" customHeight="1" s="99">
      <c r="A760" s="92" t="inlineStr">
        <is>
          <t>PDF Tiếng Trung Đàm Phán Thương Mại _ HỌC BÁ CHINESE.pdf</t>
        </is>
      </c>
      <c r="B760" s="93" t="inlineStr">
        <is>
          <t>113</t>
        </is>
      </c>
      <c r="C760" s="92" t="inlineStr">
        <is>
          <t>合同我已经看过了。</t>
        </is>
      </c>
      <c r="D760" s="92" t="inlineStr">
        <is>
          <t>Hétong wǒ yıǰīng kàn guò le. Tôi đã xem hợp đồng rồi.</t>
        </is>
      </c>
      <c r="E760" s="92" t="inlineStr">
        <is>
          <t>合同我已经看过了。 Hétong wǒ yıǰīng kàn guò le. Tôi đã xem hợp đồng rồi.</t>
        </is>
      </c>
      <c r="F760" s="114">
        <f>HYPERLINK("https://youglish.com/pronounce/合同我已经看过了/chinese","🔍")</f>
        <v/>
      </c>
    </row>
    <row r="761" ht="28.5" customHeight="1" s="99">
      <c r="A761" s="94" t="inlineStr">
        <is>
          <t>PDF Tiếng Trung Đàm Phán Thương Mại _ HỌC BÁ CHINESE.pdf</t>
        </is>
      </c>
      <c r="B761" s="95" t="inlineStr">
        <is>
          <t>114</t>
        </is>
      </c>
      <c r="C761" s="94" t="inlineStr">
        <is>
          <t>这里需要修改一下。</t>
        </is>
      </c>
      <c r="D761" s="94" t="inlineStr">
        <is>
          <t>Zhèlı ̌xūyào xiūgǎi yíxià. Chỗ này cần chỉnh sửa một chút.</t>
        </is>
      </c>
      <c r="E761" s="94" t="inlineStr">
        <is>
          <t>这里需要修改一下。 Zhèlı ̌xūyào xiūgǎi yíxià. Chỗ này cần chỉnh sửa một chút.</t>
        </is>
      </c>
      <c r="F761" s="115">
        <f>HYPERLINK("https://youglish.com/pronounce/这里需要修改一下/chinese","🔍")</f>
        <v/>
      </c>
    </row>
    <row r="762" ht="28.5" customHeight="1" s="99">
      <c r="A762" s="92" t="inlineStr">
        <is>
          <t>PDF Tiếng Trung Đàm Phán Thương Mại _ HỌC BÁ CHINESE.pdf</t>
        </is>
      </c>
      <c r="B762" s="93" t="inlineStr">
        <is>
          <t>115</t>
        </is>
      </c>
      <c r="C762" s="92" t="inlineStr">
        <is>
          <t>我们同意这个条款。</t>
        </is>
      </c>
      <c r="D762" s="92" t="inlineStr">
        <is>
          <t>Wǒmen tóngyì zhège tiáokuǎn. Chúng tôi đồng ý điều khoản này.</t>
        </is>
      </c>
      <c r="E762" s="92" t="inlineStr">
        <is>
          <t>我们同意这个条款。 Wǒmen tóngyì zhège tiáokuǎn. Chúng tôi đồng ý điều khoản này.</t>
        </is>
      </c>
      <c r="F762" s="114">
        <f>HYPERLINK("https://youglish.com/pronounce/我们同意这个条款/chinese","🔍")</f>
        <v/>
      </c>
    </row>
    <row r="763" ht="28.5" customHeight="1" s="99">
      <c r="A763" s="94" t="inlineStr">
        <is>
          <t>PDF Tiếng Trung Đàm Phán Thương Mại _ HỌC BÁ CHINESE.pdf</t>
        </is>
      </c>
      <c r="B763" s="95" t="inlineStr">
        <is>
          <t>116</t>
        </is>
      </c>
      <c r="C763" s="94" t="inlineStr">
        <is>
          <t>这个条件不能接受。</t>
        </is>
      </c>
      <c r="D763" s="94" t="inlineStr">
        <is>
          <t>Zhège tiáojiàn bù néng jiēshòu. Điều kiện này không thể chấp nhận.</t>
        </is>
      </c>
      <c r="E763" s="94" t="inlineStr">
        <is>
          <t>这个条件不能接受。 Zhège tiáojiàn bù néng jiēshòu. Điều kiện này không thể chấp nhận.</t>
        </is>
      </c>
      <c r="F763" s="115">
        <f>HYPERLINK("https://youglish.com/pronounce/这个条件不能接受/chinese","🔍")</f>
        <v/>
      </c>
    </row>
    <row r="764" ht="28.5" customHeight="1" s="99">
      <c r="A764" s="92" t="inlineStr">
        <is>
          <t>PDF Tiếng Trung Đàm Phán Thương Mại _ HỌC BÁ CHINESE.pdf</t>
        </is>
      </c>
      <c r="B764" s="93" t="inlineStr">
        <is>
          <t>117</t>
        </is>
      </c>
      <c r="C764" s="92" t="inlineStr">
        <is>
          <t>请确认订单信息。</t>
        </is>
      </c>
      <c r="D764" s="92" t="inlineStr">
        <is>
          <t>Qıňg quèrèn dìngdān xìnxī. Vui lòng xác nhận thông tin đơn hàng.</t>
        </is>
      </c>
      <c r="E764" s="92" t="inlineStr">
        <is>
          <t>请确认订单信息。 Qıňg quèrèn dìngdān xìnxī. Vui lòng xác nhận thông tin đơn hàng.</t>
        </is>
      </c>
      <c r="F764" s="114">
        <f>HYPERLINK("https://youglish.com/pronounce/请确认订单信息/chinese","🔍")</f>
        <v/>
      </c>
    </row>
    <row r="765" ht="28.5" customHeight="1" s="99">
      <c r="A765" s="94" t="inlineStr">
        <is>
          <t>PDF Tiếng Trung Đàm Phán Thương Mại _ HỌC BÁ CHINESE.pdf</t>
        </is>
      </c>
      <c r="B765" s="95" t="inlineStr">
        <is>
          <t>118</t>
        </is>
      </c>
      <c r="C765" s="94" t="inlineStr">
        <is>
          <t>数量和价格都没问题。</t>
        </is>
      </c>
      <c r="D765" s="94" t="inlineStr">
        <is>
          <t>Shùliàng hé jiàgé dōu méi wèntí. Số lượng và giá cả đều không vấn đề gì.</t>
        </is>
      </c>
      <c r="E765" s="94" t="inlineStr">
        <is>
          <t>数量和价格都没问题。 Shùliàng hé jiàgé dōu méi wèntí. Số lượng và giá cả đều không vấn đề gì.</t>
        </is>
      </c>
      <c r="F765" s="115">
        <f>HYPERLINK("https://youglish.com/pronounce/数量和价格都没问题/chinese","🔍")</f>
        <v/>
      </c>
    </row>
    <row r="766" ht="28.5" customHeight="1" s="99">
      <c r="A766" s="92" t="inlineStr">
        <is>
          <t>PDF Tiếng Trung Đàm Phán Thương Mại _ HỌC BÁ CHINESE.pdf</t>
        </is>
      </c>
      <c r="B766" s="93" t="inlineStr">
        <is>
          <t>119</t>
        </is>
      </c>
      <c r="C766" s="92" t="inlineStr">
        <is>
          <t>交货时间确定了吗？</t>
        </is>
      </c>
      <c r="D766" s="92" t="inlineStr">
        <is>
          <t>Jiāohuò shíjiān quèdìng le ma? Đã xác nhận thời gian giao hàng chưa?</t>
        </is>
      </c>
      <c r="E766" s="92" t="inlineStr">
        <is>
          <t>交货时间确定了吗？ Jiāohuò shíjiān quèdìng le ma? Đã xác nhận thời gian giao hàng chưa?</t>
        </is>
      </c>
      <c r="F766" s="114">
        <f>HYPERLINK("https://youglish.com/pronounce/交货时间确定了吗/chinese","🔍")</f>
        <v/>
      </c>
    </row>
    <row r="767" ht="28.5" customHeight="1" s="99">
      <c r="A767" s="94" t="inlineStr">
        <is>
          <t>PDF Tiếng Trung Đàm Phán Thương Mại _ HỌC BÁ CHINESE.pdf</t>
        </is>
      </c>
      <c r="B767" s="95" t="inlineStr">
        <is>
          <t>120</t>
        </is>
      </c>
      <c r="C767" s="94" t="inlineStr">
        <is>
          <t>请盖章后发回给我。</t>
        </is>
      </c>
      <c r="D767" s="94" t="inlineStr">
        <is>
          <t>Qıňg gàizhāng hòu fāhuí gěi wǒ. Sau khi đóng dấu vui lòng gửi lại cho tôi.</t>
        </is>
      </c>
      <c r="E767" s="94" t="inlineStr">
        <is>
          <t>请盖章后发回给我。 Qıňg gàizhāng hòu fāhuí gěi wǒ. Sau khi đóng dấu vui lòng gửi lại cho tôi.</t>
        </is>
      </c>
      <c r="F767" s="115">
        <f>HYPERLINK("https://youglish.com/pronounce/请盖章后发回给我/chinese","🔍")</f>
        <v/>
      </c>
    </row>
    <row r="768" ht="28.5" customHeight="1" s="99">
      <c r="A768" s="92" t="inlineStr">
        <is>
          <t>PDF Tiếng Trung Đàm Phán Thương Mại _ HỌC BÁ CHINESE.pdf</t>
        </is>
      </c>
      <c r="B768" s="93" t="inlineStr">
        <is>
          <t>121</t>
        </is>
      </c>
      <c r="C768" s="92" t="inlineStr">
        <is>
          <t>合同今天可以签吗？</t>
        </is>
      </c>
      <c r="D768" s="92" t="inlineStr">
        <is>
          <t>Hétong jīntiān kěyı ̌qiān ma? Hôm nay có thể ký hợp đồng không?</t>
        </is>
      </c>
      <c r="E768" s="92" t="inlineStr">
        <is>
          <t>合同今天可以签吗？ Hétong jīntiān kěyı ̌qiān ma? Hôm nay có thể ký hợp đồng không?</t>
        </is>
      </c>
      <c r="F768" s="114">
        <f>HYPERLINK("https://youglish.com/pronounce/合同今天可以签吗/chinese","🔍")</f>
        <v/>
      </c>
    </row>
    <row r="769" ht="28.5" customHeight="1" s="99">
      <c r="A769" s="94" t="inlineStr">
        <is>
          <t>PDF Tiếng Trung Đàm Phán Thương Mại _ HỌC BÁ CHINESE.pdf</t>
        </is>
      </c>
      <c r="B769" s="95" t="inlineStr">
        <is>
          <t>122</t>
        </is>
      </c>
      <c r="C769" s="94" t="inlineStr">
        <is>
          <t>我们会尽快确认。</t>
        </is>
      </c>
      <c r="D769" s="94" t="inlineStr">
        <is>
          <t>Wǒmen huì jıňkuài quèrèn. Chúng tôi sẽ xác nhận sớm nhất có thể.</t>
        </is>
      </c>
      <c r="E769" s="94" t="inlineStr">
        <is>
          <t>我们会尽快确认。 Wǒmen huì jıňkuài quèrèn. Chúng tôi sẽ xác nhận sớm nhất có thể.</t>
        </is>
      </c>
      <c r="F769" s="115">
        <f>HYPERLINK("https://youglish.com/pronounce/我们会尽快确认/chinese","🔍")</f>
        <v/>
      </c>
    </row>
    <row r="770" ht="28.5" customHeight="1" s="99">
      <c r="A770" s="92" t="inlineStr">
        <is>
          <t>PDF Tiếng Trung Đàm Phán Thương Mại _ HỌC BÁ CHINESE.pdf</t>
        </is>
      </c>
      <c r="B770" s="93" t="inlineStr">
        <is>
          <t>123</t>
        </is>
      </c>
      <c r="C770" s="92" t="inlineStr">
        <is>
          <t>订单已经安排生产了。</t>
        </is>
      </c>
      <c r="D770" s="92" t="inlineStr">
        <is>
          <t>Dìngdān yıǰīng ānpái shēngchǎn le.</t>
        </is>
      </c>
      <c r="E770" s="92" t="inlineStr">
        <is>
          <t>订单已经安排生产了。 Dìngdān yıǰīng ānpái shēngchǎn le.</t>
        </is>
      </c>
      <c r="F770" s="114">
        <f>HYPERLINK("https://youglish.com/pronounce/订单已经安排生产了/chinese","🔍")</f>
        <v/>
      </c>
    </row>
    <row r="771" ht="28.5" customHeight="1" s="99">
      <c r="A771" s="94" t="inlineStr">
        <is>
          <t>PDF Tiếng Trung Đàm Phán Thương Mại _ HỌC BÁ CHINESE.pdf</t>
        </is>
      </c>
      <c r="B771" s="95" t="inlineStr">
        <is>
          <t>124</t>
        </is>
      </c>
      <c r="C771" s="94" t="inlineStr">
        <is>
          <t>下次请注意质量。</t>
        </is>
      </c>
      <c r="D771" s="94" t="inlineStr">
        <is>
          <t>Xià cì qıňg zhùyì zhìliàng. Lần sau vui lòng chú ý chất lượng.</t>
        </is>
      </c>
      <c r="E771" s="94" t="inlineStr">
        <is>
          <t>下次请注意质量。 Xià cì qıňg zhùyì zhìliàng. Lần sau vui lòng chú ý chất lượng.</t>
        </is>
      </c>
      <c r="F771" s="115">
        <f>HYPERLINK("https://youglish.com/pronounce/下次请注意质量/chinese","🔍")</f>
        <v/>
      </c>
    </row>
    <row r="772" ht="28.5" customHeight="1" s="99">
      <c r="A772" s="92" t="inlineStr">
        <is>
          <t>PDF Tiếng Trung Đàm Phán Thương Mại _ HỌC BÁ CHINESE.pdf</t>
        </is>
      </c>
      <c r="B772" s="93" t="inlineStr">
        <is>
          <t>125</t>
        </is>
      </c>
      <c r="C772" s="92" t="inlineStr">
        <is>
          <t>请不要延误交期。</t>
        </is>
      </c>
      <c r="D772" s="92" t="inlineStr">
        <is>
          <t>Qıňg búyào yánwù jiāoqī. Vui lòng đừng chậm thời gian giao hàng.</t>
        </is>
      </c>
      <c r="E772" s="92" t="inlineStr">
        <is>
          <t>请不要延误交期。 Qıňg búyào yánwù jiāoqī. Vui lòng đừng chậm thời gian giao hàng.</t>
        </is>
      </c>
      <c r="F772" s="114">
        <f>HYPERLINK("https://youglish.com/pronounce/请不要延误交期/chinese","🔍")</f>
        <v/>
      </c>
    </row>
    <row r="773" ht="28.5" customHeight="1" s="99">
      <c r="A773" s="94" t="inlineStr">
        <is>
          <t>PDF Tiếng Trung Đàm Phán Thương Mại _ HỌC BÁ CHINESE.pdf</t>
        </is>
      </c>
      <c r="B773" s="95" t="inlineStr">
        <is>
          <t>126</t>
        </is>
      </c>
      <c r="C773" s="94" t="inlineStr">
        <is>
          <t>老板在吗？</t>
        </is>
      </c>
      <c r="D773" s="94" t="inlineStr">
        <is>
          <t>Lǎobǎn zài ma? Sếp có ở đó không?</t>
        </is>
      </c>
      <c r="E773" s="94" t="inlineStr">
        <is>
          <t>老板在吗？ Lǎobǎn zài ma? Sếp có ở đó không?</t>
        </is>
      </c>
      <c r="F773" s="115">
        <f>HYPERLINK("https://youglish.com/pronounce/老板在吗/chinese","🔍")</f>
        <v/>
      </c>
    </row>
    <row r="774" ht="28.5" customHeight="1" s="99">
      <c r="A774" s="92" t="inlineStr">
        <is>
          <t>PDF Tiếng Trung Đàm Phán Thương Mại _ HỌC BÁ CHINESE.pdf</t>
        </is>
      </c>
      <c r="B774" s="93" t="inlineStr">
        <is>
          <t>127</t>
        </is>
      </c>
      <c r="C774" s="92" t="inlineStr">
        <is>
          <t>工厂现在忙吗？</t>
        </is>
      </c>
      <c r="D774" s="92" t="inlineStr">
        <is>
          <t>Gōngchǎng xiànzài máng ma? Nhà máy hiện giờ bận không?</t>
        </is>
      </c>
      <c r="E774" s="92" t="inlineStr">
        <is>
          <t>工厂现在忙吗？ Gōngchǎng xiànzài máng ma? Nhà máy hiện giờ bận không?</t>
        </is>
      </c>
      <c r="F774" s="114">
        <f>HYPERLINK("https://youglish.com/pronounce/工厂现在忙吗/chinese","🔍")</f>
        <v/>
      </c>
    </row>
    <row r="775" ht="28.5" customHeight="1" s="99">
      <c r="A775" s="94" t="inlineStr">
        <is>
          <t>PDF Tiếng Trung Đàm Phán Thương Mại _ HỌC BÁ CHINESE.pdf</t>
        </is>
      </c>
      <c r="B775" s="95" t="inlineStr">
        <is>
          <t>128</t>
        </is>
      </c>
      <c r="C775" s="94" t="inlineStr">
        <is>
          <t>今天能安排生产吗？</t>
        </is>
      </c>
      <c r="D775" s="94" t="inlineStr">
        <is>
          <t>Jīntiān néng ānpái shēngchǎn ma?</t>
        </is>
      </c>
      <c r="E775" s="94" t="inlineStr">
        <is>
          <t>今天能安排生产吗？ Jīntiān néng ānpái shēngchǎn ma?</t>
        </is>
      </c>
      <c r="F775" s="115">
        <f>HYPERLINK("https://youglish.com/pronounce/今天能安排生产吗/chinese","🔍")</f>
        <v/>
      </c>
    </row>
    <row r="776" ht="28.5" customHeight="1" s="99">
      <c r="A776" s="92" t="inlineStr">
        <is>
          <t>PDF Tiếng Trung Đàm Phán Thương Mại _ HỌC BÁ CHINESE.pdf</t>
        </is>
      </c>
      <c r="B776" s="93" t="inlineStr">
        <is>
          <t>129</t>
        </is>
      </c>
      <c r="C776" s="92" t="inlineStr">
        <is>
          <t>什么时候可以开工？</t>
        </is>
      </c>
      <c r="D776" s="92" t="inlineStr">
        <is>
          <t>Shénme shíhou kěyı ̌kāigōng? Khi nào có thể bắt đầu sản xuất?</t>
        </is>
      </c>
      <c r="E776" s="92" t="inlineStr">
        <is>
          <t>什么时候可以开工？ Shénme shíhou kěyı ̌kāigōng? Khi nào có thể bắt đầu sản xuất?</t>
        </is>
      </c>
      <c r="F776" s="114">
        <f>HYPERLINK("https://youglish.com/pronounce/什么时候可以开工/chinese","🔍")</f>
        <v/>
      </c>
    </row>
    <row r="777" ht="28.5" customHeight="1" s="99">
      <c r="A777" s="94" t="inlineStr">
        <is>
          <t>PDF Tiếng Trung Đàm Phán Thương Mại _ HỌC BÁ CHINESE.pdf</t>
        </is>
      </c>
      <c r="B777" s="95" t="inlineStr">
        <is>
          <t>130</t>
        </is>
      </c>
      <c r="C777" s="94" t="inlineStr">
        <is>
          <t>生产周期多久？</t>
        </is>
      </c>
      <c r="D777" s="94" t="inlineStr">
        <is>
          <t>Shēngchǎn zhōuqī duōjiǔ? Chu kỳ sản xuất bao lâu?</t>
        </is>
      </c>
      <c r="E777" s="94" t="inlineStr">
        <is>
          <t>生产周期多久？ Shēngchǎn zhōuqī duōjiǔ? Chu kỳ sản xuất bao lâu?</t>
        </is>
      </c>
      <c r="F777" s="115">
        <f>HYPERLINK("https://youglish.com/pronounce/生产周期多久/chinese","🔍")</f>
        <v/>
      </c>
    </row>
    <row r="778" ht="28.5" customHeight="1" s="99">
      <c r="A778" s="92" t="inlineStr">
        <is>
          <t>PDF Tiếng Trung Đàm Phán Thương Mại _ HỌC BÁ CHINESE.pdf</t>
        </is>
      </c>
      <c r="B778" s="93" t="inlineStr">
        <is>
          <t>131</t>
        </is>
      </c>
      <c r="C778" s="92" t="inlineStr">
        <is>
          <t>可以加急吗？</t>
        </is>
      </c>
      <c r="D778" s="92" t="inlineStr">
        <is>
          <t>Kěyı ̌jiājí ma? Có thể làm gấp không?</t>
        </is>
      </c>
      <c r="E778" s="92" t="inlineStr">
        <is>
          <t>可以加急吗？ Kěyı ̌jiājí ma? Có thể làm gấp không?</t>
        </is>
      </c>
      <c r="F778" s="114">
        <f>HYPERLINK("https://youglish.com/pronounce/可以加急吗/chinese","🔍")</f>
        <v/>
      </c>
    </row>
    <row r="779" ht="28.5" customHeight="1" s="99">
      <c r="A779" s="94" t="inlineStr">
        <is>
          <t>PDF Tiếng Trung Đàm Phán Thương Mại _ HỌC BÁ CHINESE.pdf</t>
        </is>
      </c>
      <c r="B779" s="95" t="inlineStr">
        <is>
          <t>132</t>
        </is>
      </c>
      <c r="C779" s="94" t="inlineStr">
        <is>
          <t>客户催得很急。</t>
        </is>
      </c>
      <c r="D779" s="94" t="inlineStr">
        <is>
          <t>Kèhù cuī de hěn jí. Khách đang thúc rất gấp.</t>
        </is>
      </c>
      <c r="E779" s="94" t="inlineStr">
        <is>
          <t>客户催得很急。 Kèhù cuī de hěn jí. Khách đang thúc rất gấp.</t>
        </is>
      </c>
      <c r="F779" s="115">
        <f>HYPERLINK("https://youglish.com/pronounce/客户催得很急/chinese","🔍")</f>
        <v/>
      </c>
    </row>
    <row r="780" ht="28.5" customHeight="1" s="99">
      <c r="A780" s="92" t="inlineStr">
        <is>
          <t>PDF Tiếng Trung Đàm Phán Thương Mại _ HỌC BÁ CHINESE.pdf</t>
        </is>
      </c>
      <c r="B780" s="93" t="inlineStr">
        <is>
          <t>133</t>
        </is>
      </c>
      <c r="C780" s="92" t="inlineStr">
        <is>
          <t>请优先安排我们的订单。</t>
        </is>
      </c>
      <c r="D780" s="92" t="inlineStr">
        <is>
          <t>Qıňg yōuxiān ānpái wǒmen de dìngdān.</t>
        </is>
      </c>
      <c r="E780" s="92" t="inlineStr">
        <is>
          <t>请优先安排我们的订单。 Qıňg yōuxiān ānpái wǒmen de dìngdān.</t>
        </is>
      </c>
      <c r="F780" s="114">
        <f>HYPERLINK("https://youglish.com/pronounce/请优先安排我们的订单/chinese","🔍")</f>
        <v/>
      </c>
    </row>
    <row r="781" ht="28.5" customHeight="1" s="99">
      <c r="A781" s="94" t="inlineStr">
        <is>
          <t>PDF Tiếng Trung Đàm Phán Thương Mại _ HỌC BÁ CHINESE.pdf</t>
        </is>
      </c>
      <c r="B781" s="95" t="inlineStr">
        <is>
          <t>134</t>
        </is>
      </c>
      <c r="C781" s="94" t="inlineStr">
        <is>
          <t>现在工厂缺货吗？</t>
        </is>
      </c>
      <c r="D781" s="94" t="inlineStr">
        <is>
          <t>Xiànzài gōngchǎng quēhuò ma? Nhà máy hiện đang thiếu hàng không?</t>
        </is>
      </c>
      <c r="E781" s="94" t="inlineStr">
        <is>
          <t>现在工厂缺货吗？ Xiànzài gōngchǎng quēhuò ma? Nhà máy hiện đang thiếu hàng không?</t>
        </is>
      </c>
      <c r="F781" s="115">
        <f>HYPERLINK("https://youglish.com/pronounce/现在工厂缺货吗/chinese","🔍")</f>
        <v/>
      </c>
    </row>
    <row r="782" ht="28.5" customHeight="1" s="99">
      <c r="A782" s="92" t="inlineStr">
        <is>
          <t>PDF Tiếng Trung Đàm Phán Thương Mại _ HỌC BÁ CHINESE.pdf</t>
        </is>
      </c>
      <c r="B782" s="93" t="inlineStr">
        <is>
          <t>135</t>
        </is>
      </c>
      <c r="C782" s="92" t="inlineStr">
        <is>
          <t>原材料涨价了。</t>
        </is>
      </c>
      <c r="D782" s="92" t="inlineStr">
        <is>
          <t>Yuáncáiliào zhǎngjià le. Nguyên vật liệu tăng giá rồi.</t>
        </is>
      </c>
      <c r="E782" s="92" t="inlineStr">
        <is>
          <t>原材料涨价了。 Yuáncáiliào zhǎngjià le. Nguyên vật liệu tăng giá rồi.</t>
        </is>
      </c>
      <c r="F782" s="114">
        <f>HYPERLINK("https://youglish.com/pronounce/原材料涨价了/chinese","🔍")</f>
        <v/>
      </c>
    </row>
    <row r="783" ht="28.5" customHeight="1" s="99">
      <c r="A783" s="94" t="inlineStr">
        <is>
          <t>PDF Tiếng Trung Đàm Phán Thương Mại _ HỌC BÁ CHINESE.pdf</t>
        </is>
      </c>
      <c r="B783" s="95" t="inlineStr">
        <is>
          <t>136</t>
        </is>
      </c>
      <c r="C783" s="94" t="inlineStr">
        <is>
          <t>工人最近比较少。</t>
        </is>
      </c>
      <c r="D783" s="94" t="inlineStr">
        <is>
          <t>Gōngrén zuìjìn bıǰiào shǎo. Dạo này công nhân khá ít.</t>
        </is>
      </c>
      <c r="E783" s="94" t="inlineStr">
        <is>
          <t>工人最近比较少。 Gōngrén zuìjìn bıǰiào shǎo. Dạo này công nhân khá ít.</t>
        </is>
      </c>
      <c r="F783" s="115">
        <f>HYPERLINK("https://youglish.com/pronounce/工人最近比较少/chinese","🔍")</f>
        <v/>
      </c>
    </row>
    <row r="784" ht="28.5" customHeight="1" s="99">
      <c r="A784" s="92" t="inlineStr">
        <is>
          <t>PDF Tiếng Trung Đàm Phán Thương Mại _ HỌC BÁ CHINESE.pdf</t>
        </is>
      </c>
      <c r="B784" s="93" t="inlineStr">
        <is>
          <t>137</t>
        </is>
      </c>
      <c r="C784" s="92" t="inlineStr">
        <is>
          <t>机器今天出了点问题。</t>
        </is>
      </c>
      <c r="D784" s="92" t="inlineStr">
        <is>
          <t>Jīqì jīntiān chū le diǎn wèntí. Máy móc hôm nay có chút vấn đề.</t>
        </is>
      </c>
      <c r="E784" s="92" t="inlineStr">
        <is>
          <t>机器今天出了点问题。 Jīqì jīntiān chū le diǎn wèntí. Máy móc hôm nay có chút vấn đề.</t>
        </is>
      </c>
      <c r="F784" s="114">
        <f>HYPERLINK("https://youglish.com/pronounce/机器今天出了点问题/chinese","🔍")</f>
        <v/>
      </c>
    </row>
    <row r="785" ht="28.5" customHeight="1" s="99">
      <c r="A785" s="94" t="inlineStr">
        <is>
          <t>PDF Tiếng Trung Đàm Phán Thương Mại _ HỌC BÁ CHINESE.pdf</t>
        </is>
      </c>
      <c r="B785" s="95" t="inlineStr">
        <is>
          <t>138</t>
        </is>
      </c>
      <c r="C785" s="94" t="inlineStr">
        <is>
          <t>样品已经做好了。</t>
        </is>
      </c>
      <c r="D785" s="94" t="inlineStr">
        <is>
          <t>Yàngpıň yıǰīng zuò hǎo le. Mẫu đã làm xong rồi.</t>
        </is>
      </c>
      <c r="E785" s="94" t="inlineStr">
        <is>
          <t>样品已经做好了。 Yàngpıň yıǰīng zuò hǎo le. Mẫu đã làm xong rồi.</t>
        </is>
      </c>
      <c r="F785" s="115">
        <f>HYPERLINK("https://youglish.com/pronounce/样品已经做好了/chinese","🔍")</f>
        <v/>
      </c>
    </row>
    <row r="786" ht="28.5" customHeight="1" s="99">
      <c r="A786" s="92" t="inlineStr">
        <is>
          <t>PDF Tiếng Trung Đàm Phán Thương Mại _ HỌC BÁ CHINESE.pdf</t>
        </is>
      </c>
      <c r="B786" s="93" t="inlineStr">
        <is>
          <t>139</t>
        </is>
      </c>
      <c r="C786" s="92" t="inlineStr">
        <is>
          <t>大货什么时候完成？</t>
        </is>
      </c>
      <c r="D786" s="92" t="inlineStr">
        <is>
          <t>Dàhuò shénme shíhou wánchéng?</t>
        </is>
      </c>
      <c r="E786" s="92" t="inlineStr">
        <is>
          <t>大货什么时候完成？ Dàhuò shénme shíhou wánchéng?</t>
        </is>
      </c>
      <c r="F786" s="114">
        <f>HYPERLINK("https://youglish.com/pronounce/大货什么时候完成/chinese","🔍")</f>
        <v/>
      </c>
    </row>
    <row r="787" ht="28.5" customHeight="1" s="99">
      <c r="A787" s="94" t="inlineStr">
        <is>
          <t>PDF Tiếng Trung Đàm Phán Thương Mại _ HỌC BÁ CHINESE.pdf</t>
        </is>
      </c>
      <c r="B787" s="95" t="inlineStr">
        <is>
          <t>140</t>
        </is>
      </c>
      <c r="C787" s="94" t="inlineStr">
        <is>
          <t>请发生产视频给我。</t>
        </is>
      </c>
      <c r="D787" s="94" t="inlineStr">
        <is>
          <t>Qıňg fā shēngchǎn shìpín gěi wǒ. Vui lòng gửi video sản xuất cho tôi.</t>
        </is>
      </c>
      <c r="E787" s="94" t="inlineStr">
        <is>
          <t>请发生产视频给我。 Qıňg fā shēngchǎn shìpín gěi wǒ. Vui lòng gửi video sản xuất cho tôi.</t>
        </is>
      </c>
      <c r="F787" s="115">
        <f>HYPERLINK("https://youglish.com/pronounce/请发生产视频给我/chinese","🔍")</f>
        <v/>
      </c>
    </row>
    <row r="788" ht="28.5" customHeight="1" s="99">
      <c r="A788" s="92" t="inlineStr">
        <is>
          <t>PDF Tiếng Trung Đàm Phán Thương Mại _ HỌC BÁ CHINESE.pdf</t>
        </is>
      </c>
      <c r="B788" s="93" t="inlineStr">
        <is>
          <t>141</t>
        </is>
      </c>
      <c r="C788" s="92" t="inlineStr">
        <is>
          <t>可以视频看看工厂吗？</t>
        </is>
      </c>
      <c r="D788" s="92" t="inlineStr">
        <is>
          <t>Kěyı ̌shìpín kànkan gōngchǎng ma?</t>
        </is>
      </c>
      <c r="E788" s="92" t="inlineStr">
        <is>
          <t>可以视频看看工厂吗？ Kěyı ̌shìpín kànkan gōngchǎng ma?</t>
        </is>
      </c>
      <c r="F788" s="114">
        <f>HYPERLINK("https://youglish.com/pronounce/可以视频看看工厂吗/chinese","🔍")</f>
        <v/>
      </c>
    </row>
    <row r="789" ht="28.5" customHeight="1" s="99">
      <c r="A789" s="94" t="inlineStr">
        <is>
          <t>PDF Tiếng Trung Đàm Phán Thương Mại _ HỌC BÁ CHINESE.pdf</t>
        </is>
      </c>
      <c r="B789" s="95" t="inlineStr">
        <is>
          <t>142</t>
        </is>
      </c>
      <c r="C789" s="94" t="inlineStr">
        <is>
          <t>请每天更新进度。</t>
        </is>
      </c>
      <c r="D789" s="94" t="inlineStr">
        <is>
          <t>Qıňg měitiān gēngxīn jìndù. Vui lòng cập nhật tiến độ mỗi ngày.</t>
        </is>
      </c>
      <c r="E789" s="94" t="inlineStr">
        <is>
          <t>请每天更新进度。 Qıňg měitiān gēngxīn jìndù. Vui lòng cập nhật tiến độ mỗi ngày.</t>
        </is>
      </c>
      <c r="F789" s="115">
        <f>HYPERLINK("https://youglish.com/pronounce/请每天更新进度/chinese","🔍")</f>
        <v/>
      </c>
    </row>
    <row r="790" ht="28.5" customHeight="1" s="99">
      <c r="A790" s="92" t="inlineStr">
        <is>
          <t>PDF Tiếng Trung Đàm Phán Thương Mại _ HỌC BÁ CHINESE.pdf</t>
        </is>
      </c>
      <c r="B790" s="93" t="inlineStr">
        <is>
          <t>143</t>
        </is>
      </c>
      <c r="C790" s="92" t="inlineStr">
        <is>
          <t>这个产品最近卖得很好。</t>
        </is>
      </c>
      <c r="D790" s="92" t="inlineStr">
        <is>
          <t>Zhège chǎnpǐn zuìjìn mài de hěn hǎo.</t>
        </is>
      </c>
      <c r="E790" s="92" t="inlineStr">
        <is>
          <t>这个产品最近卖得很好。 Zhège chǎnpǐn zuìjìn mài de hěn hǎo.</t>
        </is>
      </c>
      <c r="F790" s="114">
        <f>HYPERLINK("https://youglish.com/pronounce/这个产品最近卖得很好/chinese","🔍")</f>
        <v/>
      </c>
    </row>
    <row r="791" ht="28.5" customHeight="1" s="99">
      <c r="A791" s="94" t="inlineStr">
        <is>
          <t>PDF Tiếng Trung Đàm Phán Thương Mại _ HỌC BÁ CHINESE.pdf</t>
        </is>
      </c>
      <c r="B791" s="95" t="inlineStr">
        <is>
          <t>144</t>
        </is>
      </c>
      <c r="C791" s="94" t="inlineStr">
        <is>
          <t>现在很火。</t>
        </is>
      </c>
      <c r="D791" s="94" t="inlineStr">
        <is>
          <t>Xiànzài hěn huǒ. Hiện tại đang rất hot.</t>
        </is>
      </c>
      <c r="E791" s="94" t="inlineStr">
        <is>
          <t>现在很火。 Xiànzài hěn huǒ. Hiện tại đang rất hot.</t>
        </is>
      </c>
      <c r="F791" s="115">
        <f>HYPERLINK("https://youglish.com/pronounce/现在很火/chinese","🔍")</f>
        <v/>
      </c>
    </row>
    <row r="792" ht="28.5" customHeight="1" s="99">
      <c r="A792" s="92" t="inlineStr">
        <is>
          <t>PDF Tiếng Trung Đàm Phán Thương Mại _ HỌC BÁ CHINESE.pdf</t>
        </is>
      </c>
      <c r="B792" s="93" t="inlineStr">
        <is>
          <t>145</t>
        </is>
      </c>
      <c r="C792" s="92" t="inlineStr">
        <is>
          <t>很多主播都在卖。</t>
        </is>
      </c>
      <c r="D792" s="92" t="inlineStr">
        <is>
          <t>Hěn duō zhǔbō dōu zài mài. Rất nhiều streamer đang bán.</t>
        </is>
      </c>
      <c r="E792" s="92" t="inlineStr">
        <is>
          <t>很多主播都在卖。 Hěn duō zhǔbō dōu zài mài. Rất nhiều streamer đang bán.</t>
        </is>
      </c>
      <c r="F792" s="114">
        <f>HYPERLINK("https://youglish.com/pronounce/很多主播都在卖/chinese","🔍")</f>
        <v/>
      </c>
    </row>
    <row r="793" ht="28.5" customHeight="1" s="99">
      <c r="A793" s="94" t="inlineStr">
        <is>
          <t>PDF Tiếng Trung Đàm Phán Thương Mại _ HỌC BÁ CHINESE.pdf</t>
        </is>
      </c>
      <c r="B793" s="95" t="inlineStr">
        <is>
          <t>146</t>
        </is>
      </c>
      <c r="C793" s="94" t="inlineStr">
        <is>
          <t>这个款式很受欢迎。</t>
        </is>
      </c>
      <c r="D793" s="94" t="inlineStr">
        <is>
          <t>Zhège kuǎnshì hěn shòu huānyíng.</t>
        </is>
      </c>
      <c r="E793" s="94" t="inlineStr">
        <is>
          <t>这个款式很受欢迎。 Zhège kuǎnshì hěn shòu huānyíng.</t>
        </is>
      </c>
      <c r="F793" s="115">
        <f>HYPERLINK("https://youglish.com/pronounce/这个款式很受欢迎/chinese","🔍")</f>
        <v/>
      </c>
    </row>
    <row r="794" ht="28.5" customHeight="1" s="99">
      <c r="A794" s="92" t="inlineStr">
        <is>
          <t>PDF Tiếng Trung Đàm Phán Thương Mại _ HỌC BÁ CHINESE.pdf</t>
        </is>
      </c>
      <c r="B794" s="93" t="inlineStr">
        <is>
          <t>147</t>
        </is>
      </c>
      <c r="C794" s="92" t="inlineStr">
        <is>
          <t>有现货吗？</t>
        </is>
      </c>
      <c r="D794" s="92" t="inlineStr">
        <is>
          <t>Yǒu xiànhuò ma? Có hàng sẵn không?</t>
        </is>
      </c>
      <c r="E794" s="92" t="inlineStr">
        <is>
          <t>有现货吗？ Yǒu xiànhuò ma? Có hàng sẵn không?</t>
        </is>
      </c>
      <c r="F794" s="114">
        <f>HYPERLINK("https://youglish.com/pronounce/有现货吗/chinese","🔍")</f>
        <v/>
      </c>
    </row>
    <row r="795" ht="28.5" customHeight="1" s="99">
      <c r="A795" s="94" t="inlineStr">
        <is>
          <t>PDF Tiếng Trung Đàm Phán Thương Mại _ HỌC BÁ CHINESE.pdf</t>
        </is>
      </c>
      <c r="B795" s="95" t="inlineStr">
        <is>
          <t>148</t>
        </is>
      </c>
      <c r="C795" s="94" t="inlineStr">
        <is>
          <t>我们直播需要很多库存。</t>
        </is>
      </c>
      <c r="D795" s="94" t="inlineStr">
        <is>
          <t>Wǒmen zhíbō xūyào hěn duō kùcún.</t>
        </is>
      </c>
      <c r="E795" s="94" t="inlineStr">
        <is>
          <t>我们直播需要很多库存。 Wǒmen zhíbō xūyào hěn duō kùcún.</t>
        </is>
      </c>
      <c r="F795" s="115">
        <f>HYPERLINK("https://youglish.com/pronounce/我们直播需要很多库存/chinese","🔍")</f>
        <v/>
      </c>
    </row>
    <row r="796" ht="28.5" customHeight="1" s="99">
      <c r="A796" s="92" t="inlineStr">
        <is>
          <t>PDF Tiếng Trung Đàm Phán Thương Mại _ HỌC BÁ CHINESE.pdf</t>
        </is>
      </c>
      <c r="B796" s="93" t="inlineStr">
        <is>
          <t>149</t>
        </is>
      </c>
      <c r="C796" s="92" t="inlineStr">
        <is>
          <t>请帮我们准备样品。</t>
        </is>
      </c>
      <c r="D796" s="92" t="inlineStr">
        <is>
          <t>Qıňg bāng wǒmen zhǔnbèi yàngpıň.</t>
        </is>
      </c>
      <c r="E796" s="92" t="inlineStr">
        <is>
          <t>请帮我们准备样品。 Qıňg bāng wǒmen zhǔnbèi yàngpıň.</t>
        </is>
      </c>
      <c r="F796" s="114">
        <f>HYPERLINK("https://youglish.com/pronounce/请帮我们准备样品/chinese","🔍")</f>
        <v/>
      </c>
    </row>
    <row r="797" ht="28.5" customHeight="1" s="99">
      <c r="A797" s="94" t="inlineStr">
        <is>
          <t>PDF Tiếng Trung Đàm Phán Thương Mại _ HỌC BÁ CHINESE.pdf</t>
        </is>
      </c>
      <c r="B797" s="95" t="inlineStr">
        <is>
          <t>150</t>
        </is>
      </c>
      <c r="C797" s="94" t="inlineStr">
        <is>
          <t>这个适合直播卖。</t>
        </is>
      </c>
      <c r="D797" s="94" t="inlineStr">
        <is>
          <t>Zhège shìhé zhíbō mài. Cái này phù hợp bán livestream.</t>
        </is>
      </c>
      <c r="E797" s="94" t="inlineStr">
        <is>
          <t>这个适合直播卖。 Zhège shìhé zhíbō mài. Cái này phù hợp bán livestream.</t>
        </is>
      </c>
      <c r="F797" s="115">
        <f>HYPERLINK("https://youglish.com/pronounce/这个适合直播卖/chinese","🔍")</f>
        <v/>
      </c>
    </row>
    <row r="798" ht="28.5" customHeight="1" s="99">
      <c r="A798" s="92" t="inlineStr">
        <is>
          <t>PDF Tiếng Trung Đàm Phán Thương Mại _ HỌC BÁ CHINESE.pdf</t>
        </is>
      </c>
      <c r="B798" s="93" t="inlineStr">
        <is>
          <t>151</t>
        </is>
      </c>
      <c r="C798" s="92" t="inlineStr">
        <is>
          <t>价格还能再低一点吗？</t>
        </is>
      </c>
      <c r="D798" s="92" t="inlineStr">
        <is>
          <t>Jiàgé hái néng zài dī yìdiǎn ma? Giá có thể thấp hơn nữa không?</t>
        </is>
      </c>
      <c r="E798" s="92" t="inlineStr">
        <is>
          <t>价格还能再低一点吗？ Jiàgé hái néng zài dī yìdiǎn ma? Giá có thể thấp hơn nữa không?</t>
        </is>
      </c>
      <c r="F798" s="114">
        <f>HYPERLINK("https://youglish.com/pronounce/价格还能再低一点吗/chinese","🔍")</f>
        <v/>
      </c>
    </row>
    <row r="799" ht="28.5" customHeight="1" s="99">
      <c r="A799" s="94" t="inlineStr">
        <is>
          <t>PDF Tiếng Trung Đàm Phán Thương Mại _ HỌC BÁ CHINESE.pdf</t>
        </is>
      </c>
      <c r="B799" s="95" t="inlineStr">
        <is>
          <t>152</t>
        </is>
      </c>
      <c r="C799" s="94" t="inlineStr">
        <is>
          <t>我们销量很大。</t>
        </is>
      </c>
      <c r="D799" s="94" t="inlineStr">
        <is>
          <t>Wǒmen xiāoliàng hěn dà. Doanh số của chúng tôi rất lớn.</t>
        </is>
      </c>
      <c r="E799" s="94" t="inlineStr">
        <is>
          <t>我们销量很大。 Wǒmen xiāoliàng hěn dà. Doanh số của chúng tôi rất lớn.</t>
        </is>
      </c>
      <c r="F799" s="115">
        <f>HYPERLINK("https://youglish.com/pronounce/我们销量很大/chinese","🔍")</f>
        <v/>
      </c>
    </row>
    <row r="800" ht="28.5" customHeight="1" s="99">
      <c r="A800" s="92" t="inlineStr">
        <is>
          <t>PDF Tiếng Trung Đàm Phán Thương Mại _ HỌC BÁ CHINESE.pdf</t>
        </is>
      </c>
      <c r="B800" s="93" t="inlineStr">
        <is>
          <t>153</t>
        </is>
      </c>
      <c r="C800" s="92" t="inlineStr">
        <is>
          <t>如果卖得好，会继续下</t>
        </is>
      </c>
      <c r="D800" s="92" t="n"/>
      <c r="E800" s="92" t="inlineStr">
        <is>
          <t>如果卖得好，会继续下</t>
        </is>
      </c>
      <c r="F800" s="114">
        <f>HYPERLINK("https://youglish.com/pronounce/如果卖得好会继续下/chinese","🔍")</f>
        <v/>
      </c>
    </row>
    <row r="801" ht="28.5" customHeight="1" s="99">
      <c r="A801" s="94" t="inlineStr">
        <is>
          <t>PDF Tiếng Trung Đàm Phán Thương Mại _ HỌC BÁ CHINESE.pdf</t>
        </is>
      </c>
      <c r="B801" s="95" t="inlineStr">
        <is>
          <t>154</t>
        </is>
      </c>
      <c r="C801" s="94" t="inlineStr">
        <is>
          <t>单。</t>
        </is>
      </c>
      <c r="D801" s="94" t="inlineStr">
        <is>
          <t>Rúguǒ mài de hǎo, huì jìxù xiàdān. Nếu bán tốt sẽ tiếp tục đặt hàng.</t>
        </is>
      </c>
      <c r="E801" s="94" t="inlineStr">
        <is>
          <t>单。 Rúguǒ mài de hǎo, huì jìxù xiàdān. Nếu bán tốt sẽ tiếp tục đặt hàng.</t>
        </is>
      </c>
      <c r="F801" s="115">
        <f>HYPERLINK("https://youglish.com/pronounce/单/chinese","🔍")</f>
        <v/>
      </c>
    </row>
    <row r="802" ht="28.5" customHeight="1" s="99">
      <c r="A802" s="92" t="inlineStr">
        <is>
          <t>PDF Tiếng Trung Đàm Phán Thương Mại _ HỌC BÁ CHINESE.pdf</t>
        </is>
      </c>
      <c r="B802" s="93" t="inlineStr">
        <is>
          <t>155</t>
        </is>
      </c>
      <c r="C802" s="92" t="inlineStr">
        <is>
          <t>这个产品适合年轻人。</t>
        </is>
      </c>
      <c r="D802" s="92" t="inlineStr">
        <is>
          <t>Zhège chǎnpıň shìhé niánqīngrén.</t>
        </is>
      </c>
      <c r="E802" s="92" t="inlineStr">
        <is>
          <t>这个产品适合年轻人。 Zhège chǎnpıň shìhé niánqīngrén.</t>
        </is>
      </c>
      <c r="F802" s="114">
        <f>HYPERLINK("https://youglish.com/pronounce/这个产品适合年轻人/chinese","🔍")</f>
        <v/>
      </c>
    </row>
    <row r="803" ht="28.5" customHeight="1" s="99">
      <c r="A803" s="94" t="inlineStr">
        <is>
          <t>PDF Tiếng Trung Đàm Phán Thương Mại _ HỌC BÁ CHINESE.pdf</t>
        </is>
      </c>
      <c r="B803" s="95" t="inlineStr">
        <is>
          <t>156</t>
        </is>
      </c>
      <c r="C803" s="94" t="inlineStr">
        <is>
          <t>请发高清图片给我。</t>
        </is>
      </c>
      <c r="D803" s="94" t="inlineStr">
        <is>
          <t>Qıňg fā gāoqīng túpiàn gěi wǒ. Vui lòng gửi ảnh chất lượng cao cho tôi.</t>
        </is>
      </c>
      <c r="E803" s="94" t="inlineStr">
        <is>
          <t>请发高清图片给我。 Qıňg fā gāoqīng túpiàn gěi wǒ. Vui lòng gửi ảnh chất lượng cao cho tôi.</t>
        </is>
      </c>
      <c r="F803" s="115">
        <f>HYPERLINK("https://youglish.com/pronounce/请发高清图片给我/chinese","🔍")</f>
        <v/>
      </c>
    </row>
    <row r="804" ht="28.5" customHeight="1" s="99">
      <c r="A804" s="92" t="inlineStr">
        <is>
          <t>PDF Tiếng Trung Đàm Phán Thương Mại _ HỌC BÁ CHINESE.pdf</t>
        </is>
      </c>
      <c r="B804" s="93" t="inlineStr">
        <is>
          <t>157</t>
        </is>
      </c>
      <c r="C804" s="92" t="inlineStr">
        <is>
          <t>可以提供视频素材吗？</t>
        </is>
      </c>
      <c r="D804" s="92" t="inlineStr">
        <is>
          <t>Kěyı ̌tígōng shìpín sùcái ma? Có thể cung cấp video tư liệu không?</t>
        </is>
      </c>
      <c r="E804" s="92" t="inlineStr">
        <is>
          <t>可以提供视频素材吗？ Kěyı ̌tígōng shìpín sùcái ma? Có thể cung cấp video tư liệu không?</t>
        </is>
      </c>
      <c r="F804" s="114">
        <f>HYPERLINK("https://youglish.com/pronounce/可以提供视频素材吗/chinese","🔍")</f>
        <v/>
      </c>
    </row>
    <row r="805" ht="28.5" customHeight="1" s="99">
      <c r="A805" s="94" t="inlineStr">
        <is>
          <t>PDF Tiếng Trung Đàm Phán Thương Mại _ HỌC BÁ CHINESE.pdf</t>
        </is>
      </c>
      <c r="B805" s="95" t="inlineStr">
        <is>
          <t>158</t>
        </is>
      </c>
      <c r="C805" s="94" t="inlineStr">
        <is>
          <t>这批货是出口的。</t>
        </is>
      </c>
      <c r="D805" s="94" t="inlineStr">
        <is>
          <t>Zhè pī huò shì chūkǒu de. Lô hàng này là hàng xuất khẩu.</t>
        </is>
      </c>
      <c r="E805" s="94" t="inlineStr">
        <is>
          <t>这批货是出口的。 Zhè pī huò shì chūkǒu de. Lô hàng này là hàng xuất khẩu.</t>
        </is>
      </c>
      <c r="F805" s="115">
        <f>HYPERLINK("https://youglish.com/pronounce/这批货是出口的/chinese","🔍")</f>
        <v/>
      </c>
    </row>
    <row r="806" ht="28.5" customHeight="1" s="99">
      <c r="A806" s="92" t="inlineStr">
        <is>
          <t>PDF Tiếng Trung Đàm Phán Thương Mại _ HỌC BÁ CHINESE.pdf</t>
        </is>
      </c>
      <c r="B806" s="93" t="inlineStr">
        <is>
          <t>159</t>
        </is>
      </c>
      <c r="C806" s="92" t="inlineStr">
        <is>
          <t>需要报关吗？</t>
        </is>
      </c>
      <c r="D806" s="92" t="inlineStr">
        <is>
          <t>Xūyào bàoguān ma? Có cần khai hải quan không?</t>
        </is>
      </c>
      <c r="E806" s="92" t="inlineStr">
        <is>
          <t>需要报关吗？ Xūyào bàoguān ma? Có cần khai hải quan không?</t>
        </is>
      </c>
      <c r="F806" s="114">
        <f>HYPERLINK("https://youglish.com/pronounce/需要报关吗/chinese","🔍")</f>
        <v/>
      </c>
    </row>
    <row r="807" ht="28.5" customHeight="1" s="99">
      <c r="A807" s="94" t="inlineStr">
        <is>
          <t>PDF Tiếng Trung Đàm Phán Thương Mại _ HỌC BÁ CHINESE.pdf</t>
        </is>
      </c>
      <c r="B807" s="95" t="inlineStr">
        <is>
          <t>160</t>
        </is>
      </c>
      <c r="C807" s="94" t="inlineStr">
        <is>
          <t>报关资料准备好了吗？</t>
        </is>
      </c>
      <c r="D807" s="94" t="inlineStr">
        <is>
          <t>Bàoguān zīliào zhǔnbèi hǎo le ma?</t>
        </is>
      </c>
      <c r="E807" s="94" t="inlineStr">
        <is>
          <t>报关资料准备好了吗？ Bàoguān zīliào zhǔnbèi hǎo le ma?</t>
        </is>
      </c>
      <c r="F807" s="115">
        <f>HYPERLINK("https://youglish.com/pronounce/报关资料准备好了吗/chinese","🔍")</f>
        <v/>
      </c>
    </row>
    <row r="808" ht="28.5" customHeight="1" s="99">
      <c r="A808" s="92" t="inlineStr">
        <is>
          <t>PDF Tiếng Trung Đàm Phán Thương Mại _ HỌC BÁ CHINESE.pdf</t>
        </is>
      </c>
      <c r="B808" s="93" t="inlineStr">
        <is>
          <t>161</t>
        </is>
      </c>
      <c r="C808" s="92" t="inlineStr">
        <is>
          <t>请发装箱单给我。</t>
        </is>
      </c>
      <c r="D808" s="92" t="inlineStr">
        <is>
          <t>Qıňg fā zhuāngxiāngdān gěi wǒ.</t>
        </is>
      </c>
      <c r="E808" s="92" t="inlineStr">
        <is>
          <t>请发装箱单给我。 Qıňg fā zhuāngxiāngdān gěi wǒ.</t>
        </is>
      </c>
      <c r="F808" s="114">
        <f>HYPERLINK("https://youglish.com/pronounce/请发装箱单给我/chinese","🔍")</f>
        <v/>
      </c>
    </row>
    <row r="809" ht="28.5" customHeight="1" s="99">
      <c r="A809" s="94" t="inlineStr">
        <is>
          <t>PDF Tiếng Trung Đàm Phán Thương Mại _ HỌC BÁ CHINESE.pdf</t>
        </is>
      </c>
      <c r="B809" s="95" t="inlineStr">
        <is>
          <t>162</t>
        </is>
      </c>
      <c r="C809" s="94" t="inlineStr">
        <is>
          <t>请发商业发票。</t>
        </is>
      </c>
      <c r="D809" s="94" t="inlineStr">
        <is>
          <t>Qıňg fā shāngyè fāpiào. Vui lòng gửi hóa đơn thương mại.</t>
        </is>
      </c>
      <c r="E809" s="94" t="inlineStr">
        <is>
          <t>请发商业发票。 Qıňg fā shāngyè fāpiào. Vui lòng gửi hóa đơn thương mại.</t>
        </is>
      </c>
      <c r="F809" s="115">
        <f>HYPERLINK("https://youglish.com/pronounce/请发商业发票/chinese","🔍")</f>
        <v/>
      </c>
    </row>
    <row r="810" ht="28.5" customHeight="1" s="99">
      <c r="A810" s="92" t="inlineStr">
        <is>
          <t>PDF Tiếng Trung Đàm Phán Thương Mại _ HỌC BÁ CHINESE.pdf</t>
        </is>
      </c>
      <c r="B810" s="93" t="inlineStr">
        <is>
          <t>163</t>
        </is>
      </c>
      <c r="C810" s="92" t="inlineStr">
        <is>
          <t>需要原产地证吗？</t>
        </is>
      </c>
      <c r="D810" s="92" t="inlineStr">
        <is>
          <t>Xūyào yuánchǎndì zhèng ma? Có cần giấy chứng nhận xuất xứ không?</t>
        </is>
      </c>
      <c r="E810" s="92" t="inlineStr">
        <is>
          <t>需要原产地证吗？ Xūyào yuánchǎndì zhèng ma? Có cần giấy chứng nhận xuất xứ không?</t>
        </is>
      </c>
      <c r="F810" s="114">
        <f>HYPERLINK("https://youglish.com/pronounce/需要原产地证吗/chinese","🔍")</f>
        <v/>
      </c>
    </row>
    <row r="811" ht="28.5" customHeight="1" s="99">
      <c r="A811" s="94" t="inlineStr">
        <is>
          <t>PDF Tiếng Trung Đàm Phán Thương Mại _ HỌC BÁ CHINESE.pdf</t>
        </is>
      </c>
      <c r="B811" s="95" t="inlineStr">
        <is>
          <t>164</t>
        </is>
      </c>
      <c r="C811" s="94" t="inlineStr">
        <is>
          <t>海关查货了。</t>
        </is>
      </c>
      <c r="D811" s="94" t="inlineStr">
        <is>
          <t>Hǎiguān cháhuò le. Hải quan đang kiểm tra hàng.</t>
        </is>
      </c>
      <c r="E811" s="94" t="inlineStr">
        <is>
          <t>海关查货了。 Hǎiguān cháhuò le. Hải quan đang kiểm tra hàng.</t>
        </is>
      </c>
      <c r="F811" s="115">
        <f>HYPERLINK("https://youglish.com/pronounce/海关查货了/chinese","🔍")</f>
        <v/>
      </c>
    </row>
    <row r="812" ht="28.5" customHeight="1" s="99">
      <c r="A812" s="92" t="inlineStr">
        <is>
          <t>PDF Tiếng Trung Đàm Phán Thương Mại _ HỌC BÁ CHINESE.pdf</t>
        </is>
      </c>
      <c r="B812" s="93" t="inlineStr">
        <is>
          <t>165</t>
        </is>
      </c>
      <c r="C812" s="92" t="inlineStr">
        <is>
          <t>货被海关扣了。</t>
        </is>
      </c>
      <c r="D812" s="92" t="inlineStr">
        <is>
          <t>Huò bèi hǎiguān kòu le. Hàng bị hải quan giữ lại rồi.</t>
        </is>
      </c>
      <c r="E812" s="92" t="inlineStr">
        <is>
          <t>货被海关扣了。 Huò bèi hǎiguān kòu le. Hàng bị hải quan giữ lại rồi.</t>
        </is>
      </c>
      <c r="F812" s="114">
        <f>HYPERLINK("https://youglish.com/pronounce/货被海关扣了/chinese","🔍")</f>
        <v/>
      </c>
    </row>
    <row r="813" ht="28.5" customHeight="1" s="99">
      <c r="A813" s="94" t="inlineStr">
        <is>
          <t>PDF Tiếng Trung Đàm Phán Thương Mại _ HỌC BÁ CHINESE.pdf</t>
        </is>
      </c>
      <c r="B813" s="95" t="inlineStr">
        <is>
          <t>166</t>
        </is>
      </c>
      <c r="C813" s="94" t="inlineStr">
        <is>
          <t>清关需要多久？</t>
        </is>
      </c>
      <c r="D813" s="94" t="inlineStr">
        <is>
          <t>Qīngguān xūyào duōjiǔ? Thông quan cần bao lâu?</t>
        </is>
      </c>
      <c r="E813" s="94" t="inlineStr">
        <is>
          <t>清关需要多久？ Qīngguān xūyào duōjiǔ? Thông quan cần bao lâu?</t>
        </is>
      </c>
      <c r="F813" s="115">
        <f>HYPERLINK("https://youglish.com/pronounce/清关需要多久/chinese","🔍")</f>
        <v/>
      </c>
    </row>
    <row r="814" ht="28.5" customHeight="1" s="99">
      <c r="A814" s="92" t="inlineStr">
        <is>
          <t>PDF Tiếng Trung Đàm Phán Thương Mại _ HỌC BÁ CHINESE.pdf</t>
        </is>
      </c>
      <c r="B814" s="93" t="inlineStr">
        <is>
          <t>167</t>
        </is>
      </c>
      <c r="C814" s="92" t="inlineStr">
        <is>
          <t>请尽快安排清关。</t>
        </is>
      </c>
      <c r="D814" s="92" t="inlineStr">
        <is>
          <t>Qıňg jıňkuài ānpái qīngguān. Vui lòng sắp xếp thông quan sớm nhất.</t>
        </is>
      </c>
      <c r="E814" s="92" t="inlineStr">
        <is>
          <t>请尽快安排清关。 Qıňg jıňkuài ānpái qīngguān. Vui lòng sắp xếp thông quan sớm nhất.</t>
        </is>
      </c>
      <c r="F814" s="114">
        <f>HYPERLINK("https://youglish.com/pronounce/请尽快安排清关/chinese","🔍")</f>
        <v/>
      </c>
    </row>
    <row r="815" ht="28.5" customHeight="1" s="99">
      <c r="A815" s="94" t="inlineStr">
        <is>
          <t>PDF Tiếng Trung Đàm Phán Thương Mại _ HỌC BÁ CHINESE.pdf</t>
        </is>
      </c>
      <c r="B815" s="95" t="inlineStr">
        <is>
          <t>168</t>
        </is>
      </c>
      <c r="C815" s="94" t="inlineStr">
        <is>
          <t>关税是多少？</t>
        </is>
      </c>
      <c r="D815" s="94" t="inlineStr">
        <is>
          <t>Guānshuì shì duōshao? Thuế hải quan là bao nhiêu?</t>
        </is>
      </c>
      <c r="E815" s="94" t="inlineStr">
        <is>
          <t>关税是多少？ Guānshuì shì duōshao? Thuế hải quan là bao nhiêu?</t>
        </is>
      </c>
      <c r="F815" s="115">
        <f>HYPERLINK("https://youglish.com/pronounce/关税是多少/chinese","🔍")</f>
        <v/>
      </c>
    </row>
    <row r="816" ht="28.5" customHeight="1" s="99">
      <c r="A816" s="92" t="inlineStr">
        <is>
          <t>PDF Tiếng Trung Đàm Phán Thương Mại _ HỌC BÁ CHINESE.pdf</t>
        </is>
      </c>
      <c r="B816" s="93" t="inlineStr">
        <is>
          <t>169</t>
        </is>
      </c>
      <c r="C816" s="92" t="inlineStr">
        <is>
          <t>这个产品能出口吗？</t>
        </is>
      </c>
      <c r="D816" s="92" t="inlineStr">
        <is>
          <t>Zhège chǎnpıň néng chūkǒu ma?</t>
        </is>
      </c>
      <c r="E816" s="92" t="inlineStr">
        <is>
          <t>这个产品能出口吗？ Zhège chǎnpıň néng chūkǒu ma?</t>
        </is>
      </c>
      <c r="F816" s="114">
        <f>HYPERLINK("https://youglish.com/pronounce/这个产品能出口吗/chinese","🔍")</f>
        <v/>
      </c>
    </row>
    <row r="817" ht="28.5" customHeight="1" s="99">
      <c r="A817" s="94" t="inlineStr">
        <is>
          <t>PDF Tiếng Trung Đàm Phán Thương Mại _ HỌC BÁ CHINESE.pdf</t>
        </is>
      </c>
      <c r="B817" s="95" t="inlineStr">
        <is>
          <t>170</t>
        </is>
      </c>
      <c r="C817" s="94" t="inlineStr">
        <is>
          <t>请确认HS编码。</t>
        </is>
      </c>
      <c r="D817" s="94" t="inlineStr">
        <is>
          <t>Qıňg quèrèn HS biānmǎ. Vui lòng xác nhận mã HS.</t>
        </is>
      </c>
      <c r="E817" s="94" t="inlineStr">
        <is>
          <t>请确认HS编码。 Qıňg quèrèn HS biānmǎ. Vui lòng xác nhận mã HS.</t>
        </is>
      </c>
      <c r="F817" s="115">
        <f>HYPERLINK("https://youglish.com/pronounce/请确认编码/chinese","🔍")</f>
        <v/>
      </c>
    </row>
    <row r="818" ht="28.5" customHeight="1" s="99">
      <c r="A818" s="92" t="inlineStr">
        <is>
          <t>PDF Tiếng Trung Đàm Phán Thương Mại _ HỌC BÁ CHINESE.pdf</t>
        </is>
      </c>
      <c r="B818" s="93" t="inlineStr">
        <is>
          <t>171</t>
        </is>
      </c>
      <c r="C818" s="92" t="inlineStr">
        <is>
          <t>文件需要盖章。</t>
        </is>
      </c>
      <c r="D818" s="92" t="inlineStr">
        <is>
          <t>Wénjiàn xūyào gàizhāng. Tài liệu cần đóng dấu.</t>
        </is>
      </c>
      <c r="E818" s="92" t="inlineStr">
        <is>
          <t>文件需要盖章。 Wénjiàn xūyào gàizhāng. Tài liệu cần đóng dấu.</t>
        </is>
      </c>
      <c r="F818" s="114">
        <f>HYPERLINK("https://youglish.com/pronounce/文件需要盖章/chinese","🔍")</f>
        <v/>
      </c>
    </row>
    <row r="819" ht="28.5" customHeight="1" s="99">
      <c r="A819" s="94" t="inlineStr">
        <is>
          <t>PDF Tiếng Trung Đàm Phán Thương Mại _ HỌC BÁ CHINESE.pdf</t>
        </is>
      </c>
      <c r="B819" s="95" t="inlineStr">
        <is>
          <t>172</t>
        </is>
      </c>
      <c r="C819" s="94" t="inlineStr">
        <is>
          <t>订单现在做到哪一步了？</t>
        </is>
      </c>
      <c r="D819" s="94" t="inlineStr">
        <is>
          <t>Dìngdān xiànzài zuò dào nǎ yíbù le?</t>
        </is>
      </c>
      <c r="E819" s="94" t="inlineStr">
        <is>
          <t>订单现在做到哪一步了？ Dìngdān xiànzài zuò dào nǎ yíbù le?</t>
        </is>
      </c>
      <c r="F819" s="115">
        <f>HYPERLINK("https://youglish.com/pronounce/订单现在做到哪一步了/chinese","🔍")</f>
        <v/>
      </c>
    </row>
    <row r="820" ht="28.5" customHeight="1" s="99">
      <c r="A820" s="92" t="inlineStr">
        <is>
          <t>PDF Tiếng Trung Đàm Phán Thương Mại _ HỌC BÁ CHINESE.pdf</t>
        </is>
      </c>
      <c r="B820" s="93" t="inlineStr">
        <is>
          <t>173</t>
        </is>
      </c>
      <c r="C820" s="92" t="inlineStr">
        <is>
          <t>客户一直在催。</t>
        </is>
      </c>
      <c r="D820" s="92" t="inlineStr">
        <is>
          <t>Kèhù yìzhí zài cuī. Khách đang thúc liên tục.</t>
        </is>
      </c>
      <c r="E820" s="92" t="inlineStr">
        <is>
          <t>客户一直在催。 Kèhù yìzhí zài cuī. Khách đang thúc liên tục.</t>
        </is>
      </c>
      <c r="F820" s="114">
        <f>HYPERLINK("https://youglish.com/pronounce/客户一直在催/chinese","🔍")</f>
        <v/>
      </c>
    </row>
    <row r="821" ht="28.5" customHeight="1" s="99">
      <c r="A821" s="94" t="inlineStr">
        <is>
          <t>PDF Tiếng Trung Đàm Phán Thương Mại _ HỌC BÁ CHINESE.pdf</t>
        </is>
      </c>
      <c r="B821" s="95" t="inlineStr">
        <is>
          <t>174</t>
        </is>
      </c>
      <c r="C821" s="94" t="inlineStr">
        <is>
          <t>请尽快回复我。</t>
        </is>
      </c>
      <c r="D821" s="94" t="inlineStr">
        <is>
          <t>Qıňg jıňkuài huífù wǒ. Vui lòng trả lời tôi sớm nhất.</t>
        </is>
      </c>
      <c r="E821" s="94" t="inlineStr">
        <is>
          <t>请尽快回复我。 Qıňg jıňkuài huífù wǒ. Vui lòng trả lời tôi sớm nhất.</t>
        </is>
      </c>
      <c r="F821" s="115">
        <f>HYPERLINK("https://youglish.com/pronounce/请尽快回复我/chinese","🔍")</f>
        <v/>
      </c>
    </row>
    <row r="822" ht="28.5" customHeight="1" s="99">
      <c r="A822" s="92" t="inlineStr">
        <is>
          <t>PDF Tiếng Trung Đàm Phán Thương Mại _ HỌC BÁ CHINESE.pdf</t>
        </is>
      </c>
      <c r="B822" s="93" t="inlineStr">
        <is>
          <t>175</t>
        </is>
      </c>
      <c r="C822" s="92" t="inlineStr">
        <is>
          <t>为什么这么慢？</t>
        </is>
      </c>
      <c r="D822" s="92" t="inlineStr">
        <is>
          <t>Wèishénme zhème màn? Sao chậm vậy?</t>
        </is>
      </c>
      <c r="E822" s="92" t="inlineStr">
        <is>
          <t>为什么这么慢？ Wèishénme zhème màn? Sao chậm vậy?</t>
        </is>
      </c>
      <c r="F822" s="114">
        <f>HYPERLINK("https://youglish.com/pronounce/为什么这么慢/chinese","🔍")</f>
        <v/>
      </c>
    </row>
    <row r="823" ht="28.5" customHeight="1" s="99">
      <c r="A823" s="94" t="inlineStr">
        <is>
          <t>PDF Tiếng Trung Đàm Phán Thương Mại _ HỌC BÁ CHINESE.pdf</t>
        </is>
      </c>
      <c r="B823" s="95" t="inlineStr">
        <is>
          <t>176</t>
        </is>
      </c>
      <c r="C823" s="94" t="inlineStr">
        <is>
          <t>还能按时完成吗？</t>
        </is>
      </c>
      <c r="D823" s="94" t="inlineStr">
        <is>
          <t>Hái néng ànshí wánchéng ma? Vẫn có thể hoàn thành đúng hạn không?</t>
        </is>
      </c>
      <c r="E823" s="94" t="inlineStr">
        <is>
          <t>还能按时完成吗？ Hái néng ànshí wánchéng ma? Vẫn có thể hoàn thành đúng hạn không?</t>
        </is>
      </c>
      <c r="F823" s="115">
        <f>HYPERLINK("https://youglish.com/pronounce/还能按时完成吗/chinese","🔍")</f>
        <v/>
      </c>
    </row>
    <row r="824" ht="28.5" customHeight="1" s="99">
      <c r="A824" s="92" t="inlineStr">
        <is>
          <t>PDF Tiếng Trung Đàm Phán Thương Mại _ HỌC BÁ CHINESE.pdf</t>
        </is>
      </c>
      <c r="B824" s="93" t="inlineStr">
        <is>
          <t>177</t>
        </is>
      </c>
      <c r="C824" s="92" t="inlineStr">
        <is>
          <t>我们真的很着急。</t>
        </is>
      </c>
      <c r="D824" s="92" t="inlineStr">
        <is>
          <t>Wǒmen zhēnde hěn zháojí. Chúng tôi thực sự rất gấp.</t>
        </is>
      </c>
      <c r="E824" s="92" t="inlineStr">
        <is>
          <t>我们真的很着急。 Wǒmen zhēnde hěn zháojí. Chúng tôi thực sự rất gấp.</t>
        </is>
      </c>
      <c r="F824" s="114">
        <f>HYPERLINK("https://youglish.com/pronounce/我们真的很着急/chinese","🔍")</f>
        <v/>
      </c>
    </row>
    <row r="825" ht="28.5" customHeight="1" s="99">
      <c r="A825" s="94" t="inlineStr">
        <is>
          <t>PDF Tiếng Trung Đàm Phán Thương Mại _ HỌC BÁ CHINESE.pdf</t>
        </is>
      </c>
      <c r="B825" s="95" t="inlineStr">
        <is>
          <t>178</t>
        </is>
      </c>
      <c r="C825" s="94" t="inlineStr">
        <is>
          <t>今天一定要发货。</t>
        </is>
      </c>
      <c r="D825" s="94" t="inlineStr">
        <is>
          <t>Jīntiān yídìng yào fāhuò. Hôm nay nhất định phải gửi hàng.</t>
        </is>
      </c>
      <c r="E825" s="94" t="inlineStr">
        <is>
          <t>今天一定要发货。 Jīntiān yídìng yào fāhuò. Hôm nay nhất định phải gửi hàng.</t>
        </is>
      </c>
      <c r="F825" s="115">
        <f>HYPERLINK("https://youglish.com/pronounce/今天一定要发货/chinese","🔍")</f>
        <v/>
      </c>
    </row>
    <row r="826" ht="28.5" customHeight="1" s="99">
      <c r="A826" s="92" t="inlineStr">
        <is>
          <t>PDF Tiếng Trung Đàm Phán Thương Mại _ HỌC BÁ CHINESE.pdf</t>
        </is>
      </c>
      <c r="B826" s="93" t="inlineStr">
        <is>
          <t>179</t>
        </is>
      </c>
      <c r="C826" s="92" t="inlineStr">
        <is>
          <t>请不要再拖了。</t>
        </is>
      </c>
      <c r="D826" s="92" t="inlineStr">
        <is>
          <t>Qıňg búyào zài tuō le. Vui lòng đừng kéo dài nữa.</t>
        </is>
      </c>
      <c r="E826" s="92" t="inlineStr">
        <is>
          <t>请不要再拖了。 Qıňg búyào zài tuō le. Vui lòng đừng kéo dài nữa.</t>
        </is>
      </c>
      <c r="F826" s="114">
        <f>HYPERLINK("https://youglish.com/pronounce/请不要再拖了/chinese","🔍")</f>
        <v/>
      </c>
    </row>
    <row r="827" ht="28.5" customHeight="1" s="99">
      <c r="A827" s="94" t="inlineStr">
        <is>
          <t>PDF Tiếng Trung Đàm Phán Thương Mại _ HỌC BÁ CHINESE.pdf</t>
        </is>
      </c>
      <c r="B827" s="95" t="inlineStr">
        <is>
          <t>180</t>
        </is>
      </c>
      <c r="C827" s="94" t="inlineStr">
        <is>
          <t>能不能快一点？</t>
        </is>
      </c>
      <c r="D827" s="94" t="inlineStr">
        <is>
          <t>Néng bu néng kuài yìdiǎn? Có thể nhanh hơn chút không?</t>
        </is>
      </c>
      <c r="E827" s="94" t="inlineStr">
        <is>
          <t>能不能快一点？ Néng bu néng kuài yìdiǎn? Có thể nhanh hơn chút không?</t>
        </is>
      </c>
      <c r="F827" s="115">
        <f>HYPERLINK("https://youglish.com/pronounce/能不能快一点/chinese","🔍")</f>
        <v/>
      </c>
    </row>
    <row r="828" ht="28.5" customHeight="1" s="99">
      <c r="A828" s="92" t="inlineStr">
        <is>
          <t>PDF Tiếng Trung Đàm Phán Thương Mại _ HỌC BÁ CHINESE.pdf</t>
        </is>
      </c>
      <c r="B828" s="93" t="inlineStr">
        <is>
          <t>181</t>
        </is>
      </c>
      <c r="C828" s="92" t="inlineStr">
        <is>
          <t>请优先处理。</t>
        </is>
      </c>
      <c r="D828" s="92" t="inlineStr">
        <is>
          <t>Qıňg yōuxiān chǔlı.̌ Vui lòng ưu tiên xử lý.</t>
        </is>
      </c>
      <c r="E828" s="92" t="inlineStr">
        <is>
          <t>请优先处理。 Qıňg yōuxiān chǔlı.̌ Vui lòng ưu tiên xử lý.</t>
        </is>
      </c>
      <c r="F828" s="114">
        <f>HYPERLINK("https://youglish.com/pronounce/请优先处理/chinese","🔍")</f>
        <v/>
      </c>
    </row>
    <row r="829" ht="28.5" customHeight="1" s="99">
      <c r="A829" s="94" t="inlineStr">
        <is>
          <t>PDF Tiếng Trung Đàm Phán Thương Mại _ HỌC BÁ CHINESE.pdf</t>
        </is>
      </c>
      <c r="B829" s="95" t="inlineStr">
        <is>
          <t>182</t>
        </is>
      </c>
      <c r="C829" s="94" t="inlineStr">
        <is>
          <t>已经延迟很多天了。</t>
        </is>
      </c>
      <c r="D829" s="94" t="inlineStr">
        <is>
          <t>Yıǰīng yánchí hěn duō tiān le. Đã chậm rất nhiều ngày rồi.</t>
        </is>
      </c>
      <c r="E829" s="94" t="inlineStr">
        <is>
          <t>已经延迟很多天了。 Yıǰīng yánchí hěn duō tiān le. Đã chậm rất nhiều ngày rồi.</t>
        </is>
      </c>
      <c r="F829" s="115">
        <f>HYPERLINK("https://youglish.com/pronounce/已经延迟很多天了/chinese","🔍")</f>
        <v/>
      </c>
    </row>
    <row r="830" ht="28.5" customHeight="1" s="99">
      <c r="A830" s="92" t="inlineStr">
        <is>
          <t>PDF Tiếng Trung Đàm Phán Thương Mại _ HỌC BÁ CHINESE.pdf</t>
        </is>
      </c>
      <c r="B830" s="93" t="inlineStr">
        <is>
          <t>183</t>
        </is>
      </c>
      <c r="C830" s="92" t="inlineStr">
        <is>
          <t>请给我准确时间。</t>
        </is>
      </c>
      <c r="D830" s="92" t="inlineStr">
        <is>
          <t>Qıňg gěi wǒ zhǔnquè shíjiān. Vui lòng cho tôi thời gian chính xác.</t>
        </is>
      </c>
      <c r="E830" s="92" t="inlineStr">
        <is>
          <t>请给我准确时间。 Qıňg gěi wǒ zhǔnquè shíjiān. Vui lòng cho tôi thời gian chính xác.</t>
        </is>
      </c>
      <c r="F830" s="114">
        <f>HYPERLINK("https://youglish.com/pronounce/请给我准确时间/chinese","🔍")</f>
        <v/>
      </c>
    </row>
    <row r="831" ht="28.5" customHeight="1" s="99">
      <c r="A831" s="94" t="inlineStr">
        <is>
          <t>PDF Tiếng Trung Đàm Phán Thương Mại _ HỌC BÁ CHINESE.pdf</t>
        </is>
      </c>
      <c r="B831" s="95" t="inlineStr">
        <is>
          <t>184</t>
        </is>
      </c>
      <c r="C831" s="94" t="inlineStr">
        <is>
          <t>今天必须确认。</t>
        </is>
      </c>
      <c r="D831" s="94" t="inlineStr">
        <is>
          <t>Jīntiān bìxū quèrèn. Hôm nay bắt buộc phải xác nhận.</t>
        </is>
      </c>
      <c r="E831" s="94" t="inlineStr">
        <is>
          <t>今天必须确认。 Jīntiān bìxū quèrèn. Hôm nay bắt buộc phải xác nhận.</t>
        </is>
      </c>
      <c r="F831" s="115">
        <f>HYPERLINK("https://youglish.com/pronounce/今天必须确认/chinese","🔍")</f>
        <v/>
      </c>
    </row>
    <row r="832" ht="28.5" customHeight="1" s="99">
      <c r="A832" s="92" t="inlineStr">
        <is>
          <t>PDF Tiếng Trung Đàm Phán Thương Mại _ HỌC BÁ CHINESE.pdf</t>
        </is>
      </c>
      <c r="B832" s="93" t="inlineStr">
        <is>
          <t>185</t>
        </is>
      </c>
      <c r="C832" s="92" t="inlineStr">
        <is>
          <t>客户等不了太久。</t>
        </is>
      </c>
      <c r="D832" s="92" t="inlineStr">
        <is>
          <t>Kèhù děng bu liǎo tài jiǔ. Khách không thể đợi quá lâu.</t>
        </is>
      </c>
      <c r="E832" s="92" t="inlineStr">
        <is>
          <t>客户等不了太久。 Kèhù děng bu liǎo tài jiǔ. Khách không thể đợi quá lâu.</t>
        </is>
      </c>
      <c r="F832" s="114">
        <f>HYPERLINK("https://youglish.com/pronounce/客户等不了太久/chinese","🔍")</f>
        <v/>
      </c>
    </row>
    <row r="833" ht="28.5" customHeight="1" s="99">
      <c r="A833" s="94" t="inlineStr">
        <is>
          <t>PDF Tiếng Trung Đàm Phán Thương Mại _ HỌC BÁ CHINESE.pdf</t>
        </is>
      </c>
      <c r="B833" s="95" t="inlineStr">
        <is>
          <t>186</t>
        </is>
      </c>
      <c r="C833" s="94" t="inlineStr">
        <is>
          <t>这个价格真的太高了。</t>
        </is>
      </c>
      <c r="D833" s="94" t="inlineStr">
        <is>
          <t>Zhège jiàgé zhēnde tài gāo le. Giá này thực sự quá cao.</t>
        </is>
      </c>
      <c r="E833" s="94" t="inlineStr">
        <is>
          <t>这个价格真的太高了。 Zhège jiàgé zhēnde tài gāo le. Giá này thực sự quá cao.</t>
        </is>
      </c>
      <c r="F833" s="115">
        <f>HYPERLINK("https://youglish.com/pronounce/这个价格真的太高了/chinese","🔍")</f>
        <v/>
      </c>
    </row>
    <row r="834" ht="28.5" customHeight="1" s="99">
      <c r="A834" s="92" t="inlineStr">
        <is>
          <t>PDF Tiếng Trung Đàm Phán Thương Mại _ HỌC BÁ CHINESE.pdf</t>
        </is>
      </c>
      <c r="B834" s="93" t="inlineStr">
        <is>
          <t>187</t>
        </is>
      </c>
      <c r="C834" s="92" t="inlineStr">
        <is>
          <t>我们做不了。</t>
        </is>
      </c>
      <c r="D834" s="92" t="inlineStr">
        <is>
          <t>Wǒmen zuò bù liǎo. Chúng tôi không làm được mức này.</t>
        </is>
      </c>
      <c r="E834" s="92" t="inlineStr">
        <is>
          <t>我们做不了。 Wǒmen zuò bù liǎo. Chúng tôi không làm được mức này.</t>
        </is>
      </c>
      <c r="F834" s="114">
        <f>HYPERLINK("https://youglish.com/pronounce/我们做不了/chinese","🔍")</f>
        <v/>
      </c>
    </row>
    <row r="835" ht="28.5" customHeight="1" s="99">
      <c r="A835" s="94" t="inlineStr">
        <is>
          <t>PDF Tiếng Trung Đàm Phán Thương Mại _ HỌC BÁ CHINESE.pdf</t>
        </is>
      </c>
      <c r="B835" s="95" t="inlineStr">
        <is>
          <t>188</t>
        </is>
      </c>
      <c r="C835" s="94" t="inlineStr">
        <is>
          <t>客户不会接受这个价格。</t>
        </is>
      </c>
      <c r="D835" s="94" t="inlineStr">
        <is>
          <t>Kèhù bú huì jiēshòu zhège jiàgé.</t>
        </is>
      </c>
      <c r="E835" s="94" t="inlineStr">
        <is>
          <t>客户不会接受这个价格。 Kèhù bú huì jiēshòu zhège jiàgé.</t>
        </is>
      </c>
      <c r="F835" s="115">
        <f>HYPERLINK("https://youglish.com/pronounce/客户不会接受这个价格/chinese","🔍")</f>
        <v/>
      </c>
    </row>
    <row r="836" ht="28.5" customHeight="1" s="99">
      <c r="A836" s="92" t="inlineStr">
        <is>
          <t>PDF Tiếng Trung Đàm Phán Thương Mại _ HỌC BÁ CHINESE.pdf</t>
        </is>
      </c>
      <c r="B836" s="93" t="inlineStr">
        <is>
          <t>189</t>
        </is>
      </c>
      <c r="C836" s="92" t="inlineStr">
        <is>
          <t>再便宜一点吧。</t>
        </is>
      </c>
      <c r="D836" s="92" t="inlineStr">
        <is>
          <t>Zài piányi yìdiǎn ba. Giảm thêm chút đi mà.</t>
        </is>
      </c>
      <c r="E836" s="92" t="inlineStr">
        <is>
          <t>再便宜一点吧。 Zài piányi yìdiǎn ba. Giảm thêm chút đi mà.</t>
        </is>
      </c>
      <c r="F836" s="114">
        <f>HYPERLINK("https://youglish.com/pronounce/再便宜一点吧/chinese","🔍")</f>
        <v/>
      </c>
    </row>
    <row r="837" ht="28.5" customHeight="1" s="99">
      <c r="A837" s="94" t="inlineStr">
        <is>
          <t>PDF Tiếng Trung Đàm Phán Thương Mại _ HỌC BÁ CHINESE.pdf</t>
        </is>
      </c>
      <c r="B837" s="95" t="inlineStr">
        <is>
          <t>190</t>
        </is>
      </c>
      <c r="C837" s="94" t="inlineStr">
        <is>
          <t>我们是真心想合作。</t>
        </is>
      </c>
      <c r="D837" s="94" t="inlineStr">
        <is>
          <t>Wǒmen shì zhēnxīn xiǎng hézuò.</t>
        </is>
      </c>
      <c r="E837" s="94" t="inlineStr">
        <is>
          <t>我们是真心想合作。 Wǒmen shì zhēnxīn xiǎng hézuò.</t>
        </is>
      </c>
      <c r="F837" s="115">
        <f>HYPERLINK("https://youglish.com/pronounce/我们是真心想合作/chinese","🔍")</f>
        <v/>
      </c>
    </row>
    <row r="838" ht="28.5" customHeight="1" s="99">
      <c r="A838" s="92" t="inlineStr">
        <is>
          <t>PDF Tiếng Trung Đàm Phán Thương Mại _ HỌC BÁ CHINESE.pdf</t>
        </is>
      </c>
      <c r="B838" s="93" t="inlineStr">
        <is>
          <t>191</t>
        </is>
      </c>
      <c r="C838" s="92" t="inlineStr">
        <is>
          <t>先给我们支持一下。</t>
        </is>
      </c>
      <c r="D838" s="92" t="inlineStr">
        <is>
          <t>Xiān gěi wǒmen zhīchí yíxià. Trước mắt hỗ trợ chúng tôi chút nhé.</t>
        </is>
      </c>
      <c r="E838" s="92" t="inlineStr">
        <is>
          <t>先给我们支持一下。 Xiān gěi wǒmen zhīchí yíxià. Trước mắt hỗ trợ chúng tôi chút nhé.</t>
        </is>
      </c>
      <c r="F838" s="114">
        <f>HYPERLINK("https://youglish.com/pronounce/先给我们支持一下/chinese","🔍")</f>
        <v/>
      </c>
    </row>
    <row r="839" ht="28.5" customHeight="1" s="99">
      <c r="A839" s="94" t="inlineStr">
        <is>
          <t>PDF Tiếng Trung Đàm Phán Thương Mại _ HỌC BÁ CHINESE.pdf</t>
        </is>
      </c>
      <c r="B839" s="95" t="inlineStr">
        <is>
          <t>192</t>
        </is>
      </c>
      <c r="C839" s="94" t="inlineStr">
        <is>
          <t>以后订单会越来越大。</t>
        </is>
      </c>
      <c r="D839" s="94" t="inlineStr">
        <is>
          <t>Yıȟòu dìngdān huì yuèláiyuè dà. Sau này đơn hàng sẽ càng ngày càng lớn.</t>
        </is>
      </c>
      <c r="E839" s="94" t="inlineStr">
        <is>
          <t>以后订单会越来越大。 Yıȟòu dìngdān huì yuèláiyuè dà. Sau này đơn hàng sẽ càng ngày càng lớn.</t>
        </is>
      </c>
      <c r="F839" s="115">
        <f>HYPERLINK("https://youglish.com/pronounce/以后订单会越来越大/chinese","🔍")</f>
        <v/>
      </c>
    </row>
    <row r="840" ht="28.5" customHeight="1" s="99">
      <c r="A840" s="92" t="inlineStr">
        <is>
          <t>PDF Tiếng Trung Đàm Phán Thương Mại _ HỌC BÁ CHINESE.pdf</t>
        </is>
      </c>
      <c r="B840" s="93" t="inlineStr">
        <is>
          <t>193</t>
        </is>
      </c>
      <c r="C840" s="92" t="inlineStr">
        <is>
          <t>薄利多销。</t>
        </is>
      </c>
      <c r="D840" s="92" t="inlineStr">
        <is>
          <t>Bólì duōxiāo. Lãi ít bán nhiều.</t>
        </is>
      </c>
      <c r="E840" s="92" t="inlineStr">
        <is>
          <t>薄利多销。 Bólì duōxiāo. Lãi ít bán nhiều.</t>
        </is>
      </c>
      <c r="F840" s="114">
        <f>HYPERLINK("https://youglish.com/pronounce/薄利多销/chinese","🔍")</f>
        <v/>
      </c>
    </row>
    <row r="841" ht="28.5" customHeight="1" s="99">
      <c r="A841" s="94" t="inlineStr">
        <is>
          <t>PDF Tiếng Trung Đàm Phán Thương Mại _ HỌC BÁ CHINESE.pdf</t>
        </is>
      </c>
      <c r="B841" s="95" t="inlineStr">
        <is>
          <t>194</t>
        </is>
      </c>
      <c r="C841" s="94" t="inlineStr">
        <is>
          <t>我们不是只做一次。</t>
        </is>
      </c>
      <c r="D841" s="94" t="inlineStr">
        <is>
          <t>Wǒmen bú shì zhı ̌zuò yí cì. Chúng tôi không chỉ làm một lần.</t>
        </is>
      </c>
      <c r="E841" s="94" t="inlineStr">
        <is>
          <t>我们不是只做一次。 Wǒmen bú shì zhı ̌zuò yí cì. Chúng tôi không chỉ làm một lần.</t>
        </is>
      </c>
      <c r="F841" s="115">
        <f>HYPERLINK("https://youglish.com/pronounce/我们不是只做一次/chinese","🔍")</f>
        <v/>
      </c>
    </row>
    <row r="842" ht="28.5" customHeight="1" s="99">
      <c r="A842" s="92" t="inlineStr">
        <is>
          <t>PDF Tiếng Trung Đàm Phán Thương Mại _ HỌC BÁ CHINESE.pdf</t>
        </is>
      </c>
      <c r="B842" s="93" t="inlineStr">
        <is>
          <t>195</t>
        </is>
      </c>
      <c r="C842" s="92" t="inlineStr">
        <is>
          <t>价格合适的话，我们马上</t>
        </is>
      </c>
      <c r="D842" s="92" t="n"/>
      <c r="E842" s="92" t="inlineStr">
        <is>
          <t>价格合适的话，我们马上</t>
        </is>
      </c>
      <c r="F842" s="114">
        <f>HYPERLINK("https://youglish.com/pronounce/价格合适的话我们马上/chinese","🔍")</f>
        <v/>
      </c>
    </row>
    <row r="843" ht="28.5" customHeight="1" s="99">
      <c r="A843" s="94" t="inlineStr">
        <is>
          <t>PDF Tiếng Trung Đàm Phán Thương Mại _ HỌC BÁ CHINESE.pdf</t>
        </is>
      </c>
      <c r="B843" s="95" t="inlineStr">
        <is>
          <t>196</t>
        </is>
      </c>
      <c r="C843" s="94" t="inlineStr">
        <is>
          <t>下单。</t>
        </is>
      </c>
      <c r="D843" s="94" t="inlineStr">
        <is>
          <t>Jiàgé héshì de huà, wǒmen mǎshàng xiàdān. Nếu giá hợp lý, chúng tôi sẽ đặt hàng ngay.</t>
        </is>
      </c>
      <c r="E843" s="94" t="inlineStr">
        <is>
          <t>下单。 Jiàgé héshì de huà, wǒmen mǎshàng xiàdān. Nếu giá hợp lý, chúng tôi sẽ đặt hàng ngay.</t>
        </is>
      </c>
      <c r="F843" s="115">
        <f>HYPERLINK("https://youglish.com/pronounce/下单/chinese","🔍")</f>
        <v/>
      </c>
    </row>
    <row r="844" ht="28.5" customHeight="1" s="99">
      <c r="A844" s="92" t="inlineStr">
        <is>
          <t>PDF Tiếng Trung Đàm Phán Thương Mại _ HỌC BÁ CHINESE.pdf</t>
        </is>
      </c>
      <c r="B844" s="93" t="inlineStr">
        <is>
          <t>197</t>
        </is>
      </c>
      <c r="C844" s="92" t="inlineStr">
        <is>
          <t>可以给老客户价格吗？</t>
        </is>
      </c>
      <c r="D844" s="92" t="inlineStr">
        <is>
          <t>Kěyı ̌gěi lǎokèhù jiàgé ma? Có thể cho giá khách quen không?</t>
        </is>
      </c>
      <c r="E844" s="92" t="inlineStr">
        <is>
          <t>可以给老客户价格吗？ Kěyı ̌gěi lǎokèhù jiàgé ma? Có thể cho giá khách quen không?</t>
        </is>
      </c>
      <c r="F844" s="114">
        <f>HYPERLINK("https://youglish.com/pronounce/可以给老客户价格吗/chinese","🔍")</f>
        <v/>
      </c>
    </row>
    <row r="845" ht="28.5" customHeight="1" s="99">
      <c r="A845" s="94" t="inlineStr">
        <is>
          <t>PDF Tiếng Trung Đàm Phán Thương Mại _ HỌC BÁ CHINESE.pdf</t>
        </is>
      </c>
      <c r="B845" s="95" t="inlineStr">
        <is>
          <t>198</t>
        </is>
      </c>
      <c r="C845" s="94" t="inlineStr">
        <is>
          <t>别的工厂价格更低。</t>
        </is>
      </c>
      <c r="D845" s="94" t="inlineStr">
        <is>
          <t>Bié de gōngchǎng jiàgé gèng dī.</t>
        </is>
      </c>
      <c r="E845" s="94" t="inlineStr">
        <is>
          <t>别的工厂价格更低。 Bié de gōngchǎng jiàgé gèng dī.</t>
        </is>
      </c>
      <c r="F845" s="115">
        <f>HYPERLINK("https://youglish.com/pronounce/别的工厂价格更低/chinese","🔍")</f>
        <v/>
      </c>
    </row>
    <row r="846" ht="28.5" customHeight="1" s="99">
      <c r="A846" s="92" t="inlineStr">
        <is>
          <t>PDF Tiếng Trung Đàm Phán Thương Mại _ HỌC BÁ CHINESE.pdf</t>
        </is>
      </c>
      <c r="B846" s="93" t="inlineStr">
        <is>
          <t>199</t>
        </is>
      </c>
      <c r="C846" s="92" t="inlineStr">
        <is>
          <t>我们还在比较。</t>
        </is>
      </c>
      <c r="D846" s="92" t="inlineStr">
        <is>
          <t>Wǒmen hái zài bıǰiào. Chúng tôi vẫn đang so sánh.</t>
        </is>
      </c>
      <c r="E846" s="92" t="inlineStr">
        <is>
          <t>我们还在比较。 Wǒmen hái zài bıǰiào. Chúng tôi vẫn đang so sánh.</t>
        </is>
      </c>
      <c r="F846" s="114">
        <f>HYPERLINK("https://youglish.com/pronounce/我们还在比较/chinese","🔍")</f>
        <v/>
      </c>
    </row>
    <row r="847" ht="28.5" customHeight="1" s="99">
      <c r="A847" s="94" t="inlineStr">
        <is>
          <t>PDF Tiếng Trung Đàm Phán Thương Mại _ HỌC BÁ CHINESE.pdf</t>
        </is>
      </c>
      <c r="B847" s="95" t="inlineStr">
        <is>
          <t>200</t>
        </is>
      </c>
      <c r="C847" s="94" t="inlineStr">
        <is>
          <t>希望你们拿出诚意。</t>
        </is>
      </c>
      <c r="D847" s="94" t="inlineStr">
        <is>
          <t>Xīwàng nım̌en názū chéngyì. Hy vọng bên bạn thể hiện thiện chí.</t>
        </is>
      </c>
      <c r="E847" s="94" t="inlineStr">
        <is>
          <t>希望你们拿出诚意。 Xīwàng nım̌en názū chéngyì. Hy vọng bên bạn thể hiện thiện chí.</t>
        </is>
      </c>
      <c r="F847" s="115">
        <f>HYPERLINK("https://youglish.com/pronounce/希望你们拿出诚意/chinese","🔍")</f>
        <v/>
      </c>
    </row>
    <row r="848" ht="28.5" customHeight="1" s="99">
      <c r="A848" s="92" t="inlineStr">
        <is>
          <t>PDF Tiếng Trung Đàm Phán Thương Mại _ HỌC BÁ CHINESE.pdf</t>
        </is>
      </c>
      <c r="B848" s="93" t="inlineStr">
        <is>
          <t>201</t>
        </is>
      </c>
      <c r="C848" s="92" t="inlineStr">
        <is>
          <t>合作愉快最重要。</t>
        </is>
      </c>
      <c r="D848" s="92" t="inlineStr">
        <is>
          <t>Hézuò yúkuài zuì zhòngyào. Hợp tác vui vẻ là quan trọng nhất.</t>
        </is>
      </c>
      <c r="E848" s="92" t="inlineStr">
        <is>
          <t>合作愉快最重要。 Hézuò yúkuài zuì zhòngyào. Hợp tác vui vẻ là quan trọng nhất.</t>
        </is>
      </c>
      <c r="F848" s="114">
        <f>HYPERLINK("https://youglish.com/pronounce/合作愉快最重要/chinese","🔍")</f>
        <v/>
      </c>
    </row>
    <row r="849" ht="28.5" customHeight="1" s="99">
      <c r="A849" s="94" t="inlineStr">
        <is>
          <t>PDF Tiếng Trung Đàm Phán Thương Mại _ HỌC BÁ CHINESE.pdf</t>
        </is>
      </c>
      <c r="B849" s="95" t="inlineStr">
        <is>
          <t>202</t>
        </is>
      </c>
      <c r="C849" s="94" t="inlineStr">
        <is>
          <t>辛苦了。</t>
        </is>
      </c>
      <c r="D849" s="94" t="inlineStr">
        <is>
          <t>Xīnkǔ le. Vất vả rồi nhé.</t>
        </is>
      </c>
      <c r="E849" s="94" t="inlineStr">
        <is>
          <t>辛苦了。 Xīnkǔ le. Vất vả rồi nhé.</t>
        </is>
      </c>
      <c r="F849" s="115">
        <f>HYPERLINK("https://youglish.com/pronounce/辛苦了/chinese","🔍")</f>
        <v/>
      </c>
    </row>
    <row r="850" ht="28.5" customHeight="1" s="99">
      <c r="A850" s="92" t="inlineStr">
        <is>
          <t>PDF_Tiếng trung Full BỘ BCT.pdf</t>
        </is>
      </c>
      <c r="B850" s="93" t="inlineStr">
        <is>
          <t>1</t>
        </is>
      </c>
      <c r="C850" s="92" t="inlineStr">
        <is>
          <t>生产物料控制</t>
        </is>
      </c>
      <c r="D850" s="92" t="inlineStr">
        <is>
          <t>Shēngchǎn Wùliào Kòngzhì) - Production Material Control - Quản lý Vật liệu Sản xuất</t>
        </is>
      </c>
      <c r="E850" s="92" t="inlineStr">
        <is>
          <t>1. 生产物料控制 (Shēngchǎn Wùliào Kòngzhì) - Production Material Control - Quản lý Vật liệu Sản xuất</t>
        </is>
      </c>
      <c r="F850" s="114">
        <f>HYPERLINK("https://youglish.com/pronounce/生产物料控制/chinese","🔍")</f>
        <v/>
      </c>
    </row>
    <row r="851" ht="28.5" customHeight="1" s="99">
      <c r="A851" s="94" t="inlineStr">
        <is>
          <t>PDF_Tiếng trung Full BỘ BCT.pdf</t>
        </is>
      </c>
      <c r="B851" s="95" t="inlineStr">
        <is>
          <t>2</t>
        </is>
      </c>
      <c r="C851" s="94" t="inlineStr">
        <is>
          <t>物料需求计划</t>
        </is>
      </c>
      <c r="D851" s="94" t="inlineStr">
        <is>
          <t>Wùliào Xūqiú Jìhuà) - Material Requirements Planning (MRP) - Kế hoạch Yêu cầu Vật liệu</t>
        </is>
      </c>
      <c r="E851" s="94" t="inlineStr">
        <is>
          <t>2. 物料需求计划 (Wùliào Xūqiú Jìhuà) - Material Requirements Planning (MRP) - Kế hoạch Yêu cầu Vật liệu</t>
        </is>
      </c>
      <c r="F851" s="115">
        <f>HYPERLINK("https://youglish.com/pronounce/物料需求计划/chinese","🔍")</f>
        <v/>
      </c>
    </row>
    <row r="852">
      <c r="A852" s="92" t="inlineStr">
        <is>
          <t>PDF_Tiếng trung Full BỘ BCT.pdf</t>
        </is>
      </c>
      <c r="B852" s="93" t="inlineStr">
        <is>
          <t>3</t>
        </is>
      </c>
      <c r="C852" s="92" t="inlineStr">
        <is>
          <t>物料管理</t>
        </is>
      </c>
      <c r="D852" s="92" t="inlineStr">
        <is>
          <t>Wùliào Guǎnlǐ) - Material Management - Quản lý Vật liệu</t>
        </is>
      </c>
      <c r="E852" s="92" t="inlineStr">
        <is>
          <t>3. 物料管理 (Wùliào Guǎnlǐ) - Material Management - Quản lý Vật liệu</t>
        </is>
      </c>
      <c r="F852" s="114">
        <f>HYPERLINK("https://youglish.com/pronounce/物料管理/chinese","🔍")</f>
        <v/>
      </c>
    </row>
    <row r="853" ht="28.5" customHeight="1" s="99">
      <c r="A853" s="94" t="inlineStr">
        <is>
          <t>PDF_Tiếng trung Full BỘ BCT.pdf</t>
        </is>
      </c>
      <c r="B853" s="95" t="inlineStr">
        <is>
          <t>4</t>
        </is>
      </c>
      <c r="C853" s="94" t="inlineStr">
        <is>
          <t>供应链管理</t>
        </is>
      </c>
      <c r="D853" s="94" t="inlineStr">
        <is>
          <t>Gōngyìngliàn Guǎnlǐ) - Supply Chain Management - Quản lý Chuỗi cung ứng</t>
        </is>
      </c>
      <c r="E853" s="94" t="inlineStr">
        <is>
          <t>4. 供应链管理 (Gōngyìngliàn Guǎnlǐ) - Supply Chain Management - Quản lý Chuỗi cung ứng</t>
        </is>
      </c>
      <c r="F853" s="115">
        <f>HYPERLINK("https://youglish.com/pronounce/供应链管理/chinese","🔍")</f>
        <v/>
      </c>
    </row>
    <row r="854">
      <c r="A854" s="92" t="inlineStr">
        <is>
          <t>PDF_Tiếng trung Full BỘ BCT.pdf</t>
        </is>
      </c>
      <c r="B854" s="93" t="inlineStr">
        <is>
          <t>5</t>
        </is>
      </c>
      <c r="C854" s="92" t="inlineStr">
        <is>
          <t>采购订单</t>
        </is>
      </c>
      <c r="D854" s="92" t="inlineStr">
        <is>
          <t>Cǎigòu Dìngdān) - Purchase Order - Đơn đặt hàng Mua</t>
        </is>
      </c>
      <c r="E854" s="92" t="inlineStr">
        <is>
          <t>5. 采购订单 (Cǎigòu Dìngdān) - Purchase Order - Đơn đặt hàng Mua</t>
        </is>
      </c>
      <c r="F854" s="114">
        <f>HYPERLINK("https://youglish.com/pronounce/采购订单/chinese","🔍")</f>
        <v/>
      </c>
    </row>
    <row r="855">
      <c r="A855" s="94" t="inlineStr">
        <is>
          <t>PDF_Tiếng trung Full BỘ BCT.pdf</t>
        </is>
      </c>
      <c r="B855" s="95" t="inlineStr">
        <is>
          <t>6</t>
        </is>
      </c>
      <c r="C855" s="94" t="inlineStr">
        <is>
          <t>库存管理</t>
        </is>
      </c>
      <c r="D855" s="94" t="inlineStr">
        <is>
          <t>Kùcún Guǎnlǐ) - Inventory Management - Quản lý Kho</t>
        </is>
      </c>
      <c r="E855" s="94" t="inlineStr">
        <is>
          <t>6. 库存管理 (Kùcún Guǎnlǐ) - Inventory Management - Quản lý Kho</t>
        </is>
      </c>
      <c r="F855" s="115">
        <f>HYPERLINK("https://youglish.com/pronounce/库存管理/chinese","🔍")</f>
        <v/>
      </c>
    </row>
    <row r="856">
      <c r="A856" s="92" t="inlineStr">
        <is>
          <t>PDF_Tiếng trung Full BỘ BCT.pdf</t>
        </is>
      </c>
      <c r="B856" s="93" t="inlineStr">
        <is>
          <t>7</t>
        </is>
      </c>
      <c r="C856" s="92" t="inlineStr">
        <is>
          <t>生产计划</t>
        </is>
      </c>
      <c r="D856" s="92" t="inlineStr">
        <is>
          <t>Shēngchǎn Jìhuà) - Production Planning - Kế hoạch Sản xuất</t>
        </is>
      </c>
      <c r="E856" s="92" t="inlineStr">
        <is>
          <t>7. 生产计划 (Shēngchǎn Jìhuà) - Production Planning - Kế hoạch Sản xuất</t>
        </is>
      </c>
      <c r="F856" s="114">
        <f>HYPERLINK("https://youglish.com/pronounce/生产计划/chinese","🔍")</f>
        <v/>
      </c>
    </row>
    <row r="857">
      <c r="A857" s="94" t="inlineStr">
        <is>
          <t>PDF_Tiếng trung Full BỘ BCT.pdf</t>
        </is>
      </c>
      <c r="B857" s="95" t="inlineStr">
        <is>
          <t>8</t>
        </is>
      </c>
      <c r="C857" s="94" t="inlineStr">
        <is>
          <t>物料流动</t>
        </is>
      </c>
      <c r="D857" s="94" t="inlineStr">
        <is>
          <t>Wùliào Liúdòng) - Material Flow - Luồng Vật liệu</t>
        </is>
      </c>
      <c r="E857" s="94" t="inlineStr">
        <is>
          <t>8. 物料流动 (Wùliào Liúdòng) - Material Flow - Luồng Vật liệu</t>
        </is>
      </c>
      <c r="F857" s="115">
        <f>HYPERLINK("https://youglish.com/pronounce/物料流动/chinese","🔍")</f>
        <v/>
      </c>
    </row>
    <row r="858">
      <c r="A858" s="92" t="inlineStr">
        <is>
          <t>PDF_Tiếng trung Full BỘ BCT.pdf</t>
        </is>
      </c>
      <c r="B858" s="93" t="inlineStr">
        <is>
          <t>9</t>
        </is>
      </c>
      <c r="C858" s="92" t="inlineStr">
        <is>
          <t>质量控制</t>
        </is>
      </c>
      <c r="D858" s="92" t="inlineStr">
        <is>
          <t>Zhìliàng Kòngzhì) - Quality Control - Kiểm soát Chất lượng</t>
        </is>
      </c>
      <c r="E858" s="92" t="inlineStr">
        <is>
          <t>9. 质量控制 (Zhìliàng Kòngzhì) - Quality Control - Kiểm soát Chất lượng</t>
        </is>
      </c>
      <c r="F858" s="114">
        <f>HYPERLINK("https://youglish.com/pronounce/质量控制/chinese","🔍")</f>
        <v/>
      </c>
    </row>
    <row r="859">
      <c r="A859" s="94" t="inlineStr">
        <is>
          <t>PDF_Tiếng trung Full BỘ BCT.pdf</t>
        </is>
      </c>
      <c r="B859" s="95" t="inlineStr">
        <is>
          <t>10</t>
        </is>
      </c>
      <c r="C859" s="94" t="inlineStr">
        <is>
          <t>资源调度</t>
        </is>
      </c>
      <c r="D859" s="94" t="inlineStr">
        <is>
          <t>Zīyuán Diàodù) - Resource Scheduling - Lên lịch Tài nguyên</t>
        </is>
      </c>
      <c r="E859" s="94" t="inlineStr">
        <is>
          <t>10. 资源调度 (Zīyuán Diàodù) - Resource Scheduling - Lên lịch Tài nguyên</t>
        </is>
      </c>
      <c r="F859" s="115">
        <f>HYPERLINK("https://youglish.com/pronounce/资源调度/chinese","🔍")</f>
        <v/>
      </c>
    </row>
    <row r="860" ht="28.5" customHeight="1" s="99">
      <c r="A860" s="92" t="inlineStr">
        <is>
          <t>PDF_Tiếng trung Full BỘ BCT.pdf</t>
        </is>
      </c>
      <c r="B860" s="93" t="inlineStr">
        <is>
          <t>11</t>
        </is>
      </c>
      <c r="C860" s="92" t="inlineStr">
        <is>
          <t>生产调度</t>
        </is>
      </c>
      <c r="D860" s="92" t="inlineStr">
        <is>
          <t>Shēngchǎn Diàodù) - Production Scheduling - Lên lịch Sản xuất</t>
        </is>
      </c>
      <c r="E860" s="92" t="inlineStr">
        <is>
          <t>11. 生产调度 (Shēngchǎn Diàodù) - Production Scheduling - Lên lịch Sản xuất</t>
        </is>
      </c>
      <c r="F860" s="114">
        <f>HYPERLINK("https://youglish.com/pronounce/生产调度/chinese","🔍")</f>
        <v/>
      </c>
    </row>
    <row r="861" ht="28.5" customHeight="1" s="99">
      <c r="A861" s="94" t="inlineStr">
        <is>
          <t>PDF_Tiếng trung Full BỘ BCT.pdf</t>
        </is>
      </c>
      <c r="B861" s="95" t="inlineStr">
        <is>
          <t>12</t>
        </is>
      </c>
      <c r="C861" s="94" t="inlineStr">
        <is>
          <t>供应商管理</t>
        </is>
      </c>
      <c r="D861" s="94" t="inlineStr">
        <is>
          <t>Gōngyìngshāng Guǎnlǐ) - Vendor Management - Quản lý Nhà cung cấp</t>
        </is>
      </c>
      <c r="E861" s="94" t="inlineStr">
        <is>
          <t>12. 供应商管理 (Gōngyìngshāng Guǎnlǐ) - Vendor Management - Quản lý Nhà cung cấp</t>
        </is>
      </c>
      <c r="F861" s="115">
        <f>HYPERLINK("https://youglish.com/pronounce/供应商管理/chinese","🔍")</f>
        <v/>
      </c>
    </row>
    <row r="862">
      <c r="A862" s="92" t="inlineStr">
        <is>
          <t>PDF_Tiếng trung Full BỘ BCT.pdf</t>
        </is>
      </c>
      <c r="B862" s="93" t="inlineStr">
        <is>
          <t>13</t>
        </is>
      </c>
      <c r="C862" s="92" t="inlineStr">
        <is>
          <t>仓库管理</t>
        </is>
      </c>
      <c r="D862" s="92" t="inlineStr">
        <is>
          <t>Cāngkù Guǎnlǐ) - Warehouse Management - Quản lý Kho</t>
        </is>
      </c>
      <c r="E862" s="92" t="inlineStr">
        <is>
          <t>13. 仓库管理 (Cāngkù Guǎnlǐ) - Warehouse Management - Quản lý Kho</t>
        </is>
      </c>
      <c r="F862" s="114">
        <f>HYPERLINK("https://youglish.com/pronounce/仓库管理/chinese","🔍")</f>
        <v/>
      </c>
    </row>
    <row r="863">
      <c r="A863" s="94" t="inlineStr">
        <is>
          <t>PDF_Tiếng trung Full BỘ BCT.pdf</t>
        </is>
      </c>
      <c r="B863" s="95" t="inlineStr">
        <is>
          <t>14</t>
        </is>
      </c>
      <c r="C863" s="94" t="inlineStr">
        <is>
          <t>物流管理</t>
        </is>
      </c>
      <c r="D863" s="94" t="inlineStr">
        <is>
          <t>Wùliú Guǎnlǐ) - Logistics Management - Quản lý Logistics</t>
        </is>
      </c>
      <c r="E863" s="94" t="inlineStr">
        <is>
          <t>14. 物流管理 (Wùliú Guǎnlǐ) - Logistics Management - Quản lý Logistics</t>
        </is>
      </c>
      <c r="F863" s="115">
        <f>HYPERLINK("https://youglish.com/pronounce/物流管理/chinese","🔍")</f>
        <v/>
      </c>
    </row>
    <row r="864">
      <c r="A864" s="92" t="inlineStr">
        <is>
          <t>PDF_Tiếng trung Full BỘ BCT.pdf</t>
        </is>
      </c>
      <c r="B864" s="93" t="inlineStr">
        <is>
          <t>15</t>
        </is>
      </c>
      <c r="C864" s="92" t="inlineStr">
        <is>
          <t>成本控制</t>
        </is>
      </c>
      <c r="D864" s="92" t="inlineStr">
        <is>
          <t>Chéngběn Kòngzhì) - Cost Control - Kiểm soát Chi phí</t>
        </is>
      </c>
      <c r="E864" s="92" t="inlineStr">
        <is>
          <t>15. 成本控制 (Chéngběn Kòngzhì) - Cost Control - Kiểm soát Chi phí</t>
        </is>
      </c>
      <c r="F864" s="114">
        <f>HYPERLINK("https://youglish.com/pronounce/成本控制/chinese","🔍")</f>
        <v/>
      </c>
    </row>
    <row r="865">
      <c r="A865" s="94" t="inlineStr">
        <is>
          <t>PDF_Tiếng trung Full BỘ BCT.pdf</t>
        </is>
      </c>
      <c r="B865" s="95" t="inlineStr">
        <is>
          <t>16</t>
        </is>
      </c>
      <c r="C865" s="94" t="inlineStr">
        <is>
          <t>供应计划</t>
        </is>
      </c>
      <c r="D865" s="94" t="inlineStr">
        <is>
          <t>Gōngyìng Jìhuà) - Supply Planning - Kế hoạch Cung ứng</t>
        </is>
      </c>
      <c r="E865" s="94" t="inlineStr">
        <is>
          <t>16. 供应计划 (Gōngyìng Jìhuà) - Supply Planning - Kế hoạch Cung ứng</t>
        </is>
      </c>
      <c r="F865" s="115">
        <f>HYPERLINK("https://youglish.com/pronounce/供应计划/chinese","🔍")</f>
        <v/>
      </c>
    </row>
    <row r="866">
      <c r="A866" s="92" t="inlineStr">
        <is>
          <t>PDF_Tiếng trung Full BỘ BCT.pdf</t>
        </is>
      </c>
      <c r="B866" s="93" t="inlineStr">
        <is>
          <t>17</t>
        </is>
      </c>
      <c r="C866" s="92" t="inlineStr">
        <is>
          <t>交付时间</t>
        </is>
      </c>
      <c r="D866" s="92" t="inlineStr">
        <is>
          <t>Jiāofù Shíjiān) - Lead Time - Thời gian Giao hàng</t>
        </is>
      </c>
      <c r="E866" s="92" t="inlineStr">
        <is>
          <t>17. 交付时间 (Jiāofù Shíjiān) - Lead Time - Thời gian Giao hàng</t>
        </is>
      </c>
      <c r="F866" s="114">
        <f>HYPERLINK("https://youglish.com/pronounce/交付时间/chinese","🔍")</f>
        <v/>
      </c>
    </row>
    <row r="867">
      <c r="A867" s="94" t="inlineStr">
        <is>
          <t>PDF_Tiếng trung Full BỘ BCT.pdf</t>
        </is>
      </c>
      <c r="B867" s="95" t="inlineStr">
        <is>
          <t>18</t>
        </is>
      </c>
      <c r="C867" s="94" t="inlineStr">
        <is>
          <t>库存优化</t>
        </is>
      </c>
      <c r="D867" s="94" t="inlineStr">
        <is>
          <t>Kùcún Yōuhuà) - Inventory Optimization - Tối ưu hóa Kho</t>
        </is>
      </c>
      <c r="E867" s="94" t="inlineStr">
        <is>
          <t>18. 库存优化 (Kùcún Yōuhuà) - Inventory Optimization - Tối ưu hóa Kho</t>
        </is>
      </c>
      <c r="F867" s="115">
        <f>HYPERLINK("https://youglish.com/pronounce/库存优化/chinese","🔍")</f>
        <v/>
      </c>
    </row>
    <row r="868" ht="28.5" customHeight="1" s="99">
      <c r="A868" s="92" t="inlineStr">
        <is>
          <t>PDF_Tiếng trung Full BỘ BCT.pdf</t>
        </is>
      </c>
      <c r="B868" s="93" t="inlineStr">
        <is>
          <t>19</t>
        </is>
      </c>
      <c r="C868" s="92" t="inlineStr">
        <is>
          <t>产品生命周期</t>
        </is>
      </c>
      <c r="D868" s="92" t="inlineStr">
        <is>
          <t>Chǎnpǐn Shēngzhóuqī) - Product Lifecycle - Chu kỳ Đời sản phẩm</t>
        </is>
      </c>
      <c r="E868" s="92" t="inlineStr">
        <is>
          <t>19. 产品生命周期 (Chǎnpǐn Shēngzhóuqī) - Product Lifecycle - Chu kỳ Đời sản phẩm</t>
        </is>
      </c>
      <c r="F868" s="114">
        <f>HYPERLINK("https://youglish.com/pronounce/产品生命周期/chinese","🔍")</f>
        <v/>
      </c>
    </row>
    <row r="869">
      <c r="A869" s="94" t="inlineStr">
        <is>
          <t>PDF_Tiếng trung Full BỘ BCT.pdf</t>
        </is>
      </c>
      <c r="B869" s="95" t="inlineStr">
        <is>
          <t>20</t>
        </is>
      </c>
      <c r="C869" s="94" t="inlineStr">
        <is>
          <t>产能规划</t>
        </is>
      </c>
      <c r="D869" s="94" t="inlineStr">
        <is>
          <t>Chǎnnéng Guīhuà) - Capacity Planning - Kế hoạch Năng lực</t>
        </is>
      </c>
      <c r="E869" s="94" t="inlineStr">
        <is>
          <t>20. 产能规划 (Chǎnnéng Guīhuà) - Capacity Planning - Kế hoạch Năng lực</t>
        </is>
      </c>
      <c r="F869" s="115">
        <f>HYPERLINK("https://youglish.com/pronounce/产能规划/chinese","🔍")</f>
        <v/>
      </c>
    </row>
    <row r="870">
      <c r="A870" s="92" t="inlineStr">
        <is>
          <t>PDF_Tiếng trung Full BỘ BCT.pdf</t>
        </is>
      </c>
      <c r="B870" s="93" t="inlineStr">
        <is>
          <t>21</t>
        </is>
      </c>
      <c r="C870" s="92" t="inlineStr">
        <is>
          <t>资材需求</t>
        </is>
      </c>
      <c r="D870" s="92" t="inlineStr">
        <is>
          <t>Zīcái Xūqiú) - Material Demand - Nhu cầu Vật liệu</t>
        </is>
      </c>
      <c r="E870" s="92" t="inlineStr">
        <is>
          <t>21. 资材需求 (Zīcái Xūqiú) - Material Demand - Nhu cầu Vật liệu</t>
        </is>
      </c>
      <c r="F870" s="114">
        <f>HYPERLINK("https://youglish.com/pronounce/资材需求/chinese","🔍")</f>
        <v/>
      </c>
    </row>
    <row r="871" ht="28.5" customHeight="1" s="99">
      <c r="A871" s="94" t="inlineStr">
        <is>
          <t>PDF_Tiếng trung Full BỘ BCT.pdf</t>
        </is>
      </c>
      <c r="B871" s="95" t="inlineStr">
        <is>
          <t>22</t>
        </is>
      </c>
      <c r="C871" s="94" t="inlineStr">
        <is>
          <t>供应商评估</t>
        </is>
      </c>
      <c r="D871" s="94" t="inlineStr">
        <is>
          <t>Gōngyìngshāng Pínggū) - Vendor Assessment - Đánh giá Nhà cung cấp</t>
        </is>
      </c>
      <c r="E871" s="94" t="inlineStr">
        <is>
          <t>22. 供应商评估 (Gōngyìngshāng Pínggū) - Vendor Assessment - Đánh giá Nhà cung cấp</t>
        </is>
      </c>
      <c r="F871" s="115">
        <f>HYPERLINK("https://youglish.com/pronounce/供应商评估/chinese","🔍")</f>
        <v/>
      </c>
    </row>
    <row r="872" ht="28.5" customHeight="1" s="99">
      <c r="A872" s="92" t="inlineStr">
        <is>
          <t>PDF_Tiếng trung Full BỘ BCT.pdf</t>
        </is>
      </c>
      <c r="B872" s="93" t="inlineStr">
        <is>
          <t>23</t>
        </is>
      </c>
      <c r="C872" s="92" t="inlineStr">
        <is>
          <t>供应商协商</t>
        </is>
      </c>
      <c r="D872" s="92" t="inlineStr">
        <is>
          <t>Gōngyìngshāng Xiéshāng) - Vendor Negotiation - Đàm phán với Nhà cung cấp</t>
        </is>
      </c>
      <c r="E872" s="92" t="inlineStr">
        <is>
          <t>23. 供应商协商 (Gōngyìngshāng Xiéshāng) - Vendor Negotiation - Đàm phán với Nhà cung cấp</t>
        </is>
      </c>
      <c r="F872" s="114">
        <f>HYPERLINK("https://youglish.com/pronounce/供应商协商/chinese","🔍")</f>
        <v/>
      </c>
    </row>
    <row r="873" ht="28.5" customHeight="1" s="99">
      <c r="A873" s="94" t="inlineStr">
        <is>
          <t>PDF_Tiếng trung Full BỘ BCT.pdf</t>
        </is>
      </c>
      <c r="B873" s="95" t="inlineStr">
        <is>
          <t>24</t>
        </is>
      </c>
      <c r="C873" s="94" t="inlineStr">
        <is>
          <t>供应商绩效</t>
        </is>
      </c>
      <c r="D873" s="94" t="inlineStr">
        <is>
          <t>Gōngyìngshāng Jīxiào) - Vendor Performance - Hiệu suất Nhà cung cấp</t>
        </is>
      </c>
      <c r="E873" s="94" t="inlineStr">
        <is>
          <t>24. 供应商绩效 (Gōngyìngshāng Jīxiào) - Vendor Performance - Hiệu suất Nhà cung cấp</t>
        </is>
      </c>
      <c r="F873" s="115">
        <f>HYPERLINK("https://youglish.com/pronounce/供应商绩效/chinese","🔍")</f>
        <v/>
      </c>
    </row>
    <row r="874" ht="28.5" customHeight="1" s="99">
      <c r="A874" s="92" t="inlineStr">
        <is>
          <t>PDF_Tiếng trung Full BỘ BCT.pdf</t>
        </is>
      </c>
      <c r="B874" s="93" t="inlineStr">
        <is>
          <t>25</t>
        </is>
      </c>
      <c r="C874" s="92" t="inlineStr">
        <is>
          <t>采购策略</t>
        </is>
      </c>
      <c r="D874" s="92" t="inlineStr">
        <is>
          <t>Cǎigòu Cèlüè) - Procurement Strategy - Chiến lược Mua hàng</t>
        </is>
      </c>
      <c r="E874" s="92" t="inlineStr">
        <is>
          <t>25. 采购策略 (Cǎigòu Cèlüè) - Procurement Strategy - Chiến lược Mua hàng</t>
        </is>
      </c>
      <c r="F874" s="114">
        <f>HYPERLINK("https://youglish.com/pronounce/采购策略/chinese","🔍")</f>
        <v/>
      </c>
    </row>
    <row r="875" ht="28.5" customHeight="1" s="99">
      <c r="A875" s="94" t="inlineStr">
        <is>
          <t>PDF_Tiếng trung Full BỘ BCT.pdf</t>
        </is>
      </c>
      <c r="B875" s="95" t="inlineStr">
        <is>
          <t>26</t>
        </is>
      </c>
      <c r="C875" s="94" t="inlineStr">
        <is>
          <t>生产效率</t>
        </is>
      </c>
      <c r="D875" s="94" t="inlineStr">
        <is>
          <t>Shēngchǎn Xiàolǜ) - Production Efficiency - Hiệu suất Sản xuất</t>
        </is>
      </c>
      <c r="E875" s="94" t="inlineStr">
        <is>
          <t>26. 生产效率 (Shēngchǎn Xiàolǜ) - Production Efficiency - Hiệu suất Sản xuất</t>
        </is>
      </c>
      <c r="F875" s="115">
        <f>HYPERLINK("https://youglish.com/pronounce/生产效率/chinese","🔍")</f>
        <v/>
      </c>
    </row>
    <row r="876">
      <c r="A876" s="92" t="inlineStr">
        <is>
          <t>PDF_Tiếng trung Full BỘ BCT.pdf</t>
        </is>
      </c>
      <c r="B876" s="93" t="inlineStr">
        <is>
          <t>27</t>
        </is>
      </c>
      <c r="C876" s="92" t="inlineStr">
        <is>
          <t>需求预测</t>
        </is>
      </c>
      <c r="D876" s="92" t="inlineStr">
        <is>
          <t>Xūqiú Yùcè) - Demand Forecasting - Dự báo Nhu cầu</t>
        </is>
      </c>
      <c r="E876" s="92" t="inlineStr">
        <is>
          <t>27. 需求预测 (Xūqiú Yùcè) - Demand Forecasting - Dự báo Nhu cầu</t>
        </is>
      </c>
      <c r="F876" s="114">
        <f>HYPERLINK("https://youglish.com/pronounce/需求预测/chinese","🔍")</f>
        <v/>
      </c>
    </row>
    <row r="877">
      <c r="A877" s="94" t="inlineStr">
        <is>
          <t>PDF_Tiếng trung Full BỘ BCT.pdf</t>
        </is>
      </c>
      <c r="B877" s="95" t="inlineStr">
        <is>
          <t>28</t>
        </is>
      </c>
      <c r="C877" s="94" t="inlineStr">
        <is>
          <t>物流协调</t>
        </is>
      </c>
      <c r="D877" s="94" t="inlineStr">
        <is>
          <t>Wùliú Xiétiáo) - Logistics Coordination - Điều phối Logistics</t>
        </is>
      </c>
      <c r="E877" s="94" t="inlineStr">
        <is>
          <t>28. 物流协调 (Wùliú Xiétiáo) - Logistics Coordination - Điều phối Logistics</t>
        </is>
      </c>
      <c r="F877" s="115">
        <f>HYPERLINK("https://youglish.com/pronounce/物流协调/chinese","🔍")</f>
        <v/>
      </c>
    </row>
    <row r="878">
      <c r="A878" s="92" t="inlineStr">
        <is>
          <t>PDF_Tiếng trung Full BỘ BCT.pdf</t>
        </is>
      </c>
      <c r="B878" s="93" t="inlineStr">
        <is>
          <t>29</t>
        </is>
      </c>
      <c r="C878" s="92" t="inlineStr">
        <is>
          <t>仓库布局</t>
        </is>
      </c>
      <c r="D878" s="92" t="inlineStr">
        <is>
          <t>Cāngkù Bùjú) - Warehouse Layout - Bố trí Kho</t>
        </is>
      </c>
      <c r="E878" s="92" t="inlineStr">
        <is>
          <t>29. 仓库布局 (Cāngkù Bùjú) - Warehouse Layout - Bố trí Kho</t>
        </is>
      </c>
      <c r="F878" s="114">
        <f>HYPERLINK("https://youglish.com/pronounce/仓库布局/chinese","🔍")</f>
        <v/>
      </c>
    </row>
    <row r="879" ht="28.5" customHeight="1" s="99">
      <c r="A879" s="94" t="inlineStr">
        <is>
          <t>PDF_Tiếng trung Full BỘ BCT.pdf</t>
        </is>
      </c>
      <c r="B879" s="95" t="inlineStr">
        <is>
          <t>30</t>
        </is>
      </c>
      <c r="C879" s="94" t="inlineStr">
        <is>
          <t>供应链效益</t>
        </is>
      </c>
      <c r="D879" s="94" t="inlineStr">
        <is>
          <t>Gōngyìngliàn Xiàoyì) - Supply Chain Benefits - Lợi ích từ Chuỗi cung ứng</t>
        </is>
      </c>
      <c r="E879" s="94" t="inlineStr">
        <is>
          <t>30. 供应链效益 (Gōngyìngliàn Xiàoyì) - Supply Chain Benefits - Lợi ích từ Chuỗi cung ứng</t>
        </is>
      </c>
      <c r="F879" s="115">
        <f>HYPERLINK("https://youglish.com/pronounce/供应链效益/chinese","🔍")</f>
        <v/>
      </c>
    </row>
    <row r="880">
      <c r="A880" s="92" t="inlineStr">
        <is>
          <t>PDF_Tiếng trung Full BỘ BCT.pdf</t>
        </is>
      </c>
      <c r="B880" s="93" t="inlineStr">
        <is>
          <t>31</t>
        </is>
      </c>
      <c r="C880" s="92" t="inlineStr">
        <is>
          <t>成本效益</t>
        </is>
      </c>
      <c r="D880" s="92" t="inlineStr">
        <is>
          <t>Chéngběn Xiàoyì) - Cost Efficiency - Hiệu quả Chi phí</t>
        </is>
      </c>
      <c r="E880" s="92" t="inlineStr">
        <is>
          <t>31. 成本效益 (Chéngběn Xiàoyì) - Cost Efficiency - Hiệu quả Chi phí</t>
        </is>
      </c>
      <c r="F880" s="114">
        <f>HYPERLINK("https://youglish.com/pronounce/成本效益/chinese","🔍")</f>
        <v/>
      </c>
    </row>
    <row r="881">
      <c r="A881" s="94" t="inlineStr">
        <is>
          <t>PDF_Tiếng trung Full BỘ BCT.pdf</t>
        </is>
      </c>
      <c r="B881" s="95" t="inlineStr">
        <is>
          <t>32</t>
        </is>
      </c>
      <c r="C881" s="94" t="inlineStr">
        <is>
          <t>需求管理</t>
        </is>
      </c>
      <c r="D881" s="94" t="inlineStr">
        <is>
          <t>Xūqiú Guǎnlǐ) - Demand Management - Quản lý Nhu cầu</t>
        </is>
      </c>
      <c r="E881" s="94" t="inlineStr">
        <is>
          <t>32. 需求管理 (Xūqiú Guǎnlǐ) - Demand Management - Quản lý Nhu cầu</t>
        </is>
      </c>
      <c r="F881" s="115">
        <f>HYPERLINK("https://youglish.com/pronounce/需求管理/chinese","🔍")</f>
        <v/>
      </c>
    </row>
    <row r="882">
      <c r="A882" s="92" t="inlineStr">
        <is>
          <t>PDF_Tiếng trung Full BỘ BCT.pdf</t>
        </is>
      </c>
      <c r="B882" s="93" t="inlineStr">
        <is>
          <t>33</t>
        </is>
      </c>
      <c r="C882" s="92" t="inlineStr">
        <is>
          <t>物料采购</t>
        </is>
      </c>
      <c r="D882" s="92" t="inlineStr">
        <is>
          <t>Wùliào Cǎigòu) - Material Procurement - Mua Vật liệu</t>
        </is>
      </c>
      <c r="E882" s="92" t="inlineStr">
        <is>
          <t>33. 物料采购 (Wùliào Cǎigòu) - Material Procurement - Mua Vật liệu</t>
        </is>
      </c>
      <c r="F882" s="114">
        <f>HYPERLINK("https://youglish.com/pronounce/物料采购/chinese","🔍")</f>
        <v/>
      </c>
    </row>
    <row r="883" ht="28.5" customHeight="1" s="99">
      <c r="A883" s="94" t="inlineStr">
        <is>
          <t>PDF_Tiếng trung Full BỘ BCT.pdf</t>
        </is>
      </c>
      <c r="B883" s="95" t="inlineStr">
        <is>
          <t>34</t>
        </is>
      </c>
      <c r="C883" s="94" t="inlineStr">
        <is>
          <t>供应商合同</t>
        </is>
      </c>
      <c r="D883" s="94" t="inlineStr">
        <is>
          <t>Gōngyìngshāng Hétong) - Vendor Contract - Hợp đồng với Nhà cung cấp</t>
        </is>
      </c>
      <c r="E883" s="94" t="inlineStr">
        <is>
          <t>34. 供应商合同 (Gōngyìngshāng Hétong) - Vendor Contract - Hợp đồng với Nhà cung cấp</t>
        </is>
      </c>
      <c r="F883" s="115">
        <f>HYPERLINK("https://youglish.com/pronounce/供应商合同/chinese","🔍")</f>
        <v/>
      </c>
    </row>
    <row r="884">
      <c r="A884" s="92" t="inlineStr">
        <is>
          <t>PDF_Tiếng trung Full BỘ BCT.pdf</t>
        </is>
      </c>
      <c r="B884" s="93" t="inlineStr">
        <is>
          <t>35</t>
        </is>
      </c>
      <c r="C884" s="92" t="inlineStr">
        <is>
          <t>质检流程</t>
        </is>
      </c>
      <c r="D884" s="92" t="inlineStr">
        <is>
          <t>Zhìjiǎn Liúchéng) - Inspection Process - Quy trình Kiểm định</t>
        </is>
      </c>
      <c r="E884" s="92" t="inlineStr">
        <is>
          <t>35. 质检流程 (Zhìjiǎn Liúchéng) - Inspection Process - Quy trình Kiểm định</t>
        </is>
      </c>
      <c r="F884" s="114">
        <f>HYPERLINK("https://youglish.com/pronounce/质检流程/chinese","🔍")</f>
        <v/>
      </c>
    </row>
    <row r="885" ht="28.5" customHeight="1" s="99">
      <c r="A885" s="94" t="inlineStr">
        <is>
          <t>PDF_Tiếng trung Full BỘ BCT.pdf</t>
        </is>
      </c>
      <c r="B885" s="95" t="inlineStr">
        <is>
          <t>36</t>
        </is>
      </c>
      <c r="C885" s="94" t="inlineStr">
        <is>
          <t>生产调整</t>
        </is>
      </c>
      <c r="D885" s="94" t="inlineStr">
        <is>
          <t>Shēngchǎn Tiáozhěng) - Production Adjustments - Điều chỉnh Sản xuất</t>
        </is>
      </c>
      <c r="E885" s="94" t="inlineStr">
        <is>
          <t>36. 生产调整 (Shēngchǎn Tiáozhěng) - Production Adjustments - Điều chỉnh Sản xuất</t>
        </is>
      </c>
      <c r="F885" s="115">
        <f>HYPERLINK("https://youglish.com/pronounce/生产调整/chinese","🔍")</f>
        <v/>
      </c>
    </row>
    <row r="886" ht="28.5" customHeight="1" s="99">
      <c r="A886" s="92" t="inlineStr">
        <is>
          <t>PDF_Tiếng trung Full BỘ BCT.pdf</t>
        </is>
      </c>
      <c r="B886" s="93" t="inlineStr">
        <is>
          <t>37</t>
        </is>
      </c>
      <c r="C886" s="92" t="inlineStr">
        <is>
          <t>运输管理</t>
        </is>
      </c>
      <c r="D886" s="92" t="inlineStr">
        <is>
          <t>Yùnshū Guǎnlǐ) - Transportation Management - Quản lý Vận chuyển</t>
        </is>
      </c>
      <c r="E886" s="92" t="inlineStr">
        <is>
          <t>37. 运输管理 (Yùnshū Guǎnlǐ) - Transportation Management - Quản lý Vận chuyển</t>
        </is>
      </c>
      <c r="F886" s="114">
        <f>HYPERLINK("https://youglish.com/pronounce/运输管理/chinese","🔍")</f>
        <v/>
      </c>
    </row>
    <row r="887">
      <c r="A887" s="94" t="inlineStr">
        <is>
          <t>PDF_Tiếng trung Full BỘ BCT.pdf</t>
        </is>
      </c>
      <c r="B887" s="95" t="inlineStr">
        <is>
          <t>38</t>
        </is>
      </c>
      <c r="C887" s="94" t="inlineStr">
        <is>
          <t>预算控制</t>
        </is>
      </c>
      <c r="D887" s="94" t="inlineStr">
        <is>
          <t>Yùsuàn Kòngzhì) - Budget Control - Kiểm soát Ngân sách</t>
        </is>
      </c>
      <c r="E887" s="94" t="inlineStr">
        <is>
          <t>38. 预算控制 (Yùsuàn Kòngzhì) - Budget Control - Kiểm soát Ngân sách</t>
        </is>
      </c>
      <c r="F887" s="115">
        <f>HYPERLINK("https://youglish.com/pronounce/预算控制/chinese","🔍")</f>
        <v/>
      </c>
    </row>
    <row r="888" ht="28.5" customHeight="1" s="99">
      <c r="A888" s="92" t="inlineStr">
        <is>
          <t>PDF_Tiếng trung Full BỘ BCT.pdf</t>
        </is>
      </c>
      <c r="B888" s="93" t="inlineStr">
        <is>
          <t>39</t>
        </is>
      </c>
      <c r="C888" s="92" t="inlineStr">
        <is>
          <t>定期库存检查</t>
        </is>
      </c>
      <c r="D888" s="92" t="inlineStr">
        <is>
          <t>Dìngqī Kùcún Jiǎnchá) - Regular Inventory Checks - Kiểm tra Kho định kỳ</t>
        </is>
      </c>
      <c r="E888" s="92" t="inlineStr">
        <is>
          <t>39. 定期库存检查 (Dìngqī Kùcún Jiǎnchá) - Regular Inventory Checks - Kiểm tra Kho định kỳ</t>
        </is>
      </c>
      <c r="F888" s="114">
        <f>HYPERLINK("https://youglish.com/pronounce/定期库存检查/chinese","🔍")</f>
        <v/>
      </c>
    </row>
    <row r="889" ht="28.5" customHeight="1" s="99">
      <c r="A889" s="94" t="inlineStr">
        <is>
          <t>PDF_Tiếng trung Full BỘ BCT.pdf</t>
        </is>
      </c>
      <c r="B889" s="95" t="inlineStr">
        <is>
          <t>40</t>
        </is>
      </c>
      <c r="C889" s="94" t="inlineStr">
        <is>
          <t>绿色供应链</t>
        </is>
      </c>
      <c r="D889" s="94" t="inlineStr">
        <is>
          <t>Lǜsè Gōngyìngliàn) - Green Supply Chain - Chuỗi cung ứng Xanh</t>
        </is>
      </c>
      <c r="E889" s="94" t="inlineStr">
        <is>
          <t>40. 绿色供应链 (Lǜsè Gōngyìngliàn) - Green Supply Chain - Chuỗi cung ứng Xanh</t>
        </is>
      </c>
      <c r="F889" s="115">
        <f>HYPERLINK("https://youglish.com/pronounce/绿色供应链/chinese","🔍")</f>
        <v/>
      </c>
    </row>
    <row r="890" ht="28.5" customHeight="1" s="99">
      <c r="A890" s="92" t="inlineStr">
        <is>
          <t>PDF_Tiếng trung Full BỘ BCT.pdf</t>
        </is>
      </c>
      <c r="B890" s="93" t="inlineStr">
        <is>
          <t>41</t>
        </is>
      </c>
      <c r="C890" s="92" t="inlineStr">
        <is>
          <t>供应链透明度</t>
        </is>
      </c>
      <c r="D890" s="92" t="inlineStr">
        <is>
          <t>Gōngyìngliàn Tòumíngdù) - Supply Chain Transparency - Sự minh bạch trong Chuỗi cung ứng</t>
        </is>
      </c>
      <c r="E890" s="92" t="inlineStr">
        <is>
          <t>41. 供应链透明度 (Gōngyìngliàn Tòumíngdù) - Supply Chain Transparency - Sự minh bạch trong Chuỗi cung ứng</t>
        </is>
      </c>
      <c r="F890" s="114">
        <f>HYPERLINK("https://youglish.com/pronounce/供应链透明度/chinese","🔍")</f>
        <v/>
      </c>
    </row>
    <row r="891" ht="28.5" customHeight="1" s="99">
      <c r="A891" s="94" t="inlineStr">
        <is>
          <t>PDF_Tiếng trung Full BỘ BCT.pdf</t>
        </is>
      </c>
      <c r="B891" s="95" t="inlineStr">
        <is>
          <t>42</t>
        </is>
      </c>
      <c r="C891" s="94" t="inlineStr">
        <is>
          <t>供应商关系管理</t>
        </is>
      </c>
      <c r="D891" s="94" t="inlineStr">
        <is>
          <t>Gōngyìngshāng Guānxì Guǎnlǐ) - Vendor Relationship Management - Quản lý Mối quan hệ với Nhà cung cấp</t>
        </is>
      </c>
      <c r="E891" s="94" t="inlineStr">
        <is>
          <t>42. 供应商关系管理 (Gōngyìngshāng Guānxì Guǎnlǐ) - Vendor Relationship Management - Quản lý Mối quan hệ với Nhà cung cấp</t>
        </is>
      </c>
      <c r="F891" s="115">
        <f>HYPERLINK("https://youglish.com/pronounce/供应商关系管理/chinese","🔍")</f>
        <v/>
      </c>
    </row>
    <row r="892" ht="28.5" customHeight="1" s="99">
      <c r="A892" s="92" t="inlineStr">
        <is>
          <t>PDF_Tiếng trung Full BỘ BCT.pdf</t>
        </is>
      </c>
      <c r="B892" s="93" t="inlineStr">
        <is>
          <t>43</t>
        </is>
      </c>
      <c r="C892" s="92" t="inlineStr">
        <is>
          <t>供应商认证</t>
        </is>
      </c>
      <c r="D892" s="92" t="inlineStr">
        <is>
          <t>Gōngyìngshāng Rènzhèng) - Vendor Certification - Chứng nhận Nhà cung cấp</t>
        </is>
      </c>
      <c r="E892" s="92" t="inlineStr">
        <is>
          <t>43. 供应商认证 (Gōngyìngshāng Rènzhèng) - Vendor Certification - Chứng nhận Nhà cung cấp</t>
        </is>
      </c>
      <c r="F892" s="114">
        <f>HYPERLINK("https://youglish.com/pronounce/供应商认证/chinese","🔍")</f>
        <v/>
      </c>
    </row>
    <row r="893" ht="28.5" customHeight="1" s="99">
      <c r="A893" s="94" t="inlineStr">
        <is>
          <t>PDF_Tiếng trung Full BỘ BCT.pdf</t>
        </is>
      </c>
      <c r="B893" s="95" t="inlineStr">
        <is>
          <t>44</t>
        </is>
      </c>
      <c r="C893" s="94" t="inlineStr">
        <is>
          <t>供应链协同</t>
        </is>
      </c>
      <c r="D893" s="94" t="inlineStr">
        <is>
          <t>Gōngyìngliàn Xiétóng) - Supply Chain Collaboration - Hợp tác trong Chuỗi cung ứng</t>
        </is>
      </c>
      <c r="E893" s="94" t="inlineStr">
        <is>
          <t>44. 供应链协同 (Gōngyìngliàn Xiétóng) - Supply Chain Collaboration - Hợp tác trong Chuỗi cung ứng</t>
        </is>
      </c>
      <c r="F893" s="115">
        <f>HYPERLINK("https://youglish.com/pronounce/供应链协同/chinese","🔍")</f>
        <v/>
      </c>
    </row>
    <row r="894" ht="28.5" customHeight="1" s="99">
      <c r="A894" s="92" t="inlineStr">
        <is>
          <t>PDF_Tiếng trung Full BỘ BCT.pdf</t>
        </is>
      </c>
      <c r="B894" s="93" t="inlineStr">
        <is>
          <t>45</t>
        </is>
      </c>
      <c r="C894" s="92" t="inlineStr">
        <is>
          <t>库存周转率</t>
        </is>
      </c>
      <c r="D894" s="92" t="inlineStr">
        <is>
          <t>Kùcún Zhōuzuǎn Lǜ) - Inventory Turnover Rate - Tỷ lệ Quay vòng Kho</t>
        </is>
      </c>
      <c r="E894" s="92" t="inlineStr">
        <is>
          <t>45. 库存周转率 (Kùcún Zhōuzuǎn Lǜ) - Inventory Turnover Rate - Tỷ lệ Quay vòng Kho</t>
        </is>
      </c>
      <c r="F894" s="114">
        <f>HYPERLINK("https://youglish.com/pronounce/库存周转率/chinese","🔍")</f>
        <v/>
      </c>
    </row>
    <row r="895" ht="28.5" customHeight="1" s="99">
      <c r="A895" s="94" t="inlineStr">
        <is>
          <t>PDF_Tiếng trung Full BỘ BCT.pdf</t>
        </is>
      </c>
      <c r="B895" s="95" t="inlineStr">
        <is>
          <t>46</t>
        </is>
      </c>
      <c r="C895" s="94" t="inlineStr">
        <is>
          <t>生产进度追踪</t>
        </is>
      </c>
      <c r="D895" s="94" t="inlineStr">
        <is>
          <t>Shēngchǎn Jìndù Zhuīzōng) - Production Progress Tracking - Theo dõi Tiến độ Sản xuất</t>
        </is>
      </c>
      <c r="E895" s="94" t="inlineStr">
        <is>
          <t>46. 生产进度追踪 (Shēngchǎn Jìndù Zhuīzōng) - Production Progress Tracking - Theo dõi Tiến độ Sản xuất</t>
        </is>
      </c>
      <c r="F895" s="115">
        <f>HYPERLINK("https://youglish.com/pronounce/生产进度追踪/chinese","🔍")</f>
        <v/>
      </c>
    </row>
    <row r="896" ht="28.5" customHeight="1" s="99">
      <c r="A896" s="92" t="inlineStr">
        <is>
          <t>PDF_Tiếng trung Full BỘ BCT.pdf</t>
        </is>
      </c>
      <c r="B896" s="93" t="inlineStr">
        <is>
          <t>47</t>
        </is>
      </c>
      <c r="C896" s="92" t="inlineStr">
        <is>
          <t>物料供应商</t>
        </is>
      </c>
      <c r="D896" s="92" t="inlineStr">
        <is>
          <t>Wùliào Gōngyìngshāng) - Material Supplier - Nhà cung cấp Vật liệu</t>
        </is>
      </c>
      <c r="E896" s="92" t="inlineStr">
        <is>
          <t>47. 物料供应商 (Wùliào Gōngyìngshāng) - Material Supplier - Nhà cung cấp Vật liệu</t>
        </is>
      </c>
      <c r="F896" s="114">
        <f>HYPERLINK("https://youglish.com/pronounce/物料供应商/chinese","🔍")</f>
        <v/>
      </c>
    </row>
    <row r="897" ht="28.5" customHeight="1" s="99">
      <c r="A897" s="94" t="inlineStr">
        <is>
          <t>PDF_Tiếng trung Full BỘ BCT.pdf</t>
        </is>
      </c>
      <c r="B897" s="95" t="inlineStr">
        <is>
          <t>48</t>
        </is>
      </c>
      <c r="C897" s="94" t="inlineStr">
        <is>
          <t>供应链风险管理</t>
        </is>
      </c>
      <c r="D897" s="94" t="inlineStr">
        <is>
          <t>Gōngyìngliàn Fēngxiǎn Guǎnlǐ) - Supply Chain Risk Management - Quản lý Rủi ro trong Chuỗi cung ứng</t>
        </is>
      </c>
      <c r="E897" s="94" t="inlineStr">
        <is>
          <t>48. 供应链风险管理 (Gōngyìngliàn Fēngxiǎn Guǎnlǐ) - Supply Chain Risk Management - Quản lý Rủi ro trong Chuỗi cung ứng</t>
        </is>
      </c>
      <c r="F897" s="115">
        <f>HYPERLINK("https://youglish.com/pronounce/供应链风险管理/chinese","🔍")</f>
        <v/>
      </c>
    </row>
    <row r="898" ht="28.5" customHeight="1" s="99">
      <c r="A898" s="92" t="inlineStr">
        <is>
          <t>PDF_Tiếng trung Full BỘ BCT.pdf</t>
        </is>
      </c>
      <c r="B898" s="93" t="inlineStr">
        <is>
          <t>49</t>
        </is>
      </c>
      <c r="C898" s="92" t="inlineStr">
        <is>
          <t>紧急采购</t>
        </is>
      </c>
      <c r="D898" s="92" t="inlineStr">
        <is>
          <t>Jǐnjí Cǎigòu) - Emergency Procurement - Mua hàng Khẩn cấp</t>
        </is>
      </c>
      <c r="E898" s="92" t="inlineStr">
        <is>
          <t>49. 紧急采购 (Jǐnjí Cǎigòu) - Emergency Procurement - Mua hàng Khẩn cấp</t>
        </is>
      </c>
      <c r="F898" s="114">
        <f>HYPERLINK("https://youglish.com/pronounce/紧急采购/chinese","🔍")</f>
        <v/>
      </c>
    </row>
    <row r="899" ht="28.5" customHeight="1" s="99">
      <c r="A899" s="94" t="inlineStr">
        <is>
          <t>PDF_Tiếng trung Full BỘ BCT.pdf</t>
        </is>
      </c>
      <c r="B899" s="95" t="inlineStr">
        <is>
          <t>50</t>
        </is>
      </c>
      <c r="C899" s="94" t="inlineStr">
        <is>
          <t>供应链整合</t>
        </is>
      </c>
      <c r="D899" s="94" t="inlineStr">
        <is>
          <t>Gōngyìngliàn Zhěnghé) - Supply Chain Integration - Tích hợp Chuỗi cung ứng</t>
        </is>
      </c>
      <c r="E899" s="94" t="inlineStr">
        <is>
          <t>50. 供应链整合 (Gōngyìngliàn Zhěnghé) - Supply Chain Integration - Tích hợp Chuỗi cung ứng</t>
        </is>
      </c>
      <c r="F899" s="115">
        <f>HYPERLINK("https://youglish.com/pronounce/供应链整合/chinese","🔍")</f>
        <v/>
      </c>
    </row>
    <row r="900">
      <c r="A900" s="92" t="inlineStr">
        <is>
          <t>PDF_Tiếng trung Full BỘ BCT.pdf</t>
        </is>
      </c>
      <c r="B900" s="93" t="inlineStr">
        <is>
          <t>51</t>
        </is>
      </c>
      <c r="C900" s="92" t="inlineStr">
        <is>
          <t>进口物料</t>
        </is>
      </c>
      <c r="D900" s="92" t="inlineStr">
        <is>
          <t>Jìnkǒu Wùliào) - Imported Materials - Vật liệu Nhập khẩu</t>
        </is>
      </c>
      <c r="E900" s="92" t="inlineStr">
        <is>
          <t>51. 进口物料 (Jìnkǒu Wùliào) - Imported Materials - Vật liệu Nhập khẩu</t>
        </is>
      </c>
      <c r="F900" s="114">
        <f>HYPERLINK("https://youglish.com/pronounce/进口物料/chinese","🔍")</f>
        <v/>
      </c>
    </row>
    <row r="901">
      <c r="A901" s="94" t="inlineStr">
        <is>
          <t>PDF_Tiếng trung Full BỘ BCT.pdf</t>
        </is>
      </c>
      <c r="B901" s="95" t="inlineStr">
        <is>
          <t>52</t>
        </is>
      </c>
      <c r="C901" s="94" t="inlineStr">
        <is>
          <t>出口物料</t>
        </is>
      </c>
      <c r="D901" s="94" t="inlineStr">
        <is>
          <t>Chūkǒu Wùliào) - Exported Materials - Vật liệu Xuất khẩu</t>
        </is>
      </c>
      <c r="E901" s="94" t="inlineStr">
        <is>
          <t>52. 出口物料 (Chūkǒu Wùliào) - Exported Materials - Vật liệu Xuất khẩu</t>
        </is>
      </c>
      <c r="F901" s="115">
        <f>HYPERLINK("https://youglish.com/pronounce/出口物料/chinese","🔍")</f>
        <v/>
      </c>
    </row>
    <row r="902" ht="28.5" customHeight="1" s="99">
      <c r="A902" s="92" t="inlineStr">
        <is>
          <t>PDF_Tiếng trung Full BỘ BCT.pdf</t>
        </is>
      </c>
      <c r="B902" s="93" t="inlineStr">
        <is>
          <t>53</t>
        </is>
      </c>
      <c r="C902" s="92" t="inlineStr">
        <is>
          <t>供应链效率</t>
        </is>
      </c>
      <c r="D902" s="92" t="inlineStr">
        <is>
          <t>Gōngyìngliàn Xiàolǜ) - Supply Chain Efficiency - Hiệu suất Chuỗi cung ứng</t>
        </is>
      </c>
      <c r="E902" s="92" t="inlineStr">
        <is>
          <t>53. 供应链效率 (Gōngyìngliàn Xiàolǜ) - Supply Chain Efficiency - Hiệu suất Chuỗi cung ứng</t>
        </is>
      </c>
      <c r="F902" s="114">
        <f>HYPERLINK("https://youglish.com/pronounce/供应链效率/chinese","🔍")</f>
        <v/>
      </c>
    </row>
    <row r="903" ht="28.5" customHeight="1" s="99">
      <c r="A903" s="94" t="inlineStr">
        <is>
          <t>PDF_Tiếng trung Full BỘ BCT.pdf</t>
        </is>
      </c>
      <c r="B903" s="95" t="inlineStr">
        <is>
          <t>54</t>
        </is>
      </c>
      <c r="C903" s="94" t="inlineStr">
        <is>
          <t>供应链危机应对</t>
        </is>
      </c>
      <c r="D903" s="94" t="inlineStr">
        <is>
          <t>Gōngyìngliàn Wēijī Yìngduì) - Supply Chain Crisis Response - Phản ứng trước Khủng hoảng trong Chuỗi cung ứng</t>
        </is>
      </c>
      <c r="E903" s="94" t="inlineStr">
        <is>
          <t>54. 供应链危机应对 (Gōngyìngliàn Wēijī Yìngduì) - Supply Chain Crisis Response - Phản ứng trước Khủng hoảng trong Chuỗi cung ứng</t>
        </is>
      </c>
      <c r="F903" s="115">
        <f>HYPERLINK("https://youglish.com/pronounce/供应链危机应对/chinese","🔍")</f>
        <v/>
      </c>
    </row>
    <row r="904" ht="28.5" customHeight="1" s="99">
      <c r="A904" s="92" t="inlineStr">
        <is>
          <t>PDF_Tiếng trung Full BỘ BCT.pdf</t>
        </is>
      </c>
      <c r="B904" s="93" t="inlineStr">
        <is>
          <t>55</t>
        </is>
      </c>
      <c r="C904" s="92" t="inlineStr">
        <is>
          <t>物料跟踪系统</t>
        </is>
      </c>
      <c r="D904" s="92" t="inlineStr">
        <is>
          <t>Wùliào Gēnzuī Xìtǒng) - Material Tracking System - Hệ thống Theo dõi Vật liệu</t>
        </is>
      </c>
      <c r="E904" s="92" t="inlineStr">
        <is>
          <t>55. 物料跟踪系统 (Wùliào Gēnzuī Xìtǒng) - Material Tracking System - Hệ thống Theo dõi Vật liệu</t>
        </is>
      </c>
      <c r="F904" s="114">
        <f>HYPERLINK("https://youglish.com/pronounce/物料跟踪系统/chinese","🔍")</f>
        <v/>
      </c>
    </row>
    <row r="905" ht="28.5" customHeight="1" s="99">
      <c r="A905" s="94" t="inlineStr">
        <is>
          <t>PDF_Tiếng trung Full BỘ BCT.pdf</t>
        </is>
      </c>
      <c r="B905" s="95" t="inlineStr">
        <is>
          <t>56</t>
        </is>
      </c>
      <c r="C905" s="94" t="inlineStr">
        <is>
          <t>紧缺物料管理</t>
        </is>
      </c>
      <c r="D905" s="94" t="inlineStr">
        <is>
          <t>Jǐnquē Wùliào Guǎnlǐ) - Shortage Material Management - Quản lý Vật liệu Thiếu hụt</t>
        </is>
      </c>
      <c r="E905" s="94" t="inlineStr">
        <is>
          <t>56. 紧缺物料管理 (Jǐnquē Wùliào Guǎnlǐ) - Shortage Material Management - Quản lý Vật liệu Thiếu hụt</t>
        </is>
      </c>
      <c r="F905" s="115">
        <f>HYPERLINK("https://youglish.com/pronounce/紧缺物料管理/chinese","🔍")</f>
        <v/>
      </c>
    </row>
    <row r="906" ht="28.5" customHeight="1" s="99">
      <c r="A906" s="92" t="inlineStr">
        <is>
          <t>PDF_Tiếng trung Full BỘ BCT.pdf</t>
        </is>
      </c>
      <c r="B906" s="93" t="inlineStr">
        <is>
          <t>57</t>
        </is>
      </c>
      <c r="C906" s="92" t="inlineStr">
        <is>
          <t>定期供应商评估</t>
        </is>
      </c>
      <c r="D906" s="92" t="inlineStr">
        <is>
          <t>Dìngqī Gōngyìngshāng Pínggū) - Periodic Vendor Assessment - Đánh giá Định kỳ Nhà cung cấp</t>
        </is>
      </c>
      <c r="E906" s="92" t="inlineStr">
        <is>
          <t>57. 定期供应商评估 (Dìngqī Gōngyìngshāng Pínggū) - Periodic Vendor Assessment - Đánh giá Định kỳ Nhà cung cấp</t>
        </is>
      </c>
      <c r="F906" s="114">
        <f>HYPERLINK("https://youglish.com/pronounce/定期供应商评估/chinese","🔍")</f>
        <v/>
      </c>
    </row>
    <row r="907" ht="28.5" customHeight="1" s="99">
      <c r="A907" s="94" t="inlineStr">
        <is>
          <t>PDF_Tiếng trung Full BỘ BCT.pdf</t>
        </is>
      </c>
      <c r="B907" s="95" t="inlineStr">
        <is>
          <t>58</t>
        </is>
      </c>
      <c r="C907" s="94" t="inlineStr">
        <is>
          <t>供应链可持续性</t>
        </is>
      </c>
      <c r="D907" s="94" t="inlineStr">
        <is>
          <t>Gōngyìngliàn Kěchíxù Xìng) - Supply Chain Sustainability - Bền vững trong Chuỗi cung ứng</t>
        </is>
      </c>
      <c r="E907" s="94" t="inlineStr">
        <is>
          <t>58. 供应链可持续性 (Gōngyìngliàn Kěchíxù Xìng) - Supply Chain Sustainability - Bền vững trong Chuỗi cung ứng</t>
        </is>
      </c>
      <c r="F907" s="115">
        <f>HYPERLINK("https://youglish.com/pronounce/供应链可持续性/chinese","🔍")</f>
        <v/>
      </c>
    </row>
    <row r="908">
      <c r="A908" s="92" t="inlineStr">
        <is>
          <t>PDF_Tiếng trung Full BỘ BCT.pdf</t>
        </is>
      </c>
      <c r="B908" s="93" t="inlineStr">
        <is>
          <t>59</t>
        </is>
      </c>
      <c r="C908" s="92" t="inlineStr">
        <is>
          <t>库存成本</t>
        </is>
      </c>
      <c r="D908" s="92" t="inlineStr">
        <is>
          <t>Kùcún Chéngběn) - Inventory Cost - Chi phí Kho</t>
        </is>
      </c>
      <c r="E908" s="92" t="inlineStr">
        <is>
          <t>59. 库存成本 (Kùcún Chéngběn) - Inventory Cost - Chi phí Kho</t>
        </is>
      </c>
      <c r="F908" s="114">
        <f>HYPERLINK("https://youglish.com/pronounce/库存成本/chinese","🔍")</f>
        <v/>
      </c>
    </row>
    <row r="909" ht="28.5" customHeight="1" s="99">
      <c r="A909" s="94" t="inlineStr">
        <is>
          <t>PDF_Tiếng trung Full BỘ BCT.pdf</t>
        </is>
      </c>
      <c r="B909" s="95" t="inlineStr">
        <is>
          <t>60</t>
        </is>
      </c>
      <c r="C909" s="94" t="inlineStr">
        <is>
          <t>生产资源规划</t>
        </is>
      </c>
      <c r="D909" s="94" t="inlineStr">
        <is>
          <t>Shēngchǎn Zīyuán Guīhuà) - Production Resource Planning - Kế hoạch Quản lý Tài nguyên Sản xuất</t>
        </is>
      </c>
      <c r="E909" s="94" t="inlineStr">
        <is>
          <t>60. 生产资源规划 (Shēngchǎn Zīyuán Guīhuà) - Production Resource Planning - Kế hoạch Quản lý Tài nguyên Sản xuất</t>
        </is>
      </c>
      <c r="F909" s="115">
        <f>HYPERLINK("https://youglish.com/pronounce/生产资源规划/chinese","🔍")</f>
        <v/>
      </c>
    </row>
    <row r="910">
      <c r="A910" s="92" t="inlineStr">
        <is>
          <t>PDF_Tiếng trung Full BỘ BCT.pdf</t>
        </is>
      </c>
      <c r="B910" s="93" t="inlineStr">
        <is>
          <t>61</t>
        </is>
      </c>
      <c r="C910" s="92" t="inlineStr">
        <is>
          <t>订货周期</t>
        </is>
      </c>
      <c r="D910" s="92" t="inlineStr">
        <is>
          <t>Dìnghuò Zhōuqī) - Order Cycle - Chu kỳ Đặt hàng</t>
        </is>
      </c>
      <c r="E910" s="92" t="inlineStr">
        <is>
          <t>61. 订货周期 (Dìnghuò Zhōuqī) - Order Cycle - Chu kỳ Đặt hàng</t>
        </is>
      </c>
      <c r="F910" s="114">
        <f>HYPERLINK("https://youglish.com/pronounce/订货周期/chinese","🔍")</f>
        <v/>
      </c>
    </row>
    <row r="911">
      <c r="A911" s="94" t="inlineStr">
        <is>
          <t>PDF_Tiếng trung Full BỘ BCT.pdf</t>
        </is>
      </c>
      <c r="B911" s="95" t="inlineStr">
        <is>
          <t>62</t>
        </is>
      </c>
      <c r="C911" s="94" t="inlineStr">
        <is>
          <t>物流效率</t>
        </is>
      </c>
      <c r="D911" s="94" t="inlineStr">
        <is>
          <t>Wùliú Xiàolǜ) - Logistics Efficiency - Hiệu suất Logistics</t>
        </is>
      </c>
      <c r="E911" s="94" t="inlineStr">
        <is>
          <t>62. 物流效率 (Wùliú Xiàolǜ) - Logistics Efficiency - Hiệu suất Logistics</t>
        </is>
      </c>
      <c r="F911" s="115">
        <f>HYPERLINK("https://youglish.com/pronounce/物流效率/chinese","🔍")</f>
        <v/>
      </c>
    </row>
    <row r="912" ht="28.5" customHeight="1" s="99">
      <c r="A912" s="92" t="inlineStr">
        <is>
          <t>PDF_Tiếng trung Full BỘ BCT.pdf</t>
        </is>
      </c>
      <c r="B912" s="93" t="inlineStr">
        <is>
          <t>63</t>
        </is>
      </c>
      <c r="C912" s="92" t="inlineStr">
        <is>
          <t>供应链映射</t>
        </is>
      </c>
      <c r="D912" s="92" t="inlineStr">
        <is>
          <t>Gōngyìngliàn Yìngshè) - Supply Chain Mapping - Đồng bộ hóa Chuỗi cung ứng</t>
        </is>
      </c>
      <c r="E912" s="92" t="inlineStr">
        <is>
          <t>63. 供应链映射 (Gōngyìngliàn Yìngshè) - Supply Chain Mapping - Đồng bộ hóa Chuỗi cung ứng</t>
        </is>
      </c>
      <c r="F912" s="114">
        <f>HYPERLINK("https://youglish.com/pronounce/供应链映射/chinese","🔍")</f>
        <v/>
      </c>
    </row>
    <row r="913">
      <c r="A913" s="94" t="inlineStr">
        <is>
          <t>PDF_Tiếng trung Full BỘ BCT.pdf</t>
        </is>
      </c>
      <c r="B913" s="95" t="inlineStr">
        <is>
          <t>64</t>
        </is>
      </c>
      <c r="C913" s="94" t="inlineStr">
        <is>
          <t>交付绩效</t>
        </is>
      </c>
      <c r="D913" s="94" t="inlineStr">
        <is>
          <t>Jiāofù Jīxiào) - Delivery Performance - Hiệu suất Giao hàng</t>
        </is>
      </c>
      <c r="E913" s="94" t="inlineStr">
        <is>
          <t>64. 交付绩效 (Jiāofù Jīxiào) - Delivery Performance - Hiệu suất Giao hàng</t>
        </is>
      </c>
      <c r="F913" s="115">
        <f>HYPERLINK("https://youglish.com/pronounce/交付绩效/chinese","🔍")</f>
        <v/>
      </c>
    </row>
    <row r="914">
      <c r="A914" s="92" t="inlineStr">
        <is>
          <t>PDF_Tiếng trung Full BỘ BCT.pdf</t>
        </is>
      </c>
      <c r="B914" s="93" t="inlineStr">
        <is>
          <t>65</t>
        </is>
      </c>
      <c r="C914" s="92" t="inlineStr">
        <is>
          <t>货运成本</t>
        </is>
      </c>
      <c r="D914" s="92" t="inlineStr">
        <is>
          <t>Huòyùn Chéngběn) - Freight Cost - Chi phí Vận chuyển</t>
        </is>
      </c>
      <c r="E914" s="92" t="inlineStr">
        <is>
          <t>65. 货运成本 (Huòyùn Chéngběn) - Freight Cost - Chi phí Vận chuyển</t>
        </is>
      </c>
      <c r="F914" s="114">
        <f>HYPERLINK("https://youglish.com/pronounce/货运成本/chinese","🔍")</f>
        <v/>
      </c>
    </row>
    <row r="915">
      <c r="A915" s="94" t="inlineStr">
        <is>
          <t>PDF_Tiếng trung Full BỘ BCT.pdf</t>
        </is>
      </c>
      <c r="B915" s="95" t="inlineStr">
        <is>
          <t>66</t>
        </is>
      </c>
      <c r="C915" s="94" t="inlineStr">
        <is>
          <t>进货周期</t>
        </is>
      </c>
      <c r="D915" s="94" t="inlineStr">
        <is>
          <t>Jìnhuò Zhōuqī) - Replenishment Cycle - Chu kỳ Nhập hàng</t>
        </is>
      </c>
      <c r="E915" s="94" t="inlineStr">
        <is>
          <t>66. 进货周期 (Jìnhuò Zhōuqī) - Replenishment Cycle - Chu kỳ Nhập hàng</t>
        </is>
      </c>
      <c r="F915" s="115">
        <f>HYPERLINK("https://youglish.com/pronounce/进货周期/chinese","🔍")</f>
        <v/>
      </c>
    </row>
    <row r="916" ht="28.5" customHeight="1" s="99">
      <c r="A916" s="92" t="inlineStr">
        <is>
          <t>PDF_Tiếng trung Full BỘ BCT.pdf</t>
        </is>
      </c>
      <c r="B916" s="93" t="inlineStr">
        <is>
          <t>67</t>
        </is>
      </c>
      <c r="C916" s="92" t="inlineStr">
        <is>
          <t>定制供应链</t>
        </is>
      </c>
      <c r="D916" s="92" t="inlineStr">
        <is>
          <t>Dìngzhì Gōngyìngliàn) - Customized Supply Chain - Chuỗi cung ứng Đặt hàng theo yêu cầu</t>
        </is>
      </c>
      <c r="E916" s="92" t="inlineStr">
        <is>
          <t>67. 定制供应链 (Dìngzhì Gōngyìngliàn) - Customized Supply Chain - Chuỗi cung ứng Đặt hàng theo yêu cầu</t>
        </is>
      </c>
      <c r="F916" s="114">
        <f>HYPERLINK("https://youglish.com/pronounce/定制供应链/chinese","🔍")</f>
        <v/>
      </c>
    </row>
    <row r="917">
      <c r="A917" s="94" t="inlineStr">
        <is>
          <t>PDF_Tiếng trung Full BỘ BCT.pdf</t>
        </is>
      </c>
      <c r="B917" s="95" t="inlineStr">
        <is>
          <t>68</t>
        </is>
      </c>
      <c r="C917" s="94" t="inlineStr">
        <is>
          <t>品质检验</t>
        </is>
      </c>
      <c r="D917" s="94" t="inlineStr">
        <is>
          <t>Pǐnzhì Jiǎnyàn) - Quality Inspection - Kiểm tra Chất lượng</t>
        </is>
      </c>
      <c r="E917" s="94" t="inlineStr">
        <is>
          <t>68. 品质检验 (Pǐnzhì Jiǎnyàn) - Quality Inspection - Kiểm tra Chất lượng</t>
        </is>
      </c>
      <c r="F917" s="115">
        <f>HYPERLINK("https://youglish.com/pronounce/品质检验/chinese","🔍")</f>
        <v/>
      </c>
    </row>
    <row r="918" ht="28.5" customHeight="1" s="99">
      <c r="A918" s="92" t="inlineStr">
        <is>
          <t>PDF_Tiếng trung Full BỘ BCT.pdf</t>
        </is>
      </c>
      <c r="B918" s="93" t="inlineStr">
        <is>
          <t>69</t>
        </is>
      </c>
      <c r="C918" s="92" t="inlineStr">
        <is>
          <t>供应链协调</t>
        </is>
      </c>
      <c r="D918" s="92" t="inlineStr">
        <is>
          <t>Gōngyìngliàn Xiétiáo) - Supply Chain Coordination - Điều phối Chuỗi cung ứng</t>
        </is>
      </c>
      <c r="E918" s="92" t="inlineStr">
        <is>
          <t>69. 供应链协调 (Gōngyìngliàn Xiétiáo) - Supply Chain Coordination - Điều phối Chuỗi cung ứng</t>
        </is>
      </c>
      <c r="F918" s="114">
        <f>HYPERLINK("https://youglish.com/pronounce/供应链协调/chinese","🔍")</f>
        <v/>
      </c>
    </row>
    <row r="919" ht="28.5" customHeight="1" s="99">
      <c r="A919" s="94" t="inlineStr">
        <is>
          <t>PDF_Tiếng trung Full BỘ BCT.pdf</t>
        </is>
      </c>
      <c r="B919" s="95" t="inlineStr">
        <is>
          <t>70</t>
        </is>
      </c>
      <c r="C919" s="94" t="inlineStr">
        <is>
          <t>需求满足率</t>
        </is>
      </c>
      <c r="D919" s="94" t="inlineStr">
        <is>
          <t>Xūqiú Mǎnzú Lǜ) - Demand Fulfillment Rate - Tỷ lệ Đáp ứng Nhu cầu</t>
        </is>
      </c>
      <c r="E919" s="94" t="inlineStr">
        <is>
          <t>70. 需求满足率 (Xūqiú Mǎnzú Lǜ) - Demand Fulfillment Rate - Tỷ lệ Đáp ứng Nhu cầu</t>
        </is>
      </c>
      <c r="F919" s="115">
        <f>HYPERLINK("https://youglish.com/pronounce/需求满足率/chinese","🔍")</f>
        <v/>
      </c>
    </row>
    <row r="920" ht="28.5" customHeight="1" s="99">
      <c r="A920" s="92" t="inlineStr">
        <is>
          <t>PDF_Tiếng trung Full BỘ BCT.pdf</t>
        </is>
      </c>
      <c r="B920" s="93" t="inlineStr">
        <is>
          <t>71</t>
        </is>
      </c>
      <c r="C920" s="92" t="inlineStr">
        <is>
          <t>供应链数字化</t>
        </is>
      </c>
      <c r="D920" s="92" t="inlineStr">
        <is>
          <t>Gōngyìngliàn Shùzìhuà) - Digitalization of Supply Chain - Số hóa Chuỗi cung ứng</t>
        </is>
      </c>
      <c r="E920" s="92" t="inlineStr">
        <is>
          <t>71. 供应链数字化 (Gōngyìngliàn Shùzìhuà) - Digitalization of Supply Chain - Số hóa Chuỗi cung ứng</t>
        </is>
      </c>
      <c r="F920" s="114">
        <f>HYPERLINK("https://youglish.com/pronounce/供应链数字化/chinese","🔍")</f>
        <v/>
      </c>
    </row>
    <row r="921" ht="28.5" customHeight="1" s="99">
      <c r="A921" s="94" t="inlineStr">
        <is>
          <t>PDF_Tiếng trung Full BỘ BCT.pdf</t>
        </is>
      </c>
      <c r="B921" s="95" t="inlineStr">
        <is>
          <t>72</t>
        </is>
      </c>
      <c r="C921" s="94" t="inlineStr">
        <is>
          <t>物流合作伙伴</t>
        </is>
      </c>
      <c r="D921" s="94" t="inlineStr">
        <is>
          <t>Wùliú Hézuò Huǒbàn) - Logistics Partners - Đối tác Logistics</t>
        </is>
      </c>
      <c r="E921" s="94" t="inlineStr">
        <is>
          <t>72. 物流合作伙伴 (Wùliú Hézuò Huǒbàn) - Logistics Partners - Đối tác Logistics</t>
        </is>
      </c>
      <c r="F921" s="115">
        <f>HYPERLINK("https://youglish.com/pronounce/物流合作伙伴/chinese","🔍")</f>
        <v/>
      </c>
    </row>
    <row r="922" ht="28.5" customHeight="1" s="99">
      <c r="A922" s="92" t="inlineStr">
        <is>
          <t>PDF_Tiếng trung Full BỘ BCT.pdf</t>
        </is>
      </c>
      <c r="B922" s="93" t="inlineStr">
        <is>
          <t>73</t>
        </is>
      </c>
      <c r="C922" s="92" t="inlineStr">
        <is>
          <t>生产排程优化</t>
        </is>
      </c>
      <c r="D922" s="92" t="inlineStr">
        <is>
          <t>Shēngchǎn Páiché Yōuhuà) - Production Scheduling Optimization - Tối ưu hóa Lịch trình Sản xuất</t>
        </is>
      </c>
      <c r="E922" s="92" t="inlineStr">
        <is>
          <t>73. 生产排程优化 (Shēngchǎn Páiché Yōuhuà) - Production Scheduling Optimization - Tối ưu hóa Lịch trình Sản xuất</t>
        </is>
      </c>
      <c r="F922" s="114">
        <f>HYPERLINK("https://youglish.com/pronounce/生产排程优化/chinese","🔍")</f>
        <v/>
      </c>
    </row>
    <row r="923">
      <c r="A923" s="94" t="inlineStr">
        <is>
          <t>PDF_Tiếng trung Full BỘ BCT.pdf</t>
        </is>
      </c>
      <c r="B923" s="95" t="inlineStr">
        <is>
          <t>74</t>
        </is>
      </c>
      <c r="C923" s="94" t="inlineStr">
        <is>
          <t>储备库存</t>
        </is>
      </c>
      <c r="D923" s="94" t="inlineStr">
        <is>
          <t>Chǔbèi Kùcún) - Safety Stock - Kho dự trữ</t>
        </is>
      </c>
      <c r="E923" s="94" t="inlineStr">
        <is>
          <t>74. 储备库存 (Chǔbèi Kùcún) - Safety Stock - Kho dự trữ</t>
        </is>
      </c>
      <c r="F923" s="115">
        <f>HYPERLINK("https://youglish.com/pronounce/储备库存/chinese","🔍")</f>
        <v/>
      </c>
    </row>
    <row r="924">
      <c r="A924" s="92" t="inlineStr">
        <is>
          <t>PDF_Tiếng trung Full BỘ BCT.pdf</t>
        </is>
      </c>
      <c r="B924" s="93" t="inlineStr">
        <is>
          <t>75</t>
        </is>
      </c>
      <c r="C924" s="92" t="inlineStr">
        <is>
          <t>持续改进</t>
        </is>
      </c>
      <c r="D924" s="92" t="inlineStr">
        <is>
          <t>Chíxù Gǎijìn) - Continuous Improvement - Cải tiến liên tục</t>
        </is>
      </c>
      <c r="E924" s="92" t="inlineStr">
        <is>
          <t>75. 持续改进 (Chíxù Gǎijìn) - Continuous Improvement - Cải tiến liên tục</t>
        </is>
      </c>
      <c r="F924" s="114">
        <f>HYPERLINK("https://youglish.com/pronounce/持续改进/chinese","🔍")</f>
        <v/>
      </c>
    </row>
    <row r="925" ht="28.5" customHeight="1" s="99">
      <c r="A925" s="94" t="inlineStr">
        <is>
          <t>PDF_Tiếng trung Full BỘ BCT.pdf</t>
        </is>
      </c>
      <c r="B925" s="95" t="inlineStr">
        <is>
          <t>76</t>
        </is>
      </c>
      <c r="C925" s="94" t="inlineStr">
        <is>
          <t>供应链执行</t>
        </is>
      </c>
      <c r="D925" s="94" t="inlineStr">
        <is>
          <t>Gōngyìngliàn Zhíxíng) - Supply Chain Execution - Thực hiện Chuỗi cung ứng</t>
        </is>
      </c>
      <c r="E925" s="94" t="inlineStr">
        <is>
          <t>76. 供应链执行 (Gōngyìngliàn Zhíxíng) - Supply Chain Execution - Thực hiện Chuỗi cung ứng</t>
        </is>
      </c>
      <c r="F925" s="115">
        <f>HYPERLINK("https://youglish.com/pronounce/供应链执行/chinese","🔍")</f>
        <v/>
      </c>
    </row>
    <row r="926" ht="28.5" customHeight="1" s="99">
      <c r="A926" s="92" t="inlineStr">
        <is>
          <t>PDF_Tiếng trung Full BỘ BCT.pdf</t>
        </is>
      </c>
      <c r="B926" s="93" t="inlineStr">
        <is>
          <t>77</t>
        </is>
      </c>
      <c r="C926" s="92" t="inlineStr">
        <is>
          <t>供应商审核</t>
        </is>
      </c>
      <c r="D926" s="92" t="inlineStr">
        <is>
          <t>Gōngyìngshāng Shěnghé) - Vendor Audit - Kiểm tra Nhà cung cấp</t>
        </is>
      </c>
      <c r="E926" s="92" t="inlineStr">
        <is>
          <t>77. 供应商审核 (Gōngyìngshāng Shěnghé) - Vendor Audit - Kiểm tra Nhà cung cấp</t>
        </is>
      </c>
      <c r="F926" s="114">
        <f>HYPERLINK("https://youglish.com/pronounce/供应商审核/chinese","🔍")</f>
        <v/>
      </c>
    </row>
    <row r="927">
      <c r="A927" s="94" t="inlineStr">
        <is>
          <t>PDF_Tiếng trung Full BỘ BCT.pdf</t>
        </is>
      </c>
      <c r="B927" s="95" t="inlineStr">
        <is>
          <t>78</t>
        </is>
      </c>
      <c r="C927" s="94" t="inlineStr">
        <is>
          <t>拣货流程</t>
        </is>
      </c>
      <c r="D927" s="94" t="inlineStr">
        <is>
          <t>Jiǎnhuò Liúchéng) - Picking Process - Quy trình Chọn hàng</t>
        </is>
      </c>
      <c r="E927" s="94" t="inlineStr">
        <is>
          <t>78. 拣货流程 (Jiǎnhuò Liúchéng) - Picking Process - Quy trình Chọn hàng</t>
        </is>
      </c>
      <c r="F927" s="115">
        <f>HYPERLINK("https://youglish.com/pronounce/拣货流程/chinese","🔍")</f>
        <v/>
      </c>
    </row>
    <row r="928" ht="28.5" customHeight="1" s="99">
      <c r="A928" s="92" t="inlineStr">
        <is>
          <t>PDF_Tiếng trung Full BỘ BCT.pdf</t>
        </is>
      </c>
      <c r="B928" s="93" t="inlineStr">
        <is>
          <t>79</t>
        </is>
      </c>
      <c r="C928" s="92" t="inlineStr">
        <is>
          <t>货运网络</t>
        </is>
      </c>
      <c r="D928" s="92" t="inlineStr">
        <is>
          <t>Huòyùn Wǎngluò) - Freight Network - Mạng lưới Vận chuyển</t>
        </is>
      </c>
      <c r="E928" s="92" t="inlineStr">
        <is>
          <t>79. 货运网络 (Huòyùn Wǎngluò) - Freight Network - Mạng lưới Vận chuyển</t>
        </is>
      </c>
      <c r="F928" s="114">
        <f>HYPERLINK("https://youglish.com/pronounce/货运网络/chinese","🔍")</f>
        <v/>
      </c>
    </row>
    <row r="929" ht="28.5" customHeight="1" s="99">
      <c r="A929" s="94" t="inlineStr">
        <is>
          <t>PDF_Tiếng trung Full BỘ BCT.pdf</t>
        </is>
      </c>
      <c r="B929" s="95" t="inlineStr">
        <is>
          <t>80</t>
        </is>
      </c>
      <c r="C929" s="94" t="inlineStr">
        <is>
          <t>供应链可靠性</t>
        </is>
      </c>
      <c r="D929" s="94" t="inlineStr">
        <is>
          <t>Gōngyìngliàn Kěkàoxìng) - Supply Chain Reliability - Độ tin cậy của Chuỗi cung ứng</t>
        </is>
      </c>
      <c r="E929" s="94" t="inlineStr">
        <is>
          <t>80. 供应链可靠性 (Gōngyìngliàn Kěkàoxìng) - Supply Chain Reliability - Độ tin cậy của Chuỗi cung ứng</t>
        </is>
      </c>
      <c r="F929" s="115">
        <f>HYPERLINK("https://youglish.com/pronounce/供应链可靠性/chinese","🔍")</f>
        <v/>
      </c>
    </row>
    <row r="930" ht="28.5" customHeight="1" s="99">
      <c r="A930" s="92" t="inlineStr">
        <is>
          <t>PDF_Tiếng trung Full BỘ BCT.pdf</t>
        </is>
      </c>
      <c r="B930" s="93" t="inlineStr">
        <is>
          <t>81</t>
        </is>
      </c>
      <c r="C930" s="92" t="inlineStr">
        <is>
          <t>供应链审计</t>
        </is>
      </c>
      <c r="D930" s="92" t="inlineStr">
        <is>
          <t>Gōngyìngliàn Shěnjì) - Supply Chain Audit - Kiểm toán Chuỗi cung ứng</t>
        </is>
      </c>
      <c r="E930" s="92" t="inlineStr">
        <is>
          <t>81. 供应链审计 (Gōngyìngliàn Shěnjì) - Supply Chain Audit - Kiểm toán Chuỗi cung ứng</t>
        </is>
      </c>
      <c r="F930" s="114">
        <f>HYPERLINK("https://youglish.com/pronounce/供应链审计/chinese","🔍")</f>
        <v/>
      </c>
    </row>
    <row r="931" ht="28.5" customHeight="1" s="99">
      <c r="A931" s="94" t="inlineStr">
        <is>
          <t>PDF_Tiếng trung Full BỘ BCT.pdf</t>
        </is>
      </c>
      <c r="B931" s="95" t="inlineStr">
        <is>
          <t>82</t>
        </is>
      </c>
      <c r="C931" s="94" t="inlineStr">
        <is>
          <t>供应商协议</t>
        </is>
      </c>
      <c r="D931" s="94" t="inlineStr">
        <is>
          <t>Gōngyìngshāng Xiéyì) - Vendor Agreement - Thỏa thuận với Nhà cung cấp</t>
        </is>
      </c>
      <c r="E931" s="94" t="inlineStr">
        <is>
          <t>82. 供应商协议 (Gōngyìngshāng Xiéyì) - Vendor Agreement - Thỏa thuận với Nhà cung cấp</t>
        </is>
      </c>
      <c r="F931" s="115">
        <f>HYPERLINK("https://youglish.com/pronounce/供应商协议/chinese","🔍")</f>
        <v/>
      </c>
    </row>
    <row r="932" ht="28.5" customHeight="1" s="99">
      <c r="A932" s="92" t="inlineStr">
        <is>
          <t>PDF_Tiếng trung Full BỘ BCT.pdf</t>
        </is>
      </c>
      <c r="B932" s="93" t="inlineStr">
        <is>
          <t>83</t>
        </is>
      </c>
      <c r="C932" s="92" t="inlineStr">
        <is>
          <t>货运管理系统</t>
        </is>
      </c>
      <c r="D932" s="92" t="inlineStr">
        <is>
          <t>Huòyùn Guǎnlǐ Xìtǒng) - Freight Management System - Hệ thống Quản lý Vận chuyển</t>
        </is>
      </c>
      <c r="E932" s="92" t="inlineStr">
        <is>
          <t>83. 货运管理系统 (Huòyùn Guǎnlǐ Xìtǒng) - Freight Management System - Hệ thống Quản lý Vận chuyển</t>
        </is>
      </c>
      <c r="F932" s="114">
        <f>HYPERLINK("https://youglish.com/pronounce/货运管理系统/chinese","🔍")</f>
        <v/>
      </c>
    </row>
    <row r="933">
      <c r="A933" s="94" t="inlineStr">
        <is>
          <t>PDF_Tiếng trung Full BỘ BCT.pdf</t>
        </is>
      </c>
      <c r="B933" s="95" t="inlineStr">
        <is>
          <t>84</t>
        </is>
      </c>
      <c r="C933" s="94" t="inlineStr">
        <is>
          <t>周转时间</t>
        </is>
      </c>
      <c r="D933" s="94" t="inlineStr">
        <is>
          <t>Zhōuzuǎn Shíjiān) - Turnaround Time - Thời gian Quay vòng</t>
        </is>
      </c>
      <c r="E933" s="94" t="inlineStr">
        <is>
          <t>84. 周转时间 (Zhōuzuǎn Shíjiān) - Turnaround Time - Thời gian Quay vòng</t>
        </is>
      </c>
      <c r="F933" s="115">
        <f>HYPERLINK("https://youglish.com/pronounce/周转时间/chinese","🔍")</f>
        <v/>
      </c>
    </row>
    <row r="934">
      <c r="A934" s="92" t="inlineStr">
        <is>
          <t>PDF_Tiếng trung Full BỘ BCT.pdf</t>
        </is>
      </c>
      <c r="B934" s="93" t="inlineStr">
        <is>
          <t>85</t>
        </is>
      </c>
      <c r="C934" s="92" t="inlineStr">
        <is>
          <t>订货量</t>
        </is>
      </c>
      <c r="D934" s="92" t="inlineStr">
        <is>
          <t>Dìnghuò Liàng) - Order Quantity - Số lượng Đặt hàng</t>
        </is>
      </c>
      <c r="E934" s="92" t="inlineStr">
        <is>
          <t>85. 订货量 (Dìnghuò Liàng) - Order Quantity - Số lượng Đặt hàng</t>
        </is>
      </c>
      <c r="F934" s="114">
        <f>HYPERLINK("https://youglish.com/pronounce/订货量/chinese","🔍")</f>
        <v/>
      </c>
    </row>
    <row r="935">
      <c r="A935" s="94" t="inlineStr">
        <is>
          <t>PDF_Tiếng trung Full BỘ BCT.pdf</t>
        </is>
      </c>
      <c r="B935" s="95" t="inlineStr">
        <is>
          <t>86</t>
        </is>
      </c>
      <c r="C935" s="94" t="inlineStr">
        <is>
          <t>生产效益</t>
        </is>
      </c>
      <c r="D935" s="94" t="inlineStr">
        <is>
          <t>Shēngchǎn Xiàoyì) - Production Yield - Hiệu suất Sản xuất</t>
        </is>
      </c>
      <c r="E935" s="94" t="inlineStr">
        <is>
          <t>86. 生产效益 (Shēngchǎn Xiàoyì) - Production Yield - Hiệu suất Sản xuất</t>
        </is>
      </c>
      <c r="F935" s="115">
        <f>HYPERLINK("https://youglish.com/pronounce/生产效益/chinese","🔍")</f>
        <v/>
      </c>
    </row>
    <row r="936">
      <c r="A936" s="92" t="inlineStr">
        <is>
          <t>PDF_Tiếng trung Full BỘ BCT.pdf</t>
        </is>
      </c>
      <c r="B936" s="93" t="inlineStr">
        <is>
          <t>87</t>
        </is>
      </c>
      <c r="C936" s="92" t="inlineStr">
        <is>
          <t>货物跟踪</t>
        </is>
      </c>
      <c r="D936" s="92" t="inlineStr">
        <is>
          <t>Huòwù Gēnzuī) - Cargo Tracking - Theo dõi Hàng hóa</t>
        </is>
      </c>
      <c r="E936" s="92" t="inlineStr">
        <is>
          <t>87. 货物跟踪 (Huòwù Gēnzuī) - Cargo Tracking - Theo dõi Hàng hóa</t>
        </is>
      </c>
      <c r="F936" s="114">
        <f>HYPERLINK("https://youglish.com/pronounce/货物跟踪/chinese","🔍")</f>
        <v/>
      </c>
    </row>
    <row r="937" ht="28.5" customHeight="1" s="99">
      <c r="A937" s="94" t="inlineStr">
        <is>
          <t>PDF_Tiếng trung Full BỘ BCT.pdf</t>
        </is>
      </c>
      <c r="B937" s="95" t="inlineStr">
        <is>
          <t>88</t>
        </is>
      </c>
      <c r="C937" s="94" t="inlineStr">
        <is>
          <t>供应商履约</t>
        </is>
      </c>
      <c r="D937" s="94" t="inlineStr">
        <is>
          <t>Gōngyìngshāng Lǚyuē) - Vendor Compliance - Tuân thủ từ phía Nhà cung cấp</t>
        </is>
      </c>
      <c r="E937" s="94" t="inlineStr">
        <is>
          <t>88. 供应商履约 (Gōngyìngshāng Lǚyuē) - Vendor Compliance - Tuân thủ từ phía Nhà cung cấp</t>
        </is>
      </c>
      <c r="F937" s="115">
        <f>HYPERLINK("https://youglish.com/pronounce/供应商履约/chinese","🔍")</f>
        <v/>
      </c>
    </row>
    <row r="938" ht="28.5" customHeight="1" s="99">
      <c r="A938" s="92" t="inlineStr">
        <is>
          <t>PDF_Tiếng trung Full BỘ BCT.pdf</t>
        </is>
      </c>
      <c r="B938" s="93" t="inlineStr">
        <is>
          <t>89</t>
        </is>
      </c>
      <c r="C938" s="92" t="inlineStr">
        <is>
          <t>生产过程控制</t>
        </is>
      </c>
      <c r="D938" s="92" t="inlineStr">
        <is>
          <t>Shēngchǎn Guòchéng Kòngzhì) - Production Process Control - Kiểm soát Quy trình Sản xuất</t>
        </is>
      </c>
      <c r="E938" s="92" t="inlineStr">
        <is>
          <t>89. 生产过程控制 (Shēngchǎn Guòchéng Kòngzhì) - Production Process Control - Kiểm soát Quy trình Sản xuất</t>
        </is>
      </c>
      <c r="F938" s="114">
        <f>HYPERLINK("https://youglish.com/pronounce/生产过程控制/chinese","🔍")</f>
        <v/>
      </c>
    </row>
    <row r="939">
      <c r="A939" s="94" t="inlineStr">
        <is>
          <t>PDF_Tiếng trung Full BỘ BCT.pdf</t>
        </is>
      </c>
      <c r="B939" s="95" t="inlineStr">
        <is>
          <t>90</t>
        </is>
      </c>
      <c r="C939" s="94" t="inlineStr">
        <is>
          <t>库龄</t>
        </is>
      </c>
      <c r="D939" s="94" t="inlineStr">
        <is>
          <t>Kùlíng) - Age of Inventory - Tuổi đời của Kho</t>
        </is>
      </c>
      <c r="E939" s="94" t="inlineStr">
        <is>
          <t>90. 库龄 (Kùlíng) - Age of Inventory - Tuổi đời của Kho</t>
        </is>
      </c>
      <c r="F939" s="115">
        <f>HYPERLINK("https://youglish.com/pronounce/库龄/chinese","🔍")</f>
        <v/>
      </c>
    </row>
    <row r="940" ht="28.5" customHeight="1" s="99">
      <c r="A940" s="92" t="inlineStr">
        <is>
          <t>PDF_Tiếng trung Full BỘ BCT.pdf</t>
        </is>
      </c>
      <c r="B940" s="93" t="inlineStr">
        <is>
          <t>91</t>
        </is>
      </c>
      <c r="C940" s="92" t="inlineStr">
        <is>
          <t>供应链升级</t>
        </is>
      </c>
      <c r="D940" s="92" t="inlineStr">
        <is>
          <t>Gōngyìngliàn Shēngjí) - Supply Chain Upgradation - Nâng cấp Chuỗi cung ứng</t>
        </is>
      </c>
      <c r="E940" s="92" t="inlineStr">
        <is>
          <t>91. 供应链升级 (Gōngyìngliàn Shēngjí) - Supply Chain Upgradation - Nâng cấp Chuỗi cung ứng</t>
        </is>
      </c>
      <c r="F940" s="114">
        <f>HYPERLINK("https://youglish.com/pronounce/供应链升级/chinese","🔍")</f>
        <v/>
      </c>
    </row>
    <row r="941">
      <c r="A941" s="94" t="inlineStr">
        <is>
          <t>PDF_Tiếng trung Full BỘ BCT.pdf</t>
        </is>
      </c>
      <c r="B941" s="95" t="inlineStr">
        <is>
          <t>92</t>
        </is>
      </c>
      <c r="C941" s="94" t="inlineStr">
        <is>
          <t>需求规划</t>
        </is>
      </c>
      <c r="D941" s="94" t="inlineStr">
        <is>
          <t>Xūqiú Guīhuà) - Demand Planning - Kế hoạch Nhu cầu</t>
        </is>
      </c>
      <c r="E941" s="94" t="inlineStr">
        <is>
          <t>92. 需求规划 (Xūqiú Guīhuà) - Demand Planning - Kế hoạch Nhu cầu</t>
        </is>
      </c>
      <c r="F941" s="115">
        <f>HYPERLINK("https://youglish.com/pronounce/需求规划/chinese","🔍")</f>
        <v/>
      </c>
    </row>
    <row r="942" ht="28.5" customHeight="1" s="99">
      <c r="A942" s="92" t="inlineStr">
        <is>
          <t>PDF_Tiếng trung Full BỘ BCT.pdf</t>
        </is>
      </c>
      <c r="B942" s="93" t="inlineStr">
        <is>
          <t>93</t>
        </is>
      </c>
      <c r="C942" s="92" t="inlineStr">
        <is>
          <t>供应链可视化</t>
        </is>
      </c>
      <c r="D942" s="92" t="inlineStr">
        <is>
          <t>Gōngyìngliàn Kěshìhuà) - Supply Chain Visualization - Hình dung hóa Chuỗi cung ứng</t>
        </is>
      </c>
      <c r="E942" s="92" t="inlineStr">
        <is>
          <t>93. 供应链可视化 (Gōngyìngliàn Kěshìhuà) - Supply Chain Visualization - Hình dung hóa Chuỗi cung ứng</t>
        </is>
      </c>
      <c r="F942" s="114">
        <f>HYPERLINK("https://youglish.com/pronounce/供应链可视化/chinese","🔍")</f>
        <v/>
      </c>
    </row>
    <row r="943" ht="28.5" customHeight="1" s="99">
      <c r="A943" s="94" t="inlineStr">
        <is>
          <t>PDF_Tiếng trung Full BỘ BCT.pdf</t>
        </is>
      </c>
      <c r="B943" s="95" t="inlineStr">
        <is>
          <t>94</t>
        </is>
      </c>
      <c r="C943" s="94" t="inlineStr">
        <is>
          <t>配送网络</t>
        </is>
      </c>
      <c r="D943" s="94" t="inlineStr">
        <is>
          <t>Pèisòng Wǎngluò) - Distribution Network - Mạng lưới Phân phối</t>
        </is>
      </c>
      <c r="E943" s="94" t="inlineStr">
        <is>
          <t>94. 配送网络 (Pèisòng Wǎngluò) - Distribution Network - Mạng lưới Phân phối</t>
        </is>
      </c>
      <c r="F943" s="115">
        <f>HYPERLINK("https://youglish.com/pronounce/配送网络/chinese","🔍")</f>
        <v/>
      </c>
    </row>
    <row r="944" ht="28.5" customHeight="1" s="99">
      <c r="A944" s="92" t="inlineStr">
        <is>
          <t>PDF_Tiếng trung Full BỘ BCT.pdf</t>
        </is>
      </c>
      <c r="B944" s="93" t="inlineStr">
        <is>
          <t>95</t>
        </is>
      </c>
      <c r="C944" s="92" t="inlineStr">
        <is>
          <t>供应商配合</t>
        </is>
      </c>
      <c r="D944" s="92" t="inlineStr">
        <is>
          <t>Gōngyìngshāng Pèihé) - Vendor Cooperation - Sự hợp tác từ phía Nhà cung cấp</t>
        </is>
      </c>
      <c r="E944" s="92" t="inlineStr">
        <is>
          <t>95. 供应商配合 (Gōngyìngshāng Pèihé) - Vendor Cooperation - Sự hợp tác từ phía Nhà cung cấp</t>
        </is>
      </c>
      <c r="F944" s="114">
        <f>HYPERLINK("https://youglish.com/pronounce/供应商配合/chinese","🔍")</f>
        <v/>
      </c>
    </row>
    <row r="945">
      <c r="A945" s="94" t="inlineStr">
        <is>
          <t>PDF_Tiếng trung Full BỘ BCT.pdf</t>
        </is>
      </c>
      <c r="B945" s="95" t="inlineStr">
        <is>
          <t>96</t>
        </is>
      </c>
      <c r="C945" s="94" t="inlineStr">
        <is>
          <t>产品跟踪</t>
        </is>
      </c>
      <c r="D945" s="94" t="inlineStr">
        <is>
          <t>Chǎnpǐn Gēnzuī) - Product Tracing - Theo dõi Sản phẩm</t>
        </is>
      </c>
      <c r="E945" s="94" t="inlineStr">
        <is>
          <t>96. 产品跟踪 (Chǎnpǐn Gēnzuī) - Product Tracing - Theo dõi Sản phẩm</t>
        </is>
      </c>
      <c r="F945" s="115">
        <f>HYPERLINK("https://youglish.com/pronounce/产品跟踪/chinese","🔍")</f>
        <v/>
      </c>
    </row>
    <row r="946">
      <c r="A946" s="92" t="inlineStr">
        <is>
          <t>PDF_Tiếng trung Full BỘ BCT.pdf</t>
        </is>
      </c>
      <c r="B946" s="93" t="inlineStr">
        <is>
          <t>97</t>
        </is>
      </c>
      <c r="C946" s="92" t="inlineStr">
        <is>
          <t>延迟交付</t>
        </is>
      </c>
      <c r="D946" s="92" t="inlineStr">
        <is>
          <t>Yánchí Jiāofù) - Delayed Delivery - Giao hàng Trễ</t>
        </is>
      </c>
      <c r="E946" s="92" t="inlineStr">
        <is>
          <t>97. 延迟交付 (Yánchí Jiāofù) - Delayed Delivery - Giao hàng Trễ</t>
        </is>
      </c>
      <c r="F946" s="114">
        <f>HYPERLINK("https://youglish.com/pronounce/延迟交付/chinese","🔍")</f>
        <v/>
      </c>
    </row>
    <row r="947">
      <c r="A947" s="94" t="inlineStr">
        <is>
          <t>PDF_Tiếng trung Full BỘ BCT.pdf</t>
        </is>
      </c>
      <c r="B947" s="95" t="inlineStr">
        <is>
          <t>98</t>
        </is>
      </c>
      <c r="C947" s="94" t="inlineStr">
        <is>
          <t>货运效益</t>
        </is>
      </c>
      <c r="D947" s="94" t="inlineStr">
        <is>
          <t>Huòyùn Xiàolǜ) - Freight Efficiency - Hiệu suất Vận chuyển</t>
        </is>
      </c>
      <c r="E947" s="94" t="inlineStr">
        <is>
          <t>98. 货运效益 (Huòyùn Xiàolǜ) - Freight Efficiency - Hiệu suất Vận chuyển</t>
        </is>
      </c>
      <c r="F947" s="115">
        <f>HYPERLINK("https://youglish.com/pronounce/货运效益/chinese","🔍")</f>
        <v/>
      </c>
    </row>
    <row r="948" ht="28.5" customHeight="1" s="99">
      <c r="A948" s="92" t="inlineStr">
        <is>
          <t>PDF_Tiếng trung Full BỘ BCT.pdf</t>
        </is>
      </c>
      <c r="B948" s="93" t="inlineStr">
        <is>
          <t>99</t>
        </is>
      </c>
      <c r="C948" s="92" t="inlineStr">
        <is>
          <t>库存周转效率</t>
        </is>
      </c>
      <c r="D948" s="92" t="inlineStr">
        <is>
          <t>Kùcún Zhōuzuǎn Xiàolǜ) - Inventory Turnover Efficiency - Hiệu suất Quay vòng Kho</t>
        </is>
      </c>
      <c r="E948" s="92" t="inlineStr">
        <is>
          <t>99. 库存周转效率 (Kùcún Zhōuzuǎn Xiàolǜ) - Inventory Turnover Efficiency - Hiệu suất Quay vòng Kho</t>
        </is>
      </c>
      <c r="F948" s="114">
        <f>HYPERLINK("https://youglish.com/pronounce/库存周转效率/chinese","🔍")</f>
        <v/>
      </c>
    </row>
    <row r="949" ht="28.5" customHeight="1" s="99">
      <c r="A949" s="94" t="inlineStr">
        <is>
          <t>PDF_Tiếng trung Full BỘ BCT.pdf</t>
        </is>
      </c>
      <c r="B949" s="95" t="inlineStr">
        <is>
          <t>100</t>
        </is>
      </c>
      <c r="C949" s="94" t="inlineStr">
        <is>
          <t>生产调度系统</t>
        </is>
      </c>
      <c r="D949" s="94" t="inlineStr">
        <is>
          <t>Shēngchǎn Diàodù Xìtǒng) - Production Scheduling System - Hệ thống Lên lịch Sản xuất</t>
        </is>
      </c>
      <c r="E949" s="94" t="inlineStr">
        <is>
          <t>100. 生产调度系统 (Shēngchǎn Diàodù Xìtǒng) - Production Scheduling System - Hệ thống Lên lịch Sản xuất</t>
        </is>
      </c>
      <c r="F949" s="115">
        <f>HYPERLINK("https://youglish.com/pronounce/生产调度系统/chinese","🔍")</f>
        <v/>
      </c>
    </row>
    <row r="950" ht="28.5" customHeight="1" s="99">
      <c r="A950" s="92" t="inlineStr">
        <is>
          <t>PDF_Tiếng trung Full BỘ BCT.pdf</t>
        </is>
      </c>
      <c r="B950" s="93" t="inlineStr">
        <is>
          <t>101</t>
        </is>
      </c>
      <c r="C950" s="92" t="inlineStr">
        <is>
          <t>供应链优化</t>
        </is>
      </c>
      <c r="D950" s="92" t="inlineStr">
        <is>
          <t>Gōngyìngliàn Yōuhuà) - Supply Chain Optimization - Tối ưu hóa Chuỗi cung ứng</t>
        </is>
      </c>
      <c r="E950" s="92" t="inlineStr">
        <is>
          <t>101. 供应链优化 (Gōngyìngliàn Yōuhuà) - Supply Chain Optimization - Tối ưu hóa Chuỗi cung ứng</t>
        </is>
      </c>
      <c r="F950" s="114">
        <f>HYPERLINK("https://youglish.com/pronounce/供应链优化/chinese","🔍")</f>
        <v/>
      </c>
    </row>
    <row r="951" ht="28.5" customHeight="1" s="99">
      <c r="A951" s="94" t="inlineStr">
        <is>
          <t>PDF_Tiếng trung Full BỘ BCT.pdf</t>
        </is>
      </c>
      <c r="B951" s="95" t="inlineStr">
        <is>
          <t>102</t>
        </is>
      </c>
      <c r="C951" s="94" t="inlineStr">
        <is>
          <t>消耗品管理</t>
        </is>
      </c>
      <c r="D951" s="94" t="inlineStr">
        <is>
          <t>Xiāohào Pǐn Guǎnlǐ) - Consumable Management - Quản lý Vật tư tiêu hao</t>
        </is>
      </c>
      <c r="E951" s="94" t="inlineStr">
        <is>
          <t>102. 消耗品管理 (Xiāohào Pǐn Guǎnlǐ) - Consumable Management - Quản lý Vật tư tiêu hao</t>
        </is>
      </c>
      <c r="F951" s="115">
        <f>HYPERLINK("https://youglish.com/pronounce/消耗品管理/chinese","🔍")</f>
        <v/>
      </c>
    </row>
    <row r="952">
      <c r="A952" s="92" t="inlineStr">
        <is>
          <t>PDF_Tiếng trung Full BỘ BCT.pdf</t>
        </is>
      </c>
      <c r="B952" s="93" t="inlineStr">
        <is>
          <t>103</t>
        </is>
      </c>
      <c r="C952" s="92" t="inlineStr">
        <is>
          <t>货物装载</t>
        </is>
      </c>
      <c r="D952" s="92" t="inlineStr">
        <is>
          <t>Huòwù Zhuāngzài) - Cargo Loading - Đóng hàng</t>
        </is>
      </c>
      <c r="E952" s="92" t="inlineStr">
        <is>
          <t>103. 货物装载 (Huòwù Zhuāngzài) - Cargo Loading - Đóng hàng</t>
        </is>
      </c>
      <c r="F952" s="114">
        <f>HYPERLINK("https://youglish.com/pronounce/货物装载/chinese","🔍")</f>
        <v/>
      </c>
    </row>
    <row r="953" ht="28.5" customHeight="1" s="99">
      <c r="A953" s="94" t="inlineStr">
        <is>
          <t>PDF_Tiếng trung Full BỘ BCT.pdf</t>
        </is>
      </c>
      <c r="B953" s="95" t="inlineStr">
        <is>
          <t>104</t>
        </is>
      </c>
      <c r="C953" s="94" t="inlineStr">
        <is>
          <t>供应链安全性</t>
        </is>
      </c>
      <c r="D953" s="94" t="inlineStr">
        <is>
          <t>Gōngyìngliàn Ānquánxìng) - Supply Chain Security - An ninh trong Chuỗi cung ứng</t>
        </is>
      </c>
      <c r="E953" s="94" t="inlineStr">
        <is>
          <t>104. 供应链安全性 (Gōngyìngliàn Ānquánxìng) - Supply Chain Security - An ninh trong Chuỗi cung ứng</t>
        </is>
      </c>
      <c r="F953" s="115">
        <f>HYPERLINK("https://youglish.com/pronounce/供应链安全性/chinese","🔍")</f>
        <v/>
      </c>
    </row>
    <row r="954">
      <c r="A954" s="92" t="inlineStr">
        <is>
          <t>PDF_Tiếng trung Full BỘ BCT.pdf</t>
        </is>
      </c>
      <c r="B954" s="93" t="inlineStr">
        <is>
          <t>105</t>
        </is>
      </c>
      <c r="C954" s="92" t="inlineStr">
        <is>
          <t>需求变更</t>
        </is>
      </c>
      <c r="D954" s="92" t="inlineStr">
        <is>
          <t>Xūqiú Biàngēng) - Demand Change - Thay đổi Nhu cầu</t>
        </is>
      </c>
      <c r="E954" s="92" t="inlineStr">
        <is>
          <t>105. 需求变更 (Xūqiú Biàngēng) - Demand Change - Thay đổi Nhu cầu</t>
        </is>
      </c>
      <c r="F954" s="114">
        <f>HYPERLINK("https://youglish.com/pronounce/需求变更/chinese","🔍")</f>
        <v/>
      </c>
    </row>
    <row r="955" ht="28.5" customHeight="1" s="99">
      <c r="A955" s="94" t="inlineStr">
        <is>
          <t>PDF_Tiếng trung Full BỘ BCT.pdf</t>
        </is>
      </c>
      <c r="B955" s="95" t="inlineStr">
        <is>
          <t>106</t>
        </is>
      </c>
      <c r="C955" s="94" t="inlineStr">
        <is>
          <t>拆包流程</t>
        </is>
      </c>
      <c r="D955" s="94" t="inlineStr">
        <is>
          <t>Chāi Bāo Liúchéng) - Unpacking Process - Quy trình Mở hàng</t>
        </is>
      </c>
      <c r="E955" s="94" t="inlineStr">
        <is>
          <t>106. 拆包流程 (Chāi Bāo Liúchéng) - Unpacking Process - Quy trình Mở hàng</t>
        </is>
      </c>
      <c r="F955" s="115">
        <f>HYPERLINK("https://youglish.com/pronounce/拆包流程/chinese","🔍")</f>
        <v/>
      </c>
    </row>
    <row r="956" ht="28.5" customHeight="1" s="99">
      <c r="A956" s="92" t="inlineStr">
        <is>
          <t>PDF_Tiếng trung Full BỘ BCT.pdf</t>
        </is>
      </c>
      <c r="B956" s="93" t="inlineStr">
        <is>
          <t>107</t>
        </is>
      </c>
      <c r="C956" s="92" t="inlineStr">
        <is>
          <t>质量标准</t>
        </is>
      </c>
      <c r="D956" s="92" t="inlineStr">
        <is>
          <t>Zhìliàng Biāozhǔn) - Quality Standards - Tiêu chuẩn Chất lượng</t>
        </is>
      </c>
      <c r="E956" s="92" t="inlineStr">
        <is>
          <t>107. 质量标准 (Zhìliàng Biāozhǔn) - Quality Standards - Tiêu chuẩn Chất lượng</t>
        </is>
      </c>
      <c r="F956" s="114">
        <f>HYPERLINK("https://youglish.com/pronounce/质量标准/chinese","🔍")</f>
        <v/>
      </c>
    </row>
    <row r="957" ht="28.5" customHeight="1" s="99">
      <c r="A957" s="94" t="inlineStr">
        <is>
          <t>PDF_Tiếng trung Full BỘ BCT.pdf</t>
        </is>
      </c>
      <c r="B957" s="95" t="inlineStr">
        <is>
          <t>108</t>
        </is>
      </c>
      <c r="C957" s="94" t="inlineStr">
        <is>
          <t>供应商沟通</t>
        </is>
      </c>
      <c r="D957" s="94" t="inlineStr">
        <is>
          <t>Gōngyìngshāng Gōutōng) - Vendor Communication - Giao tiếp với Nhà cung cấp</t>
        </is>
      </c>
      <c r="E957" s="94" t="inlineStr">
        <is>
          <t>108. 供应商沟通 (Gōngyìngshāng Gōutōng) - Vendor Communication - Giao tiếp với Nhà cung cấp</t>
        </is>
      </c>
      <c r="F957" s="115">
        <f>HYPERLINK("https://youglish.com/pronounce/供应商沟通/chinese","🔍")</f>
        <v/>
      </c>
    </row>
    <row r="958" ht="28.5" customHeight="1" s="99">
      <c r="A958" s="92" t="inlineStr">
        <is>
          <t>PDF_Tiếng trung Full BỘ BCT.pdf</t>
        </is>
      </c>
      <c r="B958" s="93" t="inlineStr">
        <is>
          <t>109</t>
        </is>
      </c>
      <c r="C958" s="92" t="inlineStr">
        <is>
          <t>生产效能</t>
        </is>
      </c>
      <c r="D958" s="92" t="inlineStr">
        <is>
          <t>Shēngchǎn Xiàonéng) - Production Efficiency - Hiệu quả Sản xuất</t>
        </is>
      </c>
      <c r="E958" s="92" t="inlineStr">
        <is>
          <t>109. 生产效能 (Shēngchǎn Xiàonéng) - Production Efficiency - Hiệu quả Sản xuất</t>
        </is>
      </c>
      <c r="F958" s="114">
        <f>HYPERLINK("https://youglish.com/pronounce/生产效能/chinese","🔍")</f>
        <v/>
      </c>
    </row>
    <row r="959" ht="28.5" customHeight="1" s="99">
      <c r="A959" s="94" t="inlineStr">
        <is>
          <t>PDF_Tiếng trung Full BỘ BCT.pdf</t>
        </is>
      </c>
      <c r="B959" s="95" t="inlineStr">
        <is>
          <t>110</t>
        </is>
      </c>
      <c r="C959" s="94" t="inlineStr">
        <is>
          <t>需求计划系统</t>
        </is>
      </c>
      <c r="D959" s="94" t="inlineStr">
        <is>
          <t>Xūqiú Jìhuà Xìtǒng) - Demand Planning System - Hệ thống Kế hoạch Nhu cầu</t>
        </is>
      </c>
      <c r="E959" s="94" t="inlineStr">
        <is>
          <t>110. 需求计划系统 (Xūqiú Jìhuà Xìtǒng) - Demand Planning System - Hệ thống Kế hoạch Nhu cầu</t>
        </is>
      </c>
      <c r="F959" s="115">
        <f>HYPERLINK("https://youglish.com/pronounce/需求计划系统/chinese","🔍")</f>
        <v/>
      </c>
    </row>
    <row r="960" ht="28.5" customHeight="1" s="99">
      <c r="A960" s="92" t="inlineStr">
        <is>
          <t>PDF_Tiếng trung Full BỘ BCT.pdf</t>
        </is>
      </c>
      <c r="B960" s="93" t="inlineStr">
        <is>
          <t>111</t>
        </is>
      </c>
      <c r="C960" s="92" t="inlineStr">
        <is>
          <t>供应链灵活性</t>
        </is>
      </c>
      <c r="D960" s="92" t="inlineStr">
        <is>
          <t>Gōngyìngliàn Línghuóxìng) - Supply Chain Flexibility - Linh hoạt trong Chuỗi cung ứng</t>
        </is>
      </c>
      <c r="E960" s="92" t="inlineStr">
        <is>
          <t>111. 供应链灵活性 (Gōngyìngliàn Línghuóxìng) - Supply Chain Flexibility - Linh hoạt trong Chuỗi cung ứng</t>
        </is>
      </c>
      <c r="F960" s="114">
        <f>HYPERLINK("https://youglish.com/pronounce/供应链灵活性/chinese","🔍")</f>
        <v/>
      </c>
    </row>
    <row r="961" ht="28.5" customHeight="1" s="99">
      <c r="A961" s="94" t="inlineStr">
        <is>
          <t>PDF_Tiếng trung Full BỘ BCT.pdf</t>
        </is>
      </c>
      <c r="B961" s="95" t="inlineStr">
        <is>
          <t>112</t>
        </is>
      </c>
      <c r="C961" s="94" t="inlineStr">
        <is>
          <t>收货流程</t>
        </is>
      </c>
      <c r="D961" s="94" t="inlineStr">
        <is>
          <t>Shōuhuò Liúchéng) - Receiving Process - Quy trình Nhận hàng</t>
        </is>
      </c>
      <c r="E961" s="94" t="inlineStr">
        <is>
          <t>112. 收货流程 (Shōuhuò Liúchéng) - Receiving Process - Quy trình Nhận hàng</t>
        </is>
      </c>
      <c r="F961" s="115">
        <f>HYPERLINK("https://youglish.com/pronounce/收货流程/chinese","🔍")</f>
        <v/>
      </c>
    </row>
    <row r="962" ht="28.5" customHeight="1" s="99">
      <c r="A962" s="92" t="inlineStr">
        <is>
          <t>PDF_Tiếng trung Full BỘ BCT.pdf</t>
        </is>
      </c>
      <c r="B962" s="93" t="inlineStr">
        <is>
          <t>113</t>
        </is>
      </c>
      <c r="C962" s="92" t="inlineStr">
        <is>
          <t>货运管理软件</t>
        </is>
      </c>
      <c r="D962" s="92" t="inlineStr">
        <is>
          <t>Huòyùn Guǎnlǐ Ruǎnjiàn) - Freight Management Software - Phần mềm Quản lý Vận chuyển</t>
        </is>
      </c>
      <c r="E962" s="92" t="inlineStr">
        <is>
          <t>113. 货运管理软件 (Huòyùn Guǎnlǐ Ruǎnjiàn) - Freight Management Software - Phần mềm Quản lý Vận chuyển</t>
        </is>
      </c>
      <c r="F962" s="114">
        <f>HYPERLINK("https://youglish.com/pronounce/货运管理软件/chinese","🔍")</f>
        <v/>
      </c>
    </row>
    <row r="963">
      <c r="A963" s="94" t="inlineStr">
        <is>
          <t>PDF_Tiếng trung Full BỘ BCT.pdf</t>
        </is>
      </c>
      <c r="B963" s="95" t="inlineStr">
        <is>
          <t>114</t>
        </is>
      </c>
      <c r="C963" s="94" t="inlineStr">
        <is>
          <t>生产批次</t>
        </is>
      </c>
      <c r="D963" s="94" t="inlineStr">
        <is>
          <t>Shēngchǎn Pīcì) - Production Batch - Lô Sản xuất</t>
        </is>
      </c>
      <c r="E963" s="94" t="inlineStr">
        <is>
          <t>114. 生产批次 (Shēngchǎn Pīcì) - Production Batch - Lô Sản xuất</t>
        </is>
      </c>
      <c r="F963" s="115">
        <f>HYPERLINK("https://youglish.com/pronounce/生产批次/chinese","🔍")</f>
        <v/>
      </c>
    </row>
    <row r="964" ht="28.5" customHeight="1" s="99">
      <c r="A964" s="92" t="inlineStr">
        <is>
          <t>PDF_Tiếng trung Full BỘ BCT.pdf</t>
        </is>
      </c>
      <c r="B964" s="93" t="inlineStr">
        <is>
          <t>115</t>
        </is>
      </c>
      <c r="C964" s="92" t="inlineStr">
        <is>
          <t>按需制造</t>
        </is>
      </c>
      <c r="D964" s="92" t="inlineStr">
        <is>
          <t>Ànxū Zhìzào) - On-Demand Manufacturing - Sản xuất Theo yêu cầu</t>
        </is>
      </c>
      <c r="E964" s="92" t="inlineStr">
        <is>
          <t>115. 按需制造 (Ànxū Zhìzào) - On-Demand Manufacturing - Sản xuất Theo yêu cầu</t>
        </is>
      </c>
      <c r="F964" s="114">
        <f>HYPERLINK("https://youglish.com/pronounce/按需制造/chinese","🔍")</f>
        <v/>
      </c>
    </row>
    <row r="965" ht="28.5" customHeight="1" s="99">
      <c r="A965" s="94" t="inlineStr">
        <is>
          <t>PDF_Tiếng trung Full BỘ BCT.pdf</t>
        </is>
      </c>
      <c r="B965" s="95" t="inlineStr">
        <is>
          <t>116</t>
        </is>
      </c>
      <c r="C965" s="94" t="inlineStr">
        <is>
          <t>供应商评级</t>
        </is>
      </c>
      <c r="D965" s="94" t="inlineStr">
        <is>
          <t>Gōngyìngshāng Píngjí) - Vendor Rating - Đánh giá Nhà cung cấp</t>
        </is>
      </c>
      <c r="E965" s="94" t="inlineStr">
        <is>
          <t>116. 供应商评级 (Gōngyìngshāng Píngjí) - Vendor Rating - Đánh giá Nhà cung cấp</t>
        </is>
      </c>
      <c r="F965" s="115">
        <f>HYPERLINK("https://youglish.com/pronounce/供应商评级/chinese","🔍")</f>
        <v/>
      </c>
    </row>
    <row r="966">
      <c r="A966" s="92" t="inlineStr">
        <is>
          <t>PDF_Tiếng trung Full BỘ BCT.pdf</t>
        </is>
      </c>
      <c r="B966" s="93" t="inlineStr">
        <is>
          <t>117</t>
        </is>
      </c>
      <c r="C966" s="92" t="inlineStr">
        <is>
          <t>计划调整</t>
        </is>
      </c>
      <c r="D966" s="92" t="inlineStr">
        <is>
          <t>Jìhuà Tiáozhěng) - Plan Adjustment - Điều chỉnh Kế hoạch</t>
        </is>
      </c>
      <c r="E966" s="92" t="inlineStr">
        <is>
          <t>117. 计划调整 (Jìhuà Tiáozhěng) - Plan Adjustment - Điều chỉnh Kế hoạch</t>
        </is>
      </c>
      <c r="F966" s="114">
        <f>HYPERLINK("https://youglish.com/pronounce/计划调整/chinese","🔍")</f>
        <v/>
      </c>
    </row>
    <row r="967" ht="28.5" customHeight="1" s="99">
      <c r="A967" s="94" t="inlineStr">
        <is>
          <t>PDF_Tiếng trung Full BỘ BCT.pdf</t>
        </is>
      </c>
      <c r="B967" s="95" t="inlineStr">
        <is>
          <t>118</t>
        </is>
      </c>
      <c r="C967" s="94" t="inlineStr">
        <is>
          <t>采购费用</t>
        </is>
      </c>
      <c r="D967" s="94" t="inlineStr">
        <is>
          <t>Cǎigòu Fèiyòng) - Procurement Expenses - Chi phí Mua hàng</t>
        </is>
      </c>
      <c r="E967" s="94" t="inlineStr">
        <is>
          <t>118. 采购费用 (Cǎigòu Fèiyòng) - Procurement Expenses - Chi phí Mua hàng</t>
        </is>
      </c>
      <c r="F967" s="115">
        <f>HYPERLINK("https://youglish.com/pronounce/采购费用/chinese","🔍")</f>
        <v/>
      </c>
    </row>
    <row r="968" ht="28.5" customHeight="1" s="99">
      <c r="A968" s="92" t="inlineStr">
        <is>
          <t>PDF_Tiếng trung Full BỘ BCT.pdf</t>
        </is>
      </c>
      <c r="B968" s="93" t="inlineStr">
        <is>
          <t>119</t>
        </is>
      </c>
      <c r="C968" s="92" t="inlineStr">
        <is>
          <t>库存透明度</t>
        </is>
      </c>
      <c r="D968" s="92" t="inlineStr">
        <is>
          <t>Kùcún Tòumíngdù) - Inventory Transparency - Sự minh bạch của Kho</t>
        </is>
      </c>
      <c r="E968" s="92" t="inlineStr">
        <is>
          <t>119. 库存透明度 (Kùcún Tòumíngdù) - Inventory Transparency - Sự minh bạch của Kho</t>
        </is>
      </c>
      <c r="F968" s="114">
        <f>HYPERLINK("https://youglish.com/pronounce/库存透明度/chinese","🔍")</f>
        <v/>
      </c>
    </row>
    <row r="969" ht="28.5" customHeight="1" s="99">
      <c r="A969" s="94" t="inlineStr">
        <is>
          <t>PDF_Tiếng trung Full BỘ BCT.pdf</t>
        </is>
      </c>
      <c r="B969" s="95" t="inlineStr">
        <is>
          <t>120</t>
        </is>
      </c>
      <c r="C969" s="94" t="inlineStr">
        <is>
          <t>供应链协会</t>
        </is>
      </c>
      <c r="D969" s="94" t="inlineStr">
        <is>
          <t>Gōngyìngliàn Xiéhuì) - Supply Chain Association - Hiệp hội Chuỗi cung ứng</t>
        </is>
      </c>
      <c r="E969" s="94" t="inlineStr">
        <is>
          <t>120. 供应链协会 (Gōngyìngliàn Xiéhuì) - Supply Chain Association - Hiệp hội Chuỗi cung ứng</t>
        </is>
      </c>
      <c r="F969" s="115">
        <f>HYPERLINK("https://youglish.com/pronounce/供应链协会/chinese","🔍")</f>
        <v/>
      </c>
    </row>
    <row r="970" ht="28.5" customHeight="1" s="99">
      <c r="A970" s="92" t="inlineStr">
        <is>
          <t>PDF_Tiếng trung Full BỘ BCT.pdf</t>
        </is>
      </c>
      <c r="B970" s="93" t="inlineStr">
        <is>
          <t>121</t>
        </is>
      </c>
      <c r="C970" s="92" t="inlineStr">
        <is>
          <t>运输协商</t>
        </is>
      </c>
      <c r="D970" s="92" t="inlineStr">
        <is>
          <t>Yùnshū Xiéshāng) - Transportation Negotiation - Đàm phán Vận chuyển</t>
        </is>
      </c>
      <c r="E970" s="92" t="inlineStr">
        <is>
          <t>121. 运输协商 (Yùnshū Xiéshāng) - Transportation Negotiation - Đàm phán Vận chuyển</t>
        </is>
      </c>
      <c r="F970" s="114">
        <f>HYPERLINK("https://youglish.com/pronounce/运输协商/chinese","🔍")</f>
        <v/>
      </c>
    </row>
    <row r="971">
      <c r="A971" s="94" t="inlineStr">
        <is>
          <t>PDF_Tiếng trung Full BỘ BCT.pdf</t>
        </is>
      </c>
      <c r="B971" s="95" t="inlineStr">
        <is>
          <t>122</t>
        </is>
      </c>
      <c r="C971" s="94" t="inlineStr">
        <is>
          <t>物流运作</t>
        </is>
      </c>
      <c r="D971" s="94" t="inlineStr">
        <is>
          <t>Wùliú Yùnzuò) - Logistics Operations - Hoạt động Logistics</t>
        </is>
      </c>
      <c r="E971" s="94" t="inlineStr">
        <is>
          <t>122. 物流运作 (Wùliú Yùnzuò) - Logistics Operations - Hoạt động Logistics</t>
        </is>
      </c>
      <c r="F971" s="115">
        <f>HYPERLINK("https://youglish.com/pronounce/物流运作/chinese","🔍")</f>
        <v/>
      </c>
    </row>
    <row r="972" ht="28.5" customHeight="1" s="99">
      <c r="A972" s="92" t="inlineStr">
        <is>
          <t>PDF_Tiếng trung Full BỘ BCT.pdf</t>
        </is>
      </c>
      <c r="B972" s="93" t="inlineStr">
        <is>
          <t>123</t>
        </is>
      </c>
      <c r="C972" s="92" t="inlineStr">
        <is>
          <t>生产排程计划</t>
        </is>
      </c>
      <c r="D972" s="92" t="inlineStr">
        <is>
          <t>Shēngchǎn Páiché Jìhuà) - Production Scheduling Plan - Kế hoạch Lịch trình Sản xuất</t>
        </is>
      </c>
      <c r="E972" s="92" t="inlineStr">
        <is>
          <t>123. 生产排程计划 (Shēngchǎn Páiché Jìhuà) - Production Scheduling Plan - Kế hoạch Lịch trình Sản xuất</t>
        </is>
      </c>
      <c r="F972" s="114">
        <f>HYPERLINK("https://youglish.com/pronounce/生产排程计划/chinese","🔍")</f>
        <v/>
      </c>
    </row>
    <row r="973">
      <c r="A973" s="94" t="inlineStr">
        <is>
          <t>PDF_Tiếng trung Full BỘ BCT.pdf</t>
        </is>
      </c>
      <c r="B973" s="95" t="inlineStr">
        <is>
          <t>124</t>
        </is>
      </c>
      <c r="C973" s="94" t="inlineStr">
        <is>
          <t>货物存储</t>
        </is>
      </c>
      <c r="D973" s="94" t="inlineStr">
        <is>
          <t>Huòwù Cúnchǔ) - Cargo Storage - Lưu trữ Hàng hóa</t>
        </is>
      </c>
      <c r="E973" s="94" t="inlineStr">
        <is>
          <t>124. 货物存储 (Huòwù Cúnchǔ) - Cargo Storage - Lưu trữ Hàng hóa</t>
        </is>
      </c>
      <c r="F973" s="115">
        <f>HYPERLINK("https://youglish.com/pronounce/货物存储/chinese","🔍")</f>
        <v/>
      </c>
    </row>
    <row r="974" ht="28.5" customHeight="1" s="99">
      <c r="A974" s="92" t="inlineStr">
        <is>
          <t>PDF_Tiếng trung Full BỘ BCT.pdf</t>
        </is>
      </c>
      <c r="B974" s="93" t="inlineStr">
        <is>
          <t>125</t>
        </is>
      </c>
      <c r="C974" s="92" t="inlineStr">
        <is>
          <t>供应链责任</t>
        </is>
      </c>
      <c r="D974" s="92" t="inlineStr">
        <is>
          <t>Gōngyìngliàn Zérèn) - Supply Chain Responsibility - Trách nhiệm trong Chuỗi cung ứng</t>
        </is>
      </c>
      <c r="E974" s="92" t="inlineStr">
        <is>
          <t>125. 供应链责任 (Gōngyìngliàn Zérèn) - Supply Chain Responsibility - Trách nhiệm trong Chuỗi cung ứng</t>
        </is>
      </c>
      <c r="F974" s="114">
        <f>HYPERLINK("https://youglish.com/pronounce/供应链责任/chinese","🔍")</f>
        <v/>
      </c>
    </row>
    <row r="975">
      <c r="A975" s="94" t="inlineStr">
        <is>
          <t>PDF_Tiếng trung Full BỘ BCT.pdf</t>
        </is>
      </c>
      <c r="B975" s="95" t="inlineStr">
        <is>
          <t>126</t>
        </is>
      </c>
      <c r="C975" s="94" t="inlineStr">
        <is>
          <t>仓储效率</t>
        </is>
      </c>
      <c r="D975" s="94" t="inlineStr">
        <is>
          <t>Cāngchǔ Xiàolǜ) - Warehouse Efficiency - Hiệu suất Kho</t>
        </is>
      </c>
      <c r="E975" s="94" t="inlineStr">
        <is>
          <t>126. 仓储效率 (Cāngchǔ Xiàolǜ) - Warehouse Efficiency - Hiệu suất Kho</t>
        </is>
      </c>
      <c r="F975" s="115">
        <f>HYPERLINK("https://youglish.com/pronounce/仓储效率/chinese","🔍")</f>
        <v/>
      </c>
    </row>
    <row r="976" ht="28.5" customHeight="1" s="99">
      <c r="A976" s="92" t="inlineStr">
        <is>
          <t>PDF_Tiếng trung Full BỘ BCT.pdf</t>
        </is>
      </c>
      <c r="B976" s="93" t="inlineStr">
        <is>
          <t>127</t>
        </is>
      </c>
      <c r="C976" s="92" t="inlineStr">
        <is>
          <t>需求预测误差</t>
        </is>
      </c>
      <c r="D976" s="92" t="inlineStr">
        <is>
          <t>Xūqiú Yùcè Wùchā) - Demand Forecast Error - Sai số Dự báo Nhu cầu</t>
        </is>
      </c>
      <c r="E976" s="92" t="inlineStr">
        <is>
          <t>127. 需求预测误差 (Xūqiú Yùcè Wùchā) - Demand Forecast Error - Sai số Dự báo Nhu cầu</t>
        </is>
      </c>
      <c r="F976" s="114">
        <f>HYPERLINK("https://youglish.com/pronounce/需求预测误差/chinese","🔍")</f>
        <v/>
      </c>
    </row>
    <row r="977" ht="28.5" customHeight="1" s="99">
      <c r="A977" s="94" t="inlineStr">
        <is>
          <t>PDF_Tiếng trung Full BỘ BCT.pdf</t>
        </is>
      </c>
      <c r="B977" s="95" t="inlineStr">
        <is>
          <t>128</t>
        </is>
      </c>
      <c r="C977" s="94" t="inlineStr">
        <is>
          <t>生产计划调整</t>
        </is>
      </c>
      <c r="D977" s="94" t="inlineStr">
        <is>
          <t>Shēngchǎn Jìhuà Tiáozhěng) - Production Planning Adjustment - Điều chỉnh Kế hoạch Sản xuất</t>
        </is>
      </c>
      <c r="E977" s="94" t="inlineStr">
        <is>
          <t>128. 生产计划调整 (Shēngchǎn Jìhuà Tiáozhěng) - Production Planning Adjustment - Điều chỉnh Kế hoạch Sản xuất</t>
        </is>
      </c>
      <c r="F977" s="115">
        <f>HYPERLINK("https://youglish.com/pronounce/生产计划调整/chinese","🔍")</f>
        <v/>
      </c>
    </row>
    <row r="978" ht="28.5" customHeight="1" s="99">
      <c r="A978" s="92" t="inlineStr">
        <is>
          <t>PDF_Tiếng trung Full BỘ BCT.pdf</t>
        </is>
      </c>
      <c r="B978" s="93" t="inlineStr">
        <is>
          <t>129</t>
        </is>
      </c>
      <c r="C978" s="92" t="inlineStr">
        <is>
          <t>供应商培训</t>
        </is>
      </c>
      <c r="D978" s="92" t="inlineStr">
        <is>
          <t>Gōngyìngshāng Péixùn) - Vendor Training - Đào tạo Nhà cung cấp</t>
        </is>
      </c>
      <c r="E978" s="92" t="inlineStr">
        <is>
          <t>129. 供应商培训 (Gōngyìngshāng Péixùn) - Vendor Training - Đào tạo Nhà cung cấp</t>
        </is>
      </c>
      <c r="F978" s="114">
        <f>HYPERLINK("https://youglish.com/pronounce/供应商培训/chinese","🔍")</f>
        <v/>
      </c>
    </row>
    <row r="979" ht="28.5" customHeight="1" s="99">
      <c r="A979" s="94" t="inlineStr">
        <is>
          <t>PDF_Tiếng trung Full BỘ BCT.pdf</t>
        </is>
      </c>
      <c r="B979" s="95" t="inlineStr">
        <is>
          <t>130</t>
        </is>
      </c>
      <c r="C979" s="94" t="inlineStr">
        <is>
          <t>质量检测标准</t>
        </is>
      </c>
      <c r="D979" s="94" t="inlineStr">
        <is>
          <t>Zhìliàng Jiǎncè Biāozhǔn) - Quality Inspection Standards - Tiêu chuẩn Kiểm định Chất lượng</t>
        </is>
      </c>
      <c r="E979" s="94" t="inlineStr">
        <is>
          <t>130. 质量检测标准 (Zhìliàng Jiǎncè Biāozhǔn) - Quality Inspection Standards - Tiêu chuẩn Kiểm định Chất lượng</t>
        </is>
      </c>
      <c r="F979" s="115">
        <f>HYPERLINK("https://youglish.com/pronounce/质量检测标准/chinese","🔍")</f>
        <v/>
      </c>
    </row>
    <row r="980">
      <c r="A980" s="92" t="inlineStr">
        <is>
          <t>PDF_Tiếng trung Full BỘ BCT.pdf</t>
        </is>
      </c>
      <c r="B980" s="93" t="inlineStr">
        <is>
          <t>131</t>
        </is>
      </c>
      <c r="C980" s="92" t="inlineStr">
        <is>
          <t>货运渠道</t>
        </is>
      </c>
      <c r="D980" s="92" t="inlineStr">
        <is>
          <t>Huòyùn Qúdào) - Freight Channels - Kênh Vận chuyển</t>
        </is>
      </c>
      <c r="E980" s="92" t="inlineStr">
        <is>
          <t>131. 货运渠道 (Huòyùn Qúdào) - Freight Channels - Kênh Vận chuyển</t>
        </is>
      </c>
      <c r="F980" s="114">
        <f>HYPERLINK("https://youglish.com/pronounce/货运渠道/chinese","🔍")</f>
        <v/>
      </c>
    </row>
    <row r="981" ht="28.5" customHeight="1" s="99">
      <c r="A981" s="94" t="inlineStr">
        <is>
          <t>PDF_Tiếng trung Full BỘ BCT.pdf</t>
        </is>
      </c>
      <c r="B981" s="95" t="inlineStr">
        <is>
          <t>132</t>
        </is>
      </c>
      <c r="C981" s="94" t="inlineStr">
        <is>
          <t>生产能力规划</t>
        </is>
      </c>
      <c r="D981" s="94" t="inlineStr">
        <is>
          <t>Shēngchǎn Nénglì Guīhuà) - Production Capacity Planning - Kế hoạch Năng lực Sản xuất</t>
        </is>
      </c>
      <c r="E981" s="94" t="inlineStr">
        <is>
          <t>132. 生产能力规划 (Shēngchǎn Nénglì Guīhuà) - Production Capacity Planning - Kế hoạch Năng lực Sản xuất</t>
        </is>
      </c>
      <c r="F981" s="115">
        <f>HYPERLINK("https://youglish.com/pronounce/生产能力规划/chinese","🔍")</f>
        <v/>
      </c>
    </row>
    <row r="982" ht="28.5" customHeight="1" s="99">
      <c r="A982" s="92" t="inlineStr">
        <is>
          <t>PDF_Tiếng trung Full BỘ BCT.pdf</t>
        </is>
      </c>
      <c r="B982" s="93" t="inlineStr">
        <is>
          <t>133</t>
        </is>
      </c>
      <c r="C982" s="92" t="inlineStr">
        <is>
          <t>供应链技术</t>
        </is>
      </c>
      <c r="D982" s="92" t="inlineStr">
        <is>
          <t>Gōngyìngliàn Jìshù) - Supply Chain Technology - Công nghệ trong Chuỗi cung ứng</t>
        </is>
      </c>
      <c r="E982" s="92" t="inlineStr">
        <is>
          <t>133. 供应链技术 (Gōngyìngliàn Jìshù) - Supply Chain Technology - Công nghệ trong Chuỗi cung ứng</t>
        </is>
      </c>
      <c r="F982" s="114">
        <f>HYPERLINK("https://youglish.com/pronounce/供应链技术/chinese","🔍")</f>
        <v/>
      </c>
    </row>
    <row r="983" ht="28.5" customHeight="1" s="99">
      <c r="A983" s="94" t="inlineStr">
        <is>
          <t>PDF_Tiếng trung Full BỘ BCT.pdf</t>
        </is>
      </c>
      <c r="B983" s="95" t="inlineStr">
        <is>
          <t>134</t>
        </is>
      </c>
      <c r="C983" s="94" t="inlineStr">
        <is>
          <t>供应商合规性</t>
        </is>
      </c>
      <c r="D983" s="94" t="inlineStr">
        <is>
          <t>Gōngyìngshāng Héguīxìng) - Vendor Compliance - Tuân thủ từ phía Nhà cung cấp</t>
        </is>
      </c>
      <c r="E983" s="94" t="inlineStr">
        <is>
          <t>134. 供应商合规性 (Gōngyìngshāng Héguīxìng) - Vendor Compliance - Tuân thủ từ phía Nhà cung cấp</t>
        </is>
      </c>
      <c r="F983" s="115">
        <f>HYPERLINK("https://youglish.com/pronounce/供应商合规性/chinese","🔍")</f>
        <v/>
      </c>
    </row>
    <row r="984" ht="28.5" customHeight="1" s="99">
      <c r="A984" s="92" t="inlineStr">
        <is>
          <t>PDF_Tiếng trung Full BỘ BCT.pdf</t>
        </is>
      </c>
      <c r="B984" s="93" t="inlineStr">
        <is>
          <t>135</t>
        </is>
      </c>
      <c r="C984" s="92" t="inlineStr">
        <is>
          <t>货物追踪系统</t>
        </is>
      </c>
      <c r="D984" s="92" t="inlineStr">
        <is>
          <t>Huòwù Zhuīzōng Xìtǒng) - Cargo Tracking System - Hệ thống Theo dõi Hàng hóa</t>
        </is>
      </c>
      <c r="E984" s="92" t="inlineStr">
        <is>
          <t>135. 货物追踪系统 (Huòwù Zhuīzōng Xìtǒng) - Cargo Tracking System - Hệ thống Theo dõi Hàng hóa</t>
        </is>
      </c>
      <c r="F984" s="114">
        <f>HYPERLINK("https://youglish.com/pronounce/货物追踪系统/chinese","🔍")</f>
        <v/>
      </c>
    </row>
    <row r="985" ht="28.5" customHeight="1" s="99">
      <c r="A985" s="94" t="inlineStr">
        <is>
          <t>PDF_Tiếng trung Full BỘ BCT.pdf</t>
        </is>
      </c>
      <c r="B985" s="95" t="inlineStr">
        <is>
          <t>136</t>
        </is>
      </c>
      <c r="C985" s="94" t="inlineStr">
        <is>
          <t>供应链应急计划</t>
        </is>
      </c>
      <c r="D985" s="94" t="inlineStr">
        <is>
          <t>Gōngyìngliàn Yìngjí Jìhuà) - Supply Chain Emergency Plan - Kế hoạch Khẩn cấp trong Chuỗi cung ứng</t>
        </is>
      </c>
      <c r="E985" s="94" t="inlineStr">
        <is>
          <t>136. 供应链应急计划 (Gōngyìngliàn Yìngjí Jìhuà) - Supply Chain Emergency Plan - Kế hoạch Khẩn cấp trong Chuỗi cung ứng</t>
        </is>
      </c>
      <c r="F985" s="115">
        <f>HYPERLINK("https://youglish.com/pronounce/供应链应急计划/chinese","🔍")</f>
        <v/>
      </c>
    </row>
    <row r="986">
      <c r="A986" s="92" t="inlineStr">
        <is>
          <t>PDF_Tiếng trung Full BỘ BCT.pdf</t>
        </is>
      </c>
      <c r="B986" s="93" t="inlineStr">
        <is>
          <t>137</t>
        </is>
      </c>
      <c r="C986" s="92" t="inlineStr">
        <is>
          <t>货物装卸</t>
        </is>
      </c>
      <c r="D986" s="92" t="inlineStr">
        <is>
          <t>Huòwù Zhuāngxiè) - Cargo Handling - Xếp dỡ Hàng hóa</t>
        </is>
      </c>
      <c r="E986" s="92" t="inlineStr">
        <is>
          <t>137. 货物装卸 (Huòwù Zhuāngxiè) - Cargo Handling - Xếp dỡ Hàng hóa</t>
        </is>
      </c>
      <c r="F986" s="114">
        <f>HYPERLINK("https://youglish.com/pronounce/货物装卸/chinese","🔍")</f>
        <v/>
      </c>
    </row>
    <row r="987" ht="28.5" customHeight="1" s="99">
      <c r="A987" s="94" t="inlineStr">
        <is>
          <t>PDF_Tiếng trung Full BỘ BCT.pdf</t>
        </is>
      </c>
      <c r="B987" s="95" t="inlineStr">
        <is>
          <t>138</t>
        </is>
      </c>
      <c r="C987" s="94" t="inlineStr">
        <is>
          <t>运输成本优化</t>
        </is>
      </c>
      <c r="D987" s="94" t="inlineStr">
        <is>
          <t>Yùnshū Chéngběn Yōuhuà) - Transportation Cost Optimization - Tối ưu hóa Chi phí Vận chuyển</t>
        </is>
      </c>
      <c r="E987" s="94" t="inlineStr">
        <is>
          <t>138. 运输成本优化 (Yùnshū Chéngběn Yōuhuà) - Transportation Cost Optimization - Tối ưu hóa Chi phí Vận chuyển</t>
        </is>
      </c>
      <c r="F987" s="115">
        <f>HYPERLINK("https://youglish.com/pronounce/运输成本优化/chinese","🔍")</f>
        <v/>
      </c>
    </row>
    <row r="988">
      <c r="A988" s="92" t="inlineStr">
        <is>
          <t>PDF_Tiếng trung Full BỘ BCT.pdf</t>
        </is>
      </c>
      <c r="B988" s="93" t="inlineStr">
        <is>
          <t>139</t>
        </is>
      </c>
      <c r="C988" s="92" t="inlineStr">
        <is>
          <t>库存盘点</t>
        </is>
      </c>
      <c r="D988" s="92" t="inlineStr">
        <is>
          <t>Kùcún Pándiǎn) - Inventory Counting - Kiểm kê Kho</t>
        </is>
      </c>
      <c r="E988" s="92" t="inlineStr">
        <is>
          <t>139. 库存盘点 (Kùcún Pándiǎn) - Inventory Counting - Kiểm kê Kho</t>
        </is>
      </c>
      <c r="F988" s="114">
        <f>HYPERLINK("https://youglish.com/pronounce/库存盘点/chinese","🔍")</f>
        <v/>
      </c>
    </row>
    <row r="989" ht="28.5" customHeight="1" s="99">
      <c r="A989" s="94" t="inlineStr">
        <is>
          <t>PDF_Tiếng trung Full BỘ BCT.pdf</t>
        </is>
      </c>
      <c r="B989" s="95" t="inlineStr">
        <is>
          <t>140</t>
        </is>
      </c>
      <c r="C989" s="94" t="inlineStr">
        <is>
          <t>供应商配送协议</t>
        </is>
      </c>
      <c r="D989" s="94" t="inlineStr">
        <is>
          <t>Gōngyìngshāng Pèisòng Xiéyì) - Vendor Delivery Agreement - Thỏa thuận Giao hàng từ Nhà cung cấp</t>
        </is>
      </c>
      <c r="E989" s="94" t="inlineStr">
        <is>
          <t>140. 供应商配送协议 (Gōngyìngshāng Pèisòng Xiéyì) - Vendor Delivery Agreement - Thỏa thuận Giao hàng từ Nhà cung cấp</t>
        </is>
      </c>
      <c r="F989" s="115">
        <f>HYPERLINK("https://youglish.com/pronounce/供应商配送协议/chinese","🔍")</f>
        <v/>
      </c>
    </row>
    <row r="990" ht="28.5" customHeight="1" s="99">
      <c r="A990" s="92" t="inlineStr">
        <is>
          <t>PDF_Tiếng trung Full BỘ BCT.pdf</t>
        </is>
      </c>
      <c r="B990" s="93" t="inlineStr">
        <is>
          <t>141</t>
        </is>
      </c>
      <c r="C990" s="92" t="inlineStr">
        <is>
          <t>货运跟踪系统</t>
        </is>
      </c>
      <c r="D990" s="92" t="inlineStr">
        <is>
          <t>Huòyùn Gēnzuī Xìtǒng) - Freight Tracking System - Hệ thống Theo dõi Vận chuyển</t>
        </is>
      </c>
      <c r="E990" s="92" t="inlineStr">
        <is>
          <t>141. 货运跟踪系统 (Huòyùn Gēnzuī Xìtǒng) - Freight Tracking System - Hệ thống Theo dõi Vận chuyển</t>
        </is>
      </c>
      <c r="F990" s="114">
        <f>HYPERLINK("https://youglish.com/pronounce/货运跟踪系统/chinese","🔍")</f>
        <v/>
      </c>
    </row>
    <row r="991" ht="28.5" customHeight="1" s="99">
      <c r="A991" s="94" t="inlineStr">
        <is>
          <t>PDF_Tiếng trung Full BỘ BCT.pdf</t>
        </is>
      </c>
      <c r="B991" s="95" t="inlineStr">
        <is>
          <t>142</t>
        </is>
      </c>
      <c r="C991" s="94" t="inlineStr">
        <is>
          <t>货运风险管理</t>
        </is>
      </c>
      <c r="D991" s="94" t="inlineStr">
        <is>
          <t>Huòyùn Fēngxiǎn Guǎnlǐ) - Freight Risk Management - Quản lý Rủi ro Vận chuyển</t>
        </is>
      </c>
      <c r="E991" s="94" t="inlineStr">
        <is>
          <t>142. 货运风险管理 (Huòyùn Fēngxiǎn Guǎnlǐ) - Freight Risk Management - Quản lý Rủi ro Vận chuyển</t>
        </is>
      </c>
      <c r="F991" s="115">
        <f>HYPERLINK("https://youglish.com/pronounce/货运风险管理/chinese","🔍")</f>
        <v/>
      </c>
    </row>
    <row r="992" ht="28.5" customHeight="1" s="99">
      <c r="A992" s="92" t="inlineStr">
        <is>
          <t>PDF_Tiếng trung Full BỘ BCT.pdf</t>
        </is>
      </c>
      <c r="B992" s="93" t="inlineStr">
        <is>
          <t>143</t>
        </is>
      </c>
      <c r="C992" s="92" t="inlineStr">
        <is>
          <t>生产过程改进</t>
        </is>
      </c>
      <c r="D992" s="92" t="inlineStr">
        <is>
          <t>Shēngchǎn Guòchéng Gǎijìn) - Production Process Improvement - Cải tiến Quy trình Sản xuất</t>
        </is>
      </c>
      <c r="E992" s="92" t="inlineStr">
        <is>
          <t>143. 生产过程改进 (Shēngchǎn Guòchéng Gǎijìn) - Production Process Improvement - Cải tiến Quy trình Sản xuất</t>
        </is>
      </c>
      <c r="F992" s="114">
        <f>HYPERLINK("https://youglish.com/pronounce/生产过程改进/chinese","🔍")</f>
        <v/>
      </c>
    </row>
    <row r="993" ht="28.5" customHeight="1" s="99">
      <c r="A993" s="94" t="inlineStr">
        <is>
          <t>PDF_Tiếng trung Full BỘ BCT.pdf</t>
        </is>
      </c>
      <c r="B993" s="95" t="inlineStr">
        <is>
          <t>144</t>
        </is>
      </c>
      <c r="C993" s="94" t="inlineStr">
        <is>
          <t>供应商持续改进</t>
        </is>
      </c>
      <c r="D993" s="94" t="inlineStr">
        <is>
          <t>Gōngyìngshāng Chíxù Gǎijìn) - Vendor Continuous Improvement - Cải tiến liên tục từ phía Nhà cung cấp</t>
        </is>
      </c>
      <c r="E993" s="94" t="inlineStr">
        <is>
          <t>144. 供应商持续改进 (Gōngyìngshāng Chíxù Gǎijìn) - Vendor Continuous Improvement - Cải tiến liên tục từ phía Nhà cung cấp</t>
        </is>
      </c>
      <c r="F993" s="115">
        <f>HYPERLINK("https://youglish.com/pronounce/供应商持续改进/chinese","🔍")</f>
        <v/>
      </c>
    </row>
    <row r="994" ht="28.5" customHeight="1" s="99">
      <c r="A994" s="92" t="inlineStr">
        <is>
          <t>PDF_Tiếng trung Full BỘ BCT.pdf</t>
        </is>
      </c>
      <c r="B994" s="93" t="inlineStr">
        <is>
          <t>145</t>
        </is>
      </c>
      <c r="C994" s="92" t="inlineStr">
        <is>
          <t>定制生产计划</t>
        </is>
      </c>
      <c r="D994" s="92" t="inlineStr">
        <is>
          <t>Dìngzhì Shēngchǎn Jìhuà) - Custom Production Planning - Kế hoạch Sản xuất Theo yêu cầu</t>
        </is>
      </c>
      <c r="E994" s="92" t="inlineStr">
        <is>
          <t>145. 定制生产计划 (Dìngzhì Shēngchǎn Jìhuà) - Custom Production Planning - Kế hoạch Sản xuất Theo yêu cầu</t>
        </is>
      </c>
      <c r="F994" s="114">
        <f>HYPERLINK("https://youglish.com/pronounce/定制生产计划/chinese","🔍")</f>
        <v/>
      </c>
    </row>
    <row r="995" ht="28.5" customHeight="1" s="99">
      <c r="A995" s="94" t="inlineStr">
        <is>
          <t>PDF_Tiếng trung Full BỘ BCT.pdf</t>
        </is>
      </c>
      <c r="B995" s="95" t="inlineStr">
        <is>
          <t>146</t>
        </is>
      </c>
      <c r="C995" s="94" t="inlineStr">
        <is>
          <t>物料供应短缺</t>
        </is>
      </c>
      <c r="D995" s="94" t="inlineStr">
        <is>
          <t>Wùliào Gōngyìng Duǎnquē) - Material Supply Shortage - Thiếu hụt Vật liệu cung ứng</t>
        </is>
      </c>
      <c r="E995" s="94" t="inlineStr">
        <is>
          <t>146. 物料供应短缺 (Wùliào Gōngyìng Duǎnquē) - Material Supply Shortage - Thiếu hụt Vật liệu cung ứng</t>
        </is>
      </c>
      <c r="F995" s="115">
        <f>HYPERLINK("https://youglish.com/pronounce/物料供应短缺/chinese","🔍")</f>
        <v/>
      </c>
    </row>
    <row r="996" ht="28.5" customHeight="1" s="99">
      <c r="A996" s="92" t="inlineStr">
        <is>
          <t>PDF_Tiếng trung Full BỘ BCT.pdf</t>
        </is>
      </c>
      <c r="B996" s="93" t="inlineStr">
        <is>
          <t>147</t>
        </is>
      </c>
      <c r="C996" s="92" t="inlineStr">
        <is>
          <t>供应链协作平台</t>
        </is>
      </c>
      <c r="D996" s="92" t="inlineStr">
        <is>
          <t>Gōngyìngliàn Xiézuò Píngtái) - Supply Chain Collaboration Platform - Nền tảng Hợp tác trong Chuỗi cung ứng</t>
        </is>
      </c>
      <c r="E996" s="92" t="inlineStr">
        <is>
          <t>147. 供应链协作平台 (Gōngyìngliàn Xiézuò Píngtái) - Supply Chain Collaboration Platform - Nền tảng Hợp tác trong Chuỗi cung ứng</t>
        </is>
      </c>
      <c r="F996" s="114">
        <f>HYPERLINK("https://youglish.com/pronounce/供应链协作平台/chinese","🔍")</f>
        <v/>
      </c>
    </row>
    <row r="997" ht="28.5" customHeight="1" s="99">
      <c r="A997" s="94" t="inlineStr">
        <is>
          <t>PDF_Tiếng trung Full BỘ BCT.pdf</t>
        </is>
      </c>
      <c r="B997" s="95" t="inlineStr">
        <is>
          <t>148</t>
        </is>
      </c>
      <c r="C997" s="94" t="inlineStr">
        <is>
          <t>货运跟踪服务</t>
        </is>
      </c>
      <c r="D997" s="94" t="inlineStr">
        <is>
          <t>Huòyùn Gēnzuī Fúwù) - Freight Tracking Service - Dịch vụ Theo dõi Vận chuyển</t>
        </is>
      </c>
      <c r="E997" s="94" t="inlineStr">
        <is>
          <t>148. 货运跟踪服务 (Huòyùn Gēnzuī Fúwù) - Freight Tracking Service - Dịch vụ Theo dõi Vận chuyển</t>
        </is>
      </c>
      <c r="F997" s="115">
        <f>HYPERLINK("https://youglish.com/pronounce/货运跟踪服务/chinese","🔍")</f>
        <v/>
      </c>
    </row>
    <row r="998">
      <c r="A998" s="92" t="inlineStr">
        <is>
          <t>PDF_Tiếng trung Full BỘ BCT.pdf</t>
        </is>
      </c>
      <c r="B998" s="93" t="inlineStr">
        <is>
          <t>149</t>
        </is>
      </c>
      <c r="C998" s="92" t="inlineStr">
        <is>
          <t>库存报告</t>
        </is>
      </c>
      <c r="D998" s="92" t="inlineStr">
        <is>
          <t>Kùcún Bàogào) - Inventory Report - Báo cáo Kho</t>
        </is>
      </c>
      <c r="E998" s="92" t="inlineStr">
        <is>
          <t>149. 库存报告 (Kùcún Bàogào) - Inventory Report - Báo cáo Kho</t>
        </is>
      </c>
      <c r="F998" s="114">
        <f>HYPERLINK("https://youglish.com/pronounce/库存报告/chinese","🔍")</f>
        <v/>
      </c>
    </row>
    <row r="999" ht="28.5" customHeight="1" s="99">
      <c r="A999" s="94" t="inlineStr">
        <is>
          <t>PDF_Tiếng trung Full BỘ BCT.pdf</t>
        </is>
      </c>
      <c r="B999" s="95" t="inlineStr">
        <is>
          <t>150</t>
        </is>
      </c>
      <c r="C999" s="94" t="inlineStr">
        <is>
          <t>生产能力优化</t>
        </is>
      </c>
      <c r="D999" s="94" t="inlineStr">
        <is>
          <t>Shēngchǎn Nénglì Yōuhuà) - Production Capacity Optimization - Tối ưu hóa Năng lực Sản xuất</t>
        </is>
      </c>
      <c r="E999" s="94" t="inlineStr">
        <is>
          <t>150. 生产能力优化 (Shēngchǎn Nénglì Yōuhuà) - Production Capacity Optimization - Tối ưu hóa Năng lực Sản xuất</t>
        </is>
      </c>
      <c r="F999" s="115">
        <f>HYPERLINK("https://youglish.com/pronounce/生产能力优化/chinese","🔍")</f>
        <v/>
      </c>
    </row>
    <row r="1000" ht="28.5" customHeight="1" s="99">
      <c r="A1000" s="92" t="inlineStr">
        <is>
          <t>PDF_Tiếng trung Full BỘ BCT.pdf</t>
        </is>
      </c>
      <c r="B1000" s="93" t="inlineStr">
        <is>
          <t>151</t>
        </is>
      </c>
      <c r="C1000" s="92" t="inlineStr">
        <is>
          <t>供应链可控性</t>
        </is>
      </c>
      <c r="D1000" s="92" t="inlineStr">
        <is>
          <t>Gōngyìngliàn Kěkòngxìng) - Supply Chain Controllability - Khả năng Kiểm soát trong Chuỗi cung ứng</t>
        </is>
      </c>
      <c r="E1000" s="92" t="inlineStr">
        <is>
          <t>151. 供应链可控性 (Gōngyìngliàn Kěkòngxìng) - Supply Chain Controllability - Khả năng Kiểm soát trong Chuỗi cung ứng</t>
        </is>
      </c>
      <c r="F1000" s="114">
        <f>HYPERLINK("https://youglish.com/pronounce/供应链可控性/chinese","🔍")</f>
        <v/>
      </c>
    </row>
    <row r="1001" ht="28.5" customHeight="1" s="99">
      <c r="A1001" s="94" t="inlineStr">
        <is>
          <t>PDF_Tiếng trung Full BỘ BCT.pdf</t>
        </is>
      </c>
      <c r="B1001" s="95" t="inlineStr">
        <is>
          <t>152</t>
        </is>
      </c>
      <c r="C1001" s="94" t="inlineStr">
        <is>
          <t>拣货错误率</t>
        </is>
      </c>
      <c r="D1001" s="94" t="inlineStr">
        <is>
          <t>Jiǎnhuò Cuòwù Lǜ) - Picking Error Rate - Tỷ lệ Lỗi Chọn hàng</t>
        </is>
      </c>
      <c r="E1001" s="94" t="inlineStr">
        <is>
          <t>152. 拣货错误率 (Jiǎnhuò Cuòwù Lǜ) - Picking Error Rate - Tỷ lệ Lỗi Chọn hàng</t>
        </is>
      </c>
      <c r="F1001" s="115">
        <f>HYPERLINK("https://youglish.com/pronounce/拣货错误率/chinese","🔍")</f>
        <v/>
      </c>
    </row>
    <row r="1002" ht="28.5" customHeight="1" s="99">
      <c r="A1002" s="92" t="inlineStr">
        <is>
          <t>PDF_Tiếng trung Full BỘ BCT.pdf</t>
        </is>
      </c>
      <c r="B1002" s="93" t="inlineStr">
        <is>
          <t>153</t>
        </is>
      </c>
      <c r="C1002" s="92" t="inlineStr">
        <is>
          <t>货运网络规划</t>
        </is>
      </c>
      <c r="D1002" s="92" t="inlineStr">
        <is>
          <t>Huòyùn Wǎngluò Guīhuà) - Freight Network Planning - Kế hoạch Mạng lưới Vận chuyển</t>
        </is>
      </c>
      <c r="E1002" s="92" t="inlineStr">
        <is>
          <t>153. 货运网络规划 (Huòyùn Wǎngluò Guīhuà) - Freight Network Planning - Kế hoạch Mạng lưới Vận chuyển</t>
        </is>
      </c>
      <c r="F1002" s="114">
        <f>HYPERLINK("https://youglish.com/pronounce/货运网络规划/chinese","🔍")</f>
        <v/>
      </c>
    </row>
    <row r="1003" ht="28.5" customHeight="1" s="99">
      <c r="A1003" s="94" t="inlineStr">
        <is>
          <t>PDF_Tiếng trung Full BỘ BCT.pdf</t>
        </is>
      </c>
      <c r="B1003" s="95" t="inlineStr">
        <is>
          <t>154</t>
        </is>
      </c>
      <c r="C1003" s="94" t="inlineStr">
        <is>
          <t>供应链决策支持</t>
        </is>
      </c>
      <c r="D1003" s="94" t="inlineStr">
        <is>
          <t>Gōngyìngliàn Juécè Zhīchí) - Supply Chain Decision Support - Hỗ trợ Quyết định trong Chuỗi cung ứng</t>
        </is>
      </c>
      <c r="E1003" s="94" t="inlineStr">
        <is>
          <t>154. 供应链决策支持 (Gōngyìngliàn Juécè Zhīchí) - Supply Chain Decision Support - Hỗ trợ Quyết định trong Chuỗi cung ứng</t>
        </is>
      </c>
      <c r="F1003" s="115">
        <f>HYPERLINK("https://youglish.com/pronounce/供应链决策支持/chinese","🔍")</f>
        <v/>
      </c>
    </row>
    <row r="1004" ht="28.5" customHeight="1" s="99">
      <c r="A1004" s="92" t="inlineStr">
        <is>
          <t>PDF_Tiếng trung Full BỘ BCT.pdf</t>
        </is>
      </c>
      <c r="B1004" s="93" t="inlineStr">
        <is>
          <t>155</t>
        </is>
      </c>
      <c r="C1004" s="92" t="inlineStr">
        <is>
          <t>物料消耗分析</t>
        </is>
      </c>
      <c r="D1004" s="92" t="inlineStr">
        <is>
          <t>Wùliào Xiāohào Fēnxī) - Material Consumption Analysis - Phân tích Tiêu thụ Vật liệu</t>
        </is>
      </c>
      <c r="E1004" s="92" t="inlineStr">
        <is>
          <t>155. 物料消耗分析 (Wùliào Xiāohào Fēnxī) - Material Consumption Analysis - Phân tích Tiêu thụ Vật liệu</t>
        </is>
      </c>
      <c r="F1004" s="114">
        <f>HYPERLINK("https://youglish.com/pronounce/物料消耗分析/chinese","🔍")</f>
        <v/>
      </c>
    </row>
    <row r="1005" ht="28.5" customHeight="1" s="99">
      <c r="A1005" s="94" t="inlineStr">
        <is>
          <t>PDF_Tiếng trung Full BỘ BCT.pdf</t>
        </is>
      </c>
      <c r="B1005" s="95" t="inlineStr">
        <is>
          <t>156</t>
        </is>
      </c>
      <c r="C1005" s="94" t="inlineStr">
        <is>
          <t>生产效率改善</t>
        </is>
      </c>
      <c r="D1005" s="94" t="inlineStr">
        <is>
          <t>Shēngchǎn Xiàolǜ Gǎishàn) - Production Efficiency Enhancement - Cải thiện Hiệu suất Sản xuất</t>
        </is>
      </c>
      <c r="E1005" s="94" t="inlineStr">
        <is>
          <t>156. 生产效率改善 (Shēngchǎn Xiàolǜ Gǎishàn) - Production Efficiency Enhancement - Cải thiện Hiệu suất Sản xuất</t>
        </is>
      </c>
      <c r="F1005" s="115">
        <f>HYPERLINK("https://youglish.com/pronounce/生产效率改善/chinese","🔍")</f>
        <v/>
      </c>
    </row>
    <row r="1006" ht="28.5" customHeight="1" s="99">
      <c r="A1006" s="92" t="inlineStr">
        <is>
          <t>PDF_Tiếng trung Full BỘ BCT.pdf</t>
        </is>
      </c>
      <c r="B1006" s="93" t="inlineStr">
        <is>
          <t>157</t>
        </is>
      </c>
      <c r="C1006" s="92" t="inlineStr">
        <is>
          <t>供应商回应时间</t>
        </is>
      </c>
      <c r="D1006" s="92" t="inlineStr">
        <is>
          <t>Gōngyìngshāng Huíyìng Shíjiān) - Vendor Response Time - Thời gian Phản hồi từ Nhà cung cấp</t>
        </is>
      </c>
      <c r="E1006" s="92" t="inlineStr">
        <is>
          <t>157. 供应商回应时间 (Gōngyìngshāng Huíyìng Shíjiān) - Vendor Response Time - Thời gian Phản hồi từ Nhà cung cấp</t>
        </is>
      </c>
      <c r="F1006" s="114">
        <f>HYPERLINK("https://youglish.com/pronounce/供应商回应时间/chinese","🔍")</f>
        <v/>
      </c>
    </row>
    <row r="1007" ht="28.5" customHeight="1" s="99">
      <c r="A1007" s="94" t="inlineStr">
        <is>
          <t>PDF_Tiếng trung Full BỘ BCT.pdf</t>
        </is>
      </c>
      <c r="B1007" s="95" t="inlineStr">
        <is>
          <t>158</t>
        </is>
      </c>
      <c r="C1007" s="94" t="inlineStr">
        <is>
          <t>库存调整策略</t>
        </is>
      </c>
      <c r="D1007" s="94" t="inlineStr">
        <is>
          <t>Kùcún Tiáozhěng Cèlüè) - Inventory Adjustment Strategy - Chiến lược Điều chỉnh Kho</t>
        </is>
      </c>
      <c r="E1007" s="94" t="inlineStr">
        <is>
          <t>158. 库存调整策略 (Kùcún Tiáozhěng Cèlüè) - Inventory Adjustment Strategy - Chiến lược Điều chỉnh Kho</t>
        </is>
      </c>
      <c r="F1007" s="115">
        <f>HYPERLINK("https://youglish.com/pronounce/库存调整策略/chinese","🔍")</f>
        <v/>
      </c>
    </row>
    <row r="1008" ht="28.5" customHeight="1" s="99">
      <c r="A1008" s="92" t="inlineStr">
        <is>
          <t>PDF_Tiếng trung Full BỘ BCT.pdf</t>
        </is>
      </c>
      <c r="B1008" s="93" t="inlineStr">
        <is>
          <t>159</t>
        </is>
      </c>
      <c r="C1008" s="92" t="inlineStr">
        <is>
          <t>采购流程规范</t>
        </is>
      </c>
      <c r="D1008" s="92" t="inlineStr">
        <is>
          <t>Cǎigòu Liúchéng Guīfàn) - Procurement Process Standardization - Tiêu chuẩn hóa Quy trình Mua hàng</t>
        </is>
      </c>
      <c r="E1008" s="92" t="inlineStr">
        <is>
          <t>159. 采购流程规范 (Cǎigòu Liúchéng Guīfàn) - Procurement Process Standardization - Tiêu chuẩn hóa Quy trình Mua hàng</t>
        </is>
      </c>
      <c r="F1008" s="114">
        <f>HYPERLINK("https://youglish.com/pronounce/采购流程规范/chinese","🔍")</f>
        <v/>
      </c>
    </row>
    <row r="1009" ht="28.5" customHeight="1" s="99">
      <c r="A1009" s="94" t="inlineStr">
        <is>
          <t>PDF_Tiếng trung Full BỘ BCT.pdf</t>
        </is>
      </c>
      <c r="B1009" s="95" t="inlineStr">
        <is>
          <t>160</t>
        </is>
      </c>
      <c r="C1009" s="94" t="inlineStr">
        <is>
          <t>供应链数字化转型</t>
        </is>
      </c>
      <c r="D1009" s="94" t="inlineStr">
        <is>
          <t>Gōngyìngliàn Shùzìhuà Zhuǎnxíng) - Supply Chain Digital Transformation - Chuyển đổi Số hóa Chuỗi cung ứng</t>
        </is>
      </c>
      <c r="E1009" s="94" t="inlineStr">
        <is>
          <t>160. 供应链数字化转型 (Gōngyìngliàn Shùzìhuà Zhuǎnxíng) - Supply Chain Digital Transformation - Chuyển đổi Số hóa Chuỗi cung ứng</t>
        </is>
      </c>
      <c r="F1009" s="115">
        <f>HYPERLINK("https://youglish.com/pronounce/供应链数字化转型/chinese","🔍")</f>
        <v/>
      </c>
    </row>
    <row r="1010" ht="28.5" customHeight="1" s="99">
      <c r="A1010" s="92" t="inlineStr">
        <is>
          <t>PDF_Tiếng trung Full BỘ BCT.pdf</t>
        </is>
      </c>
      <c r="B1010" s="93" t="inlineStr">
        <is>
          <t>161</t>
        </is>
      </c>
      <c r="C1010" s="92" t="inlineStr">
        <is>
          <t>供应商交付性能</t>
        </is>
      </c>
      <c r="D1010" s="92" t="inlineStr">
        <is>
          <t>Gōngyìngshāng Jiāofù Xìngnéng) - Vendor Delivery Performance - Hiệu suất Giao hàng của Nhà cung cấp</t>
        </is>
      </c>
      <c r="E1010" s="92" t="inlineStr">
        <is>
          <t>161. 供应商交付性能 (Gōngyìngshāng Jiāofù Xìngnéng) - Vendor Delivery Performance - Hiệu suất Giao hàng của Nhà cung cấp</t>
        </is>
      </c>
      <c r="F1010" s="114">
        <f>HYPERLINK("https://youglish.com/pronounce/供应商交付性能/chinese","🔍")</f>
        <v/>
      </c>
    </row>
    <row r="1011" ht="28.5" customHeight="1" s="99">
      <c r="A1011" s="94" t="inlineStr">
        <is>
          <t>PDF_Tiếng trung Full BỘ BCT.pdf</t>
        </is>
      </c>
      <c r="B1011" s="95" t="inlineStr">
        <is>
          <t>162</t>
        </is>
      </c>
      <c r="C1011" s="94" t="inlineStr">
        <is>
          <t>物料库存控制</t>
        </is>
      </c>
      <c r="D1011" s="94" t="inlineStr">
        <is>
          <t>Wùliào Kùcún Kòngzhì) - Material Inventory Control - Kiểm soát Kho Vật liệu</t>
        </is>
      </c>
      <c r="E1011" s="94" t="inlineStr">
        <is>
          <t>162. 物料库存控制 (Wùliào Kùcún Kòngzhì) - Material Inventory Control - Kiểm soát Kho Vật liệu</t>
        </is>
      </c>
      <c r="F1011" s="115">
        <f>HYPERLINK("https://youglish.com/pronounce/物料库存控制/chinese","🔍")</f>
        <v/>
      </c>
    </row>
    <row r="1012" ht="28.5" customHeight="1" s="99">
      <c r="A1012" s="92" t="inlineStr">
        <is>
          <t>PDF_Tiếng trung Full BỘ BCT.pdf</t>
        </is>
      </c>
      <c r="B1012" s="93" t="inlineStr">
        <is>
          <t>163</t>
        </is>
      </c>
      <c r="C1012" s="92" t="inlineStr">
        <is>
          <t>需求计划调整</t>
        </is>
      </c>
      <c r="D1012" s="92" t="inlineStr">
        <is>
          <t>Xūqiú Jìhuà Tiáozhěng) - Demand Planning Adjustment - Điều chỉnh Kế hoạch Nhu cầu</t>
        </is>
      </c>
      <c r="E1012" s="92" t="inlineStr">
        <is>
          <t>163. 需求计划调整 (Xūqiú Jìhuà Tiáozhěng) - Demand Planning Adjustment - Điều chỉnh Kế hoạch Nhu cầu</t>
        </is>
      </c>
      <c r="F1012" s="114">
        <f>HYPERLINK("https://youglish.com/pronounce/需求计划调整/chinese","🔍")</f>
        <v/>
      </c>
    </row>
    <row r="1013" ht="28.5" customHeight="1" s="99">
      <c r="A1013" s="94" t="inlineStr">
        <is>
          <t>PDF_Tiếng trung Full BỘ BCT.pdf</t>
        </is>
      </c>
      <c r="B1013" s="95" t="inlineStr">
        <is>
          <t>164</t>
        </is>
      </c>
      <c r="C1013" s="94" t="inlineStr">
        <is>
          <t>供应链协同规划</t>
        </is>
      </c>
      <c r="D1013" s="94" t="inlineStr">
        <is>
          <t>Gōngyìngliàn Xiétóng Guīhuà) - Supply Chain Collaborative Planning - Kế hoạch Hợp tác trong Chuỗi cung ứng</t>
        </is>
      </c>
      <c r="E1013" s="94" t="inlineStr">
        <is>
          <t>164. 供应链协同规划 (Gōngyìngliàn Xiétóng Guīhuà) - Supply Chain Collaborative Planning - Kế hoạch Hợp tác trong Chuỗi cung ứng</t>
        </is>
      </c>
      <c r="F1013" s="115">
        <f>HYPERLINK("https://youglish.com/pronounce/供应链协同规划/chinese","🔍")</f>
        <v/>
      </c>
    </row>
    <row r="1014" ht="28.5" customHeight="1" s="99">
      <c r="A1014" s="92" t="inlineStr">
        <is>
          <t>PDF_Tiếng trung Full BỘ BCT.pdf</t>
        </is>
      </c>
      <c r="B1014" s="93" t="inlineStr">
        <is>
          <t>165</t>
        </is>
      </c>
      <c r="C1014" s="92" t="inlineStr">
        <is>
          <t>采购合同管理</t>
        </is>
      </c>
      <c r="D1014" s="92" t="inlineStr">
        <is>
          <t>Cǎigòu Hétong Guǎnlǐ) - Procurement Contract Management - Quản lý Hợp đồng Mua hàng</t>
        </is>
      </c>
      <c r="E1014" s="92" t="inlineStr">
        <is>
          <t>165. 采购合同管理 (Cǎigòu Hétong Guǎnlǐ) - Procurement Contract Management - Quản lý Hợp đồng Mua hàng</t>
        </is>
      </c>
      <c r="F1014" s="114">
        <f>HYPERLINK("https://youglish.com/pronounce/采购合同管理/chinese","🔍")</f>
        <v/>
      </c>
    </row>
    <row r="1015" ht="28.5" customHeight="1" s="99">
      <c r="A1015" s="94" t="inlineStr">
        <is>
          <t>PDF_Tiếng trung Full BỘ BCT.pdf</t>
        </is>
      </c>
      <c r="B1015" s="95" t="inlineStr">
        <is>
          <t>166</t>
        </is>
      </c>
      <c r="C1015" s="94" t="inlineStr">
        <is>
          <t>生产排程协同</t>
        </is>
      </c>
      <c r="D1015" s="94" t="inlineStr">
        <is>
          <t>Shēngchǎn Páiché Xiétóng) - Production Scheduling Collaboration - Hợp tác Lịch trình Sản xuất</t>
        </is>
      </c>
      <c r="E1015" s="94" t="inlineStr">
        <is>
          <t>166. 生产排程协同 (Shēngchǎn Páiché Xiétóng) - Production Scheduling Collaboration - Hợp tác Lịch trình Sản xuất</t>
        </is>
      </c>
      <c r="F1015" s="115">
        <f>HYPERLINK("https://youglish.com/pronounce/生产排程协同/chinese","🔍")</f>
        <v/>
      </c>
    </row>
    <row r="1016" ht="28.5" customHeight="1" s="99">
      <c r="A1016" s="92" t="inlineStr">
        <is>
          <t>PDF_Tiếng trung Full BỘ BCT.pdf</t>
        </is>
      </c>
      <c r="B1016" s="93" t="inlineStr">
        <is>
          <t>167</t>
        </is>
      </c>
      <c r="C1016" s="92" t="inlineStr">
        <is>
          <t>货运价格谈判</t>
        </is>
      </c>
      <c r="D1016" s="92" t="inlineStr">
        <is>
          <t>Huòyùn Jiàgé Tánpàn) - Freight Price Negotiation - Đàm phán Giá vận chuyển</t>
        </is>
      </c>
      <c r="E1016" s="92" t="inlineStr">
        <is>
          <t>167. 货运价格谈判 (Huòyùn Jiàgé Tánpàn) - Freight Price Negotiation - Đàm phán Giá vận chuyển</t>
        </is>
      </c>
      <c r="F1016" s="114">
        <f>HYPERLINK("https://youglish.com/pronounce/货运价格谈判/chinese","🔍")</f>
        <v/>
      </c>
    </row>
    <row r="1017" ht="28.5" customHeight="1" s="99">
      <c r="A1017" s="94" t="inlineStr">
        <is>
          <t>PDF_Tiếng trung Full BỘ BCT.pdf</t>
        </is>
      </c>
      <c r="B1017" s="95" t="inlineStr">
        <is>
          <t>168</t>
        </is>
      </c>
      <c r="C1017" s="94" t="inlineStr">
        <is>
          <t>需求满足时间</t>
        </is>
      </c>
      <c r="D1017" s="94" t="inlineStr">
        <is>
          <t>Xūqiú Mǎnzú Shíjiān) - Lead Time for Demand Fulfillment - Thời gian Đáp ứng Nhu cầu</t>
        </is>
      </c>
      <c r="E1017" s="94" t="inlineStr">
        <is>
          <t>168. 需求满足时间 (Xūqiú Mǎnzú Shíjiān) - Lead Time for Demand Fulfillment - Thời gian Đáp ứng Nhu cầu</t>
        </is>
      </c>
      <c r="F1017" s="115">
        <f>HYPERLINK("https://youglish.com/pronounce/需求满足时间/chinese","🔍")</f>
        <v/>
      </c>
    </row>
    <row r="1018" ht="28.5" customHeight="1" s="99">
      <c r="A1018" s="92" t="inlineStr">
        <is>
          <t>PDF_Tiếng trung Full BỘ BCT.pdf</t>
        </is>
      </c>
      <c r="B1018" s="93" t="inlineStr">
        <is>
          <t>169</t>
        </is>
      </c>
      <c r="C1018" s="92" t="inlineStr">
        <is>
          <t>供应商配送效率</t>
        </is>
      </c>
      <c r="D1018" s="92" t="inlineStr">
        <is>
          <t>Gōngyìngshāng Pèisòng Xiàolǜ) - Vendor Delivery Efficiency - Hiệu suất Giao hàng từ Nhà cung cấp</t>
        </is>
      </c>
      <c r="E1018" s="92" t="inlineStr">
        <is>
          <t>169. 供应商配送效率 (Gōngyìngshāng Pèisòng Xiàolǜ) - Vendor Delivery Efficiency - Hiệu suất Giao hàng từ Nhà cung cấp</t>
        </is>
      </c>
      <c r="F1018" s="114">
        <f>HYPERLINK("https://youglish.com/pronounce/供应商配送效率/chinese","🔍")</f>
        <v/>
      </c>
    </row>
    <row r="1019" ht="28.5" customHeight="1" s="99">
      <c r="A1019" s="94" t="inlineStr">
        <is>
          <t>PDF_Tiếng trung Full BỘ BCT.pdf</t>
        </is>
      </c>
      <c r="B1019" s="95" t="inlineStr">
        <is>
          <t>170</t>
        </is>
      </c>
      <c r="C1019" s="94" t="inlineStr">
        <is>
          <t>质量持续改进</t>
        </is>
      </c>
      <c r="D1019" s="94" t="inlineStr">
        <is>
          <t>Zhìliàng Chíxù Gǎijìn) - Continuous Quality Improvement - Cải tiến liên tục về Chất lượng</t>
        </is>
      </c>
      <c r="E1019" s="94" t="inlineStr">
        <is>
          <t>170. 质量持续改进 (Zhìliàng Chíxù Gǎijìn) - Continuous Quality Improvement - Cải tiến liên tục về Chất lượng</t>
        </is>
      </c>
      <c r="F1019" s="115">
        <f>HYPERLINK("https://youglish.com/pronounce/质量持续改进/chinese","🔍")</f>
        <v/>
      </c>
    </row>
    <row r="1020" ht="28.5" customHeight="1" s="99">
      <c r="A1020" s="92" t="inlineStr">
        <is>
          <t>PDF_Tiếng trung Full BỘ BCT.pdf</t>
        </is>
      </c>
      <c r="B1020" s="93" t="inlineStr">
        <is>
          <t>171</t>
        </is>
      </c>
      <c r="C1020" s="92" t="inlineStr">
        <is>
          <t>供应链效益评估</t>
        </is>
      </c>
      <c r="D1020" s="92" t="inlineStr">
        <is>
          <t>Gōngyìngliàn Xiàoyì Pínggū) - Supply Chain Benefits Assessment - Đánh giá Lợi ích từ Chuỗi cung ứng</t>
        </is>
      </c>
      <c r="E1020" s="92" t="inlineStr">
        <is>
          <t>171. 供应链效益评估 (Gōngyìngliàn Xiàoyì Pínggū) - Supply Chain Benefits Assessment - Đánh giá Lợi ích từ Chuỗi cung ứng</t>
        </is>
      </c>
      <c r="F1020" s="114">
        <f>HYPERLINK("https://youglish.com/pronounce/供应链效益评估/chinese","🔍")</f>
        <v/>
      </c>
    </row>
    <row r="1021" ht="42.75" customHeight="1" s="99">
      <c r="A1021" s="94" t="inlineStr">
        <is>
          <t>PDF_Tiếng trung Full BỘ BCT.pdf</t>
        </is>
      </c>
      <c r="B1021" s="95" t="inlineStr">
        <is>
          <t>172</t>
        </is>
      </c>
      <c r="C1021" s="94" t="inlineStr">
        <is>
          <t>生产过程质量控制</t>
        </is>
      </c>
      <c r="D1021" s="94" t="inlineStr">
        <is>
          <t>Shēngchǎn Guòchéng Zhìliàng Kòngzhì) - Production Process Quality Control - Kiểm soát Chất lượng Quy trình Sản xuất</t>
        </is>
      </c>
      <c r="E1021" s="94" t="inlineStr">
        <is>
          <t>172. 生产过程质量控制 (Shēngchǎn Guòchéng Zhìliàng Kòngzhì) - Production Process Quality Control - Kiểm soát Chất lượng Quy trình Sản xuất</t>
        </is>
      </c>
      <c r="F1021" s="115">
        <f>HYPERLINK("https://youglish.com/pronounce/生产过程质量控制/chinese","🔍")</f>
        <v/>
      </c>
    </row>
    <row r="1022" ht="28.5" customHeight="1" s="99">
      <c r="A1022" s="92" t="inlineStr">
        <is>
          <t>PDF_Tiếng trung Full BỘ BCT.pdf</t>
        </is>
      </c>
      <c r="B1022" s="93" t="inlineStr">
        <is>
          <t>173</t>
        </is>
      </c>
      <c r="C1022" s="92" t="inlineStr">
        <is>
          <t>供应商履约指标</t>
        </is>
      </c>
      <c r="D1022" s="92" t="inlineStr">
        <is>
          <t>Gōngyìngshāng Lǚyuē Zhǐbiāo) - Vendor Performance Metrics - Chỉ số Hiệu suất của Nhà cung cấp</t>
        </is>
      </c>
      <c r="E1022" s="92" t="inlineStr">
        <is>
          <t>173. 供应商履约指标 (Gōngyìngshāng Lǚyuē Zhǐbiāo) - Vendor Performance Metrics - Chỉ số Hiệu suất của Nhà cung cấp</t>
        </is>
      </c>
      <c r="F1022" s="114">
        <f>HYPERLINK("https://youglish.com/pronounce/供应商履约指标/chinese","🔍")</f>
        <v/>
      </c>
    </row>
    <row r="1023" ht="28.5" customHeight="1" s="99">
      <c r="A1023" s="94" t="inlineStr">
        <is>
          <t>PDF_Tiếng trung Full BỘ BCT.pdf</t>
        </is>
      </c>
      <c r="B1023" s="95" t="inlineStr">
        <is>
          <t>174</t>
        </is>
      </c>
      <c r="C1023" s="94" t="inlineStr">
        <is>
          <t>仓储空间规划</t>
        </is>
      </c>
      <c r="D1023" s="94" t="inlineStr">
        <is>
          <t>Cāngchǔ Kōngjiān Guīhuà) - Warehouse Space Planning - Kế hoạch Không gian Kho</t>
        </is>
      </c>
      <c r="E1023" s="94" t="inlineStr">
        <is>
          <t>174. 仓储空间规划 (Cāngchǔ Kōngjiān Guīhuà) - Warehouse Space Planning - Kế hoạch Không gian Kho</t>
        </is>
      </c>
      <c r="F1023" s="115">
        <f>HYPERLINK("https://youglish.com/pronounce/仓储空间规划/chinese","🔍")</f>
        <v/>
      </c>
    </row>
    <row r="1024" ht="28.5" customHeight="1" s="99">
      <c r="A1024" s="92" t="inlineStr">
        <is>
          <t>PDF_Tiếng trung Full BỘ BCT.pdf</t>
        </is>
      </c>
      <c r="B1024" s="93" t="inlineStr">
        <is>
          <t>175</t>
        </is>
      </c>
      <c r="C1024" s="92" t="inlineStr">
        <is>
          <t>物料采购流程</t>
        </is>
      </c>
      <c r="D1024" s="92" t="inlineStr">
        <is>
          <t>Wùliào Cǎigòu Liúchéng) - Material Procurement Process - Quy trình Mua Vật liệu</t>
        </is>
      </c>
      <c r="E1024" s="92" t="inlineStr">
        <is>
          <t>175. 物料采购流程 (Wùliào Cǎigòu Liúchéng) - Material Procurement Process - Quy trình Mua Vật liệu</t>
        </is>
      </c>
      <c r="F1024" s="114">
        <f>HYPERLINK("https://youglish.com/pronounce/物料采购流程/chinese","🔍")</f>
        <v/>
      </c>
    </row>
    <row r="1025" ht="28.5" customHeight="1" s="99">
      <c r="A1025" s="94" t="inlineStr">
        <is>
          <t>PDF_Tiếng trung Full BỘ BCT.pdf</t>
        </is>
      </c>
      <c r="B1025" s="95" t="inlineStr">
        <is>
          <t>176</t>
        </is>
      </c>
      <c r="C1025" s="94" t="inlineStr">
        <is>
          <t>生产计划可靠性</t>
        </is>
      </c>
      <c r="D1025" s="94" t="inlineStr">
        <is>
          <t>Shēngchǎn Jìhuà Kěkàoxìng) - Production Planning Reliability - Độ tin cậy của Kế hoạch Sản xuất</t>
        </is>
      </c>
      <c r="E1025" s="94" t="inlineStr">
        <is>
          <t>176. 生产计划可靠性 (Shēngchǎn Jìhuà Kěkàoxìng) - Production Planning Reliability - Độ tin cậy của Kế hoạch Sản xuất</t>
        </is>
      </c>
      <c r="F1025" s="115">
        <f>HYPERLINK("https://youglish.com/pronounce/生产计划可靠性/chinese","🔍")</f>
        <v/>
      </c>
    </row>
    <row r="1026" ht="28.5" customHeight="1" s="99">
      <c r="A1026" s="92" t="inlineStr">
        <is>
          <t>PDF_Tiếng trung Full BỘ BCT.pdf</t>
        </is>
      </c>
      <c r="B1026" s="93" t="inlineStr">
        <is>
          <t>177</t>
        </is>
      </c>
      <c r="C1026" s="92" t="inlineStr">
        <is>
          <t>供应链可视化工具</t>
        </is>
      </c>
      <c r="D1026" s="92" t="inlineStr">
        <is>
          <t>Gōngyìngliàn Kěshìhuà Gōngjù) - Supply Chain Visualization Tools - Công cụ Hình dung hóa Chuỗi cung ứng</t>
        </is>
      </c>
      <c r="E1026" s="92" t="inlineStr">
        <is>
          <t>177. 供应链可视化工具 (Gōngyìngliàn Kěshìhuà Gōngjù) - Supply Chain Visualization Tools - Công cụ Hình dung hóa Chuỗi cung ứng</t>
        </is>
      </c>
      <c r="F1026" s="114">
        <f>HYPERLINK("https://youglish.com/pronounce/供应链可视化工具/chinese","🔍")</f>
        <v/>
      </c>
    </row>
    <row r="1027" ht="28.5" customHeight="1" s="99">
      <c r="A1027" s="94" t="inlineStr">
        <is>
          <t>PDF_Tiếng trung Full BỘ BCT.pdf</t>
        </is>
      </c>
      <c r="B1027" s="95" t="inlineStr">
        <is>
          <t>178</t>
        </is>
      </c>
      <c r="C1027" s="94" t="inlineStr">
        <is>
          <t>运输网络规划</t>
        </is>
      </c>
      <c r="D1027" s="94" t="inlineStr">
        <is>
          <t>Yùnshū Wǎngluò Guīhuà) - Transportation Network Planning - Kế hoạch Mạng lưới Vận chuyển</t>
        </is>
      </c>
      <c r="E1027" s="94" t="inlineStr">
        <is>
          <t>178. 运输网络规划 (Yùnshū Wǎngluò Guīhuà) - Transportation Network Planning - Kế hoạch Mạng lưới Vận chuyển</t>
        </is>
      </c>
      <c r="F1027" s="115">
        <f>HYPERLINK("https://youglish.com/pronounce/运输网络规划/chinese","🔍")</f>
        <v/>
      </c>
    </row>
    <row r="1028" ht="28.5" customHeight="1" s="99">
      <c r="A1028" s="92" t="inlineStr">
        <is>
          <t>PDF_Tiếng trung Full BỘ BCT.pdf</t>
        </is>
      </c>
      <c r="B1028" s="93" t="inlineStr">
        <is>
          <t>179</t>
        </is>
      </c>
      <c r="C1028" s="92" t="inlineStr">
        <is>
          <t>库存周转率提高</t>
        </is>
      </c>
      <c r="D1028" s="92" t="inlineStr">
        <is>
          <t>Kùcún Zhōuzuǎn Lǜ Tígāo) - Increase in Inventory Turnover Rate - Tăng tỷ lệ Quay vòng Kho</t>
        </is>
      </c>
      <c r="E1028" s="92" t="inlineStr">
        <is>
          <t>179. 库存周转率提高 (Kùcún Zhōuzuǎn Lǜ Tígāo) - Increase in Inventory Turnover Rate - Tăng tỷ lệ Quay vòng Kho</t>
        </is>
      </c>
      <c r="F1028" s="114">
        <f>HYPERLINK("https://youglish.com/pronounce/库存周转率提高/chinese","🔍")</f>
        <v/>
      </c>
    </row>
    <row r="1029" ht="28.5" customHeight="1" s="99">
      <c r="A1029" s="94" t="inlineStr">
        <is>
          <t>PDF_Tiếng trung Full BỘ BCT.pdf</t>
        </is>
      </c>
      <c r="B1029" s="95" t="inlineStr">
        <is>
          <t>180</t>
        </is>
      </c>
      <c r="C1029" s="94" t="inlineStr">
        <is>
          <t>生产资源分配</t>
        </is>
      </c>
      <c r="D1029" s="94" t="inlineStr">
        <is>
          <t>Shēngchǎn Zīyuán Fēnpèi) - Production Resource Allocation - Phân bổ Tài nguyên Sản xuất</t>
        </is>
      </c>
      <c r="E1029" s="94" t="inlineStr">
        <is>
          <t>180. 生产资源分配 (Shēngchǎn Zīyuán Fēnpèi) - Production Resource Allocation - Phân bổ Tài nguyên Sản xuất</t>
        </is>
      </c>
      <c r="F1029" s="115">
        <f>HYPERLINK("https://youglish.com/pronounce/生产资源分配/chinese","🔍")</f>
        <v/>
      </c>
    </row>
    <row r="1030" ht="28.5" customHeight="1" s="99">
      <c r="A1030" s="92" t="inlineStr">
        <is>
          <t>PDF_Tiếng trung Full BỘ BCT.pdf</t>
        </is>
      </c>
      <c r="B1030" s="93" t="inlineStr">
        <is>
          <t>181</t>
        </is>
      </c>
      <c r="C1030" s="92" t="inlineStr">
        <is>
          <t>物流协同合作</t>
        </is>
      </c>
      <c r="D1030" s="92" t="inlineStr">
        <is>
          <t>Wùliú Xiétóng Hézuò) - Logistic Collaboration - Hợp tác Logistics</t>
        </is>
      </c>
      <c r="E1030" s="92" t="inlineStr">
        <is>
          <t>181. 物流协同合作 (Wùliú Xiétóng Hézuò) - Logistic Collaboration - Hợp tác Logistics</t>
        </is>
      </c>
      <c r="F1030" s="114">
        <f>HYPERLINK("https://youglish.com/pronounce/物流协同合作/chinese","🔍")</f>
        <v/>
      </c>
    </row>
    <row r="1031" ht="28.5" customHeight="1" s="99">
      <c r="A1031" s="94" t="inlineStr">
        <is>
          <t>PDF_Tiếng trung Full BỘ BCT.pdf</t>
        </is>
      </c>
      <c r="B1031" s="95" t="inlineStr">
        <is>
          <t>182</t>
        </is>
      </c>
      <c r="C1031" s="94" t="inlineStr">
        <is>
          <t>生产效益评估</t>
        </is>
      </c>
      <c r="D1031" s="94" t="inlineStr">
        <is>
          <t>Shēngchǎn Xiàolǜ Pínggū) - Production Efficiency Assessment - Đánh giá Hiệu suất Sản xuất</t>
        </is>
      </c>
      <c r="E1031" s="94" t="inlineStr">
        <is>
          <t>182. 生产效益评估 (Shēngchǎn Xiàolǜ Pínggū) - Production Efficiency Assessment - Đánh giá Hiệu suất Sản xuất</t>
        </is>
      </c>
      <c r="F1031" s="115">
        <f>HYPERLINK("https://youglish.com/pronounce/生产效益评估/chinese","🔍")</f>
        <v/>
      </c>
    </row>
    <row r="1032" ht="28.5" customHeight="1" s="99">
      <c r="A1032" s="92" t="inlineStr">
        <is>
          <t>PDF_Tiếng trung Full BỘ BCT.pdf</t>
        </is>
      </c>
      <c r="B1032" s="93" t="inlineStr">
        <is>
          <t>183</t>
        </is>
      </c>
      <c r="C1032" s="92" t="inlineStr">
        <is>
          <t>需求满足率监控</t>
        </is>
      </c>
      <c r="D1032" s="92" t="inlineStr">
        <is>
          <t>Xūqiú Mǎnzú Lǜ Jiānkòng) - Demand Fulfillment Rate Monitoring - Giám sát Tỷ lệ Đáp ứng Nhu cầu</t>
        </is>
      </c>
      <c r="E1032" s="92" t="inlineStr">
        <is>
          <t>183. 需求满足率监控 (Xūqiú Mǎnzú Lǜ Jiānkòng) - Demand Fulfillment Rate Monitoring - Giám sát Tỷ lệ Đáp ứng Nhu cầu</t>
        </is>
      </c>
      <c r="F1032" s="114">
        <f>HYPERLINK("https://youglish.com/pronounce/需求满足率监控/chinese","🔍")</f>
        <v/>
      </c>
    </row>
    <row r="1033" ht="28.5" customHeight="1" s="99">
      <c r="A1033" s="94" t="inlineStr">
        <is>
          <t>PDF_Tiếng trung Full BỘ BCT.pdf</t>
        </is>
      </c>
      <c r="B1033" s="95" t="inlineStr">
        <is>
          <t>184</t>
        </is>
      </c>
      <c r="C1033" s="94" t="inlineStr">
        <is>
          <t>供应商供货周期</t>
        </is>
      </c>
      <c r="D1033" s="94" t="inlineStr">
        <is>
          <t>Gōngyìngshāng Gònghuò Zhōuqī) - Vendor Lead Time - Thời gian Nhà cung cấp</t>
        </is>
      </c>
      <c r="E1033" s="94" t="inlineStr">
        <is>
          <t>184. 供应商供货周期 (Gōngyìngshāng Gònghuò Zhōuqī) - Vendor Lead Time - Thời gian Nhà cung cấp</t>
        </is>
      </c>
      <c r="F1033" s="115">
        <f>HYPERLINK("https://youglish.com/pronounce/供应商供货周期/chinese","🔍")</f>
        <v/>
      </c>
    </row>
    <row r="1034" ht="28.5" customHeight="1" s="99">
      <c r="A1034" s="92" t="inlineStr">
        <is>
          <t>PDF_Tiếng trung Full BỘ BCT.pdf</t>
        </is>
      </c>
      <c r="B1034" s="93" t="inlineStr">
        <is>
          <t>185</t>
        </is>
      </c>
      <c r="C1034" s="92" t="inlineStr">
        <is>
          <t>采购流程改进</t>
        </is>
      </c>
      <c r="D1034" s="92" t="inlineStr">
        <is>
          <t>Cǎigòu Liúchéng Gǎijìn) - Procurement Process Improvement - Cải tiến Quy trình Mua hàng</t>
        </is>
      </c>
      <c r="E1034" s="92" t="inlineStr">
        <is>
          <t>185. 采购流程改进 (Cǎigòu Liúchéng Gǎijìn) - Procurement Process Improvement - Cải tiến Quy trình Mua hàng</t>
        </is>
      </c>
      <c r="F1034" s="114">
        <f>HYPERLINK("https://youglish.com/pronounce/采购流程改进/chinese","🔍")</f>
        <v/>
      </c>
    </row>
    <row r="1035" ht="28.5" customHeight="1" s="99">
      <c r="A1035" s="94" t="inlineStr">
        <is>
          <t>PDF_Tiếng trung Full BỘ BCT.pdf</t>
        </is>
      </c>
      <c r="B1035" s="95" t="inlineStr">
        <is>
          <t>186</t>
        </is>
      </c>
      <c r="C1035" s="94" t="inlineStr">
        <is>
          <t>生产线平衡</t>
        </is>
      </c>
      <c r="D1035" s="94" t="inlineStr">
        <is>
          <t>Shēngchǎn Xiàn Pínghéng) - Production Line Balancing - Cân bằng Dây chuyền Sản xuất</t>
        </is>
      </c>
      <c r="E1035" s="94" t="inlineStr">
        <is>
          <t>186. 生产线平衡 (Shēngchǎn Xiàn Pínghéng) - Production Line Balancing - Cân bằng Dây chuyền Sản xuất</t>
        </is>
      </c>
      <c r="F1035" s="115">
        <f>HYPERLINK("https://youglish.com/pronounce/生产线平衡/chinese","🔍")</f>
        <v/>
      </c>
    </row>
    <row r="1036" ht="28.5" customHeight="1" s="99">
      <c r="A1036" s="92" t="inlineStr">
        <is>
          <t>PDF_Tiếng trung Full BỘ BCT.pdf</t>
        </is>
      </c>
      <c r="B1036" s="93" t="inlineStr">
        <is>
          <t>187</t>
        </is>
      </c>
      <c r="C1036" s="92" t="inlineStr">
        <is>
          <t>供应链绿色化</t>
        </is>
      </c>
      <c r="D1036" s="92" t="inlineStr">
        <is>
          <t>Gōngyìngliàn Lǜsèhuà) - Supply Chain Greening - Xanh hóa Chuỗi cung ứng</t>
        </is>
      </c>
      <c r="E1036" s="92" t="inlineStr">
        <is>
          <t>187. 供应链绿色化 (Gōngyìngliàn Lǜsèhuà) - Supply Chain Greening - Xanh hóa Chuỗi cung ứng</t>
        </is>
      </c>
      <c r="F1036" s="114">
        <f>HYPERLINK("https://youglish.com/pronounce/供应链绿色化/chinese","🔍")</f>
        <v/>
      </c>
    </row>
    <row r="1037" ht="28.5" customHeight="1" s="99">
      <c r="A1037" s="94" t="inlineStr">
        <is>
          <t>PDF_Tiếng trung Full BỘ BCT.pdf</t>
        </is>
      </c>
      <c r="B1037" s="95" t="inlineStr">
        <is>
          <t>188</t>
        </is>
      </c>
      <c r="C1037" s="94" t="inlineStr">
        <is>
          <t>需求响应速度</t>
        </is>
      </c>
      <c r="D1037" s="94" t="inlineStr">
        <is>
          <t>Xūqiú Xiǎngyìng Sùdù) - Demand Responsiveness - Tốc độ Phản hồi Nhu cầu</t>
        </is>
      </c>
      <c r="E1037" s="94" t="inlineStr">
        <is>
          <t>188. 需求响应速度 (Xūqiú Xiǎngyìng Sùdù) - Demand Responsiveness - Tốc độ Phản hồi Nhu cầu</t>
        </is>
      </c>
      <c r="F1037" s="115">
        <f>HYPERLINK("https://youglish.com/pronounce/需求响应速度/chinese","🔍")</f>
        <v/>
      </c>
    </row>
    <row r="1038" ht="28.5" customHeight="1" s="99">
      <c r="A1038" s="92" t="inlineStr">
        <is>
          <t>PDF_Tiếng trung Full BỘ BCT.pdf</t>
        </is>
      </c>
      <c r="B1038" s="93" t="inlineStr">
        <is>
          <t>189</t>
        </is>
      </c>
      <c r="C1038" s="92" t="inlineStr">
        <is>
          <t>货物损耗率</t>
        </is>
      </c>
      <c r="D1038" s="92" t="inlineStr">
        <is>
          <t>Huòwù Sǔnhào Lǜ) - Cargo Loss Rate - Tỷ lệ Mất mát Hàng hóa</t>
        </is>
      </c>
      <c r="E1038" s="92" t="inlineStr">
        <is>
          <t>189. 货物损耗率 (Huòwù Sǔnhào Lǜ) - Cargo Loss Rate - Tỷ lệ Mất mát Hàng hóa</t>
        </is>
      </c>
      <c r="F1038" s="114">
        <f>HYPERLINK("https://youglish.com/pronounce/货物损耗率/chinese","🔍")</f>
        <v/>
      </c>
    </row>
    <row r="1039" ht="28.5" customHeight="1" s="99">
      <c r="A1039" s="94" t="inlineStr">
        <is>
          <t>PDF_Tiếng trung Full BỘ BCT.pdf</t>
        </is>
      </c>
      <c r="B1039" s="95" t="inlineStr">
        <is>
          <t>190</t>
        </is>
      </c>
      <c r="C1039" s="94" t="inlineStr">
        <is>
          <t>供应商供货能力</t>
        </is>
      </c>
      <c r="D1039" s="94" t="inlineStr">
        <is>
          <t>Gōngyìngshāng Gònghuò Nénglì) - Vendor Supply Capability - Năng lực Cung ứng của Nhà cung cấp</t>
        </is>
      </c>
      <c r="E1039" s="94" t="inlineStr">
        <is>
          <t>190. 供应商供货能力 (Gōngyìngshāng Gònghuò Nénglì) - Vendor Supply Capability - Năng lực Cung ứng của Nhà cung cấp</t>
        </is>
      </c>
      <c r="F1039" s="115">
        <f>HYPERLINK("https://youglish.com/pronounce/供应商供货能力/chinese","🔍")</f>
        <v/>
      </c>
    </row>
    <row r="1040" ht="28.5" customHeight="1" s="99">
      <c r="A1040" s="92" t="inlineStr">
        <is>
          <t>PDF_Tiếng trung Full BỘ BCT.pdf</t>
        </is>
      </c>
      <c r="B1040" s="93" t="inlineStr">
        <is>
          <t>191</t>
        </is>
      </c>
      <c r="C1040" s="92" t="inlineStr">
        <is>
          <t>库存周转天数</t>
        </is>
      </c>
      <c r="D1040" s="92" t="inlineStr">
        <is>
          <t>Kùcún Zhōuzuǎn Tiānshù) - Inventory Turnover Days - Số ngày Quay vòng Kho</t>
        </is>
      </c>
      <c r="E1040" s="92" t="inlineStr">
        <is>
          <t>191. 库存周转天数 (Kùcún Zhōuzuǎn Tiānshù) - Inventory Turnover Days - Số ngày Quay vòng Kho</t>
        </is>
      </c>
      <c r="F1040" s="114">
        <f>HYPERLINK("https://youglish.com/pronounce/库存周转天数/chinese","🔍")</f>
        <v/>
      </c>
    </row>
    <row r="1041" ht="28.5" customHeight="1" s="99">
      <c r="A1041" s="94" t="inlineStr">
        <is>
          <t>PDF_Tiếng trung Full BỘ BCT.pdf</t>
        </is>
      </c>
      <c r="B1041" s="95" t="inlineStr">
        <is>
          <t>192</t>
        </is>
      </c>
      <c r="C1041" s="94" t="inlineStr">
        <is>
          <t>生产计划灵活性</t>
        </is>
      </c>
      <c r="D1041" s="94" t="inlineStr">
        <is>
          <t>Shēngchǎn Jìhuà Línghuóxìng) - Production Planning Flexibility - Linh hoạt trong Kế hoạch Sản xuất</t>
        </is>
      </c>
      <c r="E1041" s="94" t="inlineStr">
        <is>
          <t>192. 生产计划灵活性 (Shēngchǎn Jìhuà Línghuóxìng) - Production Planning Flexibility - Linh hoạt trong Kế hoạch Sản xuất</t>
        </is>
      </c>
      <c r="F1041" s="115">
        <f>HYPERLINK("https://youglish.com/pronounce/生产计划灵活性/chinese","🔍")</f>
        <v/>
      </c>
    </row>
    <row r="1042" ht="28.5" customHeight="1" s="99">
      <c r="A1042" s="92" t="inlineStr">
        <is>
          <t>PDF_Tiếng trung Full BỘ BCT.pdf</t>
        </is>
      </c>
      <c r="B1042" s="93" t="inlineStr">
        <is>
          <t>193</t>
        </is>
      </c>
      <c r="C1042" s="92" t="inlineStr">
        <is>
          <t>物料管理系统</t>
        </is>
      </c>
      <c r="D1042" s="92" t="inlineStr">
        <is>
          <t>Wùliào Guǎnlǐ Xìtǒng) - Material Management System - Hệ thống Quản lý Vật liệu</t>
        </is>
      </c>
      <c r="E1042" s="92" t="inlineStr">
        <is>
          <t>193. 物料管理系统 (Wùliào Guǎnlǐ Xìtǒng) - Material Management System - Hệ thống Quản lý Vật liệu</t>
        </is>
      </c>
      <c r="F1042" s="114">
        <f>HYPERLINK("https://youglish.com/pronounce/物料管理系统/chinese","🔍")</f>
        <v/>
      </c>
    </row>
    <row r="1043" ht="28.5" customHeight="1" s="99">
      <c r="A1043" s="94" t="inlineStr">
        <is>
          <t>PDF_Tiếng trung Full BỘ BCT.pdf</t>
        </is>
      </c>
      <c r="B1043" s="95" t="inlineStr">
        <is>
          <t>194</t>
        </is>
      </c>
      <c r="C1043" s="94" t="inlineStr">
        <is>
          <t>供应链信息共享</t>
        </is>
      </c>
      <c r="D1043" s="94" t="inlineStr">
        <is>
          <t>Gōngyìngliàn Xìnxī Gòngxiǎng) - Supply Chain Information Sharing - Chia sẻ Thông tin trong Chuỗi cung ứng</t>
        </is>
      </c>
      <c r="E1043" s="94" t="inlineStr">
        <is>
          <t>194. 供应链信息共享 (Gōngyìngliàn Xìnxī Gòngxiǎng) - Supply Chain Information Sharing - Chia sẻ Thông tin trong Chuỗi cung ứng</t>
        </is>
      </c>
      <c r="F1043" s="115">
        <f>HYPERLINK("https://youglish.com/pronounce/供应链信息共享/chinese","🔍")</f>
        <v/>
      </c>
    </row>
    <row r="1044" ht="28.5" customHeight="1" s="99">
      <c r="A1044" s="92" t="inlineStr">
        <is>
          <t>PDF_Tiếng trung Full BỘ BCT.pdf</t>
        </is>
      </c>
      <c r="B1044" s="93" t="inlineStr">
        <is>
          <t>195</t>
        </is>
      </c>
      <c r="C1044" s="92" t="inlineStr">
        <is>
          <t>货物包装标准</t>
        </is>
      </c>
      <c r="D1044" s="92" t="inlineStr">
        <is>
          <t>Huòwù Bāozhuāng Biāozhǔn) - Cargo Packaging Standards - Tiêu chuẩn Đóng gói Hàng hóa</t>
        </is>
      </c>
      <c r="E1044" s="92" t="inlineStr">
        <is>
          <t>195. 货物包装标准 (Huòwù Bāozhuāng Biāozhǔn) - Cargo Packaging Standards - Tiêu chuẩn Đóng gói Hàng hóa</t>
        </is>
      </c>
      <c r="F1044" s="114">
        <f>HYPERLINK("https://youglish.com/pronounce/货物包装标准/chinese","🔍")</f>
        <v/>
      </c>
    </row>
    <row r="1045" ht="28.5" customHeight="1" s="99">
      <c r="A1045" s="94" t="inlineStr">
        <is>
          <t>PDF_Tiếng trung Full BỘ BCT.pdf</t>
        </is>
      </c>
      <c r="B1045" s="95" t="inlineStr">
        <is>
          <t>196</t>
        </is>
      </c>
      <c r="C1045" s="94" t="inlineStr">
        <is>
          <t>供应链风险评估</t>
        </is>
      </c>
      <c r="D1045" s="94" t="inlineStr">
        <is>
          <t>Gōngyìngliàn Fēngxiǎn Pínggū) - Supply Chain Risk Assessment - Đánh giá Rủi ro Chuỗi cung ứng</t>
        </is>
      </c>
      <c r="E1045" s="94" t="inlineStr">
        <is>
          <t>196. 供应链风险评估 (Gōngyìngliàn Fēngxiǎn Pínggū) - Supply Chain Risk Assessment - Đánh giá Rủi ro Chuỗi cung ứng</t>
        </is>
      </c>
      <c r="F1045" s="115">
        <f>HYPERLINK("https://youglish.com/pronounce/供应链风险评估/chinese","🔍")</f>
        <v/>
      </c>
    </row>
    <row r="1046" ht="28.5" customHeight="1" s="99">
      <c r="A1046" s="92" t="inlineStr">
        <is>
          <t>PDF_Tiếng trung Full BỘ BCT.pdf</t>
        </is>
      </c>
      <c r="B1046" s="93" t="inlineStr">
        <is>
          <t>197</t>
        </is>
      </c>
      <c r="C1046" s="92" t="inlineStr">
        <is>
          <t>物料需求规划</t>
        </is>
      </c>
      <c r="D1046" s="92" t="inlineStr">
        <is>
          <t>Wùliào Xūqiú Guīhuà) - Material Demand Planning - Kế hoạch Nhu cầu Vật liệu</t>
        </is>
      </c>
      <c r="E1046" s="92" t="inlineStr">
        <is>
          <t>197. 物料需求规划 (Wùliào Xūqiú Guīhuà) - Material Demand Planning - Kế hoạch Nhu cầu Vật liệu</t>
        </is>
      </c>
      <c r="F1046" s="114">
        <f>HYPERLINK("https://youglish.com/pronounce/物料需求规划/chinese","🔍")</f>
        <v/>
      </c>
    </row>
    <row r="1047" ht="28.5" customHeight="1" s="99">
      <c r="A1047" s="94" t="inlineStr">
        <is>
          <t>PDF_Tiếng trung Full BỘ BCT.pdf</t>
        </is>
      </c>
      <c r="B1047" s="95" t="inlineStr">
        <is>
          <t>198</t>
        </is>
      </c>
      <c r="C1047" s="94" t="inlineStr">
        <is>
          <t>生产设备维护</t>
        </is>
      </c>
      <c r="D1047" s="94" t="inlineStr">
        <is>
          <t>Shēngchǎn Shèbèi Wéihù) - Production Equipment Maintenance - Bảo dưỡng Thiết bị Sản xuất</t>
        </is>
      </c>
      <c r="E1047" s="94" t="inlineStr">
        <is>
          <t>198. 生产设备维护 (Shēngchǎn Shèbèi Wéihù) - Production Equipment Maintenance - Bảo dưỡng Thiết bị Sản xuất</t>
        </is>
      </c>
      <c r="F1047" s="115">
        <f>HYPERLINK("https://youglish.com/pronounce/生产设备维护/chinese","🔍")</f>
        <v/>
      </c>
    </row>
    <row r="1048" ht="28.5" customHeight="1" s="99">
      <c r="A1048" s="92" t="inlineStr">
        <is>
          <t>PDF_Tiếng trung Full BỘ BCT.pdf</t>
        </is>
      </c>
      <c r="B1048" s="93" t="inlineStr">
        <is>
          <t>199</t>
        </is>
      </c>
      <c r="C1048" s="92" t="inlineStr">
        <is>
          <t>供应商质量认证</t>
        </is>
      </c>
      <c r="D1048" s="92" t="inlineStr">
        <is>
          <t>Gōngyìngshāng Zhìliàng Rènzhèng) - Vendor Quality Certification - Chứng nhận Chất lượng của Nhà cung cấp</t>
        </is>
      </c>
      <c r="E1048" s="92" t="inlineStr">
        <is>
          <t>199. 供应商质量认证 (Gōngyìngshāng Zhìliàng Rènzhèng) - Vendor Quality Certification - Chứng nhận Chất lượng của Nhà cung cấp</t>
        </is>
      </c>
      <c r="F1048" s="114">
        <f>HYPERLINK("https://youglish.com/pronounce/供应商质量认证/chinese","🔍")</f>
        <v/>
      </c>
    </row>
    <row r="1049" ht="28.5" customHeight="1" s="99">
      <c r="A1049" s="94" t="inlineStr">
        <is>
          <t>PDF_Tiếng trung Full BỘ BCT.pdf</t>
        </is>
      </c>
      <c r="B1049" s="95" t="inlineStr">
        <is>
          <t>200</t>
        </is>
      </c>
      <c r="C1049" s="94" t="inlineStr">
        <is>
          <t>物流配送效能</t>
        </is>
      </c>
      <c r="D1049" s="94" t="inlineStr">
        <is>
          <t>Wùliú Pèisòng Xiàonéng) - Logistics Distribution Efficiency - Hiệu suất Phân phối Logistics</t>
        </is>
      </c>
      <c r="E1049" s="94" t="inlineStr">
        <is>
          <t>200. 物流配送效能 (Wùliú Pèisòng Xiàonéng) - Logistics Distribution Efficiency - Hiệu suất Phân phối Logistics</t>
        </is>
      </c>
      <c r="F1049" s="115">
        <f>HYPERLINK("https://youglish.com/pronounce/物流配送效能/chinese","🔍")</f>
        <v/>
      </c>
    </row>
    <row r="1050">
      <c r="A1050" s="92" t="inlineStr">
        <is>
          <t>PDF_Tiếng trung Full BỘ BCT.pdf</t>
        </is>
      </c>
      <c r="B1050" s="93" t="inlineStr">
        <is>
          <t>201</t>
        </is>
      </c>
      <c r="C1050" s="92" t="inlineStr">
        <is>
          <t>货物质检</t>
        </is>
      </c>
      <c r="D1050" s="92" t="inlineStr">
        <is>
          <t>Huòwù Zhìjiǎn) - Cargo Inspection - Kiểm tra Hàng hóa</t>
        </is>
      </c>
      <c r="E1050" s="92" t="inlineStr">
        <is>
          <t>201. 货物质检 (Huòwù Zhìjiǎn) - Cargo Inspection - Kiểm tra Hàng hóa</t>
        </is>
      </c>
      <c r="F1050" s="114">
        <f>HYPERLINK("https://youglish.com/pronounce/货物质检/chinese","🔍")</f>
        <v/>
      </c>
    </row>
    <row r="1051" ht="28.5" customHeight="1" s="99">
      <c r="A1051" s="94" t="inlineStr">
        <is>
          <t>PDF_Tiếng trung Full BỘ BCT.pdf</t>
        </is>
      </c>
      <c r="B1051" s="95" t="inlineStr">
        <is>
          <t>202</t>
        </is>
      </c>
      <c r="C1051" s="94" t="inlineStr">
        <is>
          <t>生产订单跟踪</t>
        </is>
      </c>
      <c r="D1051" s="94" t="inlineStr">
        <is>
          <t>Shēngchǎn Dìngdān Gēnzuī) - Production Order Tracking - Theo dõi Đơn đặt hàng Sản xuất</t>
        </is>
      </c>
      <c r="E1051" s="94" t="inlineStr">
        <is>
          <t>202. 生产订单跟踪 (Shēngchǎn Dìngdān Gēnzuī) - Production Order Tracking - Theo dõi Đơn đặt hàng Sản xuất</t>
        </is>
      </c>
      <c r="F1051" s="115">
        <f>HYPERLINK("https://youglish.com/pronounce/生产订单跟踪/chinese","🔍")</f>
        <v/>
      </c>
    </row>
    <row r="1052" ht="28.5" customHeight="1" s="99">
      <c r="A1052" s="92" t="inlineStr">
        <is>
          <t>PDF_Tiếng trung Full BỘ BCT.pdf</t>
        </is>
      </c>
      <c r="B1052" s="93" t="inlineStr">
        <is>
          <t>203</t>
        </is>
      </c>
      <c r="C1052" s="92" t="inlineStr">
        <is>
          <t>供应商价值评估</t>
        </is>
      </c>
      <c r="D1052" s="92" t="inlineStr">
        <is>
          <t>Gōngyìngshāng Jiàzhí Pínggū) - Vendor Value Assessment - Đánh giá Giá trị của Nhà cung cấp</t>
        </is>
      </c>
      <c r="E1052" s="92" t="inlineStr">
        <is>
          <t>203. 供应商价值评估 (Gōngyìngshāng Jiàzhí Pínggū) - Vendor Value Assessment - Đánh giá Giá trị của Nhà cung cấp</t>
        </is>
      </c>
      <c r="F1052" s="114">
        <f>HYPERLINK("https://youglish.com/pronounce/供应商价值评估/chinese","🔍")</f>
        <v/>
      </c>
    </row>
    <row r="1053" ht="28.5" customHeight="1" s="99">
      <c r="A1053" s="94" t="inlineStr">
        <is>
          <t>PDF_Tiếng trung Full BỘ BCT.pdf</t>
        </is>
      </c>
      <c r="B1053" s="95" t="inlineStr">
        <is>
          <t>204</t>
        </is>
      </c>
      <c r="C1053" s="94" t="inlineStr">
        <is>
          <t>物料库龄管理</t>
        </is>
      </c>
      <c r="D1053" s="94" t="inlineStr">
        <is>
          <t>Wùliào Kùlíng Guǎnlǐ) - Material Aging Management - Quản lý Tuổi đời của Vật liệu</t>
        </is>
      </c>
      <c r="E1053" s="94" t="inlineStr">
        <is>
          <t>204. 物料库龄管理 (Wùliào Kùlíng Guǎnlǐ) - Material Aging Management - Quản lý Tuổi đời của Vật liệu</t>
        </is>
      </c>
      <c r="F1053" s="115">
        <f>HYPERLINK("https://youglish.com/pronounce/物料库龄管理/chinese","🔍")</f>
        <v/>
      </c>
    </row>
    <row r="1054" ht="28.5" customHeight="1" s="99">
      <c r="A1054" s="92" t="inlineStr">
        <is>
          <t>PDF_Tiếng trung Full BỘ BCT.pdf</t>
        </is>
      </c>
      <c r="B1054" s="93" t="inlineStr">
        <is>
          <t>205</t>
        </is>
      </c>
      <c r="C1054" s="92" t="inlineStr">
        <is>
          <t>采购策略调整</t>
        </is>
      </c>
      <c r="D1054" s="92" t="inlineStr">
        <is>
          <t>Cǎigòu Cèlüè Tiáozhěng) - Procurement Strategy Adjustment - Điều chỉnh Chiến lược Mua hàng</t>
        </is>
      </c>
      <c r="E1054" s="92" t="inlineStr">
        <is>
          <t>205. 采购策略调整 (Cǎigòu Cèlüè Tiáozhěng) - Procurement Strategy Adjustment - Điều chỉnh Chiến lược Mua hàng</t>
        </is>
      </c>
      <c r="F1054" s="114">
        <f>HYPERLINK("https://youglish.com/pronounce/采购策略调整/chinese","🔍")</f>
        <v/>
      </c>
    </row>
    <row r="1055" ht="28.5" customHeight="1" s="99">
      <c r="A1055" s="94" t="inlineStr">
        <is>
          <t>PDF_Tiếng trung Full BỘ BCT.pdf</t>
        </is>
      </c>
      <c r="B1055" s="95" t="inlineStr">
        <is>
          <t>206</t>
        </is>
      </c>
      <c r="C1055" s="94" t="inlineStr">
        <is>
          <t>生产调度灵活性</t>
        </is>
      </c>
      <c r="D1055" s="94" t="inlineStr">
        <is>
          <t>Shēngchǎn Diàodù Línghuóxìng) - Production Scheduling Flexibility - Linh hoạt trong Lên lịch Sản xuất</t>
        </is>
      </c>
      <c r="E1055" s="94" t="inlineStr">
        <is>
          <t>206. 生产调度灵活性 (Shēngchǎn Diàodù Línghuóxìng) - Production Scheduling Flexibility - Linh hoạt trong Lên lịch Sản xuất</t>
        </is>
      </c>
      <c r="F1055" s="115">
        <f>HYPERLINK("https://youglish.com/pronounce/生产调度灵活性/chinese","🔍")</f>
        <v/>
      </c>
    </row>
    <row r="1056" ht="28.5" customHeight="1" s="99">
      <c r="A1056" s="92" t="inlineStr">
        <is>
          <t>PDF_Tiếng trung Full BỘ BCT.pdf</t>
        </is>
      </c>
      <c r="B1056" s="93" t="inlineStr">
        <is>
          <t>207</t>
        </is>
      </c>
      <c r="C1056" s="92" t="inlineStr">
        <is>
          <t>货运路线优化</t>
        </is>
      </c>
      <c r="D1056" s="92" t="inlineStr">
        <is>
          <t>Huòyùn Lùxiàn Yōuhuà) - Freight Route Optimization - Tối ưu hóa Tuyến đường Vận chuyển</t>
        </is>
      </c>
      <c r="E1056" s="92" t="inlineStr">
        <is>
          <t>207. 货运路线优化 (Huòyùn Lùxiàn Yōuhuà) - Freight Route Optimization - Tối ưu hóa Tuyến đường Vận chuyển</t>
        </is>
      </c>
      <c r="F1056" s="114">
        <f>HYPERLINK("https://youglish.com/pronounce/货运路线优化/chinese","🔍")</f>
        <v/>
      </c>
    </row>
    <row r="1057" ht="28.5" customHeight="1" s="99">
      <c r="A1057" s="94" t="inlineStr">
        <is>
          <t>PDF_Tiếng trung Full BỘ BCT.pdf</t>
        </is>
      </c>
      <c r="B1057" s="95" t="inlineStr">
        <is>
          <t>208</t>
        </is>
      </c>
      <c r="C1057" s="94" t="inlineStr">
        <is>
          <t>需求计划共享</t>
        </is>
      </c>
      <c r="D1057" s="94" t="inlineStr">
        <is>
          <t>Xūqiú Jìhuà Gòngxiǎng) - Demand Planning Collaboration - Hợp tác trong Kế hoạch Nhu cầu</t>
        </is>
      </c>
      <c r="E1057" s="94" t="inlineStr">
        <is>
          <t>208. 需求计划共享 (Xūqiú Jìhuà Gòngxiǎng) - Demand Planning Collaboration - Hợp tác trong Kế hoạch Nhu cầu</t>
        </is>
      </c>
      <c r="F1057" s="115">
        <f>HYPERLINK("https://youglish.com/pronounce/需求计划共享/chinese","🔍")</f>
        <v/>
      </c>
    </row>
    <row r="1058" ht="28.5" customHeight="1" s="99">
      <c r="A1058" s="92" t="inlineStr">
        <is>
          <t>PDF_Tiếng trung Full BỘ BCT.pdf</t>
        </is>
      </c>
      <c r="B1058" s="93" t="inlineStr">
        <is>
          <t>209</t>
        </is>
      </c>
      <c r="C1058" s="92" t="inlineStr">
        <is>
          <t>物料供应链可视化</t>
        </is>
      </c>
      <c r="D1058" s="92" t="inlineStr">
        <is>
          <t>Wùliào Gōngyìngliàn Kěshìhuà) - Material Supply Chain Visualization - Hình dung hóa Chuỗi cung ứng Vật liệu</t>
        </is>
      </c>
      <c r="E1058" s="92" t="inlineStr">
        <is>
          <t>209. 物料供应链可视化 (Wùliào Gōngyìngliàn Kěshìhuà) - Material Supply Chain Visualization - Hình dung hóa Chuỗi cung ứng Vật liệu</t>
        </is>
      </c>
      <c r="F1058" s="114">
        <f>HYPERLINK("https://youglish.com/pronounce/物料供应链可视化/chinese","🔍")</f>
        <v/>
      </c>
    </row>
    <row r="1059" ht="28.5" customHeight="1" s="99">
      <c r="A1059" s="94" t="inlineStr">
        <is>
          <t>PDF_Tiếng trung Full BỘ BCT.pdf</t>
        </is>
      </c>
      <c r="B1059" s="95" t="inlineStr">
        <is>
          <t>210</t>
        </is>
      </c>
      <c r="C1059" s="94" t="inlineStr">
        <is>
          <t>质量控制体系</t>
        </is>
      </c>
      <c r="D1059" s="94" t="inlineStr">
        <is>
          <t>Zhìliàng Kòngzhì Tǐxì) - Quality Control System - Hệ thống Kiểm soát Chất lượng</t>
        </is>
      </c>
      <c r="E1059" s="94" t="inlineStr">
        <is>
          <t>210. 质量控制体系 (Zhìliàng Kòngzhì Tǐxì) - Quality Control System - Hệ thống Kiểm soát Chất lượng</t>
        </is>
      </c>
      <c r="F1059" s="115">
        <f>HYPERLINK("https://youglish.com/pronounce/质量控制体系/chinese","🔍")</f>
        <v/>
      </c>
    </row>
    <row r="1060" ht="28.5" customHeight="1" s="99">
      <c r="A1060" s="92" t="inlineStr">
        <is>
          <t>PDF_Tiếng trung Full BỘ BCT.pdf</t>
        </is>
      </c>
      <c r="B1060" s="93" t="inlineStr">
        <is>
          <t>211</t>
        </is>
      </c>
      <c r="C1060" s="92" t="inlineStr">
        <is>
          <t>供应商社会责任</t>
        </is>
      </c>
      <c r="D1060" s="92" t="inlineStr">
        <is>
          <t>Gōngyìngshāng Shèhuì Zérèn) - Vendor Social Responsibility - Trách nhiệm Xã hội của Nhà cung cấp</t>
        </is>
      </c>
      <c r="E1060" s="92" t="inlineStr">
        <is>
          <t>211. 供应商社会责任 (Gōngyìngshāng Shèhuì Zérèn) - Vendor Social Responsibility - Trách nhiệm Xã hội của Nhà cung cấp</t>
        </is>
      </c>
      <c r="F1060" s="114">
        <f>HYPERLINK("https://youglish.com/pronounce/供应商社会责任/chinese","🔍")</f>
        <v/>
      </c>
    </row>
    <row r="1061" ht="28.5" customHeight="1" s="99">
      <c r="A1061" s="94" t="inlineStr">
        <is>
          <t>PDF_Tiếng trung Full BỘ BCT.pdf</t>
        </is>
      </c>
      <c r="B1061" s="95" t="inlineStr">
        <is>
          <t>212</t>
        </is>
      </c>
      <c r="C1061" s="94" t="inlineStr">
        <is>
          <t>生产效率监测</t>
        </is>
      </c>
      <c r="D1061" s="94" t="inlineStr">
        <is>
          <t>Shēngchǎn Xiàolǜ Jiāncè) - Production Efficiency Monitoring - Giám sát Hiệu suất Sản xuất</t>
        </is>
      </c>
      <c r="E1061" s="94" t="inlineStr">
        <is>
          <t>212. 生产效率监测 (Shēngchǎn Xiàolǜ Jiāncè) - Production Efficiency Monitoring - Giám sát Hiệu suất Sản xuất</t>
        </is>
      </c>
      <c r="F1061" s="115">
        <f>HYPERLINK("https://youglish.com/pronounce/生产效率监测/chinese","🔍")</f>
        <v/>
      </c>
    </row>
    <row r="1062" ht="28.5" customHeight="1" s="99">
      <c r="A1062" s="92" t="inlineStr">
        <is>
          <t>PDF_Tiếng trung Full BỘ BCT.pdf</t>
        </is>
      </c>
      <c r="B1062" s="93" t="inlineStr">
        <is>
          <t>213</t>
        </is>
      </c>
      <c r="C1062" s="92" t="inlineStr">
        <is>
          <t>需求计划可行性</t>
        </is>
      </c>
      <c r="D1062" s="92" t="inlineStr">
        <is>
          <t>Xūqiú Jìhuà Kěxíngxìng) - Demand Planning Feasibility - Khả năng Thực hiện của Kế hoạch Nhu cầu</t>
        </is>
      </c>
      <c r="E1062" s="92" t="inlineStr">
        <is>
          <t>213. 需求计划可行性 (Xūqiú Jìhuà Kěxíngxìng) - Demand Planning Feasibility - Khả năng Thực hiện của Kế hoạch Nhu cầu</t>
        </is>
      </c>
      <c r="F1062" s="114">
        <f>HYPERLINK("https://youglish.com/pronounce/需求计划可行性/chinese","🔍")</f>
        <v/>
      </c>
    </row>
    <row r="1063" ht="28.5" customHeight="1" s="99">
      <c r="A1063" s="94" t="inlineStr">
        <is>
          <t>PDF_Tiếng trung Full BỘ BCT.pdf</t>
        </is>
      </c>
      <c r="B1063" s="95" t="inlineStr">
        <is>
          <t>214</t>
        </is>
      </c>
      <c r="C1063" s="94" t="inlineStr">
        <is>
          <t>货物追踪技术</t>
        </is>
      </c>
      <c r="D1063" s="94" t="inlineStr">
        <is>
          <t>Huòwù Zhuīzōng Jìshù) - Cargo Tracking Technology - Công nghệ Theo dõi Hàng hóa</t>
        </is>
      </c>
      <c r="E1063" s="94" t="inlineStr">
        <is>
          <t>214. 货物追踪技术 (Huòwù Zhuīzōng Jìshù) - Cargo Tracking Technology - Công nghệ Theo dõi Hàng hóa</t>
        </is>
      </c>
      <c r="F1063" s="115">
        <f>HYPERLINK("https://youglish.com/pronounce/货物追踪技术/chinese","🔍")</f>
        <v/>
      </c>
    </row>
    <row r="1064" ht="28.5" customHeight="1" s="99">
      <c r="A1064" s="92" t="inlineStr">
        <is>
          <t>PDF_Tiếng trung Full BỘ BCT.pdf</t>
        </is>
      </c>
      <c r="B1064" s="93" t="inlineStr">
        <is>
          <t>215</t>
        </is>
      </c>
      <c r="C1064" s="92" t="inlineStr">
        <is>
          <t>供应链持续改善</t>
        </is>
      </c>
      <c r="D1064" s="92" t="inlineStr">
        <is>
          <t>Gōngyìngliàn Chíxù Gǎishàn) - Continuous Improvement in the Supply Chain - Cải thiện liên tục trong Chuỗi cung ứng</t>
        </is>
      </c>
      <c r="E1064" s="92" t="inlineStr">
        <is>
          <t>215. 供应链持续改善 (Gōngyìngliàn Chíxù Gǎishàn) - Continuous Improvement in the Supply Chain - Cải thiện liên tục trong Chuỗi cung ứng</t>
        </is>
      </c>
      <c r="F1064" s="114">
        <f>HYPERLINK("https://youglish.com/pronounce/供应链持续改善/chinese","🔍")</f>
        <v/>
      </c>
    </row>
    <row r="1065" ht="28.5" customHeight="1" s="99">
      <c r="A1065" s="94" t="inlineStr">
        <is>
          <t>PDF_Tiếng trung Full BỘ BCT.pdf</t>
        </is>
      </c>
      <c r="B1065" s="95" t="inlineStr">
        <is>
          <t>216</t>
        </is>
      </c>
      <c r="C1065" s="94" t="inlineStr">
        <is>
          <t>生产资源效率</t>
        </is>
      </c>
      <c r="D1065" s="94" t="inlineStr">
        <is>
          <t>Shēngchǎn Zīyuán Xiàolǜ) - Production Resource Efficiency - Hiệu suất Tài nguyên Sản xuất</t>
        </is>
      </c>
      <c r="E1065" s="94" t="inlineStr">
        <is>
          <t>216. 生产资源效率 (Shēngchǎn Zīyuán Xiàolǜ) - Production Resource Efficiency - Hiệu suất Tài nguyên Sản xuất</t>
        </is>
      </c>
      <c r="F1065" s="115">
        <f>HYPERLINK("https://youglish.com/pronounce/生产资源效率/chinese","🔍")</f>
        <v/>
      </c>
    </row>
    <row r="1066" ht="28.5" customHeight="1" s="99">
      <c r="A1066" s="92" t="inlineStr">
        <is>
          <t>PDF_Tiếng trung Full BỘ BCT.pdf</t>
        </is>
      </c>
      <c r="B1066" s="93" t="inlineStr">
        <is>
          <t>217</t>
        </is>
      </c>
      <c r="C1066" s="92" t="inlineStr">
        <is>
          <t>采购决策支持</t>
        </is>
      </c>
      <c r="D1066" s="92" t="inlineStr">
        <is>
          <t>Cǎigòu Juécè Zhīchí) - Procurement Decision Support - Hỗ trợ Quyết định Mua hàng</t>
        </is>
      </c>
      <c r="E1066" s="92" t="inlineStr">
        <is>
          <t>217. 采购决策支持 (Cǎigòu Juécè Zhīchí) - Procurement Decision Support - Hỗ trợ Quyết định Mua hàng</t>
        </is>
      </c>
      <c r="F1066" s="114">
        <f>HYPERLINK("https://youglish.com/pronounce/采购决策支持/chinese","🔍")</f>
        <v/>
      </c>
    </row>
    <row r="1067" ht="28.5" customHeight="1" s="99">
      <c r="A1067" s="94" t="inlineStr">
        <is>
          <t>PDF_Tiếng trung Full BỘ BCT.pdf</t>
        </is>
      </c>
      <c r="B1067" s="95" t="inlineStr">
        <is>
          <t>218</t>
        </is>
      </c>
      <c r="C1067" s="94" t="inlineStr">
        <is>
          <t>库存成本分析</t>
        </is>
      </c>
      <c r="D1067" s="94" t="inlineStr">
        <is>
          <t>Kùcún Chéngběn Fēnxī) - Inventory Cost Analysis - Phân tích Chi phí Kho</t>
        </is>
      </c>
      <c r="E1067" s="94" t="inlineStr">
        <is>
          <t>218. 库存成本分析 (Kùcún Chéngběn Fēnxī) - Inventory Cost Analysis - Phân tích Chi phí Kho</t>
        </is>
      </c>
      <c r="F1067" s="115">
        <f>HYPERLINK("https://youglish.com/pronounce/库存成本分析/chinese","🔍")</f>
        <v/>
      </c>
    </row>
    <row r="1068" ht="28.5" customHeight="1" s="99">
      <c r="A1068" s="92" t="inlineStr">
        <is>
          <t>PDF_Tiếng trung Full BỘ BCT.pdf</t>
        </is>
      </c>
      <c r="B1068" s="93" t="inlineStr">
        <is>
          <t>219</t>
        </is>
      </c>
      <c r="C1068" s="92" t="inlineStr">
        <is>
          <t>供应商风险管理</t>
        </is>
      </c>
      <c r="D1068" s="92" t="inlineStr">
        <is>
          <t>Gōngyìngshāng Fēngxiǎn Guǎnlǐ) - Vendor Risk Management - Quản lý Rủi ro từ Nhà cung cấp</t>
        </is>
      </c>
      <c r="E1068" s="92" t="inlineStr">
        <is>
          <t>219. 供应商风险管理 (Gōngyìngshāng Fēngxiǎn Guǎnlǐ) - Vendor Risk Management - Quản lý Rủi ro từ Nhà cung cấp</t>
        </is>
      </c>
      <c r="F1068" s="114">
        <f>HYPERLINK("https://youglish.com/pronounce/供应商风险管理/chinese","🔍")</f>
        <v/>
      </c>
    </row>
    <row r="1069" ht="28.5" customHeight="1" s="99">
      <c r="A1069" s="94" t="inlineStr">
        <is>
          <t>PDF_Tiếng trung Full BỘ BCT.pdf</t>
        </is>
      </c>
      <c r="B1069" s="95" t="inlineStr">
        <is>
          <t>220</t>
        </is>
      </c>
      <c r="C1069" s="94" t="inlineStr">
        <is>
          <t>物流效率优化</t>
        </is>
      </c>
      <c r="D1069" s="94" t="inlineStr">
        <is>
          <t>Wùliú Xiàolǜ Yōuhuà) - Logistics Efficiency Optimization - Tối ưu hóa Hiệu suất Logistics</t>
        </is>
      </c>
      <c r="E1069" s="94" t="inlineStr">
        <is>
          <t>220. 物流效率优化 (Wùliú Xiàolǜ Yōuhuà) - Logistics Efficiency Optimization - Tối ưu hóa Hiệu suất Logistics</t>
        </is>
      </c>
      <c r="F1069" s="115">
        <f>HYPERLINK("https://youglish.com/pronounce/物流效率优化/chinese","🔍")</f>
        <v/>
      </c>
    </row>
    <row r="1070" ht="28.5" customHeight="1" s="99">
      <c r="A1070" s="92" t="inlineStr">
        <is>
          <t>PDF_Tiếng trung Full BỘ BCT.pdf</t>
        </is>
      </c>
      <c r="B1070" s="93" t="inlineStr">
        <is>
          <t>221</t>
        </is>
      </c>
      <c r="C1070" s="92" t="inlineStr">
        <is>
          <t>生产计划变更</t>
        </is>
      </c>
      <c r="D1070" s="92" t="inlineStr">
        <is>
          <t>Shēngchǎn Jìhuà Biàngēng) - Production Planning Change - Thay đổi Kế hoạch Sản xuất</t>
        </is>
      </c>
      <c r="E1070" s="92" t="inlineStr">
        <is>
          <t>221. 生产计划变更 (Shēngchǎn Jìhuà Biàngēng) - Production Planning Change - Thay đổi Kế hoạch Sản xuất</t>
        </is>
      </c>
      <c r="F1070" s="114">
        <f>HYPERLINK("https://youglish.com/pronounce/生产计划变更/chinese","🔍")</f>
        <v/>
      </c>
    </row>
    <row r="1071" ht="28.5" customHeight="1" s="99">
      <c r="A1071" s="94" t="inlineStr">
        <is>
          <t>PDF_Tiếng trung Full BỘ BCT.pdf</t>
        </is>
      </c>
      <c r="B1071" s="95" t="inlineStr">
        <is>
          <t>222</t>
        </is>
      </c>
      <c r="C1071" s="94" t="inlineStr">
        <is>
          <t>货物追踪服务提供商</t>
        </is>
      </c>
      <c r="D1071" s="94" t="inlineStr">
        <is>
          <t>Huòwù Zhuīzōng Fúwù Tígōngshāng) - Cargo Tracking Service Provider - Nhà cung cấp Dịch vụ Theo dõi Hàng hóa</t>
        </is>
      </c>
      <c r="E1071" s="94" t="inlineStr">
        <is>
          <t>222. 货物追踪服务提供商 (Huòwù Zhuīzōng Fúwù Tígōngshāng) - Cargo Tracking Service Provider - Nhà cung cấp Dịch vụ Theo dõi Hàng hóa</t>
        </is>
      </c>
      <c r="F1071" s="115">
        <f>HYPERLINK("https://youglish.com/pronounce/货物追踪服务提供商/chinese","🔍")</f>
        <v/>
      </c>
    </row>
    <row r="1072" ht="28.5" customHeight="1" s="99">
      <c r="A1072" s="92" t="inlineStr">
        <is>
          <t>PDF_Tiếng trung Full BỘ BCT.pdf</t>
        </is>
      </c>
      <c r="B1072" s="93" t="inlineStr">
        <is>
          <t>223</t>
        </is>
      </c>
      <c r="C1072" s="92" t="inlineStr">
        <is>
          <t>供应链数据安全</t>
        </is>
      </c>
      <c r="D1072" s="92" t="inlineStr">
        <is>
          <t>Gōngyìngliàn Shùjù Ānquán) - Supply Chain Data Security - An ninh Dữ liệu trong Chuỗi cung ứng</t>
        </is>
      </c>
      <c r="E1072" s="92" t="inlineStr">
        <is>
          <t>223. 供应链数据安全 (Gōngyìngliàn Shùjù Ānquán) - Supply Chain Data Security - An ninh Dữ liệu trong Chuỗi cung ứng</t>
        </is>
      </c>
      <c r="F1072" s="114">
        <f>HYPERLINK("https://youglish.com/pronounce/供应链数据安全/chinese","🔍")</f>
        <v/>
      </c>
    </row>
    <row r="1073" ht="28.5" customHeight="1" s="99">
      <c r="A1073" s="94" t="inlineStr">
        <is>
          <t>PDF_Tiếng trung Full BỘ BCT.pdf</t>
        </is>
      </c>
      <c r="B1073" s="95" t="inlineStr">
        <is>
          <t>224</t>
        </is>
      </c>
      <c r="C1073" s="94" t="inlineStr">
        <is>
          <t>需求满足率提高</t>
        </is>
      </c>
      <c r="D1073" s="94" t="inlineStr">
        <is>
          <t>Xūqiú Mǎnzú Lǜ Tígāo) - Increase in Demand Fulfillment Rate - Tăng Tỷ lệ Đáp ứng Nhu cầu</t>
        </is>
      </c>
      <c r="E1073" s="94" t="inlineStr">
        <is>
          <t>224. 需求满足率提高 (Xūqiú Mǎnzú Lǜ Tígāo) - Increase in Demand Fulfillment Rate - Tăng Tỷ lệ Đáp ứng Nhu cầu</t>
        </is>
      </c>
      <c r="F1073" s="115">
        <f>HYPERLINK("https://youglish.com/pronounce/需求满足率提高/chinese","🔍")</f>
        <v/>
      </c>
    </row>
    <row r="1074" ht="28.5" customHeight="1" s="99">
      <c r="A1074" s="92" t="inlineStr">
        <is>
          <t>PDF_Tiếng trung Full BỘ BCT.pdf</t>
        </is>
      </c>
      <c r="B1074" s="93" t="inlineStr">
        <is>
          <t>225</t>
        </is>
      </c>
      <c r="C1074" s="92" t="inlineStr">
        <is>
          <t>生产线自动化</t>
        </is>
      </c>
      <c r="D1074" s="92" t="inlineStr">
        <is>
          <t>Shēngchǎn Xiàn Zìdòng Huà) - Production Line Automation - Tự động hóa Dây chuyền Sản xuất</t>
        </is>
      </c>
      <c r="E1074" s="92" t="inlineStr">
        <is>
          <t>225. 生产线自动化 (Shēngchǎn Xiàn Zìdòng Huà) - Production Line Automation - Tự động hóa Dây chuyền Sản xuất</t>
        </is>
      </c>
      <c r="F1074" s="114">
        <f>HYPERLINK("https://youglish.com/pronounce/生产线自动化/chinese","🔍")</f>
        <v/>
      </c>
    </row>
    <row r="1075" ht="28.5" customHeight="1" s="99">
      <c r="A1075" s="94" t="inlineStr">
        <is>
          <t>PDF_Tiếng trung Full BỘ BCT.pdf</t>
        </is>
      </c>
      <c r="B1075" s="95" t="inlineStr">
        <is>
          <t>226</t>
        </is>
      </c>
      <c r="C1075" s="94" t="inlineStr">
        <is>
          <t>供应商沟通协调</t>
        </is>
      </c>
      <c r="D1075" s="94" t="inlineStr">
        <is>
          <t>Gōngyìngshāng Gōutōng Xiétiáo) - Vendor Communication Coordination - Điều phối Giao tiếp với Nhà cung cấp</t>
        </is>
      </c>
      <c r="E1075" s="94" t="inlineStr">
        <is>
          <t>226. 供应商沟通协调 (Gōngyìngshāng Gōutōng Xiétiáo) - Vendor Communication Coordination - Điều phối Giao tiếp với Nhà cung cấp</t>
        </is>
      </c>
      <c r="F1075" s="115">
        <f>HYPERLINK("https://youglish.com/pronounce/供应商沟通协调/chinese","🔍")</f>
        <v/>
      </c>
    </row>
    <row r="1076" ht="28.5" customHeight="1" s="99">
      <c r="A1076" s="92" t="inlineStr">
        <is>
          <t>PDF_Tiếng trung Full BỘ BCT.pdf</t>
        </is>
      </c>
      <c r="B1076" s="93" t="inlineStr">
        <is>
          <t>227</t>
        </is>
      </c>
      <c r="C1076" s="92" t="inlineStr">
        <is>
          <t>货物储存条件</t>
        </is>
      </c>
      <c r="D1076" s="92" t="inlineStr">
        <is>
          <t>Huòwù Chǔcún Tiáojiàn) - Cargo Storage Conditions - Điều kiện Lưu trữ Hàng hóa</t>
        </is>
      </c>
      <c r="E1076" s="92" t="inlineStr">
        <is>
          <t>227. 货物储存条件 (Huòwù Chǔcún Tiáojiàn) - Cargo Storage Conditions - Điều kiện Lưu trữ Hàng hóa</t>
        </is>
      </c>
      <c r="F1076" s="114">
        <f>HYPERLINK("https://youglish.com/pronounce/货物储存条件/chinese","🔍")</f>
        <v/>
      </c>
    </row>
    <row r="1077" ht="28.5" customHeight="1" s="99">
      <c r="A1077" s="94" t="inlineStr">
        <is>
          <t>PDF_Tiếng trung Full BỘ BCT.pdf</t>
        </is>
      </c>
      <c r="B1077" s="95" t="inlineStr">
        <is>
          <t>228</t>
        </is>
      </c>
      <c r="C1077" s="94" t="inlineStr">
        <is>
          <t>生产效率评估</t>
        </is>
      </c>
      <c r="D1077" s="94" t="inlineStr">
        <is>
          <t>Shēngchǎn Xiàolǜ Pínggū) - Production Efficiency Evaluation - Đánh giá Hiệu suất Sản xuất</t>
        </is>
      </c>
      <c r="E1077" s="94" t="inlineStr">
        <is>
          <t>228. 生产效率评估 (Shēngchǎn Xiàolǜ Pínggū) - Production Efficiency Evaluation - Đánh giá Hiệu suất Sản xuất</t>
        </is>
      </c>
      <c r="F1077" s="115">
        <f>HYPERLINK("https://youglish.com/pronounce/生产效率评估/chinese","🔍")</f>
        <v/>
      </c>
    </row>
    <row r="1078" ht="28.5" customHeight="1" s="99">
      <c r="A1078" s="92" t="inlineStr">
        <is>
          <t>PDF_Tiếng trung Full BỘ BCT.pdf</t>
        </is>
      </c>
      <c r="B1078" s="93" t="inlineStr">
        <is>
          <t>229</t>
        </is>
      </c>
      <c r="C1078" s="92" t="inlineStr">
        <is>
          <t>采购决策分析</t>
        </is>
      </c>
      <c r="D1078" s="92" t="inlineStr">
        <is>
          <t>Cǎigòu Juécè Fēnxī) - Procurement Decision Analysis - Phân tích Quyết định Mua hàng</t>
        </is>
      </c>
      <c r="E1078" s="92" t="inlineStr">
        <is>
          <t>229. 采购决策分析 (Cǎigòu Juécè Fēnxī) - Procurement Decision Analysis - Phân tích Quyết định Mua hàng</t>
        </is>
      </c>
      <c r="F1078" s="114">
        <f>HYPERLINK("https://youglish.com/pronounce/采购决策分析/chinese","🔍")</f>
        <v/>
      </c>
    </row>
    <row r="1079" ht="28.5" customHeight="1" s="99">
      <c r="A1079" s="94" t="inlineStr">
        <is>
          <t>PDF_Tiếng trung Full BỘ BCT.pdf</t>
        </is>
      </c>
      <c r="B1079" s="95" t="inlineStr">
        <is>
          <t>230</t>
        </is>
      </c>
      <c r="C1079" s="94" t="inlineStr">
        <is>
          <t>生产过程监控</t>
        </is>
      </c>
      <c r="D1079" s="94" t="inlineStr">
        <is>
          <t>Shēngchǎn Guòchéng Jiānkòng) - Production Process Monitoring - Giám sát Quy trình Sản xuất</t>
        </is>
      </c>
      <c r="E1079" s="94" t="inlineStr">
        <is>
          <t>230. 生产过程监控 (Shēngchǎn Guòchéng Jiānkòng) - Production Process Monitoring - Giám sát Quy trình Sản xuất</t>
        </is>
      </c>
      <c r="F1079" s="115">
        <f>HYPERLINK("https://youglish.com/pronounce/生产过程监控/chinese","🔍")</f>
        <v/>
      </c>
    </row>
    <row r="1080" ht="28.5" customHeight="1" s="99">
      <c r="A1080" s="92" t="inlineStr">
        <is>
          <t>PDF_Tiếng trung Full BỘ BCT.pdf</t>
        </is>
      </c>
      <c r="B1080" s="93" t="inlineStr">
        <is>
          <t>231</t>
        </is>
      </c>
      <c r="C1080" s="92" t="inlineStr">
        <is>
          <t>供应链危机应对</t>
        </is>
      </c>
      <c r="D1080" s="92" t="inlineStr">
        <is>
          <t>Gōngyìngliàn Wēijī Yìngduì) - Supply Chain Crisis Response - Ứng phó khẩn cấp trong Chuỗi cung ứng</t>
        </is>
      </c>
      <c r="E1080" s="92" t="inlineStr">
        <is>
          <t>231. 供应链危机应对 (Gōngyìngliàn Wēijī Yìngduì) - Supply Chain Crisis Response - Ứng phó khẩn cấp trong Chuỗi cung ứng</t>
        </is>
      </c>
      <c r="F1080" s="114">
        <f>HYPERLINK("https://youglish.com/pronounce/供应链危机应对/chinese","🔍")</f>
        <v/>
      </c>
    </row>
    <row r="1081" ht="28.5" customHeight="1" s="99">
      <c r="A1081" s="94" t="inlineStr">
        <is>
          <t>PDF_Tiếng trung Full BỘ BCT.pdf</t>
        </is>
      </c>
      <c r="B1081" s="95" t="inlineStr">
        <is>
          <t>232</t>
        </is>
      </c>
      <c r="C1081" s="94" t="inlineStr">
        <is>
          <t>货物分拣系统</t>
        </is>
      </c>
      <c r="D1081" s="94" t="inlineStr">
        <is>
          <t>Huòwù Fēnjiǎn Xìtǒng) - Cargo Sorting System - Hệ thống Phân loại Hàng hóa</t>
        </is>
      </c>
      <c r="E1081" s="94" t="inlineStr">
        <is>
          <t>232. 货物分拣系统 (Huòwù Fēnjiǎn Xìtǒng) - Cargo Sorting System - Hệ thống Phân loại Hàng hóa</t>
        </is>
      </c>
      <c r="F1081" s="115">
        <f>HYPERLINK("https://youglish.com/pronounce/货物分拣系统/chinese","🔍")</f>
        <v/>
      </c>
    </row>
    <row r="1082" ht="28.5" customHeight="1" s="99">
      <c r="A1082" s="92" t="inlineStr">
        <is>
          <t>PDF_Tiếng trung Full BỘ BCT.pdf</t>
        </is>
      </c>
      <c r="B1082" s="93" t="inlineStr">
        <is>
          <t>233</t>
        </is>
      </c>
      <c r="C1082" s="92" t="inlineStr">
        <is>
          <t>需求满足时间缩短</t>
        </is>
      </c>
      <c r="D1082" s="92" t="inlineStr">
        <is>
          <t>Xūqiú Mǎnzú Shíjiān Suōduǎn) - Reduction in Lead Time for Demand Fulfillment - Giảm Thời gian Đáp ứng Nhu cầu</t>
        </is>
      </c>
      <c r="E1082" s="92" t="inlineStr">
        <is>
          <t>233. 需求满足时间缩短 (Xūqiú Mǎnzú Shíjiān Suōduǎn) - Reduction in Lead Time for Demand Fulfillment - Giảm Thời gian Đáp ứng Nhu cầu</t>
        </is>
      </c>
      <c r="F1082" s="114">
        <f>HYPERLINK("https://youglish.com/pronounce/需求满足时间缩短/chinese","🔍")</f>
        <v/>
      </c>
    </row>
    <row r="1083" ht="28.5" customHeight="1" s="99">
      <c r="A1083" s="94" t="inlineStr">
        <is>
          <t>PDF_Tiếng trung Full BỘ BCT.pdf</t>
        </is>
      </c>
      <c r="B1083" s="95" t="inlineStr">
        <is>
          <t>234</t>
        </is>
      </c>
      <c r="C1083" s="94" t="inlineStr">
        <is>
          <t>生产成本控制</t>
        </is>
      </c>
      <c r="D1083" s="94" t="inlineStr">
        <is>
          <t>Shēngchǎn Chéngběn Kòngzhì) - Production Cost Control - Kiểm soát Chi phí Sản xuất</t>
        </is>
      </c>
      <c r="E1083" s="94" t="inlineStr">
        <is>
          <t>234. 生产成本控制 (Shēngchǎn Chéngběn Kòngzhì) - Production Cost Control - Kiểm soát Chi phí Sản xuất</t>
        </is>
      </c>
      <c r="F1083" s="115">
        <f>HYPERLINK("https://youglish.com/pronounce/生产成本控制/chinese","🔍")</f>
        <v/>
      </c>
    </row>
    <row r="1084" ht="28.5" customHeight="1" s="99">
      <c r="A1084" s="92" t="inlineStr">
        <is>
          <t>PDF_Tiếng trung Full BỘ BCT.pdf</t>
        </is>
      </c>
      <c r="B1084" s="93" t="inlineStr">
        <is>
          <t>235</t>
        </is>
      </c>
      <c r="C1084" s="92" t="inlineStr">
        <is>
          <t>供应商评估标准</t>
        </is>
      </c>
      <c r="D1084" s="92" t="inlineStr">
        <is>
          <t>Gōngyìngshāng Pínggū Biāozhǔn) - Vendor Evaluation Standards - Tiêu chuẩn Đánh giá Nhà cung cấp</t>
        </is>
      </c>
      <c r="E1084" s="92" t="inlineStr">
        <is>
          <t>235. 供应商评估标准 (Gōngyìngshāng Pínggū Biāozhǔn) - Vendor Evaluation Standards - Tiêu chuẩn Đánh giá Nhà cung cấp</t>
        </is>
      </c>
      <c r="F1084" s="114">
        <f>HYPERLINK("https://youglish.com/pronounce/供应商评估标准/chinese","🔍")</f>
        <v/>
      </c>
    </row>
    <row r="1085" ht="28.5" customHeight="1" s="99">
      <c r="A1085" s="94" t="inlineStr">
        <is>
          <t>PDF_Tiếng trung Full BỘ BCT.pdf</t>
        </is>
      </c>
      <c r="B1085" s="95" t="inlineStr">
        <is>
          <t>236</t>
        </is>
      </c>
      <c r="C1085" s="94" t="inlineStr">
        <is>
          <t>物流运输方案</t>
        </is>
      </c>
      <c r="D1085" s="94" t="inlineStr">
        <is>
          <t>Wùliú Yùnshū Fāng'àn) - Logistics Transportation Plan - Kế hoạch Vận chuyển Logistics</t>
        </is>
      </c>
      <c r="E1085" s="94" t="inlineStr">
        <is>
          <t>236. 物流运输方案 (Wùliú Yùnshū Fāng'àn) - Logistics Transportation Plan - Kế hoạch Vận chuyển Logistics</t>
        </is>
      </c>
      <c r="F1085" s="115">
        <f>HYPERLINK("https://youglish.com/pronounce/物流运输方案/chinese","🔍")</f>
        <v/>
      </c>
    </row>
    <row r="1086" ht="28.5" customHeight="1" s="99">
      <c r="A1086" s="92" t="inlineStr">
        <is>
          <t>PDF_Tiếng trung Full BỘ BCT.pdf</t>
        </is>
      </c>
      <c r="B1086" s="93" t="inlineStr">
        <is>
          <t>237</t>
        </is>
      </c>
      <c r="C1086" s="92" t="inlineStr">
        <is>
          <t>需求变动预测</t>
        </is>
      </c>
      <c r="D1086" s="92" t="inlineStr">
        <is>
          <t>Xūqiú Biàndòng Yùcè) - Demand Variability Forecast - Dự báo Biến động Nhu cầu</t>
        </is>
      </c>
      <c r="E1086" s="92" t="inlineStr">
        <is>
          <t>237. 需求变动预测 (Xūqiú Biàndòng Yùcè) - Demand Variability Forecast - Dự báo Biến động Nhu cầu</t>
        </is>
      </c>
      <c r="F1086" s="114">
        <f>HYPERLINK("https://youglish.com/pronounce/需求变动预测/chinese","🔍")</f>
        <v/>
      </c>
    </row>
    <row r="1087" ht="28.5" customHeight="1" s="99">
      <c r="A1087" s="94" t="inlineStr">
        <is>
          <t>PDF_Tiếng trung Full BỘ BCT.pdf</t>
        </is>
      </c>
      <c r="B1087" s="95" t="inlineStr">
        <is>
          <t>238</t>
        </is>
      </c>
      <c r="C1087" s="94" t="inlineStr">
        <is>
          <t>供应链协调机制</t>
        </is>
      </c>
      <c r="D1087" s="94" t="inlineStr">
        <is>
          <t>Gōngyìngliàn Xiétiáo Jīzhì) - Supply Chain Coordination Mechanism - Cơ chế Điều phối trong Chuỗi cung ứng</t>
        </is>
      </c>
      <c r="E1087" s="94" t="inlineStr">
        <is>
          <t>238. 供应链协调机制 (Gōngyìngliàn Xiétiáo Jīzhì) - Supply Chain Coordination Mechanism - Cơ chế Điều phối trong Chuỗi cung ứng</t>
        </is>
      </c>
      <c r="F1087" s="115">
        <f>HYPERLINK("https://youglish.com/pronounce/供应链协调机制/chinese","🔍")</f>
        <v/>
      </c>
    </row>
    <row r="1088" ht="28.5" customHeight="1" s="99">
      <c r="A1088" s="92" t="inlineStr">
        <is>
          <t>PDF_Tiếng trung Full BỘ BCT.pdf</t>
        </is>
      </c>
      <c r="B1088" s="93" t="inlineStr">
        <is>
          <t>239</t>
        </is>
      </c>
      <c r="C1088" s="92" t="inlineStr">
        <is>
          <t>供应链协调工具</t>
        </is>
      </c>
      <c r="D1088" s="92" t="inlineStr">
        <is>
          <t>Gōngyìngliàn Xiétiáo Gōngjù) - Supply Chain Coordination Tools - Công cụ Điều phối trong Chuỗi cung ứng</t>
        </is>
      </c>
      <c r="E1088" s="92" t="inlineStr">
        <is>
          <t>239. 供应链协调工具 (Gōngyìngliàn Xiétiáo Gōngjù) - Supply Chain Coordination Tools - Công cụ Điều phối trong Chuỗi cung ứng</t>
        </is>
      </c>
      <c r="F1088" s="114">
        <f>HYPERLINK("https://youglish.com/pronounce/供应链协调工具/chinese","🔍")</f>
        <v/>
      </c>
    </row>
    <row r="1089" ht="28.5" customHeight="1" s="99">
      <c r="A1089" s="94" t="inlineStr">
        <is>
          <t>PDF_Tiếng trung Full BỘ BCT.pdf</t>
        </is>
      </c>
      <c r="B1089" s="95" t="inlineStr">
        <is>
          <t>240</t>
        </is>
      </c>
      <c r="C1089" s="94" t="inlineStr">
        <is>
          <t>货物分配策略</t>
        </is>
      </c>
      <c r="D1089" s="94" t="inlineStr">
        <is>
          <t>Huòwù Fēnpèi Cèlüè) - Cargo Allocation Strategy - Chiến lược Phân phối Hàng hóa</t>
        </is>
      </c>
      <c r="E1089" s="94" t="inlineStr">
        <is>
          <t>240. 货物分配策略 (Huòwù Fēnpèi Cèlüè) - Cargo Allocation Strategy - Chiến lược Phân phối Hàng hóa</t>
        </is>
      </c>
      <c r="F1089" s="115">
        <f>HYPERLINK("https://youglish.com/pronounce/货物分配策略/chinese","🔍")</f>
        <v/>
      </c>
    </row>
    <row r="1090" ht="28.5" customHeight="1" s="99">
      <c r="A1090" s="92" t="inlineStr">
        <is>
          <t>PDF_Tiếng trung Full BỘ BCT.pdf</t>
        </is>
      </c>
      <c r="B1090" s="93" t="inlineStr">
        <is>
          <t>241</t>
        </is>
      </c>
      <c r="C1090" s="92" t="inlineStr">
        <is>
          <t>生产设备效能</t>
        </is>
      </c>
      <c r="D1090" s="92" t="inlineStr">
        <is>
          <t>Shēngchǎn Shèbèi Xiàonéng) - Production Equipment Efficiency - Hiệu suất Thiết bị Sản xuất</t>
        </is>
      </c>
      <c r="E1090" s="92" t="inlineStr">
        <is>
          <t>241. 生产设备效能 (Shēngchǎn Shèbèi Xiàonéng) - Production Equipment Efficiency - Hiệu suất Thiết bị Sản xuất</t>
        </is>
      </c>
      <c r="F1090" s="114">
        <f>HYPERLINK("https://youglish.com/pronounce/生产设备效能/chinese","🔍")</f>
        <v/>
      </c>
    </row>
    <row r="1091" ht="28.5" customHeight="1" s="99">
      <c r="A1091" s="94" t="inlineStr">
        <is>
          <t>PDF_Tiếng trung Full BỘ BCT.pdf</t>
        </is>
      </c>
      <c r="B1091" s="95" t="inlineStr">
        <is>
          <t>242</t>
        </is>
      </c>
      <c r="C1091" s="94" t="inlineStr">
        <is>
          <t>供应商社会影响力</t>
        </is>
      </c>
      <c r="D1091" s="94" t="inlineStr">
        <is>
          <t>Gōngyìngshāng Shèhuì Yǐngxiǎnglì) - Vendor Social Impact - Ảnh hưởng Xã hội của Nhà cung cấp</t>
        </is>
      </c>
      <c r="E1091" s="94" t="inlineStr">
        <is>
          <t>242. 供应商社会影响力 (Gōngyìngshāng Shèhuì Yǐngxiǎnglì) - Vendor Social Impact - Ảnh hưởng Xã hội của Nhà cung cấp</t>
        </is>
      </c>
      <c r="F1091" s="115">
        <f>HYPERLINK("https://youglish.com/pronounce/供应商社会影响力/chinese","🔍")</f>
        <v/>
      </c>
    </row>
    <row r="1092" ht="28.5" customHeight="1" s="99">
      <c r="A1092" s="92" t="inlineStr">
        <is>
          <t>PDF_Tiếng trung Full BỘ BCT.pdf</t>
        </is>
      </c>
      <c r="B1092" s="93" t="inlineStr">
        <is>
          <t>243</t>
        </is>
      </c>
      <c r="C1092" s="92" t="inlineStr">
        <is>
          <t>需求满足率监测</t>
        </is>
      </c>
      <c r="D1092" s="92" t="inlineStr">
        <is>
          <t>Xūqiú Mǎnzú Lǜ Jiāncè) - Demand Fulfillment Rate Monitoring - Giám sát Tỷ lệ Đáp ứng Nhu cầu</t>
        </is>
      </c>
      <c r="E1092" s="92" t="inlineStr">
        <is>
          <t>243. 需求满足率监测 (Xūqiú Mǎnzú Lǜ Jiāncè) - Demand Fulfillment Rate Monitoring - Giám sát Tỷ lệ Đáp ứng Nhu cầu</t>
        </is>
      </c>
      <c r="F1092" s="114">
        <f>HYPERLINK("https://youglish.com/pronounce/需求满足率监测/chinese","🔍")</f>
        <v/>
      </c>
    </row>
    <row r="1093" ht="28.5" customHeight="1" s="99">
      <c r="A1093" s="94" t="inlineStr">
        <is>
          <t>PDF_Tiếng trung Full BỘ BCT.pdf</t>
        </is>
      </c>
      <c r="B1093" s="95" t="inlineStr">
        <is>
          <t>244</t>
        </is>
      </c>
      <c r="C1093" s="94" t="inlineStr">
        <is>
          <t>物流服务水平</t>
        </is>
      </c>
      <c r="D1093" s="94" t="inlineStr">
        <is>
          <t>Wùliú Fúwù Shuǐpíng) - Logistics Service Level - Cấp độ Dịch vụ Logistics</t>
        </is>
      </c>
      <c r="E1093" s="94" t="inlineStr">
        <is>
          <t>244. 物流服务水平 (Wùliú Fúwù Shuǐpíng) - Logistics Service Level - Cấp độ Dịch vụ Logistics</t>
        </is>
      </c>
      <c r="F1093" s="115">
        <f>HYPERLINK("https://youglish.com/pronounce/物流服务水平/chinese","🔍")</f>
        <v/>
      </c>
    </row>
    <row r="1094" ht="28.5" customHeight="1" s="99">
      <c r="A1094" s="92" t="inlineStr">
        <is>
          <t>PDF_Tiếng trung Full BỘ BCT.pdf</t>
        </is>
      </c>
      <c r="B1094" s="93" t="inlineStr">
        <is>
          <t>245</t>
        </is>
      </c>
      <c r="C1094" s="92" t="inlineStr">
        <is>
          <t>采购流程标准化</t>
        </is>
      </c>
      <c r="D1094" s="92" t="inlineStr">
        <is>
          <t>Cǎigòu Liúchéng Biāozhǔnhuà) - Standardization of Procurement Processes - Tiêu chuẩn hóa Quy trình Mua hàng</t>
        </is>
      </c>
      <c r="E1094" s="92" t="inlineStr">
        <is>
          <t>245. 采购流程标准化 (Cǎigòu Liúchéng Biāozhǔnhuà) - Standardization of Procurement Processes - Tiêu chuẩn hóa Quy trình Mua hàng</t>
        </is>
      </c>
      <c r="F1094" s="114">
        <f>HYPERLINK("https://youglish.com/pronounce/采购流程标准化/chinese","🔍")</f>
        <v/>
      </c>
    </row>
    <row r="1095" ht="28.5" customHeight="1" s="99">
      <c r="A1095" s="94" t="inlineStr">
        <is>
          <t>PDF_Tiếng trung Full BỘ BCT.pdf</t>
        </is>
      </c>
      <c r="B1095" s="95" t="inlineStr">
        <is>
          <t>246</t>
        </is>
      </c>
      <c r="C1095" s="94" t="inlineStr">
        <is>
          <t>生产计划可视化</t>
        </is>
      </c>
      <c r="D1095" s="94" t="inlineStr">
        <is>
          <t>Shēngchǎn Jìhuà Kěshìhuà) - Production Planning Visualization - Hình dung hóa Kế hoạch Sản xuất</t>
        </is>
      </c>
      <c r="E1095" s="94" t="inlineStr">
        <is>
          <t>246. 生产计划可视化 (Shēngchǎn Jìhuà Kěshìhuà) - Production Planning Visualization - Hình dung hóa Kế hoạch Sản xuất</t>
        </is>
      </c>
      <c r="F1095" s="115">
        <f>HYPERLINK("https://youglish.com/pronounce/生产计划可视化/chinese","🔍")</f>
        <v/>
      </c>
    </row>
    <row r="1096" ht="28.5" customHeight="1" s="99">
      <c r="A1096" s="92" t="inlineStr">
        <is>
          <t>PDF_Tiếng trung Full BỘ BCT.pdf</t>
        </is>
      </c>
      <c r="B1096" s="93" t="inlineStr">
        <is>
          <t>247</t>
        </is>
      </c>
      <c r="C1096" s="92" t="inlineStr">
        <is>
          <t>货运成本控制</t>
        </is>
      </c>
      <c r="D1096" s="92" t="inlineStr">
        <is>
          <t>Huòyùn Chéngběn Kòngzhì) - Freight Cost Control - Kiểm soát Chi phí Vận chuyển</t>
        </is>
      </c>
      <c r="E1096" s="92" t="inlineStr">
        <is>
          <t>247. 货运成本控制 (Huòyùn Chéngběn Kòngzhì) - Freight Cost Control - Kiểm soát Chi phí Vận chuyển</t>
        </is>
      </c>
      <c r="F1096" s="114">
        <f>HYPERLINK("https://youglish.com/pronounce/货运成本控制/chinese","🔍")</f>
        <v/>
      </c>
    </row>
    <row r="1097" ht="28.5" customHeight="1" s="99">
      <c r="A1097" s="94" t="inlineStr">
        <is>
          <t>PDF_Tiếng trung Full BỘ BCT.pdf</t>
        </is>
      </c>
      <c r="B1097" s="95" t="inlineStr">
        <is>
          <t>248</t>
        </is>
      </c>
      <c r="C1097" s="94" t="inlineStr">
        <is>
          <t>物料供应商评估</t>
        </is>
      </c>
      <c r="D1097" s="94" t="inlineStr">
        <is>
          <t>Wùliào Gōngyìngshāng Pínggū) - Material Supplier Assessment - Đánh giá Nhà cung cấp Vật liệu</t>
        </is>
      </c>
      <c r="E1097" s="94" t="inlineStr">
        <is>
          <t>248. 物料供应商评估 (Wùliào Gōngyìngshāng Pínggū) - Material Supplier Assessment - Đánh giá Nhà cung cấp Vật liệu</t>
        </is>
      </c>
      <c r="F1097" s="115">
        <f>HYPERLINK("https://youglish.com/pronounce/物料供应商评估/chinese","🔍")</f>
        <v/>
      </c>
    </row>
    <row r="1098" ht="28.5" customHeight="1" s="99">
      <c r="A1098" s="92" t="inlineStr">
        <is>
          <t>PDF_Tiếng trung Full BỘ BCT.pdf</t>
        </is>
      </c>
      <c r="B1098" s="93" t="inlineStr">
        <is>
          <t>249</t>
        </is>
      </c>
      <c r="C1098" s="92" t="inlineStr">
        <is>
          <t>生产线停机时间</t>
        </is>
      </c>
      <c r="D1098" s="92" t="inlineStr">
        <is>
          <t>Shēngchǎn Xiàn Tíngjī Shíjiān) - Production Line Downtime - Thời gian Dừng máy Dây chuyền Sản xuất</t>
        </is>
      </c>
      <c r="E1098" s="92" t="inlineStr">
        <is>
          <t>249. 生产线停机时间 (Shēngchǎn Xiàn Tíngjī Shíjiān) - Production Line Downtime - Thời gian Dừng máy Dây chuyền Sản xuất</t>
        </is>
      </c>
      <c r="F1098" s="114">
        <f>HYPERLINK("https://youglish.com/pronounce/生产线停机时间/chinese","🔍")</f>
        <v/>
      </c>
    </row>
    <row r="1099" ht="28.5" customHeight="1" s="99">
      <c r="A1099" s="94" t="inlineStr">
        <is>
          <t>PDF_Tiếng trung Full BỘ BCT.pdf</t>
        </is>
      </c>
      <c r="B1099" s="95" t="inlineStr">
        <is>
          <t>250</t>
        </is>
      </c>
      <c r="C1099" s="94" t="inlineStr">
        <is>
          <t>供应商供货周期缩短</t>
        </is>
      </c>
      <c r="D1099" s="94" t="inlineStr">
        <is>
          <t>Gōngyìngshāng Gònghuò Zhōuqī Suōduǎn) - Shortening Vendor Lead Time - Rút ngắn Thời gian Nhà cung cấp</t>
        </is>
      </c>
      <c r="E1099" s="94" t="inlineStr">
        <is>
          <t>250. 供应商供货周期缩短 (Gōngyìngshāng Gònghuò Zhōuqī Suōduǎn) - Shortening Vendor Lead Time - Rút ngắn Thời gian Nhà cung cấp</t>
        </is>
      </c>
      <c r="F1099" s="115">
        <f>HYPERLINK("https://youglish.com/pronounce/供应商供货周期缩短/chinese","🔍")</f>
        <v/>
      </c>
    </row>
    <row r="1100" ht="28.5" customHeight="1" s="99">
      <c r="A1100" s="92" t="inlineStr">
        <is>
          <t>PDF_Tiếng trung Full BỘ BCT.pdf</t>
        </is>
      </c>
      <c r="B1100" s="93" t="inlineStr">
        <is>
          <t>251</t>
        </is>
      </c>
      <c r="C1100" s="92" t="inlineStr">
        <is>
          <t>货物包装规范</t>
        </is>
      </c>
      <c r="D1100" s="92" t="inlineStr">
        <is>
          <t>Huòwù Bāozhuāng Guīfàn) - Cargo Packaging Standards - Tiêu chuẩn Đóng gói Hàng hóa</t>
        </is>
      </c>
      <c r="E1100" s="92" t="inlineStr">
        <is>
          <t>251. 货物包装规范 (Huòwù Bāozhuāng Guīfàn) - Cargo Packaging Standards - Tiêu chuẩn Đóng gói Hàng hóa</t>
        </is>
      </c>
      <c r="F1100" s="114">
        <f>HYPERLINK("https://youglish.com/pronounce/货物包装规范/chinese","🔍")</f>
        <v/>
      </c>
    </row>
    <row r="1101" ht="28.5" customHeight="1" s="99">
      <c r="A1101" s="94" t="inlineStr">
        <is>
          <t>PDF_Tiếng trung Full BỘ BCT.pdf</t>
        </is>
      </c>
      <c r="B1101" s="95" t="inlineStr">
        <is>
          <t>252</t>
        </is>
      </c>
      <c r="C1101" s="94" t="inlineStr">
        <is>
          <t>生产效能改善</t>
        </is>
      </c>
      <c r="D1101" s="94" t="inlineStr">
        <is>
          <t>Shēngchǎn Xiàolǜ Gǎishàn) - Production Efficiency Improvement - Cải thiện Hiệu suất Sản xuất</t>
        </is>
      </c>
      <c r="E1101" s="94" t="inlineStr">
        <is>
          <t>252. 生产效能改善 (Shēngchǎn Xiàolǜ Gǎishàn) - Production Efficiency Improvement - Cải thiện Hiệu suất Sản xuất</t>
        </is>
      </c>
      <c r="F1101" s="115">
        <f>HYPERLINK("https://youglish.com/pronounce/生产效能改善/chinese","🔍")</f>
        <v/>
      </c>
    </row>
    <row r="1102" ht="28.5" customHeight="1" s="99">
      <c r="A1102" s="92" t="inlineStr">
        <is>
          <t>PDF_Tiếng trung Full BỘ BCT.pdf</t>
        </is>
      </c>
      <c r="B1102" s="93" t="inlineStr">
        <is>
          <t>253</t>
        </is>
      </c>
      <c r="C1102" s="92" t="inlineStr">
        <is>
          <t>供应链可追溯性</t>
        </is>
      </c>
      <c r="D1102" s="92" t="inlineStr">
        <is>
          <t>Gōngyìngliàn Kě Zhuīsù Xìng) - Supply Chain Traceability - Khả năng Theo dõi trong Chuỗi cung ứng</t>
        </is>
      </c>
      <c r="E1102" s="92" t="inlineStr">
        <is>
          <t>253. 供应链可追溯性 (Gōngyìngliàn Kě Zhuīsù Xìng) - Supply Chain Traceability - Khả năng Theo dõi trong Chuỗi cung ứng</t>
        </is>
      </c>
      <c r="F1102" s="114">
        <f>HYPERLINK("https://youglish.com/pronounce/供应链可追溯性/chinese","🔍")</f>
        <v/>
      </c>
    </row>
    <row r="1103" ht="28.5" customHeight="1" s="99">
      <c r="A1103" s="94" t="inlineStr">
        <is>
          <t>PDF_Tiếng trung Full BỘ BCT.pdf</t>
        </is>
      </c>
      <c r="B1103" s="95" t="inlineStr">
        <is>
          <t>254</t>
        </is>
      </c>
      <c r="C1103" s="94" t="inlineStr">
        <is>
          <t>物料需求计划</t>
        </is>
      </c>
      <c r="D1103" s="94" t="inlineStr">
        <is>
          <t>Wùliào Xūqiú Jìhuà) - Material Demand Planning - Kế hoạch Nhu cầu Vật liệu</t>
        </is>
      </c>
      <c r="E1103" s="94" t="inlineStr">
        <is>
          <t>254. 物料需求计划 (Wùliào Xūqiú Jìhuà) - Material Demand Planning - Kế hoạch Nhu cầu Vật liệu</t>
        </is>
      </c>
      <c r="F1103" s="115">
        <f>HYPERLINK("https://youglish.com/pronounce/物料需求计划/chinese","🔍")</f>
        <v/>
      </c>
    </row>
    <row r="1104" ht="28.5" customHeight="1" s="99">
      <c r="A1104" s="92" t="inlineStr">
        <is>
          <t>PDF_Tiếng trung Full BỘ BCT.pdf</t>
        </is>
      </c>
      <c r="B1104" s="93" t="inlineStr">
        <is>
          <t>255</t>
        </is>
      </c>
      <c r="C1104" s="92" t="inlineStr">
        <is>
          <t>采购决策流程</t>
        </is>
      </c>
      <c r="D1104" s="92" t="inlineStr">
        <is>
          <t>Cǎigòu Juécè Liúchéng) - Procurement Decision Process - Quy trình Quyết định Mua hàng</t>
        </is>
      </c>
      <c r="E1104" s="92" t="inlineStr">
        <is>
          <t>255. 采购决策流程 (Cǎigòu Juécè Liúchéng) - Procurement Decision Process - Quy trình Quyết định Mua hàng</t>
        </is>
      </c>
      <c r="F1104" s="114">
        <f>HYPERLINK("https://youglish.com/pronounce/采购决策流程/chinese","🔍")</f>
        <v/>
      </c>
    </row>
    <row r="1105" ht="28.5" customHeight="1" s="99">
      <c r="A1105" s="94" t="inlineStr">
        <is>
          <t>PDF_Tiếng trung Full BỘ BCT.pdf</t>
        </is>
      </c>
      <c r="B1105" s="95" t="inlineStr">
        <is>
          <t>256</t>
        </is>
      </c>
      <c r="C1105" s="94" t="inlineStr">
        <is>
          <t>生产成本分析</t>
        </is>
      </c>
      <c r="D1105" s="94" t="inlineStr">
        <is>
          <t>Shēngchǎn Chéngběn Fēnxī) - Production Cost Analysis - Phân tích Chi phí Sản xuất</t>
        </is>
      </c>
      <c r="E1105" s="94" t="inlineStr">
        <is>
          <t>256. 生产成本分析 (Shēngchǎn Chéngběn Fēnxī) - Production Cost Analysis - Phân tích Chi phí Sản xuất</t>
        </is>
      </c>
      <c r="F1105" s="115">
        <f>HYPERLINK("https://youglish.com/pronounce/生产成本分析/chinese","🔍")</f>
        <v/>
      </c>
    </row>
    <row r="1106" ht="28.5" customHeight="1" s="99">
      <c r="A1106" s="92" t="inlineStr">
        <is>
          <t>PDF_Tiếng trung Full BỘ BCT.pdf</t>
        </is>
      </c>
      <c r="B1106" s="93" t="inlineStr">
        <is>
          <t>257</t>
        </is>
      </c>
      <c r="C1106" s="92" t="inlineStr">
        <is>
          <t>供应商合作模式</t>
        </is>
      </c>
      <c r="D1106" s="92" t="inlineStr">
        <is>
          <t>Gōngyìngshāng Hézuò Móshì) - Vendor Collaboration Model - Mô hình Hợp tác với Nhà cung cấp</t>
        </is>
      </c>
      <c r="E1106" s="92" t="inlineStr">
        <is>
          <t>257. 供应商合作模式 (Gōngyìngshāng Hézuò Móshì) - Vendor Collaboration Model - Mô hình Hợp tác với Nhà cung cấp</t>
        </is>
      </c>
      <c r="F1106" s="114">
        <f>HYPERLINK("https://youglish.com/pronounce/供应商合作模式/chinese","🔍")</f>
        <v/>
      </c>
    </row>
    <row r="1107" ht="28.5" customHeight="1" s="99">
      <c r="A1107" s="94" t="inlineStr">
        <is>
          <t>PDF_Tiếng trung Full BỘ BCT.pdf</t>
        </is>
      </c>
      <c r="B1107" s="95" t="inlineStr">
        <is>
          <t>258</t>
        </is>
      </c>
      <c r="C1107" s="94" t="inlineStr">
        <is>
          <t>物料供应风险</t>
        </is>
      </c>
      <c r="D1107" s="94" t="inlineStr">
        <is>
          <t>Wùliào Gōngyìng Fēngxiǎn) - Material Supply Risks - Rủi ro Cung ứng Vật liệu</t>
        </is>
      </c>
      <c r="E1107" s="94" t="inlineStr">
        <is>
          <t>258. 物料供应风险 (Wùliào Gōngyìng Fēngxiǎn) - Material Supply Risks - Rủi ro Cung ứng Vật liệu</t>
        </is>
      </c>
      <c r="F1107" s="115">
        <f>HYPERLINK("https://youglish.com/pronounce/物料供应风险/chinese","🔍")</f>
        <v/>
      </c>
    </row>
    <row r="1108" ht="28.5" customHeight="1" s="99">
      <c r="A1108" s="92" t="inlineStr">
        <is>
          <t>PDF_Tiếng trung Full BỘ BCT.pdf</t>
        </is>
      </c>
      <c r="B1108" s="93" t="inlineStr">
        <is>
          <t>259</t>
        </is>
      </c>
      <c r="C1108" s="92" t="inlineStr">
        <is>
          <t>生产计划协同</t>
        </is>
      </c>
      <c r="D1108" s="92" t="inlineStr">
        <is>
          <t>Shēngchǎn Jìhuà Xiétóng) - Production Planning Collaboration - Hợp tác trong Kế hoạch Sản xuất</t>
        </is>
      </c>
      <c r="E1108" s="92" t="inlineStr">
        <is>
          <t>259. 生产计划协同 (Shēngchǎn Jìhuà Xiétóng) - Production Planning Collaboration - Hợp tác trong Kế hoạch Sản xuất</t>
        </is>
      </c>
      <c r="F1108" s="114">
        <f>HYPERLINK("https://youglish.com/pronounce/生产计划协同/chinese","🔍")</f>
        <v/>
      </c>
    </row>
    <row r="1109" ht="28.5" customHeight="1" s="99">
      <c r="A1109" s="94" t="inlineStr">
        <is>
          <t>PDF_Tiếng trung Full BỘ BCT.pdf</t>
        </is>
      </c>
      <c r="B1109" s="95" t="inlineStr">
        <is>
          <t>260</t>
        </is>
      </c>
      <c r="C1109" s="94" t="inlineStr">
        <is>
          <t>供应商交付准时率</t>
        </is>
      </c>
      <c r="D1109" s="94" t="inlineStr">
        <is>
          <t>Gōngyìngshāng Jiāofù Zhǔnshí Lǜ) - Vendor On-time Delivery Rate - Tỷ lệ Giao hàng đúng hẹn của Nhà cung cấp</t>
        </is>
      </c>
      <c r="E1109" s="94" t="inlineStr">
        <is>
          <t>260. 供应商交付准时率 (Gōngyìngshāng Jiāofù Zhǔnshí Lǜ) - Vendor On-time Delivery Rate - Tỷ lệ Giao hàng đúng hẹn của Nhà cung cấp</t>
        </is>
      </c>
      <c r="F1109" s="115">
        <f>HYPERLINK("https://youglish.com/pronounce/供应商交付准时率/chinese","🔍")</f>
        <v/>
      </c>
    </row>
    <row r="1110" ht="28.5" customHeight="1" s="99">
      <c r="A1110" s="92" t="inlineStr">
        <is>
          <t>PDF_Tiếng trung Full BỘ BCT.pdf</t>
        </is>
      </c>
      <c r="B1110" s="93" t="inlineStr">
        <is>
          <t>261</t>
        </is>
      </c>
      <c r="C1110" s="92" t="inlineStr">
        <is>
          <t>货物库存管理</t>
        </is>
      </c>
      <c r="D1110" s="92" t="inlineStr">
        <is>
          <t>Huòwù Kùcún Guǎnlǐ) - Cargo Inventory Management - Quản lý Kho Hàng hóa</t>
        </is>
      </c>
      <c r="E1110" s="92" t="inlineStr">
        <is>
          <t>261. 货物库存管理 (Huòwù Kùcún Guǎnlǐ) - Cargo Inventory Management - Quản lý Kho Hàng hóa</t>
        </is>
      </c>
      <c r="F1110" s="114">
        <f>HYPERLINK("https://youglish.com/pronounce/货物库存管理/chinese","🔍")</f>
        <v/>
      </c>
    </row>
    <row r="1111" ht="28.5" customHeight="1" s="99">
      <c r="A1111" s="94" t="inlineStr">
        <is>
          <t>PDF_Tiếng trung Full BỘ BCT.pdf</t>
        </is>
      </c>
      <c r="B1111" s="95" t="inlineStr">
        <is>
          <t>262</t>
        </is>
      </c>
      <c r="C1111" s="94" t="inlineStr">
        <is>
          <t>需求满足率改善</t>
        </is>
      </c>
      <c r="D1111" s="94" t="inlineStr">
        <is>
          <t>Xūqiú Mǎnzú Lǜ Gǎishàn) - Improvement in Demand Fulfillment Rate - Cải thiện Tỷ lệ Đáp ứng Nhu cầu</t>
        </is>
      </c>
      <c r="E1111" s="94" t="inlineStr">
        <is>
          <t>262. 需求满足率改善 (Xūqiú Mǎnzú Lǜ Gǎishàn) - Improvement in Demand Fulfillment Rate - Cải thiện Tỷ lệ Đáp ứng Nhu cầu</t>
        </is>
      </c>
      <c r="F1111" s="115">
        <f>HYPERLINK("https://youglish.com/pronounce/需求满足率改善/chinese","🔍")</f>
        <v/>
      </c>
    </row>
    <row r="1112" ht="28.5" customHeight="1" s="99">
      <c r="A1112" s="92" t="inlineStr">
        <is>
          <t>PDF_Tiếng trung Full BỘ BCT.pdf</t>
        </is>
      </c>
      <c r="B1112" s="93" t="inlineStr">
        <is>
          <t>263</t>
        </is>
      </c>
      <c r="C1112" s="92" t="inlineStr">
        <is>
          <t>物流运输成本</t>
        </is>
      </c>
      <c r="D1112" s="92" t="inlineStr">
        <is>
          <t>Wùliú Yùnshū Chéngběn) - Logistics Transportation Costs - Chi phí Vận chuyển Logistics</t>
        </is>
      </c>
      <c r="E1112" s="92" t="inlineStr">
        <is>
          <t>263. 物流运输成本 (Wùliú Yùnshū Chéngběn) - Logistics Transportation Costs - Chi phí Vận chuyển Logistics</t>
        </is>
      </c>
      <c r="F1112" s="114">
        <f>HYPERLINK("https://youglish.com/pronounce/物流运输成本/chinese","🔍")</f>
        <v/>
      </c>
    </row>
    <row r="1113" ht="28.5" customHeight="1" s="99">
      <c r="A1113" s="94" t="inlineStr">
        <is>
          <t>PDF_Tiếng trung Full BỘ BCT.pdf</t>
        </is>
      </c>
      <c r="B1113" s="95" t="inlineStr">
        <is>
          <t>264</t>
        </is>
      </c>
      <c r="C1113" s="94" t="inlineStr">
        <is>
          <t>采购策略优化</t>
        </is>
      </c>
      <c r="D1113" s="94" t="inlineStr">
        <is>
          <t>Cǎigòu Cèlüè Yōuhuà) - Procurement Strategy Optimization - Tối ưu hóa Chiến lược Mua hàng</t>
        </is>
      </c>
      <c r="E1113" s="94" t="inlineStr">
        <is>
          <t>264. 采购策略优化 (Cǎigòu Cèlüè Yōuhuà) - Procurement Strategy Optimization - Tối ưu hóa Chiến lược Mua hàng</t>
        </is>
      </c>
      <c r="F1113" s="115">
        <f>HYPERLINK("https://youglish.com/pronounce/采购策略优化/chinese","🔍")</f>
        <v/>
      </c>
    </row>
    <row r="1114" ht="28.5" customHeight="1" s="99">
      <c r="A1114" s="92" t="inlineStr">
        <is>
          <t>PDF_Tiếng trung Full BỘ BCT.pdf</t>
        </is>
      </c>
      <c r="B1114" s="93" t="inlineStr">
        <is>
          <t>265</t>
        </is>
      </c>
      <c r="C1114" s="92" t="inlineStr">
        <is>
          <t>生产线灵活性</t>
        </is>
      </c>
      <c r="D1114" s="92" t="inlineStr">
        <is>
          <t>Shēngchǎn Xiàn Línghuóxìng) - Production Line Flexibility - Linh hoạt của Dây chuyền Sản xuất</t>
        </is>
      </c>
      <c r="E1114" s="92" t="inlineStr">
        <is>
          <t>265. 生产线灵活性 (Shēngchǎn Xiàn Línghuóxìng) - Production Line Flexibility - Linh hoạt của Dây chuyền Sản xuất</t>
        </is>
      </c>
      <c r="F1114" s="114">
        <f>HYPERLINK("https://youglish.com/pronounce/生产线灵活性/chinese","🔍")</f>
        <v/>
      </c>
    </row>
    <row r="1115" ht="28.5" customHeight="1" s="99">
      <c r="A1115" s="94" t="inlineStr">
        <is>
          <t>PDF_Tiếng trung Full BỘ BCT.pdf</t>
        </is>
      </c>
      <c r="B1115" s="95" t="inlineStr">
        <is>
          <t>266</t>
        </is>
      </c>
      <c r="C1115" s="94" t="inlineStr">
        <is>
          <t>供应链协作模式</t>
        </is>
      </c>
      <c r="D1115" s="94" t="inlineStr">
        <is>
          <t>Gōngyìngliàn Xiézuò Móshì) - Supply Chain Collaboration Models - Các mô hình Hợp tác trong Chuỗi cung ứng</t>
        </is>
      </c>
      <c r="E1115" s="94" t="inlineStr">
        <is>
          <t>266. 供应链协作模式 (Gōngyìngliàn Xiézuò Móshì) - Supply Chain Collaboration Models - Các mô hình Hợp tác trong Chuỗi cung ứng</t>
        </is>
      </c>
      <c r="F1115" s="115">
        <f>HYPERLINK("https://youglish.com/pronounce/供应链协作模式/chinese","🔍")</f>
        <v/>
      </c>
    </row>
    <row r="1116" ht="28.5" customHeight="1" s="99">
      <c r="A1116" s="92" t="inlineStr">
        <is>
          <t>PDF_Tiếng trung Full BỘ BCT.pdf</t>
        </is>
      </c>
      <c r="B1116" s="93" t="inlineStr">
        <is>
          <t>267</t>
        </is>
      </c>
      <c r="C1116" s="92" t="inlineStr">
        <is>
          <t>货物损耗减少</t>
        </is>
      </c>
      <c r="D1116" s="92" t="inlineStr">
        <is>
          <t>Huòwù Sǔnhào Jiǎnshǎo) - Reduction in Cargo Loss - Giảm thiểu Mất mát Hàng hóa</t>
        </is>
      </c>
      <c r="E1116" s="92" t="inlineStr">
        <is>
          <t>267. 货物损耗减少 (Huòwù Sǔnhào Jiǎnshǎo) - Reduction in Cargo Loss - Giảm thiểu Mất mát Hàng hóa</t>
        </is>
      </c>
      <c r="F1116" s="114">
        <f>HYPERLINK("https://youglish.com/pronounce/货物损耗减少/chinese","🔍")</f>
        <v/>
      </c>
    </row>
    <row r="1117" ht="28.5" customHeight="1" s="99">
      <c r="A1117" s="94" t="inlineStr">
        <is>
          <t>PDF_Tiếng trung Full BỘ BCT.pdf</t>
        </is>
      </c>
      <c r="B1117" s="95" t="inlineStr">
        <is>
          <t>268</t>
        </is>
      </c>
      <c r="C1117" s="94" t="inlineStr">
        <is>
          <t>供应商评价系统</t>
        </is>
      </c>
      <c r="D1117" s="94" t="inlineStr">
        <is>
          <t>Gōngyìngshāng Píngjià Xìtǒng) - Vendor Evaluation System - Hệ thống Đánh giá Nhà cung cấp</t>
        </is>
      </c>
      <c r="E1117" s="94" t="inlineStr">
        <is>
          <t>268. 供应商评价系统 (Gōngyìngshāng Píngjià Xìtǒng) - Vendor Evaluation System - Hệ thống Đánh giá Nhà cung cấp</t>
        </is>
      </c>
      <c r="F1117" s="115">
        <f>HYPERLINK("https://youglish.com/pronounce/供应商评价系统/chinese","🔍")</f>
        <v/>
      </c>
    </row>
    <row r="1118" ht="28.5" customHeight="1" s="99">
      <c r="A1118" s="92" t="inlineStr">
        <is>
          <t>PDF_Tiếng trung Full BỘ BCT.pdf</t>
        </is>
      </c>
      <c r="B1118" s="93" t="inlineStr">
        <is>
          <t>269</t>
        </is>
      </c>
      <c r="C1118" s="92" t="inlineStr">
        <is>
          <t>物料需求计划优化</t>
        </is>
      </c>
      <c r="D1118" s="92" t="inlineStr">
        <is>
          <t>Wùliào Xūqiú Jìhuà Yōuhuà) - Optimization of Material Demand Planning - Tối ưu hóa Kế hoạch Nhu cầu Vật liệu</t>
        </is>
      </c>
      <c r="E1118" s="92" t="inlineStr">
        <is>
          <t>269. 物料需求计划优化 (Wùliào Xūqiú Jìhuà Yōuhuà) - Optimization of Material Demand Planning - Tối ưu hóa Kế hoạch Nhu cầu Vật liệu</t>
        </is>
      </c>
      <c r="F1118" s="114">
        <f>HYPERLINK("https://youglish.com/pronounce/物料需求计划优化/chinese","🔍")</f>
        <v/>
      </c>
    </row>
    <row r="1119" ht="28.5" customHeight="1" s="99">
      <c r="A1119" s="94" t="inlineStr">
        <is>
          <t>PDF_Tiếng trung Full BỘ BCT.pdf</t>
        </is>
      </c>
      <c r="B1119" s="95" t="inlineStr">
        <is>
          <t>270</t>
        </is>
      </c>
      <c r="C1119" s="94" t="inlineStr">
        <is>
          <t>生产效率提升</t>
        </is>
      </c>
      <c r="D1119" s="94" t="inlineStr">
        <is>
          <t>Shēngchǎn Xiàolǜ Tígāo) - Increase in Production Efficiency - Tăng cường Hiệu suất Sản xuất</t>
        </is>
      </c>
      <c r="E1119" s="94" t="inlineStr">
        <is>
          <t>270. 生产效率提升 (Shēngchǎn Xiàolǜ Tígāo) - Increase in Production Efficiency - Tăng cường Hiệu suất Sản xuất</t>
        </is>
      </c>
      <c r="F1119" s="115">
        <f>HYPERLINK("https://youglish.com/pronounce/生产效率提升/chinese","🔍")</f>
        <v/>
      </c>
    </row>
    <row r="1120" ht="28.5" customHeight="1" s="99">
      <c r="A1120" s="92" t="inlineStr">
        <is>
          <t>PDF_Tiếng trung Full BỘ BCT.pdf</t>
        </is>
      </c>
      <c r="B1120" s="93" t="inlineStr">
        <is>
          <t>271</t>
        </is>
      </c>
      <c r="C1120" s="92" t="inlineStr">
        <is>
          <t>供应商合同履行</t>
        </is>
      </c>
      <c r="D1120" s="92" t="inlineStr">
        <is>
          <t>Gōngyìngshāng Hétong Lǚxíng) - Vendor Contract Compliance - Tuân thủ Hợp đồng của Nhà cung cấp</t>
        </is>
      </c>
      <c r="E1120" s="92" t="inlineStr">
        <is>
          <t>271. 供应商合同履行 (Gōngyìngshāng Hétong Lǚxíng) - Vendor Contract Compliance - Tuân thủ Hợp đồng của Nhà cung cấp</t>
        </is>
      </c>
      <c r="F1120" s="114">
        <f>HYPERLINK("https://youglish.com/pronounce/供应商合同履行/chinese","🔍")</f>
        <v/>
      </c>
    </row>
    <row r="1121" ht="28.5" customHeight="1" s="99">
      <c r="A1121" s="94" t="inlineStr">
        <is>
          <t>PDF_Tiếng trung Full BỘ BCT.pdf</t>
        </is>
      </c>
      <c r="B1121" s="95" t="inlineStr">
        <is>
          <t>272</t>
        </is>
      </c>
      <c r="C1121" s="94" t="inlineStr">
        <is>
          <t>货物库存周转</t>
        </is>
      </c>
      <c r="D1121" s="94" t="inlineStr">
        <is>
          <t>Huòwù Kùcún Zhōuzuǎn) - Cargo Inventory Turnover - Quay vòng Kho Hàng hóa</t>
        </is>
      </c>
      <c r="E1121" s="94" t="inlineStr">
        <is>
          <t>272. 货物库存周转 (Huòwù Kùcún Zhōuzuǎn) - Cargo Inventory Turnover - Quay vòng Kho Hàng hóa</t>
        </is>
      </c>
      <c r="F1121" s="115">
        <f>HYPERLINK("https://youglish.com/pronounce/货物库存周转/chinese","🔍")</f>
        <v/>
      </c>
    </row>
    <row r="1122" ht="42.75" customHeight="1" s="99">
      <c r="A1122" s="92" t="inlineStr">
        <is>
          <t>PDF_Tiếng trung Full BỘ BCT.pdf</t>
        </is>
      </c>
      <c r="B1122" s="93" t="inlineStr">
        <is>
          <t>273</t>
        </is>
      </c>
      <c r="C1122" s="92" t="inlineStr">
        <is>
          <t>生产线技术升级</t>
        </is>
      </c>
      <c r="D1122" s="92" t="inlineStr">
        <is>
          <t>Shēngchǎn Xiàn Jìshù Shēngjí) - Technological Upgradation of Production Lines - Nâng cấp Công nghệ cho Dây chuyền Sản xuất</t>
        </is>
      </c>
      <c r="E1122" s="92" t="inlineStr">
        <is>
          <t>273. 生产线技术升级 (Shēngchǎn Xiàn Jìshù Shēngjí) - Technological Upgradation of Production Lines - Nâng cấp Công nghệ cho Dây chuyền Sản xuất</t>
        </is>
      </c>
      <c r="F1122" s="114">
        <f>HYPERLINK("https://youglish.com/pronounce/生产线技术升级/chinese","🔍")</f>
        <v/>
      </c>
    </row>
    <row r="1123" ht="42.75" customHeight="1" s="99">
      <c r="A1123" s="94" t="inlineStr">
        <is>
          <t>PDF_Tiếng trung Full BỘ BCT.pdf</t>
        </is>
      </c>
      <c r="B1123" s="95" t="inlineStr">
        <is>
          <t>274</t>
        </is>
      </c>
      <c r="C1123" s="94" t="inlineStr">
        <is>
          <t>供应链风险评估工具</t>
        </is>
      </c>
      <c r="D1123" s="94" t="inlineStr">
        <is>
          <t>Gōngyìngliàn Fēngxiǎn Pínggū Gōngjù) - Supply Chain Risk Assessment Tools - Công cụ Đánh giá Rủi ro trong Chuỗi cung ứng</t>
        </is>
      </c>
      <c r="E1123" s="94" t="inlineStr">
        <is>
          <t>274. 供应链风险评估工具 (Gōngyìngliàn Fēngxiǎn Pínggū Gōngjù) - Supply Chain Risk Assessment Tools - Công cụ Đánh giá Rủi ro trong Chuỗi cung ứng</t>
        </is>
      </c>
      <c r="F1123" s="115">
        <f>HYPERLINK("https://youglish.com/pronounce/供应链风险评估工具/chinese","🔍")</f>
        <v/>
      </c>
    </row>
    <row r="1124" ht="28.5" customHeight="1" s="99">
      <c r="A1124" s="92" t="inlineStr">
        <is>
          <t>PDF_Tiếng trung Full BỘ BCT.pdf</t>
        </is>
      </c>
      <c r="B1124" s="93" t="inlineStr">
        <is>
          <t>275</t>
        </is>
      </c>
      <c r="C1124" s="92" t="inlineStr">
        <is>
          <t>物料分类管理</t>
        </is>
      </c>
      <c r="D1124" s="92" t="inlineStr">
        <is>
          <t>Wùliào Fēnlèi Guǎnlǐ) - Categorization of Material Management - Phân loại Quản lý Vật liệu</t>
        </is>
      </c>
      <c r="E1124" s="92" t="inlineStr">
        <is>
          <t>275. 物料分类管理 (Wùliào Fēnlèi Guǎnlǐ) - Categorization of Material Management - Phân loại Quản lý Vật liệu</t>
        </is>
      </c>
      <c r="F1124" s="114">
        <f>HYPERLINK("https://youglish.com/pronounce/物料分类管理/chinese","🔍")</f>
        <v/>
      </c>
    </row>
    <row r="1125" ht="28.5" customHeight="1" s="99">
      <c r="A1125" s="94" t="inlineStr">
        <is>
          <t>PDF_Tiếng trung Full BỘ BCT.pdf</t>
        </is>
      </c>
      <c r="B1125" s="95" t="inlineStr">
        <is>
          <t>276</t>
        </is>
      </c>
      <c r="C1125" s="94" t="inlineStr">
        <is>
          <t>采购流程效率</t>
        </is>
      </c>
      <c r="D1125" s="94" t="inlineStr">
        <is>
          <t>Cǎigòu Liúchéng Xiàolǜ) - Procurement Process Efficiency - Hiệu suất Quy trình Mua hàng</t>
        </is>
      </c>
      <c r="E1125" s="94" t="inlineStr">
        <is>
          <t>276. 采购流程效率 (Cǎigòu Liúchéng Xiàolǜ) - Procurement Process Efficiency - Hiệu suất Quy trình Mua hàng</t>
        </is>
      </c>
      <c r="F1125" s="115">
        <f>HYPERLINK("https://youglish.com/pronounce/采购流程效率/chinese","🔍")</f>
        <v/>
      </c>
    </row>
    <row r="1126" ht="28.5" customHeight="1" s="99">
      <c r="A1126" s="92" t="inlineStr">
        <is>
          <t>PDF_Tiếng trung Full BỘ BCT.pdf</t>
        </is>
      </c>
      <c r="B1126" s="93" t="inlineStr">
        <is>
          <t>277</t>
        </is>
      </c>
      <c r="C1126" s="92" t="inlineStr">
        <is>
          <t>生产计划调整策略</t>
        </is>
      </c>
      <c r="D1126" s="92" t="inlineStr">
        <is>
          <t>Shēngchǎn Jìhuà Tiáozhěng Cèlüè) - Strategy for Adjusting Production Planning - Chiến lược Điều chỉnh Kế hoạch Sản xuất</t>
        </is>
      </c>
      <c r="E1126" s="92" t="inlineStr">
        <is>
          <t>277. 生产计划调整策略 (Shēngchǎn Jìhuà Tiáozhěng Cèlüè) - Strategy for Adjusting Production Planning - Chiến lược Điều chỉnh Kế hoạch Sản xuất</t>
        </is>
      </c>
      <c r="F1126" s="114">
        <f>HYPERLINK("https://youglish.com/pronounce/生产计划调整策略/chinese","🔍")</f>
        <v/>
      </c>
    </row>
    <row r="1127" ht="28.5" customHeight="1" s="99">
      <c r="A1127" s="94" t="inlineStr">
        <is>
          <t>PDF_Tiếng trung Full BỘ BCT.pdf</t>
        </is>
      </c>
      <c r="B1127" s="95" t="inlineStr">
        <is>
          <t>278</t>
        </is>
      </c>
      <c r="C1127" s="94" t="inlineStr">
        <is>
          <t>供应商合作协议</t>
        </is>
      </c>
      <c r="D1127" s="94" t="inlineStr">
        <is>
          <t>Gōngyìngshāng Hézuò Xiéyì) - Vendor Cooperation Agreement - Thỏa thuận Hợp tác với Nhà cung cấp</t>
        </is>
      </c>
      <c r="E1127" s="94" t="inlineStr">
        <is>
          <t>278. 供应商合作协议 (Gōngyìngshāng Hézuò Xiéyì) - Vendor Cooperation Agreement - Thỏa thuận Hợp tác với Nhà cung cấp</t>
        </is>
      </c>
      <c r="F1127" s="115">
        <f>HYPERLINK("https://youglish.com/pronounce/供应商合作协议/chinese","🔍")</f>
        <v/>
      </c>
    </row>
    <row r="1128" ht="28.5" customHeight="1" s="99">
      <c r="A1128" s="92" t="inlineStr">
        <is>
          <t>PDF_Tiếng trung Full BỘ BCT.pdf</t>
        </is>
      </c>
      <c r="B1128" s="93" t="inlineStr">
        <is>
          <t>279</t>
        </is>
      </c>
      <c r="C1128" s="92" t="inlineStr">
        <is>
          <t>物流网络优化</t>
        </is>
      </c>
      <c r="D1128" s="92" t="inlineStr">
        <is>
          <t>Wùliú Wǎngluò Yōuhuà) - Logistics Network Optimization - Tối ưu hóa Mạng lưới Logistics</t>
        </is>
      </c>
      <c r="E1128" s="92" t="inlineStr">
        <is>
          <t>279. 物流网络优化 (Wùliú Wǎngluò Yōuhuà) - Logistics Network Optimization - Tối ưu hóa Mạng lưới Logistics</t>
        </is>
      </c>
      <c r="F1128" s="114">
        <f>HYPERLINK("https://youglish.com/pronounce/物流网络优化/chinese","🔍")</f>
        <v/>
      </c>
    </row>
    <row r="1129" ht="42.75" customHeight="1" s="99">
      <c r="A1129" s="94" t="inlineStr">
        <is>
          <t>PDF_Tiếng trung Full BỘ BCT.pdf</t>
        </is>
      </c>
      <c r="B1129" s="95" t="inlineStr">
        <is>
          <t>280</t>
        </is>
      </c>
      <c r="C1129" s="94" t="inlineStr">
        <is>
          <t>生产线质量控制</t>
        </is>
      </c>
      <c r="D1129" s="94" t="inlineStr">
        <is>
          <t>Shēngchǎn Xiàn Zhìliàng Kòngzhì) - Quality Control in Production Lines - Kiểm soát Chất lượng trên Dây chuyền Sản xuất</t>
        </is>
      </c>
      <c r="E1129" s="94" t="inlineStr">
        <is>
          <t>280. 生产线质量控制 (Shēngchǎn Xiàn Zhìliàng Kòngzhì) - Quality Control in Production Lines - Kiểm soát Chất lượng trên Dây chuyền Sản xuất</t>
        </is>
      </c>
      <c r="F1129" s="115">
        <f>HYPERLINK("https://youglish.com/pronounce/生产线质量控制/chinese","🔍")</f>
        <v/>
      </c>
    </row>
    <row r="1130" ht="28.5" customHeight="1" s="99">
      <c r="A1130" s="92" t="inlineStr">
        <is>
          <t>PDF_Tiếng trung Full BỘ BCT.pdf</t>
        </is>
      </c>
      <c r="B1130" s="93" t="inlineStr">
        <is>
          <t>281</t>
        </is>
      </c>
      <c r="C1130" s="92" t="inlineStr">
        <is>
          <t>供应商供货协商</t>
        </is>
      </c>
      <c r="D1130" s="92" t="inlineStr">
        <is>
          <t>Gōngyìngshāng Gònghuò Xiéshāng) - Vendor Supply Negotiation - Đàm phán Cung cấp của Nhà cung cấp</t>
        </is>
      </c>
      <c r="E1130" s="92" t="inlineStr">
        <is>
          <t>281. 供应商供货协商 (Gōngyìngshāng Gònghuò Xiéshāng) - Vendor Supply Negotiation - Đàm phán Cung cấp của Nhà cung cấp</t>
        </is>
      </c>
      <c r="F1130" s="114">
        <f>HYPERLINK("https://youglish.com/pronounce/供应商供货协商/chinese","🔍")</f>
        <v/>
      </c>
    </row>
    <row r="1131" ht="28.5" customHeight="1" s="99">
      <c r="A1131" s="94" t="inlineStr">
        <is>
          <t>PDF_Tiếng trung Full BỘ BCT.pdf</t>
        </is>
      </c>
      <c r="B1131" s="95" t="inlineStr">
        <is>
          <t>282</t>
        </is>
      </c>
      <c r="C1131" s="94" t="inlineStr">
        <is>
          <t>货物储存温度</t>
        </is>
      </c>
      <c r="D1131" s="94" t="inlineStr">
        <is>
          <t>Huòwù Chǔcún Wēndù) - Cargo Storage Temperature - Nhiệt độ Lưu trữ Hàng hóa</t>
        </is>
      </c>
      <c r="E1131" s="94" t="inlineStr">
        <is>
          <t>282. 货物储存温度 (Huòwù Chǔcún Wēndù) - Cargo Storage Temperature - Nhiệt độ Lưu trữ Hàng hóa</t>
        </is>
      </c>
      <c r="F1131" s="115">
        <f>HYPERLINK("https://youglish.com/pronounce/货物储存温度/chinese","🔍")</f>
        <v/>
      </c>
    </row>
    <row r="1132" ht="28.5" customHeight="1" s="99">
      <c r="A1132" s="92" t="inlineStr">
        <is>
          <t>PDF_Tiếng trung Full BỘ BCT.pdf</t>
        </is>
      </c>
      <c r="B1132" s="93" t="inlineStr">
        <is>
          <t>283</t>
        </is>
      </c>
      <c r="C1132" s="92" t="inlineStr">
        <is>
          <t>需求预测准确性</t>
        </is>
      </c>
      <c r="D1132" s="92" t="inlineStr">
        <is>
          <t>Xūqiú Yùcè Zhǔnquèxìng) - Accuracy in Demand Forecasting - Độ chính xác trong Dự báo Nhu cầu</t>
        </is>
      </c>
      <c r="E1132" s="92" t="inlineStr">
        <is>
          <t>283. 需求预测准确性 (Xūqiú Yùcè Zhǔnquèxìng) - Accuracy in Demand Forecasting - Độ chính xác trong Dự báo Nhu cầu</t>
        </is>
      </c>
      <c r="F1132" s="114">
        <f>HYPERLINK("https://youglish.com/pronounce/需求预测准确性/chinese","🔍")</f>
        <v/>
      </c>
    </row>
    <row r="1133" ht="28.5" customHeight="1" s="99">
      <c r="A1133" s="94" t="inlineStr">
        <is>
          <t>PDF_Tiếng trung Full BỘ BCT.pdf</t>
        </is>
      </c>
      <c r="B1133" s="95" t="inlineStr">
        <is>
          <t>284</t>
        </is>
      </c>
      <c r="C1133" s="94" t="inlineStr">
        <is>
          <t>供应链故障应对</t>
        </is>
      </c>
      <c r="D1133" s="94" t="inlineStr">
        <is>
          <t>Gōngyìngliàn Gùzhàng Yìngduì) - Supply Chain Failure Response - Ứng phó với Sự cố trong Chuỗi cung ứng</t>
        </is>
      </c>
      <c r="E1133" s="94" t="inlineStr">
        <is>
          <t>284. 供应链故障应对 (Gōngyìngliàn Gùzhàng Yìngduì) - Supply Chain Failure Response - Ứng phó với Sự cố trong Chuỗi cung ứng</t>
        </is>
      </c>
      <c r="F1133" s="115">
        <f>HYPERLINK("https://youglish.com/pronounce/供应链故障应对/chinese","🔍")</f>
        <v/>
      </c>
    </row>
    <row r="1134" ht="28.5" customHeight="1" s="99">
      <c r="A1134" s="92" t="inlineStr">
        <is>
          <t>PDF_Tiếng trung Full BỘ BCT.pdf</t>
        </is>
      </c>
      <c r="B1134" s="93" t="inlineStr">
        <is>
          <t>285</t>
        </is>
      </c>
      <c r="C1134" s="92" t="inlineStr">
        <is>
          <t>生产过程优化</t>
        </is>
      </c>
      <c r="D1134" s="92" t="inlineStr">
        <is>
          <t>Shēngchǎn Guòchéng Yōuhuà) - Production Process Optimization - Tối ưu hóa Quy trình Sản xuất</t>
        </is>
      </c>
      <c r="E1134" s="92" t="inlineStr">
        <is>
          <t>285. 生产过程优化 (Shēngchǎn Guòchéng Yōuhuà) - Production Process Optimization - Tối ưu hóa Quy trình Sản xuất</t>
        </is>
      </c>
      <c r="F1134" s="114">
        <f>HYPERLINK("https://youglish.com/pronounce/生产过程优化/chinese","🔍")</f>
        <v/>
      </c>
    </row>
    <row r="1135" ht="28.5" customHeight="1" s="99">
      <c r="A1135" s="94" t="inlineStr">
        <is>
          <t>PDF_Tiếng trung Full BỘ BCT.pdf</t>
        </is>
      </c>
      <c r="B1135" s="95" t="inlineStr">
        <is>
          <t>286</t>
        </is>
      </c>
      <c r="C1135" s="94" t="inlineStr">
        <is>
          <t>货物分拨中心</t>
        </is>
      </c>
      <c r="D1135" s="94" t="inlineStr">
        <is>
          <t>Huòwù Fēnbō Zhōngxīn) - Cargo Distribution Center - Trung tâm Phân phối Hàng hóa</t>
        </is>
      </c>
      <c r="E1135" s="94" t="inlineStr">
        <is>
          <t>286. 货物分拨中心 (Huòwù Fēnbō Zhōngxīn) - Cargo Distribution Center - Trung tâm Phân phối Hàng hóa</t>
        </is>
      </c>
      <c r="F1135" s="115">
        <f>HYPERLINK("https://youglish.com/pronounce/货物分拨中心/chinese","🔍")</f>
        <v/>
      </c>
    </row>
    <row r="1136" ht="28.5" customHeight="1" s="99">
      <c r="A1136" s="92" t="inlineStr">
        <is>
          <t>PDF_Tiếng trung Full BỘ BCT.pdf</t>
        </is>
      </c>
      <c r="B1136" s="93" t="inlineStr">
        <is>
          <t>287</t>
        </is>
      </c>
      <c r="C1136" s="92" t="inlineStr">
        <is>
          <t>物料供应链协同</t>
        </is>
      </c>
      <c r="D1136" s="92" t="inlineStr">
        <is>
          <t>Wùliào Gōngyìngliàn Xiétóng) - Material Supply Chain Collaboration - Hợp tác trong Chuỗi cung ứng Vật liệu</t>
        </is>
      </c>
      <c r="E1136" s="92" t="inlineStr">
        <is>
          <t>287. 物料供应链协同 (Wùliào Gōngyìngliàn Xiétóng) - Material Supply Chain Collaboration - Hợp tác trong Chuỗi cung ứng Vật liệu</t>
        </is>
      </c>
      <c r="F1136" s="114">
        <f>HYPERLINK("https://youglish.com/pronounce/物料供应链协同/chinese","🔍")</f>
        <v/>
      </c>
    </row>
    <row r="1137" ht="28.5" customHeight="1" s="99">
      <c r="A1137" s="94" t="inlineStr">
        <is>
          <t>PDF_Tiếng trung Full BỘ BCT.pdf</t>
        </is>
      </c>
      <c r="B1137" s="95" t="inlineStr">
        <is>
          <t>288</t>
        </is>
      </c>
      <c r="C1137" s="94" t="inlineStr">
        <is>
          <t>供应商业绩评估</t>
        </is>
      </c>
      <c r="D1137" s="94" t="inlineStr">
        <is>
          <t>Gōngyìngshāng Yèjì Pínggū) - Vendor Performance Evaluation - Đánh giá Hiệu suất của Nhà cung cấp</t>
        </is>
      </c>
      <c r="E1137" s="94" t="inlineStr">
        <is>
          <t>288. 供应商业绩评估 (Gōngyìngshāng Yèjì Pínggū) - Vendor Performance Evaluation - Đánh giá Hiệu suất của Nhà cung cấp</t>
        </is>
      </c>
      <c r="F1137" s="115">
        <f>HYPERLINK("https://youglish.com/pronounce/供应商业绩评估/chinese","🔍")</f>
        <v/>
      </c>
    </row>
    <row r="1138" ht="28.5" customHeight="1" s="99">
      <c r="A1138" s="92" t="inlineStr">
        <is>
          <t>PDF_Tiếng trung Full BỘ BCT.pdf</t>
        </is>
      </c>
      <c r="B1138" s="93" t="inlineStr">
        <is>
          <t>289</t>
        </is>
      </c>
      <c r="C1138" s="92" t="inlineStr">
        <is>
          <t>生产计划执行</t>
        </is>
      </c>
      <c r="D1138" s="92" t="inlineStr">
        <is>
          <t>Shēngchǎn Jìhuà Zhíxíng) - Execution of Production Plans - Thực hiện Kế hoạch Sản xuất</t>
        </is>
      </c>
      <c r="E1138" s="92" t="inlineStr">
        <is>
          <t>289. 生产计划执行 (Shēngchǎn Jìhuà Zhíxíng) - Execution of Production Plans - Thực hiện Kế hoạch Sản xuất</t>
        </is>
      </c>
      <c r="F1138" s="114">
        <f>HYPERLINK("https://youglish.com/pronounce/生产计划执行/chinese","🔍")</f>
        <v/>
      </c>
    </row>
    <row r="1139" ht="28.5" customHeight="1" s="99">
      <c r="A1139" s="94" t="inlineStr">
        <is>
          <t>PDF_Tiếng trung Full BỘ BCT.pdf</t>
        </is>
      </c>
      <c r="B1139" s="95" t="inlineStr">
        <is>
          <t>290</t>
        </is>
      </c>
      <c r="C1139" s="94" t="inlineStr">
        <is>
          <t>需求满足速度</t>
        </is>
      </c>
      <c r="D1139" s="94" t="inlineStr">
        <is>
          <t>Xūqiú Mǎnzú Sùdù) - Demand Fulfillment Speed - Tốc độ Đáp ứng Nhu cầu</t>
        </is>
      </c>
      <c r="E1139" s="94" t="inlineStr">
        <is>
          <t>290. 需求满足速度 (Xūqiú Mǎnzú Sùdù) - Demand Fulfillment Speed - Tốc độ Đáp ứng Nhu cầu</t>
        </is>
      </c>
      <c r="F1139" s="115">
        <f>HYPERLINK("https://youglish.com/pronounce/需求满足速度/chinese","🔍")</f>
        <v/>
      </c>
    </row>
    <row r="1140" ht="28.5" customHeight="1" s="99">
      <c r="A1140" s="92" t="inlineStr">
        <is>
          <t>PDF_Tiếng trung Full BỘ BCT.pdf</t>
        </is>
      </c>
      <c r="B1140" s="93" t="inlineStr">
        <is>
          <t>291</t>
        </is>
      </c>
      <c r="C1140" s="92" t="inlineStr">
        <is>
          <t>货物跟踪系统</t>
        </is>
      </c>
      <c r="D1140" s="92" t="inlineStr">
        <is>
          <t>Huòwù Gēnzōng Xìtǒng) - Cargo Tracking System - Hệ thống Theo dõi Hàng hóa</t>
        </is>
      </c>
      <c r="E1140" s="92" t="inlineStr">
        <is>
          <t>291. 货物跟踪系统 (Huòwù Gēnzōng Xìtǒng) - Cargo Tracking System - Hệ thống Theo dõi Hàng hóa</t>
        </is>
      </c>
      <c r="F1140" s="114">
        <f>HYPERLINK("https://youglish.com/pronounce/货物跟踪系统/chinese","🔍")</f>
        <v/>
      </c>
    </row>
    <row r="1141" ht="28.5" customHeight="1" s="99">
      <c r="A1141" s="94" t="inlineStr">
        <is>
          <t>PDF_Tiếng trung Full BỘ BCT.pdf</t>
        </is>
      </c>
      <c r="B1141" s="95" t="inlineStr">
        <is>
          <t>292</t>
        </is>
      </c>
      <c r="C1141" s="94" t="inlineStr">
        <is>
          <t>供应商培训计划</t>
        </is>
      </c>
      <c r="D1141" s="94" t="inlineStr">
        <is>
          <t>Gōngyìngshāng Péixùn Jìhuà) - Vendor Training Program - Kế hoạch Đào tạo cho Nhà cung cấp</t>
        </is>
      </c>
      <c r="E1141" s="94" t="inlineStr">
        <is>
          <t>292. 供应商培训计划 (Gōngyìngshāng Péixùn Jìhuà) - Vendor Training Program - Kế hoạch Đào tạo cho Nhà cung cấp</t>
        </is>
      </c>
      <c r="F1141" s="115">
        <f>HYPERLINK("https://youglish.com/pronounce/供应商培训计划/chinese","🔍")</f>
        <v/>
      </c>
    </row>
    <row r="1142" ht="28.5" customHeight="1" s="99">
      <c r="A1142" s="92" t="inlineStr">
        <is>
          <t>PDF_Tiếng trung Full BỘ BCT.pdf</t>
        </is>
      </c>
      <c r="B1142" s="93" t="inlineStr">
        <is>
          <t>293</t>
        </is>
      </c>
      <c r="C1142" s="92" t="inlineStr">
        <is>
          <t>物流配送网络</t>
        </is>
      </c>
      <c r="D1142" s="92" t="inlineStr">
        <is>
          <t>Wùliú Pèisòng Wǎngluò) - Logistics Distribution Network - Mạng lưới Phân phối Logistics</t>
        </is>
      </c>
      <c r="E1142" s="92" t="inlineStr">
        <is>
          <t>293. 物流配送网络 (Wùliú Pèisòng Wǎngluò) - Logistics Distribution Network - Mạng lưới Phân phối Logistics</t>
        </is>
      </c>
      <c r="F1142" s="114">
        <f>HYPERLINK("https://youglish.com/pronounce/物流配送网络/chinese","🔍")</f>
        <v/>
      </c>
    </row>
    <row r="1143" ht="28.5" customHeight="1" s="99">
      <c r="A1143" s="94" t="inlineStr">
        <is>
          <t>PDF_Tiếng trung Full BỘ BCT.pdf</t>
        </is>
      </c>
      <c r="B1143" s="95" t="inlineStr">
        <is>
          <t>294</t>
        </is>
      </c>
      <c r="C1143" s="94" t="inlineStr">
        <is>
          <t>需求计划灵活</t>
        </is>
      </c>
      <c r="D1143" s="94" t="inlineStr">
        <is>
          <t>Xūqiú Jìhuà Línghuó) - Flexible Demand Planning - Kế hoạch Nhu cầu Linh hoạt</t>
        </is>
      </c>
      <c r="E1143" s="94" t="inlineStr">
        <is>
          <t>294. 需求计划灵活 (Xūqiú Jìhuà Línghuó) - Flexible Demand Planning - Kế hoạch Nhu cầu Linh hoạt</t>
        </is>
      </c>
      <c r="F1143" s="115">
        <f>HYPERLINK("https://youglish.com/pronounce/需求计划灵活/chinese","🔍")</f>
        <v/>
      </c>
    </row>
    <row r="1144" ht="28.5" customHeight="1" s="99">
      <c r="A1144" s="92" t="inlineStr">
        <is>
          <t>PDF_Tiếng trung Full BỘ BCT.pdf</t>
        </is>
      </c>
      <c r="B1144" s="93" t="inlineStr">
        <is>
          <t>295</t>
        </is>
      </c>
      <c r="C1144" s="92" t="inlineStr">
        <is>
          <t>供应链数字化</t>
        </is>
      </c>
      <c r="D1144" s="92" t="inlineStr">
        <is>
          <t>Gōngyìngliàn Shùzìhuà) - Digitalization of the Supply Chain - Số hóa Chuỗi cung ứng</t>
        </is>
      </c>
      <c r="E1144" s="92" t="inlineStr">
        <is>
          <t>295. 供应链数字化 (Gōngyìngliàn Shùzìhuà) - Digitalization of the Supply Chain - Số hóa Chuỗi cung ứng</t>
        </is>
      </c>
      <c r="F1144" s="114">
        <f>HYPERLINK("https://youglish.com/pronounce/供应链数字化/chinese","🔍")</f>
        <v/>
      </c>
    </row>
    <row r="1145" ht="28.5" customHeight="1" s="99">
      <c r="A1145" s="94" t="inlineStr">
        <is>
          <t>PDF_Tiếng trung Full BỘ BCT.pdf</t>
        </is>
      </c>
      <c r="B1145" s="95" t="inlineStr">
        <is>
          <t>296</t>
        </is>
      </c>
      <c r="C1145" s="94" t="inlineStr">
        <is>
          <t>物料库存警报</t>
        </is>
      </c>
      <c r="D1145" s="94" t="inlineStr">
        <is>
          <t>Wùliào Kùcún Jǐngbào) - Material Inventory Alerts - Cảnh báo Tồn kho Vật liệu</t>
        </is>
      </c>
      <c r="E1145" s="94" t="inlineStr">
        <is>
          <t>296. 物料库存警报 (Wùliào Kùcún Jǐngbào) - Material Inventory Alerts - Cảnh báo Tồn kho Vật liệu</t>
        </is>
      </c>
      <c r="F1145" s="115">
        <f>HYPERLINK("https://youglish.com/pronounce/物料库存警报/chinese","🔍")</f>
        <v/>
      </c>
    </row>
    <row r="1146" ht="42.75" customHeight="1" s="99">
      <c r="A1146" s="92" t="inlineStr">
        <is>
          <t>PDF_Tiếng trung Full BỘ BCT.pdf</t>
        </is>
      </c>
      <c r="B1146" s="93" t="inlineStr">
        <is>
          <t>297</t>
        </is>
      </c>
      <c r="C1146" s="92" t="inlineStr">
        <is>
          <t>生产线持续改进</t>
        </is>
      </c>
      <c r="D1146" s="92" t="inlineStr">
        <is>
          <t>Shēngchǎn Xiàn Chíxù Gǎishàn) - Continuous Improvement in Production Lines - Cải thiện liên tục trong Dây chuyền Sản xuất</t>
        </is>
      </c>
      <c r="E1146" s="92" t="inlineStr">
        <is>
          <t>297. 生产线持续改进 (Shēngchǎn Xiàn Chíxù Gǎishàn) - Continuous Improvement in Production Lines - Cải thiện liên tục trong Dây chuyền Sản xuất</t>
        </is>
      </c>
      <c r="F1146" s="114">
        <f>HYPERLINK("https://youglish.com/pronounce/生产线持续改进/chinese","🔍")</f>
        <v/>
      </c>
    </row>
    <row r="1147" ht="28.5" customHeight="1" s="99">
      <c r="A1147" s="94" t="inlineStr">
        <is>
          <t>PDF_Tiếng trung Full BỘ BCT.pdf</t>
        </is>
      </c>
      <c r="B1147" s="95" t="inlineStr">
        <is>
          <t>298</t>
        </is>
      </c>
      <c r="C1147" s="94" t="inlineStr">
        <is>
          <t>供应商合规性</t>
        </is>
      </c>
      <c r="D1147" s="94" t="inlineStr">
        <is>
          <t>Gōngyìngshāng Héguīxìng) - Vendor Compliance - Tuân thủ của Nhà cung cấp</t>
        </is>
      </c>
      <c r="E1147" s="94" t="inlineStr">
        <is>
          <t>298. 供应商合规性 (Gōngyìngshāng Héguīxìng) - Vendor Compliance - Tuân thủ của Nhà cung cấp</t>
        </is>
      </c>
      <c r="F1147" s="115">
        <f>HYPERLINK("https://youglish.com/pronounce/供应商合规性/chinese","🔍")</f>
        <v/>
      </c>
    </row>
    <row r="1148" ht="28.5" customHeight="1" s="99">
      <c r="A1148" s="92" t="inlineStr">
        <is>
          <t>PDF_Tiếng trung Full BỘ BCT.pdf</t>
        </is>
      </c>
      <c r="B1148" s="93" t="inlineStr">
        <is>
          <t>299</t>
        </is>
      </c>
      <c r="C1148" s="92" t="inlineStr">
        <is>
          <t>物料库存周转率</t>
        </is>
      </c>
      <c r="D1148" s="92" t="inlineStr">
        <is>
          <t>Wùliào Kùcún Zhōuzuǎn Lǜ) - Material Inventory Turnover Rate - Tỷ lệ Quay vòng Tồn kho Vật liệu</t>
        </is>
      </c>
      <c r="E1148" s="92" t="inlineStr">
        <is>
          <t>299. 物料库存周转率 (Wùliào Kùcún Zhōuzuǎn Lǜ) - Material Inventory Turnover Rate - Tỷ lệ Quay vòng Tồn kho Vật liệu</t>
        </is>
      </c>
      <c r="F1148" s="114">
        <f>HYPERLINK("https://youglish.com/pronounce/物料库存周转率/chinese","🔍")</f>
        <v/>
      </c>
    </row>
    <row r="1149" ht="42.75" customHeight="1" s="99">
      <c r="A1149" s="94" t="inlineStr">
        <is>
          <t>PDF_Tiếng trung Full BỘ BCT.pdf</t>
        </is>
      </c>
      <c r="B1149" s="95" t="inlineStr">
        <is>
          <t>300</t>
        </is>
      </c>
      <c r="C1149" s="94" t="inlineStr">
        <is>
          <t>生产线停机原因分析</t>
        </is>
      </c>
      <c r="D1149" s="94" t="inlineStr">
        <is>
          <t>Shēngchǎn Xiàn Tíngjī Yuányīn Fēnxī) - Analysis of Production Line Downtime Causes - Phân tích Nguyên nhân Dừng máy Dây chuyền Sản xuất</t>
        </is>
      </c>
      <c r="E1149" s="94" t="inlineStr">
        <is>
          <t>300. 生产线停机原因分析 (Shēngchǎn Xiàn Tíngjī Yuányīn Fēnxī) - Analysis of Production Line Downtime Causes - Phân tích Nguyên nhân Dừng máy Dây chuyền Sản xuất</t>
        </is>
      </c>
      <c r="F1149" s="115">
        <f>HYPERLINK("https://youglish.com/pronounce/生产线停机原因分析/chinese","🔍")</f>
        <v/>
      </c>
    </row>
    <row r="1150" ht="28.5" customHeight="1" s="99">
      <c r="A1150" s="92" t="inlineStr">
        <is>
          <t>PDF_Tiếng trung Full BỘ BCT.pdf</t>
        </is>
      </c>
      <c r="B1150" s="93" t="inlineStr">
        <is>
          <t>301</t>
        </is>
      </c>
      <c r="C1150" s="92" t="inlineStr">
        <is>
          <t>供应链协同软件</t>
        </is>
      </c>
      <c r="D1150" s="92" t="inlineStr">
        <is>
          <t>Gōngyìngliàn Xiétiáo Ruǎnjiàn) - Supply Chain Collaboration Software - Phần mềm Hợp tác trong Chuỗi cung ứng</t>
        </is>
      </c>
      <c r="E1150" s="92" t="inlineStr">
        <is>
          <t>301. 供应链协同软件 (Gōngyìngliàn Xiétiáo Ruǎnjiàn) - Supply Chain Collaboration Software - Phần mềm Hợp tác trong Chuỗi cung ứng</t>
        </is>
      </c>
      <c r="F1150" s="114">
        <f>HYPERLINK("https://youglish.com/pronounce/供应链协同软件/chinese","🔍")</f>
        <v/>
      </c>
    </row>
    <row r="1151" ht="28.5" customHeight="1" s="99">
      <c r="A1151" s="94" t="inlineStr">
        <is>
          <t>PDF_Tiếng trung Full BỘ BCT.pdf</t>
        </is>
      </c>
      <c r="B1151" s="95" t="inlineStr">
        <is>
          <t>302</t>
        </is>
      </c>
      <c r="C1151" s="94" t="inlineStr">
        <is>
          <t>货物分拣效率</t>
        </is>
      </c>
      <c r="D1151" s="94" t="inlineStr">
        <is>
          <t>Huòwù Fēnjiǎn Xiàolǜ) - Cargo Sorting Efficiency - Hiệu suất Phân loại Hàng hóa</t>
        </is>
      </c>
      <c r="E1151" s="94" t="inlineStr">
        <is>
          <t>302. 货物分拣效率 (Huòwù Fēnjiǎn Xiàolǜ) - Cargo Sorting Efficiency - Hiệu suất Phân loại Hàng hóa</t>
        </is>
      </c>
      <c r="F1151" s="115">
        <f>HYPERLINK("https://youglish.com/pronounce/货物分拣效率/chinese","🔍")</f>
        <v/>
      </c>
    </row>
    <row r="1152" ht="28.5" customHeight="1" s="99">
      <c r="A1152" s="92" t="inlineStr">
        <is>
          <t>PDF_Tiếng trung Full BỘ BCT.pdf</t>
        </is>
      </c>
      <c r="B1152" s="93" t="inlineStr">
        <is>
          <t>303</t>
        </is>
      </c>
      <c r="C1152" s="92" t="inlineStr">
        <is>
          <t>需求管理系统</t>
        </is>
      </c>
      <c r="D1152" s="92" t="inlineStr">
        <is>
          <t>Xūqiú Guǎnlǐ Xìtǒng) - Demand Management System - Hệ thống Quản lý Nhu cầu</t>
        </is>
      </c>
      <c r="E1152" s="92" t="inlineStr">
        <is>
          <t>303. 需求管理系统 (Xūqiú Guǎnlǐ Xìtǒng) - Demand Management System - Hệ thống Quản lý Nhu cầu</t>
        </is>
      </c>
      <c r="F1152" s="114">
        <f>HYPERLINK("https://youglish.com/pronounce/需求管理系统/chinese","🔍")</f>
        <v/>
      </c>
    </row>
    <row r="1153" ht="28.5" customHeight="1" s="99">
      <c r="A1153" s="94" t="inlineStr">
        <is>
          <t>PDF_Tiếng trung Full BỘ BCT.pdf</t>
        </is>
      </c>
      <c r="B1153" s="95" t="inlineStr">
        <is>
          <t>304</t>
        </is>
      </c>
      <c r="C1153" s="94" t="inlineStr">
        <is>
          <t>供应商合同审查</t>
        </is>
      </c>
      <c r="D1153" s="94" t="inlineStr">
        <is>
          <t>Gōngyìngshāng Hétong Shěnchá) - Vendor Contract Review - Xem xét Hợp đồng của Nhà cung cấp</t>
        </is>
      </c>
      <c r="E1153" s="94" t="inlineStr">
        <is>
          <t>304. 供应商合同审查 (Gōngyìngshāng Hétong Shěnchá) - Vendor Contract Review - Xem xét Hợp đồng của Nhà cung cấp</t>
        </is>
      </c>
      <c r="F1153" s="115">
        <f>HYPERLINK("https://youglish.com/pronounce/供应商合同审查/chinese","🔍")</f>
        <v/>
      </c>
    </row>
    <row r="1154" ht="28.5" customHeight="1" s="99">
      <c r="A1154" s="92" t="inlineStr">
        <is>
          <t>PDF_Tiếng trung Full BỘ BCT.pdf</t>
        </is>
      </c>
      <c r="B1154" s="93" t="inlineStr">
        <is>
          <t>305</t>
        </is>
      </c>
      <c r="C1154" s="92" t="inlineStr">
        <is>
          <t>生产线故障排除</t>
        </is>
      </c>
      <c r="D1154" s="92" t="inlineStr">
        <is>
          <t>Shēngchǎn Xiàn Gùzhàng Páichú) - Production Line Troubleshooting - Khắc phục sự cố Dây chuyền Sản xuất</t>
        </is>
      </c>
      <c r="E1154" s="92" t="inlineStr">
        <is>
          <t>305. 生产线故障排除 (Shēngchǎn Xiàn Gùzhàng Páichú) - Production Line Troubleshooting - Khắc phục sự cố Dây chuyền Sản xuất</t>
        </is>
      </c>
      <c r="F1154" s="114">
        <f>HYPERLINK("https://youglish.com/pronounce/生产线故障排除/chinese","🔍")</f>
        <v/>
      </c>
    </row>
    <row r="1155" ht="28.5" customHeight="1" s="99">
      <c r="A1155" s="94" t="inlineStr">
        <is>
          <t>PDF_Tiếng trung Full BỘ BCT.pdf</t>
        </is>
      </c>
      <c r="B1155" s="95" t="inlineStr">
        <is>
          <t>306</t>
        </is>
      </c>
      <c r="C1155" s="94" t="inlineStr">
        <is>
          <t>供应链可追踪技术</t>
        </is>
      </c>
      <c r="D1155" s="94" t="inlineStr">
        <is>
          <t>Gōngyìngliàn Kě Zhuīzōng Jìshù) - Supply Chain Traceability Technology - Công nghệ Theo dõi trong Chuỗi cung ứng</t>
        </is>
      </c>
      <c r="E1155" s="94" t="inlineStr">
        <is>
          <t>306. 供应链可追踪技术 (Gōngyìngliàn Kě Zhuīzōng Jìshù) - Supply Chain Traceability Technology - Công nghệ Theo dõi trong Chuỗi cung ứng</t>
        </is>
      </c>
      <c r="F1155" s="115">
        <f>HYPERLINK("https://youglish.com/pronounce/供应链可追踪技术/chinese","🔍")</f>
        <v/>
      </c>
    </row>
    <row r="1156" ht="28.5" customHeight="1" s="99">
      <c r="A1156" s="92" t="inlineStr">
        <is>
          <t>PDF_Tiếng trung Full BỘ BCT.pdf</t>
        </is>
      </c>
      <c r="B1156" s="93" t="inlineStr">
        <is>
          <t>307</t>
        </is>
      </c>
      <c r="C1156" s="92" t="inlineStr">
        <is>
          <t>货物装卸流程</t>
        </is>
      </c>
      <c r="D1156" s="92" t="inlineStr">
        <is>
          <t>Huòwù Zhuāngxiè Liúchéng) - Cargo Loading and Unloading Process - Quy trình Nạp và Dỡ Hàng hóa</t>
        </is>
      </c>
      <c r="E1156" s="92" t="inlineStr">
        <is>
          <t>307. 货物装卸流程 (Huòwù Zhuāngxiè Liúchéng) - Cargo Loading and Unloading Process - Quy trình Nạp và Dỡ Hàng hóa</t>
        </is>
      </c>
      <c r="F1156" s="114">
        <f>HYPERLINK("https://youglish.com/pronounce/货物装卸流程/chinese","🔍")</f>
        <v/>
      </c>
    </row>
    <row r="1157" ht="28.5" customHeight="1" s="99">
      <c r="A1157" s="94" t="inlineStr">
        <is>
          <t>PDF_Tiếng trung Full BỘ BCT.pdf</t>
        </is>
      </c>
      <c r="B1157" s="95" t="inlineStr">
        <is>
          <t>308</t>
        </is>
      </c>
      <c r="C1157" s="94" t="inlineStr">
        <is>
          <t>物料需求计划调整</t>
        </is>
      </c>
      <c r="D1157" s="94" t="inlineStr">
        <is>
          <t>Wùliào Xūqiú Jìhuà Tiáozhěng) - Adjustment of Material Demand Planning - Điều chỉnh Kế hoạch Nhu cầu Vật liệu</t>
        </is>
      </c>
      <c r="E1157" s="94" t="inlineStr">
        <is>
          <t>308. 物料需求计划调整 (Wùliào Xūqiú Jìhuà Tiáozhěng) - Adjustment of Material Demand Planning - Điều chỉnh Kế hoạch Nhu cầu Vật liệu</t>
        </is>
      </c>
      <c r="F1157" s="115">
        <f>HYPERLINK("https://youglish.com/pronounce/物料需求计划调整/chinese","🔍")</f>
        <v/>
      </c>
    </row>
    <row r="1158" ht="28.5" customHeight="1" s="99">
      <c r="A1158" s="92" t="inlineStr">
        <is>
          <t>PDF_Tiếng trung Full BỘ BCT.pdf</t>
        </is>
      </c>
      <c r="B1158" s="93" t="inlineStr">
        <is>
          <t>309</t>
        </is>
      </c>
      <c r="C1158" s="92" t="inlineStr">
        <is>
          <t>生产效率报告</t>
        </is>
      </c>
      <c r="D1158" s="92" t="inlineStr">
        <is>
          <t>Shēngchǎn Xiàolǜ Bàogào) - Production Efficiency Report - Báo cáo Hiệu suất Sản xuất</t>
        </is>
      </c>
      <c r="E1158" s="92" t="inlineStr">
        <is>
          <t>309. 生产效率报告 (Shēngchǎn Xiàolǜ Bàogào) - Production Efficiency Report - Báo cáo Hiệu suất Sản xuất</t>
        </is>
      </c>
      <c r="F1158" s="114">
        <f>HYPERLINK("https://youglish.com/pronounce/生产效率报告/chinese","🔍")</f>
        <v/>
      </c>
    </row>
    <row r="1159" ht="28.5" customHeight="1" s="99">
      <c r="A1159" s="94" t="inlineStr">
        <is>
          <t>PDF_Tiếng trung Full BỘ BCT.pdf</t>
        </is>
      </c>
      <c r="B1159" s="95" t="inlineStr">
        <is>
          <t>310</t>
        </is>
      </c>
      <c r="C1159" s="94" t="inlineStr">
        <is>
          <t>供应商评估工具</t>
        </is>
      </c>
      <c r="D1159" s="94" t="inlineStr">
        <is>
          <t>Gōngyìngshāng Pínggū Gōngjù) - Vendor Assessment Tools - Công cụ Đánh giá Nhà cung cấp</t>
        </is>
      </c>
      <c r="E1159" s="94" t="inlineStr">
        <is>
          <t>310. 供应商评估工具 (Gōngyìngshāng Pínggū Gōngjù) - Vendor Assessment Tools - Công cụ Đánh giá Nhà cung cấp</t>
        </is>
      </c>
      <c r="F1159" s="115">
        <f>HYPERLINK("https://youglish.com/pronounce/供应商评估工具/chinese","🔍")</f>
        <v/>
      </c>
    </row>
    <row r="1160" ht="28.5" customHeight="1" s="99">
      <c r="A1160" s="92" t="inlineStr">
        <is>
          <t>PDF_Tiếng trung Full BỘ BCT.pdf</t>
        </is>
      </c>
      <c r="B1160" s="93" t="inlineStr">
        <is>
          <t>311</t>
        </is>
      </c>
      <c r="C1160" s="92" t="inlineStr">
        <is>
          <t>货物追踪精度</t>
        </is>
      </c>
      <c r="D1160" s="92" t="inlineStr">
        <is>
          <t>Huòwù Zhuīzōng Jīngdù) - Cargo Tracking Accuracy - Độ chính xác Theo dõi Hàng hóa</t>
        </is>
      </c>
      <c r="E1160" s="92" t="inlineStr">
        <is>
          <t>311. 货物追踪精度 (Huòwù Zhuīzōng Jīngdù) - Cargo Tracking Accuracy - Độ chính xác Theo dõi Hàng hóa</t>
        </is>
      </c>
      <c r="F1160" s="114">
        <f>HYPERLINK("https://youglish.com/pronounce/货物追踪精度/chinese","🔍")</f>
        <v/>
      </c>
    </row>
    <row r="1161" ht="28.5" customHeight="1" s="99">
      <c r="A1161" s="94" t="inlineStr">
        <is>
          <t>PDF_Tiếng trung Full BỘ BCT.pdf</t>
        </is>
      </c>
      <c r="B1161" s="95" t="inlineStr">
        <is>
          <t>312</t>
        </is>
      </c>
      <c r="C1161" s="94" t="inlineStr">
        <is>
          <t>供应链协调平台</t>
        </is>
      </c>
      <c r="D1161" s="94" t="inlineStr">
        <is>
          <t>Gōngyìngliàn Xiétiáo Píngtái) - Supply Chain Coordination Platform - Nền tảng Điều phối trong Chuỗi cung ứng</t>
        </is>
      </c>
      <c r="E1161" s="94" t="inlineStr">
        <is>
          <t>312. 供应链协调平台 (Gōngyìngliàn Xiétiáo Píngtái) - Supply Chain Coordination Platform - Nền tảng Điều phối trong Chuỗi cung ứng</t>
        </is>
      </c>
      <c r="F1161" s="115">
        <f>HYPERLINK("https://youglish.com/pronounce/供应链协调平台/chinese","🔍")</f>
        <v/>
      </c>
    </row>
    <row r="1162" ht="28.5" customHeight="1" s="99">
      <c r="A1162" s="92" t="inlineStr">
        <is>
          <t>PDF_Tiếng trung Full BỘ BCT.pdf</t>
        </is>
      </c>
      <c r="B1162" s="93" t="inlineStr">
        <is>
          <t>313</t>
        </is>
      </c>
      <c r="C1162" s="92" t="inlineStr">
        <is>
          <t>生产设备维护计划</t>
        </is>
      </c>
      <c r="D1162" s="92" t="inlineStr">
        <is>
          <t>Shēngchǎn Shèbèi Wéihù Jìhuà) - Production Equipment Maintenance Plan - Kế hoạch Bảo dưỡng Thiết bị Sản xuất</t>
        </is>
      </c>
      <c r="E1162" s="92" t="inlineStr">
        <is>
          <t>313. 生产设备维护计划 (Shēngchǎn Shèbèi Wéihù Jìhuà) - Production Equipment Maintenance Plan - Kế hoạch Bảo dưỡng Thiết bị Sản xuất</t>
        </is>
      </c>
      <c r="F1162" s="114">
        <f>HYPERLINK("https://youglish.com/pronounce/生产设备维护计划/chinese","🔍")</f>
        <v/>
      </c>
    </row>
    <row r="1163" ht="28.5" customHeight="1" s="99">
      <c r="A1163" s="94" t="inlineStr">
        <is>
          <t>PDF_Tiếng trung Full BỘ BCT.pdf</t>
        </is>
      </c>
      <c r="B1163" s="95" t="inlineStr">
        <is>
          <t>314</t>
        </is>
      </c>
      <c r="C1163" s="94" t="inlineStr">
        <is>
          <t>供应商创新合作</t>
        </is>
      </c>
      <c r="D1163" s="94" t="inlineStr">
        <is>
          <t>Gōngyìngshāng Chuàngxīn Hézuò) - Vendor Innovation Collaboration - Hợp tác Đổi mới của Nhà cung cấp</t>
        </is>
      </c>
      <c r="E1163" s="94" t="inlineStr">
        <is>
          <t>314. 供应商创新合作 (Gōngyìngshāng Chuàngxīn Hézuò) - Vendor Innovation Collaboration - Hợp tác Đổi mới của Nhà cung cấp</t>
        </is>
      </c>
      <c r="F1163" s="115">
        <f>HYPERLINK("https://youglish.com/pronounce/供应商创新合作/chinese","🔍")</f>
        <v/>
      </c>
    </row>
    <row r="1164" ht="42.75" customHeight="1" s="99">
      <c r="A1164" s="92" t="inlineStr">
        <is>
          <t>PDF_Tiếng trung Full BỘ BCT.pdf</t>
        </is>
      </c>
      <c r="B1164" s="93" t="inlineStr">
        <is>
          <t>315</t>
        </is>
      </c>
      <c r="C1164" s="92" t="inlineStr">
        <is>
          <t>物料库存最佳实践</t>
        </is>
      </c>
      <c r="D1164" s="92" t="inlineStr">
        <is>
          <t>Wùliào Kùcún Zuìjiā Shíjiàn) - Best Practices in Material Inventory Management - Thực hành Tốt nhất trong Quản lý Tồn kho Vật liệu</t>
        </is>
      </c>
      <c r="E1164" s="92" t="inlineStr">
        <is>
          <t>315. 物料库存最佳实践 (Wùliào Kùcún Zuìjiā Shíjiàn) - Best Practices in Material Inventory Management - Thực hành Tốt nhất trong Quản lý Tồn kho Vật liệu</t>
        </is>
      </c>
      <c r="F1164" s="114">
        <f>HYPERLINK("https://youglish.com/pronounce/物料库存最佳实践/chinese","🔍")</f>
        <v/>
      </c>
    </row>
    <row r="1165" ht="42.75" customHeight="1" s="99">
      <c r="A1165" s="94" t="inlineStr">
        <is>
          <t>PDF_Tiếng trung Full BỘ BCT.pdf</t>
        </is>
      </c>
      <c r="B1165" s="95" t="inlineStr">
        <is>
          <t>316</t>
        </is>
      </c>
      <c r="C1165" s="94" t="inlineStr">
        <is>
          <t>生产计划执行效果评估</t>
        </is>
      </c>
      <c r="D1165" s="94" t="inlineStr">
        <is>
          <t>Shēngchǎn Jìhuà Zhíxíng Xiàoguǒ Pínggū) - Evaluation of Production Planning Execution Results - Đánh giá Kết quả Thực hiện Kế hoạch Sản xuất</t>
        </is>
      </c>
      <c r="E1165" s="94" t="inlineStr">
        <is>
          <t>316. 生产计划执行效果评估 (Shēngchǎn Jìhuà Zhíxíng Xiàoguǒ Pínggū) - Evaluation of Production Planning Execution Results - Đánh giá Kết quả Thực hiện Kế hoạch Sản xuất</t>
        </is>
      </c>
      <c r="F1165" s="115">
        <f>HYPERLINK("https://youglish.com/pronounce/生产计划执行效果评估/chinese","🔍")</f>
        <v/>
      </c>
    </row>
    <row r="1166" ht="42.75" customHeight="1" s="99">
      <c r="A1166" s="92" t="inlineStr">
        <is>
          <t>PDF_Tiếng trung Full BỘ BCT.pdf</t>
        </is>
      </c>
      <c r="B1166" s="93" t="inlineStr">
        <is>
          <t>317</t>
        </is>
      </c>
      <c r="C1166" s="92" t="inlineStr">
        <is>
          <t>货物装卸流程优化</t>
        </is>
      </c>
      <c r="D1166" s="92" t="inlineStr">
        <is>
          <t>Huòwù Zhuāngxiè Liúchéng Yōuhuà) - Optimization of Cargo Loading and Unloading Processes - Tối ưu hóa Quy trình Nạp và Dỡ Hàng hóa</t>
        </is>
      </c>
      <c r="E1166" s="92" t="inlineStr">
        <is>
          <t>317. 货物装卸流程优化 (Huòwù Zhuāngxiè Liúchéng Yōuhuà) - Optimization of Cargo Loading and Unloading Processes - Tối ưu hóa Quy trình Nạp và Dỡ Hàng hóa</t>
        </is>
      </c>
      <c r="F1166" s="114">
        <f>HYPERLINK("https://youglish.com/pronounce/货物装卸流程优化/chinese","🔍")</f>
        <v/>
      </c>
    </row>
    <row r="1167" ht="42.75" customHeight="1" s="99">
      <c r="A1167" s="94" t="inlineStr">
        <is>
          <t>PDF_Tiếng trung Full BỘ BCT.pdf</t>
        </is>
      </c>
      <c r="B1167" s="95" t="inlineStr">
        <is>
          <t>318</t>
        </is>
      </c>
      <c r="C1167" s="94" t="inlineStr">
        <is>
          <t>供应商合同履行监控</t>
        </is>
      </c>
      <c r="D1167" s="94" t="inlineStr">
        <is>
          <t>Gōngyìngshāng Hétong Lǚxíng Jiānkòng) - Monitoring of Vendor Contract Compliance - Giám sát Tuân thủ Hợp đồng của Nhà cung cấp</t>
        </is>
      </c>
      <c r="E1167" s="94" t="inlineStr">
        <is>
          <t>318. 供应商合同履行监控 (Gōngyìngshāng Hétong Lǚxíng Jiānkòng) - Monitoring of Vendor Contract Compliance - Giám sát Tuân thủ Hợp đồng của Nhà cung cấp</t>
        </is>
      </c>
      <c r="F1167" s="115">
        <f>HYPERLINK("https://youglish.com/pronounce/供应商合同履行监控/chinese","🔍")</f>
        <v/>
      </c>
    </row>
    <row r="1168" ht="28.5" customHeight="1" s="99">
      <c r="A1168" s="92" t="inlineStr">
        <is>
          <t>PDF_Tiếng trung Full BỘ BCT.pdf</t>
        </is>
      </c>
      <c r="B1168" s="93" t="inlineStr">
        <is>
          <t>319</t>
        </is>
      </c>
      <c r="C1168" s="92" t="inlineStr">
        <is>
          <t>物流信息系统</t>
        </is>
      </c>
      <c r="D1168" s="92" t="inlineStr">
        <is>
          <t>Wùliú Xìnxī Xìtǒng) - Logistics Information System - Hệ thống Thông tin Logistics</t>
        </is>
      </c>
      <c r="E1168" s="92" t="inlineStr">
        <is>
          <t>319. 物流信息系统 (Wùliú Xìnxī Xìtǒng) - Logistics Information System - Hệ thống Thông tin Logistics</t>
        </is>
      </c>
      <c r="F1168" s="114">
        <f>HYPERLINK("https://youglish.com/pronounce/物流信息系统/chinese","🔍")</f>
        <v/>
      </c>
    </row>
    <row r="1169" ht="28.5" customHeight="1" s="99">
      <c r="A1169" s="94" t="inlineStr">
        <is>
          <t>PDF_Tiếng trung Full BỘ BCT.pdf</t>
        </is>
      </c>
      <c r="B1169" s="95" t="inlineStr">
        <is>
          <t>320</t>
        </is>
      </c>
      <c r="C1169" s="94" t="inlineStr">
        <is>
          <t>需求管理平台</t>
        </is>
      </c>
      <c r="D1169" s="94" t="inlineStr">
        <is>
          <t>Xūqiú Guǎnlǐ Píngtái) - Demand Management Platform - Nền tảng Quản lý Nhu cầu</t>
        </is>
      </c>
      <c r="E1169" s="94" t="inlineStr">
        <is>
          <t>320. 需求管理平台 (Xūqiú Guǎnlǐ Píngtái) - Demand Management Platform - Nền tảng Quản lý Nhu cầu</t>
        </is>
      </c>
      <c r="F1169" s="115">
        <f>HYPERLINK("https://youglish.com/pronounce/需求管理平台/chinese","🔍")</f>
        <v/>
      </c>
    </row>
    <row r="1170" ht="28.5" customHeight="1" s="99">
      <c r="A1170" s="92" t="inlineStr">
        <is>
          <t>PDF_Tiếng trung Full BỘ BCT.pdf</t>
        </is>
      </c>
      <c r="B1170" s="93" t="inlineStr">
        <is>
          <t>321</t>
        </is>
      </c>
      <c r="C1170" s="92" t="inlineStr">
        <is>
          <t>供应链协同流程</t>
        </is>
      </c>
      <c r="D1170" s="92" t="inlineStr">
        <is>
          <t>Gōngyìngliàn Xiétiáo Liúchéng) - Supply Chain Collaboration Processes - Quy trình Hợp tác trong Chuỗi cung ứng</t>
        </is>
      </c>
      <c r="E1170" s="92" t="inlineStr">
        <is>
          <t>321. 供应链协同流程 (Gōngyìngliàn Xiétiáo Liúchéng) - Supply Chain Collaboration Processes - Quy trình Hợp tác trong Chuỗi cung ứng</t>
        </is>
      </c>
      <c r="F1170" s="114">
        <f>HYPERLINK("https://youglish.com/pronounce/供应链协同流程/chinese","🔍")</f>
        <v/>
      </c>
    </row>
    <row r="1171" ht="42.75" customHeight="1" s="99">
      <c r="A1171" s="94" t="inlineStr">
        <is>
          <t>PDF_Tiếng trung Full BỘ BCT.pdf</t>
        </is>
      </c>
      <c r="B1171" s="95" t="inlineStr">
        <is>
          <t>322</t>
        </is>
      </c>
      <c r="C1171" s="94" t="inlineStr">
        <is>
          <t>生产线质量保证</t>
        </is>
      </c>
      <c r="D1171" s="94" t="inlineStr">
        <is>
          <t>Shēngchǎn Xiàn Zhìliàng Bǎozhèng) - Quality Assurance in Production Lines - Bảo đảm Chất lượng trên Dây chuyền Sản xuất</t>
        </is>
      </c>
      <c r="E1171" s="94" t="inlineStr">
        <is>
          <t>322. 生产线质量保证 (Shēngchǎn Xiàn Zhìliàng Bǎozhèng) - Quality Assurance in Production Lines - Bảo đảm Chất lượng trên Dây chuyền Sản xuất</t>
        </is>
      </c>
      <c r="F1171" s="115">
        <f>HYPERLINK("https://youglish.com/pronounce/生产线质量保证/chinese","🔍")</f>
        <v/>
      </c>
    </row>
    <row r="1172" ht="28.5" customHeight="1" s="99">
      <c r="A1172" s="92" t="inlineStr">
        <is>
          <t>PDF_Tiếng trung Full BỘ BCT.pdf</t>
        </is>
      </c>
      <c r="B1172" s="93" t="inlineStr">
        <is>
          <t>323</t>
        </is>
      </c>
      <c r="C1172" s="92" t="inlineStr">
        <is>
          <t>货物储存环境</t>
        </is>
      </c>
      <c r="D1172" s="92" t="inlineStr">
        <is>
          <t>Huòwù Chǔcún Huánjìng) - Cargo Storage Environment - Môi trường Lưu trữ Hàng hóa</t>
        </is>
      </c>
      <c r="E1172" s="92" t="inlineStr">
        <is>
          <t>323. 货物储存环境 (Huòwù Chǔcún Huánjìng) - Cargo Storage Environment - Môi trường Lưu trữ Hàng hóa</t>
        </is>
      </c>
      <c r="F1172" s="114">
        <f>HYPERLINK("https://youglish.com/pronounce/货物储存环境/chinese","🔍")</f>
        <v/>
      </c>
    </row>
    <row r="1173" ht="42.75" customHeight="1" s="99">
      <c r="A1173" s="94" t="inlineStr">
        <is>
          <t>PDF_Tiếng trung Full BỘ BCT.pdf</t>
        </is>
      </c>
      <c r="B1173" s="95" t="inlineStr">
        <is>
          <t>324</t>
        </is>
      </c>
      <c r="C1173" s="94" t="inlineStr">
        <is>
          <t>物料供应链可追溯性</t>
        </is>
      </c>
      <c r="D1173" s="94" t="inlineStr">
        <is>
          <t>Wùliào Gōngyìngliàn Kě Zhuīsù Xìng) - Material Supply Chain Traceability - Khả năng Theo dõi trong Chuỗi cung ứng Vật liệu</t>
        </is>
      </c>
      <c r="E1173" s="94" t="inlineStr">
        <is>
          <t>324. 物料供应链可追溯性 (Wùliào Gōngyìngliàn Kě Zhuīsù Xìng) - Material Supply Chain Traceability - Khả năng Theo dõi trong Chuỗi cung ứng Vật liệu</t>
        </is>
      </c>
      <c r="F1173" s="115">
        <f>HYPERLINK("https://youglish.com/pronounce/物料供应链可追溯性/chinese","🔍")</f>
        <v/>
      </c>
    </row>
    <row r="1174" ht="28.5" customHeight="1" s="99">
      <c r="A1174" s="92" t="inlineStr">
        <is>
          <t>PDF_Tiếng trung Full BỘ BCT.pdf</t>
        </is>
      </c>
      <c r="B1174" s="93" t="inlineStr">
        <is>
          <t>325</t>
        </is>
      </c>
      <c r="C1174" s="92" t="inlineStr">
        <is>
          <t>供应商合同变更</t>
        </is>
      </c>
      <c r="D1174" s="92" t="inlineStr">
        <is>
          <t>Gōngyìngshāng Hétong Biàngēng) - Vendor Contract Amendments - Sửa đổi Hợp đồng của Nhà cung cấp</t>
        </is>
      </c>
      <c r="E1174" s="92" t="inlineStr">
        <is>
          <t>325. 供应商合同变更 (Gōngyìngshāng Hétong Biàngēng) - Vendor Contract Amendments - Sửa đổi Hợp đồng của Nhà cung cấp</t>
        </is>
      </c>
      <c r="F1174" s="114">
        <f>HYPERLINK("https://youglish.com/pronounce/供应商合同变更/chinese","🔍")</f>
        <v/>
      </c>
    </row>
    <row r="1175" ht="42.75" customHeight="1" s="99">
      <c r="A1175" s="94" t="inlineStr">
        <is>
          <t>PDF_Tiếng trung Full BỘ BCT.pdf</t>
        </is>
      </c>
      <c r="B1175" s="95" t="inlineStr">
        <is>
          <t>326</t>
        </is>
      </c>
      <c r="C1175" s="94" t="inlineStr">
        <is>
          <t>生产线运行效率</t>
        </is>
      </c>
      <c r="D1175" s="94" t="inlineStr">
        <is>
          <t>Shēngchǎn Xiàn Yùnxíng Xiàolǜ) - Operating Efficiency of Production Lines - Hiệu suất Vận hành của Dây chuyền Sản xuất</t>
        </is>
      </c>
      <c r="E1175" s="94" t="inlineStr">
        <is>
          <t>326. 生产线运行效率 (Shēngchǎn Xiàn Yùnxíng Xiàolǜ) - Operating Efficiency of Production Lines - Hiệu suất Vận hành của Dây chuyền Sản xuất</t>
        </is>
      </c>
      <c r="F1175" s="115">
        <f>HYPERLINK("https://youglish.com/pronounce/生产线运行效率/chinese","🔍")</f>
        <v/>
      </c>
    </row>
    <row r="1176" ht="28.5" customHeight="1" s="99">
      <c r="A1176" s="92" t="inlineStr">
        <is>
          <t>PDF_Tiếng trung Full BỘ BCT.pdf</t>
        </is>
      </c>
      <c r="B1176" s="93" t="inlineStr">
        <is>
          <t>327</t>
        </is>
      </c>
      <c r="C1176" s="92" t="inlineStr">
        <is>
          <t>需求计划调整策略</t>
        </is>
      </c>
      <c r="D1176" s="92" t="inlineStr">
        <is>
          <t>Xūqiú Jìhuà Tiáozhěng Cèlüè) - Strategy for Adjusting Demand Planning - Chiến lược Điều chỉnh Kế hoạch Nhu cầu</t>
        </is>
      </c>
      <c r="E1176" s="92" t="inlineStr">
        <is>
          <t>327. 需求计划调整策略 (Xūqiú Jìhuà Tiáozhěng Cèlüè) - Strategy for Adjusting Demand Planning - Chiến lược Điều chỉnh Kế hoạch Nhu cầu</t>
        </is>
      </c>
      <c r="F1176" s="114">
        <f>HYPERLINK("https://youglish.com/pronounce/需求计划调整策略/chinese","🔍")</f>
        <v/>
      </c>
    </row>
    <row r="1177" ht="28.5" customHeight="1" s="99">
      <c r="A1177" s="94" t="inlineStr">
        <is>
          <t>PDF_Tiếng trung Full BỘ BCT.pdf</t>
        </is>
      </c>
      <c r="B1177" s="95" t="inlineStr">
        <is>
          <t>328</t>
        </is>
      </c>
      <c r="C1177" s="94" t="inlineStr">
        <is>
          <t>供应链优化咨询</t>
        </is>
      </c>
      <c r="D1177" s="94" t="inlineStr">
        <is>
          <t>Gōngyìngliàn Yōuhuà Zīxún) - Supply Chain Optimization Consultancy - Tư vấn Tối ưu hóa Chuỗi cung ứng</t>
        </is>
      </c>
      <c r="E1177" s="94" t="inlineStr">
        <is>
          <t>328. 供应链优化咨询 (Gōngyìngliàn Yōuhuà Zīxún) - Supply Chain Optimization Consultancy - Tư vấn Tối ưu hóa Chuỗi cung ứng</t>
        </is>
      </c>
      <c r="F1177" s="115">
        <f>HYPERLINK("https://youglish.com/pronounce/供应链优化咨询/chinese","🔍")</f>
        <v/>
      </c>
    </row>
    <row r="1178" ht="42.75" customHeight="1" s="99">
      <c r="A1178" s="92" t="inlineStr">
        <is>
          <t>PDF_Tiếng trung Full BỘ BCT.pdf</t>
        </is>
      </c>
      <c r="B1178" s="93" t="inlineStr">
        <is>
          <t>329</t>
        </is>
      </c>
      <c r="C1178" s="92" t="inlineStr">
        <is>
          <t>生产线人力资源规划</t>
        </is>
      </c>
      <c r="D1178" s="92" t="inlineStr">
        <is>
          <t>Shēngchǎn Xiàn Rénlì Zīyuán Guīhuà) - Human Resources Planning for Production Lines - Kế hoạch Nhân sự cho Dây chuyền Sản xuất</t>
        </is>
      </c>
      <c r="E1178" s="92" t="inlineStr">
        <is>
          <t>329. 生产线人力资源规划 (Shēngchǎn Xiàn Rénlì Zīyuán Guīhuà) - Human Resources Planning for Production Lines - Kế hoạch Nhân sự cho Dây chuyền Sản xuất</t>
        </is>
      </c>
      <c r="F1178" s="114">
        <f>HYPERLINK("https://youglish.com/pronounce/生产线人力资源规划/chinese","🔍")</f>
        <v/>
      </c>
    </row>
    <row r="1179" ht="28.5" customHeight="1" s="99">
      <c r="A1179" s="94" t="inlineStr">
        <is>
          <t>PDF_Tiếng trung Full BỘ BCT.pdf</t>
        </is>
      </c>
      <c r="B1179" s="95" t="inlineStr">
        <is>
          <t>330</t>
        </is>
      </c>
      <c r="C1179" s="94" t="inlineStr">
        <is>
          <t>供应商质量审核</t>
        </is>
      </c>
      <c r="D1179" s="94" t="inlineStr">
        <is>
          <t>Gōngyìngshāng Zhìliàng Shěnhé) - Vendor Quality Audits - Kiểm định Chất lượng của Nhà cung cấp</t>
        </is>
      </c>
      <c r="E1179" s="94" t="inlineStr">
        <is>
          <t>330. 供应商质量审核 (Gōngyìngshāng Zhìliàng Shěnhé) - Vendor Quality Audits - Kiểm định Chất lượng của Nhà cung cấp</t>
        </is>
      </c>
      <c r="F1179" s="115">
        <f>HYPERLINK("https://youglish.com/pronounce/供应商质量审核/chinese","🔍")</f>
        <v/>
      </c>
    </row>
    <row r="1180" ht="28.5" customHeight="1" s="99">
      <c r="A1180" s="92" t="inlineStr">
        <is>
          <t>PDF_Tiếng trung Full BỘ BCT.pdf</t>
        </is>
      </c>
      <c r="B1180" s="93" t="inlineStr">
        <is>
          <t>331</t>
        </is>
      </c>
      <c r="C1180" s="92" t="inlineStr">
        <is>
          <t>货物追踪技术平台</t>
        </is>
      </c>
      <c r="D1180" s="92" t="inlineStr">
        <is>
          <t>Huòwù Zhuīzōng Jìshù Píngtái) - Cargo Tracking Technology Platform - Nền tảng Công nghệ Theo dõi Hàng hóa</t>
        </is>
      </c>
      <c r="E1180" s="92" t="inlineStr">
        <is>
          <t>331. 货物追踪技术平台 (Huòwù Zhuīzōng Jìshù Píngtái) - Cargo Tracking Technology Platform - Nền tảng Công nghệ Theo dõi Hàng hóa</t>
        </is>
      </c>
      <c r="F1180" s="114">
        <f>HYPERLINK("https://youglish.com/pronounce/货物追踪技术平台/chinese","🔍")</f>
        <v/>
      </c>
    </row>
    <row r="1181" ht="42.75" customHeight="1" s="99">
      <c r="A1181" s="94" t="inlineStr">
        <is>
          <t>PDF_Tiếng trung Full BỘ BCT.pdf</t>
        </is>
      </c>
      <c r="B1181" s="95" t="inlineStr">
        <is>
          <t>332</t>
        </is>
      </c>
      <c r="C1181" s="94" t="inlineStr">
        <is>
          <t>物料供应链协作模式</t>
        </is>
      </c>
      <c r="D1181" s="94" t="inlineStr">
        <is>
          <t>Wùliào Gōngyìngliàn Xiézuò Móshì) - Material Supply Chain Collaboration Models - Các mô hình Hợp tác trong Chuỗi cung ứng Vật liệu</t>
        </is>
      </c>
      <c r="E1181" s="94" t="inlineStr">
        <is>
          <t>332. 物料供应链协作模式 (Wùliào Gōngyìngliàn Xiézuò Móshì) - Material Supply Chain Collaboration Models - Các mô hình Hợp tác trong Chuỗi cung ứng Vật liệu</t>
        </is>
      </c>
      <c r="F1181" s="115">
        <f>HYPERLINK("https://youglish.com/pronounce/物料供应链协作模式/chinese","🔍")</f>
        <v/>
      </c>
    </row>
    <row r="1182" ht="28.5" customHeight="1" s="99">
      <c r="A1182" s="92" t="inlineStr">
        <is>
          <t>PDF_Tiếng trung Full BỘ BCT.pdf</t>
        </is>
      </c>
      <c r="B1182" s="93" t="inlineStr">
        <is>
          <t>333</t>
        </is>
      </c>
      <c r="C1182" s="92" t="inlineStr">
        <is>
          <t>采购流程监控</t>
        </is>
      </c>
      <c r="D1182" s="92" t="inlineStr">
        <is>
          <t>Cǎigòu Liúchéng Jiānkòng) - Procurement Process Monitoring - Giám sát Quy trình Mua hàng</t>
        </is>
      </c>
      <c r="E1182" s="92" t="inlineStr">
        <is>
          <t>333. 采购流程监控 (Cǎigòu Liúchéng Jiānkòng) - Procurement Process Monitoring - Giám sát Quy trình Mua hàng</t>
        </is>
      </c>
      <c r="F1182" s="114">
        <f>HYPERLINK("https://youglish.com/pronounce/采购流程监控/chinese","🔍")</f>
        <v/>
      </c>
    </row>
    <row r="1183" ht="28.5" customHeight="1" s="99">
      <c r="A1183" s="94" t="inlineStr">
        <is>
          <t>PDF_Tiếng trung Full BỘ BCT.pdf</t>
        </is>
      </c>
      <c r="B1183" s="95" t="inlineStr">
        <is>
          <t>334</t>
        </is>
      </c>
      <c r="C1183" s="94" t="inlineStr">
        <is>
          <t>生产效能报告</t>
        </is>
      </c>
      <c r="D1183" s="94" t="inlineStr">
        <is>
          <t>Shēngchǎn Xiàolǜ Bàogào) - Production Efficiency Reports - Báo cáo Hiệu suất Sản xuất</t>
        </is>
      </c>
      <c r="E1183" s="94" t="inlineStr">
        <is>
          <t>334. 生产效能报告 (Shēngchǎn Xiàolǜ Bàogào) - Production Efficiency Reports - Báo cáo Hiệu suất Sản xuất</t>
        </is>
      </c>
      <c r="F1183" s="115">
        <f>HYPERLINK("https://youglish.com/pronounce/生产效能报告/chinese","🔍")</f>
        <v/>
      </c>
    </row>
    <row r="1184" ht="42.75" customHeight="1" s="99">
      <c r="A1184" s="92" t="inlineStr">
        <is>
          <t>PDF_Tiếng trung Full BỘ BCT.pdf</t>
        </is>
      </c>
      <c r="B1184" s="93" t="inlineStr">
        <is>
          <t>335</t>
        </is>
      </c>
      <c r="C1184" s="92" t="inlineStr">
        <is>
          <t>供应链可持续发展</t>
        </is>
      </c>
      <c r="D1184" s="92" t="inlineStr">
        <is>
          <t>Gōngyìngliàn Kěchíxù Fāzhǎn) - Sustainable Development in the Supply Chain - Phát triển Bền vững trong Chuỗi cung ứng</t>
        </is>
      </c>
      <c r="E1184" s="92" t="inlineStr">
        <is>
          <t>335. 供应链可持续发展 (Gōngyìngliàn Kěchíxù Fāzhǎn) - Sustainable Development in the Supply Chain - Phát triển Bền vững trong Chuỗi cung ứng</t>
        </is>
      </c>
      <c r="F1184" s="114">
        <f>HYPERLINK("https://youglish.com/pronounce/供应链可持续发展/chinese","🔍")</f>
        <v/>
      </c>
    </row>
    <row r="1185" ht="42.75" customHeight="1" s="99">
      <c r="A1185" s="94" t="inlineStr">
        <is>
          <t>PDF_Tiếng trung Full BỘ BCT.pdf</t>
        </is>
      </c>
      <c r="B1185" s="95" t="inlineStr">
        <is>
          <t>336</t>
        </is>
      </c>
      <c r="C1185" s="94" t="inlineStr">
        <is>
          <t>供应商培训计划优化</t>
        </is>
      </c>
      <c r="D1185" s="94" t="inlineStr">
        <is>
          <t>Gōngyìngshāng Péixùn Jìhuà Yōuhuà) - Optimization of Vendor Training Programs - Tối ưu hóa Kế hoạch Đào tạo cho Nhà cung cấp</t>
        </is>
      </c>
      <c r="E1185" s="94" t="inlineStr">
        <is>
          <t>336. 供应商培训计划优化 (Gōngyìngshāng Péixùn Jìhuà Yōuhuà) - Optimization of Vendor Training Programs - Tối ưu hóa Kế hoạch Đào tạo cho Nhà cung cấp</t>
        </is>
      </c>
      <c r="F1185" s="115">
        <f>HYPERLINK("https://youglish.com/pronounce/供应商培训计划优化/chinese","🔍")</f>
        <v/>
      </c>
    </row>
    <row r="1186" ht="28.5" customHeight="1" s="99">
      <c r="A1186" s="92" t="inlineStr">
        <is>
          <t>PDF_Tiếng trung Full BỘ BCT.pdf</t>
        </is>
      </c>
      <c r="B1186" s="93" t="inlineStr">
        <is>
          <t>337</t>
        </is>
      </c>
      <c r="C1186" s="92" t="inlineStr">
        <is>
          <t>物流网络可视化</t>
        </is>
      </c>
      <c r="D1186" s="92" t="inlineStr">
        <is>
          <t>Wùliú Wǎngluò Kěshìhuà) - Visualization of Logistics Networks - Hình dung hóa Mạng lưới Logistics</t>
        </is>
      </c>
      <c r="E1186" s="92" t="inlineStr">
        <is>
          <t>337. 物流网络可视化 (Wùliú Wǎngluò Kěshìhuà) - Visualization of Logistics Networks - Hình dung hóa Mạng lưới Logistics</t>
        </is>
      </c>
      <c r="F1186" s="114">
        <f>HYPERLINK("https://youglish.com/pronounce/物流网络可视化/chinese","🔍")</f>
        <v/>
      </c>
    </row>
    <row r="1187" ht="42.75" customHeight="1" s="99">
      <c r="A1187" s="94" t="inlineStr">
        <is>
          <t>PDF_Tiếng trung Full BỘ BCT.pdf</t>
        </is>
      </c>
      <c r="B1187" s="95" t="inlineStr">
        <is>
          <t>338</t>
        </is>
      </c>
      <c r="C1187" s="94" t="inlineStr">
        <is>
          <t>需求满足率趋势分析</t>
        </is>
      </c>
      <c r="D1187" s="94" t="inlineStr">
        <is>
          <t>Xūqiú Mǎnzú Lǜ Qūshì Fēnxi) - Trend Analysis of Demand Fulfillment Rates - Phân tích Xu hướng của Tỷ lệ Đáp ứng Nhu cầu</t>
        </is>
      </c>
      <c r="E1187" s="94" t="inlineStr">
        <is>
          <t>338. 需求满足率趋势分析 (Xūqiú Mǎnzú Lǜ Qūshì Fēnxi) - Trend Analysis of Demand Fulfillment Rates - Phân tích Xu hướng của Tỷ lệ Đáp ứng Nhu cầu</t>
        </is>
      </c>
      <c r="F1187" s="115">
        <f>HYPERLINK("https://youglish.com/pronounce/需求满足率趋势分析/chinese","🔍")</f>
        <v/>
      </c>
    </row>
    <row r="1188" ht="42.75" customHeight="1" s="99">
      <c r="A1188" s="92" t="inlineStr">
        <is>
          <t>PDF_Tiếng trung Full BỘ BCT.pdf</t>
        </is>
      </c>
      <c r="B1188" s="93" t="inlineStr">
        <is>
          <t>339</t>
        </is>
      </c>
      <c r="C1188" s="92" t="inlineStr">
        <is>
          <t>供应链反腐倡导</t>
        </is>
      </c>
      <c r="D1188" s="92" t="inlineStr">
        <is>
          <t>Gōngyìngliàn Fǎnfǔ Chàngdǎo) - Advocacy for Anti-Corruption in the Supply Chain - Tuyên truyền Chống tham nhũng trong Chuỗi cung ứng</t>
        </is>
      </c>
      <c r="E1188" s="92" t="inlineStr">
        <is>
          <t>339. 供应链反腐倡导 (Gōngyìngliàn Fǎnfǔ Chàngdǎo) - Advocacy for Anti-Corruption in the Supply Chain - Tuyên truyền Chống tham nhũng trong Chuỗi cung ứng</t>
        </is>
      </c>
      <c r="F1188" s="114">
        <f>HYPERLINK("https://youglish.com/pronounce/供应链反腐倡导/chinese","🔍")</f>
        <v/>
      </c>
    </row>
    <row r="1189" ht="42.75" customHeight="1" s="99">
      <c r="A1189" s="94" t="inlineStr">
        <is>
          <t>PDF_Tiếng trung Full BỘ BCT.pdf</t>
        </is>
      </c>
      <c r="B1189" s="95" t="inlineStr">
        <is>
          <t>340</t>
        </is>
      </c>
      <c r="C1189" s="94" t="inlineStr">
        <is>
          <t>生产线技术创新</t>
        </is>
      </c>
      <c r="D1189" s="94" t="inlineStr">
        <is>
          <t>Shēngchǎn Xiàn Jìshù Chuàngxīn) - Technological Innovation in Production Lines - Đổi mới Công nghệ trong Dây chuyền Sản xuất</t>
        </is>
      </c>
      <c r="E1189" s="94" t="inlineStr">
        <is>
          <t>340. 生产线技术创新 (Shēngchǎn Xiàn Jìshù Chuàngxīn) - Technological Innovation in Production Lines - Đổi mới Công nghệ trong Dây chuyền Sản xuất</t>
        </is>
      </c>
      <c r="F1189" s="115">
        <f>HYPERLINK("https://youglish.com/pronounce/生产线技术创新/chinese","🔍")</f>
        <v/>
      </c>
    </row>
    <row r="1190" ht="28.5" customHeight="1" s="99">
      <c r="A1190" s="92" t="inlineStr">
        <is>
          <t>PDF_Tiếng trung Full BỘ BCT.pdf</t>
        </is>
      </c>
      <c r="B1190" s="93" t="inlineStr">
        <is>
          <t>341</t>
        </is>
      </c>
      <c r="C1190" s="92" t="inlineStr">
        <is>
          <t>货物追溯体系建设</t>
        </is>
      </c>
      <c r="D1190" s="92" t="inlineStr">
        <is>
          <t>Huòwù Zhuīsù Tǐxì Jiànshè) - Establishment of Cargo Traceability Systems - Xây dựng Hệ thống Theo dõi Hàng hóa</t>
        </is>
      </c>
      <c r="E1190" s="92" t="inlineStr">
        <is>
          <t>341. 货物追溯体系建设 (Huòwù Zhuīsù Tǐxì Jiànshè) - Establishment of Cargo Traceability Systems - Xây dựng Hệ thống Theo dõi Hàng hóa</t>
        </is>
      </c>
      <c r="F1190" s="114">
        <f>HYPERLINK("https://youglish.com/pronounce/货物追溯体系建设/chinese","🔍")</f>
        <v/>
      </c>
    </row>
    <row r="1191" ht="28.5" customHeight="1" s="99">
      <c r="A1191" s="94" t="inlineStr">
        <is>
          <t>PDF_Tiếng trung Full BỘ BCT.pdf</t>
        </is>
      </c>
      <c r="B1191" s="95" t="inlineStr">
        <is>
          <t>342</t>
        </is>
      </c>
      <c r="C1191" s="94" t="inlineStr">
        <is>
          <t>物料供应链数字化</t>
        </is>
      </c>
      <c r="D1191" s="94" t="inlineStr">
        <is>
          <t>Wùliào Gōngyìngliàn Shùzìhuà) - Digitization of Material Supply Chains - Số hóa Chuỗi cung ứng Vật liệu</t>
        </is>
      </c>
      <c r="E1191" s="94" t="inlineStr">
        <is>
          <t>342. 物料供应链数字化 (Wùliào Gōngyìngliàn Shùzìhuà) - Digitization of Material Supply Chains - Số hóa Chuỗi cung ứng Vật liệu</t>
        </is>
      </c>
      <c r="F1191" s="115">
        <f>HYPERLINK("https://youglish.com/pronounce/物料供应链数字化/chinese","🔍")</f>
        <v/>
      </c>
    </row>
    <row r="1192" ht="28.5" customHeight="1" s="99">
      <c r="A1192" s="92" t="inlineStr">
        <is>
          <t>PDF_Tiếng trung Full BỘ BCT.pdf</t>
        </is>
      </c>
      <c r="B1192" s="93" t="inlineStr">
        <is>
          <t>343</t>
        </is>
      </c>
      <c r="C1192" s="92" t="inlineStr">
        <is>
          <t>供应商绩效考核</t>
        </is>
      </c>
      <c r="D1192" s="92" t="inlineStr">
        <is>
          <t>Gōngyìngshāng Jìxiào Kǎohé) - Performance Evaluation of Vendors - Đánh giá Hiệu suất của Nhà cung cấp</t>
        </is>
      </c>
      <c r="E1192" s="92" t="inlineStr">
        <is>
          <t>343. 供应商绩效考核 (Gōngyìngshāng Jìxiào Kǎohé) - Performance Evaluation of Vendors - Đánh giá Hiệu suất của Nhà cung cấp</t>
        </is>
      </c>
      <c r="F1192" s="114">
        <f>HYPERLINK("https://youglish.com/pronounce/供应商绩效考核/chinese","🔍")</f>
        <v/>
      </c>
    </row>
    <row r="1193" ht="42.75" customHeight="1" s="99">
      <c r="A1193" s="94" t="inlineStr">
        <is>
          <t>PDF_Tiếng trung Full BỘ BCT.pdf</t>
        </is>
      </c>
      <c r="B1193" s="95" t="inlineStr">
        <is>
          <t>344</t>
        </is>
      </c>
      <c r="C1193" s="94" t="inlineStr">
        <is>
          <t>生产线运营优化</t>
        </is>
      </c>
      <c r="D1193" s="94" t="inlineStr">
        <is>
          <t>Shēngchǎn Xiàn Yùnyíng Yōuhuà) - Optimization of Production Line Operations - Tối ưu hóa Hoạt động của Dây chuyền Sản xuất</t>
        </is>
      </c>
      <c r="E1193" s="94" t="inlineStr">
        <is>
          <t>344. 生产线运营优化 (Shēngchǎn Xiàn Yùnyíng Yōuhuà) - Optimization of Production Line Operations - Tối ưu hóa Hoạt động của Dây chuyền Sản xuất</t>
        </is>
      </c>
      <c r="F1193" s="115">
        <f>HYPERLINK("https://youglish.com/pronounce/生产线运营优化/chinese","🔍")</f>
        <v/>
      </c>
    </row>
    <row r="1194" ht="28.5" customHeight="1" s="99">
      <c r="A1194" s="92" t="inlineStr">
        <is>
          <t>PDF_Tiếng trung Full BỘ BCT.pdf</t>
        </is>
      </c>
      <c r="B1194" s="93" t="inlineStr">
        <is>
          <t>345</t>
        </is>
      </c>
      <c r="C1194" s="92" t="inlineStr">
        <is>
          <t>需求计划协同</t>
        </is>
      </c>
      <c r="D1194" s="92" t="inlineStr">
        <is>
          <t>Xūqiú Jìhuà Xiétóng) - Collaboration in Demand Planning - Hợp tác trong Kế hoạch Nhu cầu</t>
        </is>
      </c>
      <c r="E1194" s="92" t="inlineStr">
        <is>
          <t>345. 需求计划协同 (Xūqiú Jìhuà Xiétóng) - Collaboration in Demand Planning - Hợp tác trong Kế hoạch Nhu cầu</t>
        </is>
      </c>
      <c r="F1194" s="114">
        <f>HYPERLINK("https://youglish.com/pronounce/需求计划协同/chinese","🔍")</f>
        <v/>
      </c>
    </row>
    <row r="1195" ht="42.75" customHeight="1" s="99">
      <c r="A1195" s="94" t="inlineStr">
        <is>
          <t>PDF_Tiếng trung Full BỘ BCT.pdf</t>
        </is>
      </c>
      <c r="B1195" s="95" t="inlineStr">
        <is>
          <t>346</t>
        </is>
      </c>
      <c r="C1195" s="94" t="inlineStr">
        <is>
          <t>供应链质量管理</t>
        </is>
      </c>
      <c r="D1195" s="94" t="inlineStr">
        <is>
          <t>Gōngyìngliàn Zhìliàng Guǎnlǐ) - Quality Management in the Supply Chain - Quản lý Chất lượng trong Chuỗi cung ứng</t>
        </is>
      </c>
      <c r="E1195" s="94" t="inlineStr">
        <is>
          <t>346. 供应链质量管理 (Gōngyìngliàn Zhìliàng Guǎnlǐ) - Quality Management in the Supply Chain - Quản lý Chất lượng trong Chuỗi cung ứng</t>
        </is>
      </c>
      <c r="F1195" s="115">
        <f>HYPERLINK("https://youglish.com/pronounce/供应链质量管理/chinese","🔍")</f>
        <v/>
      </c>
    </row>
    <row r="1196" ht="42.75" customHeight="1" s="99">
      <c r="A1196" s="92" t="inlineStr">
        <is>
          <t>PDF_Tiếng trung Full BỘ BCT.pdf</t>
        </is>
      </c>
      <c r="B1196" s="93" t="inlineStr">
        <is>
          <t>347</t>
        </is>
      </c>
      <c r="C1196" s="92" t="inlineStr">
        <is>
          <t>货物跟踪与定位技术</t>
        </is>
      </c>
      <c r="D1196" s="92" t="inlineStr">
        <is>
          <t>Huòwù Gēnzōng Yǔ Dìngwèi Jìshù) - Cargo Tracking and Positioning Technology - Công nghệ Theo dõi và Xác định vị Hàng hóa</t>
        </is>
      </c>
      <c r="E1196" s="92" t="inlineStr">
        <is>
          <t>347. 货物跟踪与定位技术 (Huòwù Gēnzōng Yǔ Dìngwèi Jìshù) - Cargo Tracking and Positioning Technology - Công nghệ Theo dõi và Xác định vị Hàng hóa</t>
        </is>
      </c>
      <c r="F1196" s="114">
        <f>HYPERLINK("https://youglish.com/pronounce/货物跟踪与定位技术/chinese","🔍")</f>
        <v/>
      </c>
    </row>
    <row r="1197" ht="28.5" customHeight="1" s="99">
      <c r="A1197" s="94" t="inlineStr">
        <is>
          <t>PDF_Tiếng trung Full BỘ BCT.pdf</t>
        </is>
      </c>
      <c r="B1197" s="95" t="inlineStr">
        <is>
          <t>348</t>
        </is>
      </c>
      <c r="C1197" s="94" t="inlineStr">
        <is>
          <t>供应商风险评估</t>
        </is>
      </c>
      <c r="D1197" s="94" t="inlineStr">
        <is>
          <t>Gōngyìngshāng Fēngxiǎn Pínggū) - Vendor Risk Assessment - Đánh giá Rủi ro của Nhà cung cấp</t>
        </is>
      </c>
      <c r="E1197" s="94" t="inlineStr">
        <is>
          <t>348. 供应商风险评估 (Gōngyìngshāng Fēngxiǎn Pínggū) - Vendor Risk Assessment - Đánh giá Rủi ro của Nhà cung cấp</t>
        </is>
      </c>
      <c r="F1197" s="115">
        <f>HYPERLINK("https://youglish.com/pronounce/供应商风险评估/chinese","🔍")</f>
        <v/>
      </c>
    </row>
    <row r="1198" ht="42.75" customHeight="1" s="99">
      <c r="A1198" s="92" t="inlineStr">
        <is>
          <t>PDF_Tiếng trung Full BỘ BCT.pdf</t>
        </is>
      </c>
      <c r="B1198" s="93" t="inlineStr">
        <is>
          <t>349</t>
        </is>
      </c>
      <c r="C1198" s="92" t="inlineStr">
        <is>
          <t>生产线人力优化</t>
        </is>
      </c>
      <c r="D1198" s="92" t="inlineStr">
        <is>
          <t>Shēngchǎn Xiàn Rénlì Yōuhuà) - Human Resource Optimization in Production Lines - Tối ưu hóa Nguồn nhân lực trong Dây chuyền Sản xuất</t>
        </is>
      </c>
      <c r="E1198" s="92" t="inlineStr">
        <is>
          <t>349. 生产线人力优化 (Shēngchǎn Xiàn Rénlì Yōuhuà) - Human Resource Optimization in Production Lines - Tối ưu hóa Nguồn nhân lực trong Dây chuyền Sản xuất</t>
        </is>
      </c>
      <c r="F1198" s="114">
        <f>HYPERLINK("https://youglish.com/pronounce/生产线人力优化/chinese","🔍")</f>
        <v/>
      </c>
    </row>
    <row r="1199" ht="42.75" customHeight="1" s="99">
      <c r="A1199" s="94" t="inlineStr">
        <is>
          <t>PDF_Tiếng trung Full BỘ BCT.pdf</t>
        </is>
      </c>
      <c r="B1199" s="95" t="inlineStr">
        <is>
          <t>350</t>
        </is>
      </c>
      <c r="C1199" s="94" t="inlineStr">
        <is>
          <t>需求满足率提升策略</t>
        </is>
      </c>
      <c r="D1199" s="94" t="inlineStr">
        <is>
          <t>Xūqiú Mǎnzú Lǜ Tígāo Cèlüè) - Strategy for Increasing Demand Fulfillment Rates - Chiến lược Tăng Tỷ lệ Đáp ứng Nhu cầu</t>
        </is>
      </c>
      <c r="E1199" s="94" t="inlineStr">
        <is>
          <t>350. 需求满足率提升策略 (Xūqiú Mǎnzú Lǜ Tígāo Cèlüè) - Strategy for Increasing Demand Fulfillment Rates - Chiến lược Tăng Tỷ lệ Đáp ứng Nhu cầu</t>
        </is>
      </c>
      <c r="F1199" s="115">
        <f>HYPERLINK("https://youglish.com/pronounce/需求满足率提升策略/chinese","🔍")</f>
        <v/>
      </c>
    </row>
    <row r="1200" ht="28.5" customHeight="1" s="99">
      <c r="A1200" s="92" t="inlineStr">
        <is>
          <t>PDF_Tiếng trung Full BỘ BCT.pdf</t>
        </is>
      </c>
      <c r="B1200" s="93" t="inlineStr">
        <is>
          <t>351</t>
        </is>
      </c>
      <c r="C1200" s="92" t="inlineStr">
        <is>
          <t>供应链协同创新</t>
        </is>
      </c>
      <c r="D1200" s="92" t="inlineStr">
        <is>
          <t>Gōngyìngliàn Xiétiáo Chuàngxīn) - Collaborative Innovation in the Supply Chain - Đổi mới Hợp tác trong Chuỗi cung ứng</t>
        </is>
      </c>
      <c r="E1200" s="92" t="inlineStr">
        <is>
          <t>351. 供应链协同创新 (Gōngyìngliàn Xiétiáo Chuàngxīn) - Collaborative Innovation in the Supply Chain - Đổi mới Hợp tác trong Chuỗi cung ứng</t>
        </is>
      </c>
      <c r="F1200" s="114">
        <f>HYPERLINK("https://youglish.com/pronounce/供应链协同创新/chinese","🔍")</f>
        <v/>
      </c>
    </row>
    <row r="1201" ht="28.5" customHeight="1" s="99">
      <c r="A1201" s="94" t="inlineStr">
        <is>
          <t>PDF_Tiếng trung Full BỘ BCT.pdf</t>
        </is>
      </c>
      <c r="B1201" s="95" t="inlineStr">
        <is>
          <t>352</t>
        </is>
      </c>
      <c r="C1201" s="94" t="inlineStr">
        <is>
          <t>物流服务水平提升</t>
        </is>
      </c>
      <c r="D1201" s="94" t="inlineStr">
        <is>
          <t>Wùliú Fúwù Shuǐpíng Tígāo) - Improvement in Logistics Service Levels - Tăng cường Cấp độ Dịch vụ Logistics</t>
        </is>
      </c>
      <c r="E1201" s="94" t="inlineStr">
        <is>
          <t>352. 物流服务水平提升 (Wùliú Fúwù Shuǐpíng Tígāo) - Improvement in Logistics Service Levels - Tăng cường Cấp độ Dịch vụ Logistics</t>
        </is>
      </c>
      <c r="F1201" s="115">
        <f>HYPERLINK("https://youglish.com/pronounce/物流服务水平提升/chinese","🔍")</f>
        <v/>
      </c>
    </row>
    <row r="1202" ht="42.75" customHeight="1" s="99">
      <c r="A1202" s="92" t="inlineStr">
        <is>
          <t>PDF_Tiếng trung Full BỘ BCT.pdf</t>
        </is>
      </c>
      <c r="B1202" s="93" t="inlineStr">
        <is>
          <t>353</t>
        </is>
      </c>
      <c r="C1202" s="92" t="inlineStr">
        <is>
          <t>生产计划灵活度提高</t>
        </is>
      </c>
      <c r="D1202" s="92" t="inlineStr">
        <is>
          <t>Shēngchǎn Jìhuà Línghuó Dù Tígāo) - Increase in Flexibility of Production Planning - Tăng cường Linh hoạt của Kế hoạch Sản xuất</t>
        </is>
      </c>
      <c r="E1202" s="92" t="inlineStr">
        <is>
          <t>353. 生产计划灵活度提高 (Shēngchǎn Jìhuà Línghuó Dù Tígāo) - Increase in Flexibility of Production Planning - Tăng cường Linh hoạt của Kế hoạch Sản xuất</t>
        </is>
      </c>
      <c r="F1202" s="114">
        <f>HYPERLINK("https://youglish.com/pronounce/生产计划灵活度提高/chinese","🔍")</f>
        <v/>
      </c>
    </row>
    <row r="1203" ht="42.75" customHeight="1" s="99">
      <c r="A1203" s="94" t="inlineStr">
        <is>
          <t>PDF_Tiếng trung Full BỘ BCT.pdf</t>
        </is>
      </c>
      <c r="B1203" s="95" t="inlineStr">
        <is>
          <t>354</t>
        </is>
      </c>
      <c r="C1203" s="94" t="inlineStr">
        <is>
          <t>供应链协同创值</t>
        </is>
      </c>
      <c r="D1203" s="94" t="inlineStr">
        <is>
          <t>Gōngyìngliàn Xiétiáo Chuàngzhí) - Value Creation through Supply Chain Collaboration - Tạo giá trị thông qua Hợp tác trong Chuỗi cung ứng</t>
        </is>
      </c>
      <c r="E1203" s="94" t="inlineStr">
        <is>
          <t>354. 供应链协同创值 (Gōngyìngliàn Xiétiáo Chuàngzhí) - Value Creation through Supply Chain Collaboration - Tạo giá trị thông qua Hợp tác trong Chuỗi cung ứng</t>
        </is>
      </c>
      <c r="F1203" s="115">
        <f>HYPERLINK("https://youglish.com/pronounce/供应链协同创值/chinese","🔍")</f>
        <v/>
      </c>
    </row>
    <row r="1204" ht="42.75" customHeight="1" s="99">
      <c r="A1204" s="92" t="inlineStr">
        <is>
          <t>PDF_Tiếng trung Full BỘ BCT.pdf</t>
        </is>
      </c>
      <c r="B1204" s="93" t="inlineStr">
        <is>
          <t>355</t>
        </is>
      </c>
      <c r="C1204" s="92" t="inlineStr">
        <is>
          <t>生产线技术标准</t>
        </is>
      </c>
      <c r="D1204" s="92" t="inlineStr">
        <is>
          <t>Shēngchǎn Xiàn Jìshù Biāozhǔn) - Technical Standards for Production Lines - Tiêu chuẩn Kỹ thuật cho Dây chuyền Sản xuất</t>
        </is>
      </c>
      <c r="E1204" s="92" t="inlineStr">
        <is>
          <t>355. 生产线技术标准 (Shēngchǎn Xiàn Jìshù Biāozhǔn) - Technical Standards for Production Lines - Tiêu chuẩn Kỹ thuật cho Dây chuyền Sản xuất</t>
        </is>
      </c>
      <c r="F1204" s="114">
        <f>HYPERLINK("https://youglish.com/pronounce/生产线技术标准/chinese","🔍")</f>
        <v/>
      </c>
    </row>
    <row r="1205" ht="28.5" customHeight="1" s="99">
      <c r="A1205" s="94" t="inlineStr">
        <is>
          <t>PDF_Tiếng trung Full BỘ BCT.pdf</t>
        </is>
      </c>
      <c r="B1205" s="95" t="inlineStr">
        <is>
          <t>356</t>
        </is>
      </c>
      <c r="C1205" s="94" t="inlineStr">
        <is>
          <t>货物分拨优化</t>
        </is>
      </c>
      <c r="D1205" s="94" t="inlineStr">
        <is>
          <t>Huòwù Fēnbō Yōuhuà) - Optimization of Cargo Allocation - Tối ưu hóa Phân phối Hàng hóa</t>
        </is>
      </c>
      <c r="E1205" s="94" t="inlineStr">
        <is>
          <t>356. 货物分拨优化 (Huòwù Fēnbō Yōuhuà) - Optimization of Cargo Allocation - Tối ưu hóa Phân phối Hàng hóa</t>
        </is>
      </c>
      <c r="F1205" s="115">
        <f>HYPERLINK("https://youglish.com/pronounce/货物分拨优化/chinese","🔍")</f>
        <v/>
      </c>
    </row>
    <row r="1206" ht="42.75" customHeight="1" s="99">
      <c r="A1206" s="92" t="inlineStr">
        <is>
          <t>PDF_Tiếng trung Full BỘ BCT.pdf</t>
        </is>
      </c>
      <c r="B1206" s="93" t="inlineStr">
        <is>
          <t>357</t>
        </is>
      </c>
      <c r="C1206" s="92" t="inlineStr">
        <is>
          <t>供应商可持续性评估</t>
        </is>
      </c>
      <c r="D1206" s="92" t="inlineStr">
        <is>
          <t>Gōngyìngshāng Kěchíxù Xìng Pínggū) - Sustainability Assessment of Vendors - Đánh giá Khả năng Bền vững của Nhà cung cấp</t>
        </is>
      </c>
      <c r="E1206" s="92" t="inlineStr">
        <is>
          <t>357. 供应商可持续性评估 (Gōngyìngshāng Kěchíxù Xìng Pínggū) - Sustainability Assessment of Vendors - Đánh giá Khả năng Bền vững của Nhà cung cấp</t>
        </is>
      </c>
      <c r="F1206" s="114">
        <f>HYPERLINK("https://youglish.com/pronounce/供应商可持续性评估/chinese","🔍")</f>
        <v/>
      </c>
    </row>
    <row r="1207" ht="28.5" customHeight="1" s="99">
      <c r="A1207" s="94" t="inlineStr">
        <is>
          <t>PDF_Tiếng trung Full BỘ BCT.pdf</t>
        </is>
      </c>
      <c r="B1207" s="95" t="inlineStr">
        <is>
          <t>358</t>
        </is>
      </c>
      <c r="C1207" s="94" t="inlineStr">
        <is>
          <t>物流信息实时更新</t>
        </is>
      </c>
      <c r="D1207" s="94" t="inlineStr">
        <is>
          <t>Wùliú Xìnxī Shíshí Gēngxīn) - Real-time Update of Logistics Information - Cập nhật Thông tin Logistics Theo thời gian thực</t>
        </is>
      </c>
      <c r="E1207" s="94" t="inlineStr">
        <is>
          <t>358. 物流信息实时更新 (Wùliú Xìnxī Shíshí Gēngxīn) - Real-time Update of Logistics Information - Cập nhật Thông tin Logistics Theo thời gian thực</t>
        </is>
      </c>
      <c r="F1207" s="115">
        <f>HYPERLINK("https://youglish.com/pronounce/物流信息实时更新/chinese","🔍")</f>
        <v/>
      </c>
    </row>
    <row r="1208" ht="28.5" customHeight="1" s="99">
      <c r="A1208" s="92" t="inlineStr">
        <is>
          <t>PDF_Tiếng trung Full BỘ BCT.pdf</t>
        </is>
      </c>
      <c r="B1208" s="93" t="inlineStr">
        <is>
          <t>359</t>
        </is>
      </c>
      <c r="C1208" s="92" t="inlineStr">
        <is>
          <t>需求满足速度优化</t>
        </is>
      </c>
      <c r="D1208" s="92" t="inlineStr">
        <is>
          <t>Xūqiú Mǎnzú Sùdù Yōuhuà) - Optimization of Demand Fulfillment Speed - Tối ưu hóa Tốc độ Đáp ứng Nhu cầu</t>
        </is>
      </c>
      <c r="E1208" s="92" t="inlineStr">
        <is>
          <t>359. 需求满足速度优化 (Xūqiú Mǎnzú Sùdù Yōuhuà) - Optimization of Demand Fulfillment Speed - Tối ưu hóa Tốc độ Đáp ứng Nhu cầu</t>
        </is>
      </c>
      <c r="F1208" s="114">
        <f>HYPERLINK("https://youglish.com/pronounce/需求满足速度优化/chinese","🔍")</f>
        <v/>
      </c>
    </row>
    <row r="1209" ht="28.5" customHeight="1" s="99">
      <c r="A1209" s="94" t="inlineStr">
        <is>
          <t>PDF_Tiếng trung Full BỘ BCT.pdf</t>
        </is>
      </c>
      <c r="B1209" s="95" t="inlineStr">
        <is>
          <t>360</t>
        </is>
      </c>
      <c r="C1209" s="94" t="inlineStr">
        <is>
          <t>供应链协作平台</t>
        </is>
      </c>
      <c r="D1209" s="94" t="inlineStr">
        <is>
          <t>Gōngyìngliàn Xiézuò Píngtái) - Collaboration Platform for Supply Chain - Nền tảng Hợp tác trong Chuỗi cung ứng</t>
        </is>
      </c>
      <c r="E1209" s="94" t="inlineStr">
        <is>
          <t>360. 供应链协作平台 (Gōngyìngliàn Xiézuò Píngtái) - Collaboration Platform for Supply Chain - Nền tảng Hợp tác trong Chuỗi cung ứng</t>
        </is>
      </c>
      <c r="F1209" s="115">
        <f>HYPERLINK("https://youglish.com/pronounce/供应链协作平台/chinese","🔍")</f>
        <v/>
      </c>
    </row>
    <row r="1210" ht="42.75" customHeight="1" s="99">
      <c r="A1210" s="92" t="inlineStr">
        <is>
          <t>PDF_Tiếng trung Full BỘ BCT.pdf</t>
        </is>
      </c>
      <c r="B1210" s="93" t="inlineStr">
        <is>
          <t>361</t>
        </is>
      </c>
      <c r="C1210" s="92" t="inlineStr">
        <is>
          <t>生产线生产能力评估</t>
        </is>
      </c>
      <c r="D1210" s="92" t="inlineStr">
        <is>
          <t>Shēngchǎn Xiàn Shēngchǎn Nénglì Pínggū) - Assessment of Production Capacity in Production Lines - Đánh giá Năng lực Sản xuất trên Dây chuyền Sản xuất</t>
        </is>
      </c>
      <c r="E1210" s="92" t="inlineStr">
        <is>
          <t>361. 生产线生产能力评估 (Shēngchǎn Xiàn Shēngchǎn Nénglì Pínggū) - Assessment of Production Capacity in Production Lines - Đánh giá Năng lực Sản xuất trên Dây chuyền Sản xuất</t>
        </is>
      </c>
      <c r="F1210" s="114">
        <f>HYPERLINK("https://youglish.com/pronounce/生产线生产能力评估/chinese","🔍")</f>
        <v/>
      </c>
    </row>
    <row r="1211" ht="28.5" customHeight="1" s="99">
      <c r="A1211" s="94" t="inlineStr">
        <is>
          <t>PDF_Tiếng trung Full BỘ BCT.pdf</t>
        </is>
      </c>
      <c r="B1211" s="95" t="inlineStr">
        <is>
          <t>362</t>
        </is>
      </c>
      <c r="C1211" s="94" t="inlineStr">
        <is>
          <t>货物储存条件</t>
        </is>
      </c>
      <c r="D1211" s="94" t="inlineStr">
        <is>
          <t>Huòwù Chǔcún Tiáojiàn) - Storage Conditions for Cargo - Điều kiện Lưu trữ Hàng hóa</t>
        </is>
      </c>
      <c r="E1211" s="94" t="inlineStr">
        <is>
          <t>362. 货物储存条件 (Huòwù Chǔcún Tiáojiàn) - Storage Conditions for Cargo - Điều kiện Lưu trữ Hàng hóa</t>
        </is>
      </c>
      <c r="F1211" s="115">
        <f>HYPERLINK("https://youglish.com/pronounce/货物储存条件/chinese","🔍")</f>
        <v/>
      </c>
    </row>
    <row r="1212" ht="28.5" customHeight="1" s="99">
      <c r="A1212" s="92" t="inlineStr">
        <is>
          <t>PDF_Tiếng trung Full BỘ BCT.pdf</t>
        </is>
      </c>
      <c r="B1212" s="93" t="inlineStr">
        <is>
          <t>363</t>
        </is>
      </c>
      <c r="C1212" s="92" t="inlineStr">
        <is>
          <t>物料供应链整合</t>
        </is>
      </c>
      <c r="D1212" s="92" t="inlineStr">
        <is>
          <t>Wùliào Gōngyìngliàn Zhěnghé) - Integration of Material Supply Chains - Tích hợp Chuỗi cung ứng Vật liệu</t>
        </is>
      </c>
      <c r="E1212" s="92" t="inlineStr">
        <is>
          <t>363. 物料供应链整合 (Wùliào Gōngyìngliàn Zhěnghé) - Integration of Material Supply Chains - Tích hợp Chuỗi cung ứng Vật liệu</t>
        </is>
      </c>
      <c r="F1212" s="114">
        <f>HYPERLINK("https://youglish.com/pronounce/物料供应链整合/chinese","🔍")</f>
        <v/>
      </c>
    </row>
    <row r="1213" ht="42.75" customHeight="1" s="99">
      <c r="A1213" s="94" t="inlineStr">
        <is>
          <t>PDF_Tiếng trung Full BỘ BCT.pdf</t>
        </is>
      </c>
      <c r="B1213" s="95" t="inlineStr">
        <is>
          <t>364</t>
        </is>
      </c>
      <c r="C1213" s="94" t="inlineStr">
        <is>
          <t>供应商沟通协调</t>
        </is>
      </c>
      <c r="D1213" s="94" t="inlineStr">
        <is>
          <t>Gōngyìngshāng Gōutōng Xiétiáo) - Communication and Coordination with Vendors - Giao tiếp và Điều phối với Nhà cung cấp</t>
        </is>
      </c>
      <c r="E1213" s="94" t="inlineStr">
        <is>
          <t>364. 供应商沟通协调 (Gōngyìngshāng Gōutōng Xiétiáo) - Communication and Coordination with Vendors - Giao tiếp và Điều phối với Nhà cung cấp</t>
        </is>
      </c>
      <c r="F1213" s="115">
        <f>HYPERLINK("https://youglish.com/pronounce/供应商沟通协调/chinese","🔍")</f>
        <v/>
      </c>
    </row>
    <row r="1214" ht="28.5" customHeight="1" s="99">
      <c r="A1214" s="92" t="inlineStr">
        <is>
          <t>PDF_Tiếng trung Full BỘ BCT.pdf</t>
        </is>
      </c>
      <c r="B1214" s="93" t="inlineStr">
        <is>
          <t>365</t>
        </is>
      </c>
      <c r="C1214" s="92" t="inlineStr">
        <is>
          <t>生产线可追溯性</t>
        </is>
      </c>
      <c r="D1214" s="92" t="inlineStr">
        <is>
          <t>Shēngchǎn Xiàn Kě Zhuīsù Xìng) - Traceability of Production Lines - Khả năng Theo dõi của Dây chuyền Sản xuất</t>
        </is>
      </c>
      <c r="E1214" s="92" t="inlineStr">
        <is>
          <t>365. 生产线可追溯性 (Shēngchǎn Xiàn Kě Zhuīsù Xìng) - Traceability of Production Lines - Khả năng Theo dõi của Dây chuyền Sản xuất</t>
        </is>
      </c>
      <c r="F1214" s="114">
        <f>HYPERLINK("https://youglish.com/pronounce/生产线可追溯性/chinese","🔍")</f>
        <v/>
      </c>
    </row>
    <row r="1215" ht="28.5" customHeight="1" s="99">
      <c r="A1215" s="94" t="inlineStr">
        <is>
          <t>PDF_Tiếng trung Full BỘ BCT.pdf</t>
        </is>
      </c>
      <c r="B1215" s="95" t="inlineStr">
        <is>
          <t>366</t>
        </is>
      </c>
      <c r="C1215" s="94" t="inlineStr">
        <is>
          <t>需求计划执行监控</t>
        </is>
      </c>
      <c r="D1215" s="94" t="inlineStr">
        <is>
          <t>Xūqiú Jìhuà Zhíxíng Jiānkòng) - Monitoring of Demand Planning Execution - Giám sát Thực hiện Kế hoạch Nhu cầu</t>
        </is>
      </c>
      <c r="E1215" s="94" t="inlineStr">
        <is>
          <t>366. 需求计划执行监控 (Xūqiú Jìhuà Zhíxíng Jiānkòng) - Monitoring of Demand Planning Execution - Giám sát Thực hiện Kế hoạch Nhu cầu</t>
        </is>
      </c>
      <c r="F1215" s="115">
        <f>HYPERLINK("https://youglish.com/pronounce/需求计划执行监控/chinese","🔍")</f>
        <v/>
      </c>
    </row>
    <row r="1216" ht="28.5" customHeight="1" s="99">
      <c r="A1216" s="92" t="inlineStr">
        <is>
          <t>PDF_Tiếng trung Full BỘ BCT.pdf</t>
        </is>
      </c>
      <c r="B1216" s="93" t="inlineStr">
        <is>
          <t>367</t>
        </is>
      </c>
      <c r="C1216" s="92" t="inlineStr">
        <is>
          <t>供应链风险防范</t>
        </is>
      </c>
      <c r="D1216" s="92" t="inlineStr">
        <is>
          <t>Gōngyìngliàn Fēngxiǎn Fángfàn) - Risk Prevention in the Supply Chain - Phòng ngừa Rủi ro trong Chuỗi cung ứng</t>
        </is>
      </c>
      <c r="E1216" s="92" t="inlineStr">
        <is>
          <t>367. 供应链风险防范 (Gōngyìngliàn Fēngxiǎn Fángfàn) - Risk Prevention in the Supply Chain - Phòng ngừa Rủi ro trong Chuỗi cung ứng</t>
        </is>
      </c>
      <c r="F1216" s="114">
        <f>HYPERLINK("https://youglish.com/pronounce/供应链风险防范/chinese","🔍")</f>
        <v/>
      </c>
    </row>
    <row r="1217" ht="42.75" customHeight="1" s="99">
      <c r="A1217" s="94" t="inlineStr">
        <is>
          <t>PDF_Tiếng trung Full BỘ BCT.pdf</t>
        </is>
      </c>
      <c r="B1217" s="95" t="inlineStr">
        <is>
          <t>368</t>
        </is>
      </c>
      <c r="C1217" s="94" t="inlineStr">
        <is>
          <t>生产线效率评估</t>
        </is>
      </c>
      <c r="D1217" s="94" t="inlineStr">
        <is>
          <t>Shēngchǎn Xiàn Xiàolǜ Pínggū) - Evaluation of Efficiency in Production Lines - Đánh giá Hiệu suất trên Dây chuyền Sản xuất</t>
        </is>
      </c>
      <c r="E1217" s="94" t="inlineStr">
        <is>
          <t>368. 生产线效率评估 (Shēngchǎn Xiàn Xiàolǜ Pínggū) - Evaluation of Efficiency in Production Lines - Đánh giá Hiệu suất trên Dây chuyền Sản xuất</t>
        </is>
      </c>
      <c r="F1217" s="115">
        <f>HYPERLINK("https://youglish.com/pronounce/生产线效率评估/chinese","🔍")</f>
        <v/>
      </c>
    </row>
    <row r="1218" ht="42.75" customHeight="1" s="99">
      <c r="A1218" s="92" t="inlineStr">
        <is>
          <t>PDF_Tiếng trung Full BỘ BCT.pdf</t>
        </is>
      </c>
      <c r="B1218" s="93" t="inlineStr">
        <is>
          <t>369</t>
        </is>
      </c>
      <c r="C1218" s="92" t="inlineStr">
        <is>
          <t>需求满足率持续改进</t>
        </is>
      </c>
      <c r="D1218" s="92" t="inlineStr">
        <is>
          <t>Xūqiú Mǎnzú Lǜ Chíxù Gǎishàn) - Continuous Improvement in Demand Fulfillment Rate - Cải thiện liên tục Tỷ lệ Đáp ứng Nhu cầu</t>
        </is>
      </c>
      <c r="E1218" s="92" t="inlineStr">
        <is>
          <t>369. 需求满足率持续改进 (Xūqiú Mǎnzú Lǜ Chíxù Gǎishàn) - Continuous Improvement in Demand Fulfillment Rate - Cải thiện liên tục Tỷ lệ Đáp ứng Nhu cầu</t>
        </is>
      </c>
      <c r="F1218" s="114">
        <f>HYPERLINK("https://youglish.com/pronounce/需求满足率持续改进/chinese","🔍")</f>
        <v/>
      </c>
    </row>
    <row r="1219" ht="28.5" customHeight="1" s="99">
      <c r="A1219" s="94" t="inlineStr">
        <is>
          <t>PDF_Tiếng trung Full BỘ BCT.pdf</t>
        </is>
      </c>
      <c r="B1219" s="95" t="inlineStr">
        <is>
          <t>370</t>
        </is>
      </c>
      <c r="C1219" s="94" t="inlineStr">
        <is>
          <t>供应商配合度</t>
        </is>
      </c>
      <c r="D1219" s="94" t="inlineStr">
        <is>
          <t>Gōngyìngshāng Pèihédù) - Cooperation Level with Vendors - Mức độ Hợp tác với Nhà cung cấp</t>
        </is>
      </c>
      <c r="E1219" s="94" t="inlineStr">
        <is>
          <t>370. 供应商配合度 (Gōngyìngshāng Pèihédù) - Cooperation Level with Vendors - Mức độ Hợp tác với Nhà cung cấp</t>
        </is>
      </c>
      <c r="F1219" s="115">
        <f>HYPERLINK("https://youglish.com/pronounce/供应商配合度/chinese","🔍")</f>
        <v/>
      </c>
    </row>
    <row r="1220" ht="28.5" customHeight="1" s="99">
      <c r="A1220" s="92" t="inlineStr">
        <is>
          <t>PDF_Tiếng trung Full BỘ BCT.pdf</t>
        </is>
      </c>
      <c r="B1220" s="93" t="inlineStr">
        <is>
          <t>371</t>
        </is>
      </c>
      <c r="C1220" s="92" t="inlineStr">
        <is>
          <t>物流配送优化方案</t>
        </is>
      </c>
      <c r="D1220" s="92" t="inlineStr">
        <is>
          <t>Wùliú Pèisòng Yōuhuà Fāng'àn) - Optimization Plans for Logistics Distribution - Kế hoạch Tối ưu hóa Phân phối Logistics</t>
        </is>
      </c>
      <c r="E1220" s="92" t="inlineStr">
        <is>
          <t>371. 物流配送优化方案 (Wùliú Pèisòng Yōuhuà Fāng'àn) - Optimization Plans for Logistics Distribution - Kế hoạch Tối ưu hóa Phân phối Logistics</t>
        </is>
      </c>
      <c r="F1220" s="114">
        <f>HYPERLINK("https://youglish.com/pronounce/物流配送优化方案/chinese","🔍")</f>
        <v/>
      </c>
    </row>
    <row r="1221" ht="42.75" customHeight="1" s="99">
      <c r="A1221" s="94" t="inlineStr">
        <is>
          <t>PDF_Tiếng trung Full BỘ BCT.pdf</t>
        </is>
      </c>
      <c r="B1221" s="95" t="inlineStr">
        <is>
          <t>372</t>
        </is>
      </c>
      <c r="C1221" s="94" t="inlineStr">
        <is>
          <t>生产线技术升级规划</t>
        </is>
      </c>
      <c r="D1221" s="94" t="inlineStr">
        <is>
          <t>Shēngchǎn Xiàn Jìshù Shēngjí Guīhuà) - Planning for Technological Upgradation in Production Lines - Kế hoạch Nâng cấp Công nghệ cho Dây chuyền Sản xuất</t>
        </is>
      </c>
      <c r="E1221" s="94" t="inlineStr">
        <is>
          <t>372. 生产线技术升级规划 (Shēngchǎn Xiàn Jìshù Shēngjí Guīhuà) - Planning for Technological Upgradation in Production Lines - Kế hoạch Nâng cấp Công nghệ cho Dây chuyền Sản xuất</t>
        </is>
      </c>
      <c r="F1221" s="115">
        <f>HYPERLINK("https://youglish.com/pronounce/生产线技术升级规划/chinese","🔍")</f>
        <v/>
      </c>
    </row>
    <row r="1222" ht="42.75" customHeight="1" s="99">
      <c r="A1222" s="92" t="inlineStr">
        <is>
          <t>PDF_Tiếng trung Full BỘ BCT.pdf</t>
        </is>
      </c>
      <c r="B1222" s="93" t="inlineStr">
        <is>
          <t>373</t>
        </is>
      </c>
      <c r="C1222" s="92" t="inlineStr">
        <is>
          <t>供应链可持续性政策</t>
        </is>
      </c>
      <c r="D1222" s="92" t="inlineStr">
        <is>
          <t>Gōngyìngliàn Kěchíxù Xìng Zhèngcè) - Policies for Sustainable Practices in the Supply Chain - Chính sách về Thực hành Bền vững trong Chuỗi cung ứng</t>
        </is>
      </c>
      <c r="E1222" s="92" t="inlineStr">
        <is>
          <t>373. 供应链可持续性政策 (Gōngyìngliàn Kěchíxù Xìng Zhèngcè) - Policies for Sustainable Practices in the Supply Chain - Chính sách về Thực hành Bền vững trong Chuỗi cung ứng</t>
        </is>
      </c>
      <c r="F1222" s="114">
        <f>HYPERLINK("https://youglish.com/pronounce/供应链可持续性政策/chinese","🔍")</f>
        <v/>
      </c>
    </row>
    <row r="1223" ht="28.5" customHeight="1" s="99">
      <c r="A1223" s="94" t="inlineStr">
        <is>
          <t>PDF_Tiếng trung Full BỘ BCT.pdf</t>
        </is>
      </c>
      <c r="B1223" s="95" t="inlineStr">
        <is>
          <t>374</t>
        </is>
      </c>
      <c r="C1223" s="94" t="inlineStr">
        <is>
          <t>供应商创新计划</t>
        </is>
      </c>
      <c r="D1223" s="94" t="inlineStr">
        <is>
          <t>Gōngyìngshāng Chuàngxīn Jìhuà) - Vendor Innovation Plan - Kế hoạch Đổi mới của Nhà cung cấp</t>
        </is>
      </c>
      <c r="E1223" s="94" t="inlineStr">
        <is>
          <t>374. 供应商创新计划 (Gōngyìngshāng Chuàngxīn Jìhuà) - Vendor Innovation Plan - Kế hoạch Đổi mới của Nhà cung cấp</t>
        </is>
      </c>
      <c r="F1223" s="115">
        <f>HYPERLINK("https://youglish.com/pronounce/供应商创新计划/chinese","🔍")</f>
        <v/>
      </c>
    </row>
    <row r="1224" ht="42.75" customHeight="1" s="99">
      <c r="A1224" s="92" t="inlineStr">
        <is>
          <t>PDF_Tiếng trung Full BỘ BCT.pdf</t>
        </is>
      </c>
      <c r="B1224" s="93" t="inlineStr">
        <is>
          <t>375</t>
        </is>
      </c>
      <c r="C1224" s="92" t="inlineStr">
        <is>
          <t>生产线能效改善</t>
        </is>
      </c>
      <c r="D1224" s="92" t="inlineStr">
        <is>
          <t>Shēngchǎn Xiàn Néngxiào Gǎishàn) - Improvement in Energy Efficiency in Production Lines - Cải thiện Hiệu suất Năng lượng trên Dây chuyền Sản xuất</t>
        </is>
      </c>
      <c r="E1224" s="92" t="inlineStr">
        <is>
          <t>375. 生产线能效改善 (Shēngchǎn Xiàn Néngxiào Gǎishàn) - Improvement in Energy Efficiency in Production Lines - Cải thiện Hiệu suất Năng lượng trên Dây chuyền Sản xuất</t>
        </is>
      </c>
      <c r="F1224" s="114">
        <f>HYPERLINK("https://youglish.com/pronounce/生产线能效改善/chinese","🔍")</f>
        <v/>
      </c>
    </row>
    <row r="1225" ht="42.75" customHeight="1" s="99">
      <c r="A1225" s="94" t="inlineStr">
        <is>
          <t>PDF_Tiếng trung Full BỘ BCT.pdf</t>
        </is>
      </c>
      <c r="B1225" s="95" t="inlineStr">
        <is>
          <t>376</t>
        </is>
      </c>
      <c r="C1225" s="94" t="inlineStr">
        <is>
          <t>供应链透明度提升</t>
        </is>
      </c>
      <c r="D1225" s="94" t="inlineStr">
        <is>
          <t>Gōngyìngliàn Tòumíngdù Tígāo) - Enhancement of Supply Chain Transparency - Nâng cao tính Minhbạch trong Chuỗi cung ứng</t>
        </is>
      </c>
      <c r="E1225" s="94" t="inlineStr">
        <is>
          <t>376. 供应链透明度提升 (Gōngyìngliàn Tòumíngdù Tígāo) - Enhancement of Supply Chain Transparency - Nâng cao tính Minhbạch trong Chuỗi cung ứng</t>
        </is>
      </c>
      <c r="F1225" s="115">
        <f>HYPERLINK("https://youglish.com/pronounce/供应链透明度提升/chinese","🔍")</f>
        <v/>
      </c>
    </row>
    <row r="1226" ht="28.5" customHeight="1" s="99">
      <c r="A1226" s="92" t="inlineStr">
        <is>
          <t>PDF_Tiếng trung Full BỘ BCT.pdf</t>
        </is>
      </c>
      <c r="B1226" s="93" t="inlineStr">
        <is>
          <t>377</t>
        </is>
      </c>
      <c r="C1226" s="92" t="inlineStr">
        <is>
          <t>物料供应链可视化</t>
        </is>
      </c>
      <c r="D1226" s="92" t="inlineStr">
        <is>
          <t>Wùliào Gōngyìngliàn Kěshìhuà) - Visualization of Material Supply Chains - Hình dung hóa Chuỗi cung ứng Vật liệu</t>
        </is>
      </c>
      <c r="E1226" s="92" t="inlineStr">
        <is>
          <t>377. 物料供应链可视化 (Wùliào Gōngyìngliàn Kěshìhuà) - Visualization of Material Supply Chains - Hình dung hóa Chuỗi cung ứng Vật liệu</t>
        </is>
      </c>
      <c r="F1226" s="114">
        <f>HYPERLINK("https://youglish.com/pronounce/物料供应链可视化/chinese","🔍")</f>
        <v/>
      </c>
    </row>
    <row r="1227" ht="42.75" customHeight="1" s="99">
      <c r="A1227" s="94" t="inlineStr">
        <is>
          <t>PDF_Tiếng trung Full BỘ BCT.pdf</t>
        </is>
      </c>
      <c r="B1227" s="95" t="inlineStr">
        <is>
          <t>378</t>
        </is>
      </c>
      <c r="C1227" s="94" t="inlineStr">
        <is>
          <t>生产线维护保养</t>
        </is>
      </c>
      <c r="D1227" s="94" t="inlineStr">
        <is>
          <t>Shēngchǎn Xiàn Wéihù Bǎoyǎng) - Maintenance and Upkeep of Production Lines - Bảo dưỡng và Bảo trì Dây chuyền Sản xuất</t>
        </is>
      </c>
      <c r="E1227" s="94" t="inlineStr">
        <is>
          <t>378. 生产线维护保养 (Shēngchǎn Xiàn Wéihù Bǎoyǎng) - Maintenance and Upkeep of Production Lines - Bảo dưỡng và Bảo trì Dây chuyền Sản xuất</t>
        </is>
      </c>
      <c r="F1227" s="115">
        <f>HYPERLINK("https://youglish.com/pronounce/生产线维护保养/chinese","🔍")</f>
        <v/>
      </c>
    </row>
    <row r="1228" ht="42.75" customHeight="1" s="99">
      <c r="A1228" s="92" t="inlineStr">
        <is>
          <t>PDF_Tiếng trung Full BỘ BCT.pdf</t>
        </is>
      </c>
      <c r="B1228" s="93" t="inlineStr">
        <is>
          <t>379</t>
        </is>
      </c>
      <c r="C1228" s="92" t="inlineStr">
        <is>
          <t>需求计划协作平台</t>
        </is>
      </c>
      <c r="D1228" s="92" t="inlineStr">
        <is>
          <t>Xūqiú Jìhuà Xiézuò Píngtái) - Collaboration Platform for Demand Planning - Nền tảng Hợp tác trong Kế hoạch Nhu cầu</t>
        </is>
      </c>
      <c r="E1228" s="92" t="inlineStr">
        <is>
          <t>379. 需求计划协作平台 (Xūqiú Jìhuà Xiézuò Píngtái) - Collaboration Platform for Demand Planning - Nền tảng Hợp tác trong Kế hoạch Nhu cầu</t>
        </is>
      </c>
      <c r="F1228" s="114">
        <f>HYPERLINK("https://youglish.com/pronounce/需求计划协作平台/chinese","🔍")</f>
        <v/>
      </c>
    </row>
    <row r="1229" ht="28.5" customHeight="1" s="99">
      <c r="A1229" s="94" t="inlineStr">
        <is>
          <t>PDF_Tiếng trung Full BỘ BCT.pdf</t>
        </is>
      </c>
      <c r="B1229" s="95" t="inlineStr">
        <is>
          <t>380</t>
        </is>
      </c>
      <c r="C1229" s="94" t="inlineStr">
        <is>
          <t>生产线质量报告</t>
        </is>
      </c>
      <c r="D1229" s="94" t="inlineStr">
        <is>
          <t>Shēngchǎn Xiàn Zhìliàng Bàogào) - Quality Reports of Production Lines - Báo cáo Chất lượng của Dây chuyền Sản xuất</t>
        </is>
      </c>
      <c r="E1229" s="94" t="inlineStr">
        <is>
          <t>380. 生产线质量报告 (Shēngchǎn Xiàn Zhìliàng Bàogào) - Quality Reports of Production Lines - Báo cáo Chất lượng của Dây chuyền Sản xuất</t>
        </is>
      </c>
      <c r="F1229" s="115">
        <f>HYPERLINK("https://youglish.com/pronounce/生产线质量报告/chinese","🔍")</f>
        <v/>
      </c>
    </row>
    <row r="1230" ht="28.5" customHeight="1" s="99">
      <c r="A1230" s="92" t="inlineStr">
        <is>
          <t>PDF_Tiếng trung Full BỘ BCT.pdf</t>
        </is>
      </c>
      <c r="B1230" s="93" t="inlineStr">
        <is>
          <t>381</t>
        </is>
      </c>
      <c r="C1230" s="92" t="inlineStr">
        <is>
          <t>物流成本优化</t>
        </is>
      </c>
      <c r="D1230" s="92" t="inlineStr">
        <is>
          <t>Wùliú Chéngběn Yōuhuà) - Optimization of Logistics Costs - Tối ưu hóa Chi phí Logistics</t>
        </is>
      </c>
      <c r="E1230" s="92" t="inlineStr">
        <is>
          <t>381. 物流成本优化 (Wùliú Chéngběn Yōuhuà) - Optimization of Logistics Costs - Tối ưu hóa Chi phí Logistics</t>
        </is>
      </c>
      <c r="F1230" s="114">
        <f>HYPERLINK("https://youglish.com/pronounce/物流成本优化/chinese","🔍")</f>
        <v/>
      </c>
    </row>
    <row r="1231" ht="28.5" customHeight="1" s="99">
      <c r="A1231" s="94" t="inlineStr">
        <is>
          <t>PDF_Tiếng trung Full BỘ BCT.pdf</t>
        </is>
      </c>
      <c r="B1231" s="95" t="inlineStr">
        <is>
          <t>382</t>
        </is>
      </c>
      <c r="C1231" s="94" t="inlineStr">
        <is>
          <t>供应链创新战略</t>
        </is>
      </c>
      <c r="D1231" s="94" t="inlineStr">
        <is>
          <t>Gōngyìngliàn Chuàngxīn Zhànlüè) - Innovative Strategies in the Supply Chain - Chiến lược Đổi mới trong Chuỗi cung ứng</t>
        </is>
      </c>
      <c r="E1231" s="94" t="inlineStr">
        <is>
          <t>382. 供应链创新战略 (Gōngyìngliàn Chuàngxīn Zhànlüè) - Innovative Strategies in the Supply Chain - Chiến lược Đổi mới trong Chuỗi cung ứng</t>
        </is>
      </c>
      <c r="F1231" s="115">
        <f>HYPERLINK("https://youglish.com/pronounce/供应链创新战略/chinese","🔍")</f>
        <v/>
      </c>
    </row>
    <row r="1232" ht="28.5" customHeight="1" s="99">
      <c r="A1232" s="92" t="inlineStr">
        <is>
          <t>PDF_Tiếng trung Full BỘ BCT.pdf</t>
        </is>
      </c>
      <c r="B1232" s="93" t="inlineStr">
        <is>
          <t>383</t>
        </is>
      </c>
      <c r="C1232" s="92" t="inlineStr">
        <is>
          <t>生产线工艺改进</t>
        </is>
      </c>
      <c r="D1232" s="92" t="inlineStr">
        <is>
          <t>Shēngchǎn Xiàn Gōngyì Gǎishàn) - Improvement in Production Line Processes - Cải thiện Quy trình Dây chuyền Sản xuất</t>
        </is>
      </c>
      <c r="E1232" s="92" t="inlineStr">
        <is>
          <t>383. 生产线工艺改进 (Shēngchǎn Xiàn Gōngyì Gǎishàn) - Improvement in Production Line Processes - Cải thiện Quy trình Dây chuyền Sản xuất</t>
        </is>
      </c>
      <c r="F1232" s="114">
        <f>HYPERLINK("https://youglish.com/pronounce/生产线工艺改进/chinese","🔍")</f>
        <v/>
      </c>
    </row>
    <row r="1233" ht="42.75" customHeight="1" s="99">
      <c r="A1233" s="94" t="inlineStr">
        <is>
          <t>PDF_Tiếng trung Full BỘ BCT.pdf</t>
        </is>
      </c>
      <c r="B1233" s="95" t="inlineStr">
        <is>
          <t>384</t>
        </is>
      </c>
      <c r="C1233" s="94" t="inlineStr">
        <is>
          <t>需求计划灵活调整</t>
        </is>
      </c>
      <c r="D1233" s="94" t="inlineStr">
        <is>
          <t>Xūqiú Jìhuà Línghuó Tiáozhěng) - Flexible Adjustment in Demand Planning - Điều chỉnh Linh hoạt trong Kế hoạch Nhu cầu</t>
        </is>
      </c>
      <c r="E1233" s="94" t="inlineStr">
        <is>
          <t>384. 需求计划灵活调整 (Xūqiú Jìhuà Línghuó Tiáozhěng) - Flexible Adjustment in Demand Planning - Điều chỉnh Linh hoạt trong Kế hoạch Nhu cầu</t>
        </is>
      </c>
      <c r="F1233" s="115">
        <f>HYPERLINK("https://youglish.com/pronounce/需求计划灵活调整/chinese","🔍")</f>
        <v/>
      </c>
    </row>
    <row r="1234" ht="28.5" customHeight="1" s="99">
      <c r="A1234" s="92" t="inlineStr">
        <is>
          <t>PDF_Tiếng trung Full BỘ BCT.pdf</t>
        </is>
      </c>
      <c r="B1234" s="93" t="inlineStr">
        <is>
          <t>385</t>
        </is>
      </c>
      <c r="C1234" s="92" t="inlineStr">
        <is>
          <t>供应商数据分析</t>
        </is>
      </c>
      <c r="D1234" s="92" t="inlineStr">
        <is>
          <t>Gōngyìngshāng Shùjù Fēnxī) - Data Analysis for Vendors - Phân tích Dữ liệu cho Nhà cung cấp</t>
        </is>
      </c>
      <c r="E1234" s="92" t="inlineStr">
        <is>
          <t>385. 供应商数据分析 (Gōngyìngshāng Shùjù Fēnxī) - Data Analysis for Vendors - Phân tích Dữ liệu cho Nhà cung cấp</t>
        </is>
      </c>
      <c r="F1234" s="114">
        <f>HYPERLINK("https://youglish.com/pronounce/供应商数据分析/chinese","🔍")</f>
        <v/>
      </c>
    </row>
    <row r="1235" ht="28.5" customHeight="1" s="99">
      <c r="A1235" s="94" t="inlineStr">
        <is>
          <t>PDF_Tiếng trung Full BỘ BCT.pdf</t>
        </is>
      </c>
      <c r="B1235" s="95" t="inlineStr">
        <is>
          <t>386</t>
        </is>
      </c>
      <c r="C1235" s="94" t="inlineStr">
        <is>
          <t>物料库存管理系统</t>
        </is>
      </c>
      <c r="D1235" s="94" t="inlineStr">
        <is>
          <t>Wùliào Kùcún Guǎnlǐ Xìtǒng) - Material Inventory Management System - Hệ thống Quản lý Tồn kho Vật liệu</t>
        </is>
      </c>
      <c r="E1235" s="94" t="inlineStr">
        <is>
          <t>386. 物料库存管理系统 (Wùliào Kùcún Guǎnlǐ Xìtǒng) - Material Inventory Management System - Hệ thống Quản lý Tồn kho Vật liệu</t>
        </is>
      </c>
      <c r="F1235" s="115">
        <f>HYPERLINK("https://youglish.com/pronounce/物料库存管理系统/chinese","🔍")</f>
        <v/>
      </c>
    </row>
    <row r="1236" ht="42.75" customHeight="1" s="99">
      <c r="A1236" s="92" t="inlineStr">
        <is>
          <t>PDF_Tiếng trung Full BỘ BCT.pdf</t>
        </is>
      </c>
      <c r="B1236" s="93" t="inlineStr">
        <is>
          <t>387</t>
        </is>
      </c>
      <c r="C1236" s="92" t="inlineStr">
        <is>
          <t>生产线自动化技术</t>
        </is>
      </c>
      <c r="D1236" s="92" t="inlineStr">
        <is>
          <t>Shēngchǎn Xiàn Zìdòng Huà Jìshù) - Automation Technology in Production Lines - Công nghệ Tự động hóa trong Dây chuyền Sản xuất</t>
        </is>
      </c>
      <c r="E1236" s="92" t="inlineStr">
        <is>
          <t>387. 生产线自动化技术 (Shēngchǎn Xiàn Zìdòng Huà Jìshù) - Automation Technology in Production Lines - Công nghệ Tự động hóa trong Dây chuyền Sản xuất</t>
        </is>
      </c>
      <c r="F1236" s="114">
        <f>HYPERLINK("https://youglish.com/pronounce/生产线自动化技术/chinese","🔍")</f>
        <v/>
      </c>
    </row>
    <row r="1237" ht="28.5" customHeight="1" s="99">
      <c r="A1237" s="94" t="inlineStr">
        <is>
          <t>PDF_Tiếng trung Full BỘ BCT.pdf</t>
        </is>
      </c>
      <c r="B1237" s="95" t="inlineStr">
        <is>
          <t>388</t>
        </is>
      </c>
      <c r="C1237" s="94" t="inlineStr">
        <is>
          <t>需求满足速度监测</t>
        </is>
      </c>
      <c r="D1237" s="94" t="inlineStr">
        <is>
          <t>Xūqiú Mǎnzú Sùdù Jiāncè) - Monitoring of Demand Fulfillment Speed - Giám sát Tốc độ Đáp ứng Nhu cầu</t>
        </is>
      </c>
      <c r="E1237" s="94" t="inlineStr">
        <is>
          <t>388. 需求满足速度监测 (Xūqiú Mǎnzú Sùdù Jiāncè) - Monitoring of Demand Fulfillment Speed - Giám sát Tốc độ Đáp ứng Nhu cầu</t>
        </is>
      </c>
      <c r="F1237" s="115">
        <f>HYPERLINK("https://youglish.com/pronounce/需求满足速度监测/chinese","🔍")</f>
        <v/>
      </c>
    </row>
    <row r="1238" ht="42.75" customHeight="1" s="99">
      <c r="A1238" s="92" t="inlineStr">
        <is>
          <t>PDF_Tiếng trung Full BỘ BCT.pdf</t>
        </is>
      </c>
      <c r="B1238" s="93" t="inlineStr">
        <is>
          <t>389</t>
        </is>
      </c>
      <c r="C1238" s="92" t="inlineStr">
        <is>
          <t>供应链可持续采购</t>
        </is>
      </c>
      <c r="D1238" s="92" t="inlineStr">
        <is>
          <t>Gōngyìngliàn Kěchíxù Cǎigòu) - Sustainable Procurement in the Supply Chain - Mua sắm Bền vững trong Chuỗi cung ứng</t>
        </is>
      </c>
      <c r="E1238" s="92" t="inlineStr">
        <is>
          <t>389. 供应链可持续采购 (Gōngyìngliàn Kěchíxù Cǎigòu) - Sustainable Procurement in the Supply Chain - Mua sắm Bền vững trong Chuỗi cung ứng</t>
        </is>
      </c>
      <c r="F1238" s="114">
        <f>HYPERLINK("https://youglish.com/pronounce/供应链可持续采购/chinese","🔍")</f>
        <v/>
      </c>
    </row>
    <row r="1239" ht="42.75" customHeight="1" s="99">
      <c r="A1239" s="94" t="inlineStr">
        <is>
          <t>PDF_Tiếng trung Full BỘ BCT.pdf</t>
        </is>
      </c>
      <c r="B1239" s="95" t="inlineStr">
        <is>
          <t>390</t>
        </is>
      </c>
      <c r="C1239" s="94" t="inlineStr">
        <is>
          <t>生产线灵活生产</t>
        </is>
      </c>
      <c r="D1239" s="94" t="inlineStr">
        <is>
          <t>Shēngchǎn Xiàn Línghuó Shēngchǎn) - Flexible Production in Production Lines - Sản xuất Linh hoạt trong Dây chuyền Sản xuất</t>
        </is>
      </c>
      <c r="E1239" s="94" t="inlineStr">
        <is>
          <t>390. 生产线灵活生产 (Shēngchǎn Xiàn Línghuó Shēngchǎn) - Flexible Production in Production Lines - Sản xuất Linh hoạt trong Dây chuyền Sản xuất</t>
        </is>
      </c>
      <c r="F1239" s="115">
        <f>HYPERLINK("https://youglish.com/pronounce/生产线灵活生产/chinese","🔍")</f>
        <v/>
      </c>
    </row>
    <row r="1240" ht="28.5" customHeight="1" s="99">
      <c r="A1240" s="92" t="inlineStr">
        <is>
          <t>PDF_Tiếng trung Full BỘ BCT.pdf</t>
        </is>
      </c>
      <c r="B1240" s="93" t="inlineStr">
        <is>
          <t>391</t>
        </is>
      </c>
      <c r="C1240" s="92" t="inlineStr">
        <is>
          <t>物流服务水平评估</t>
        </is>
      </c>
      <c r="D1240" s="92" t="inlineStr">
        <is>
          <t>Wùliú Fúwù Shuǐpíng Pínggū) - Assessment of Logistics Service Levels - Đánh giá Cấp độ Dịch vụ Logistics</t>
        </is>
      </c>
      <c r="E1240" s="92" t="inlineStr">
        <is>
          <t>391. 物流服务水平评估 (Wùliú Fúwù Shuǐpíng Pínggū) - Assessment of Logistics Service Levels - Đánh giá Cấp độ Dịch vụ Logistics</t>
        </is>
      </c>
      <c r="F1240" s="114">
        <f>HYPERLINK("https://youglish.com/pronounce/物流服务水平评估/chinese","🔍")</f>
        <v/>
      </c>
    </row>
    <row r="1241" ht="42.75" customHeight="1" s="99">
      <c r="A1241" s="94" t="inlineStr">
        <is>
          <t>PDF_Tiếng trung Full BỘ BCT.pdf</t>
        </is>
      </c>
      <c r="B1241" s="95" t="inlineStr">
        <is>
          <t>392</t>
        </is>
      </c>
      <c r="C1241" s="94" t="inlineStr">
        <is>
          <t>供应链风险管理体系</t>
        </is>
      </c>
      <c r="D1241" s="94" t="inlineStr">
        <is>
          <t>Gōngyìngliàn Fēngxiǎn Guǎnlǐ Tǐxì) - Supply Chain Risk Management System - Hệ thống Quản lý Rủi ro trong Chuỗi cung ứng</t>
        </is>
      </c>
      <c r="E1241" s="94" t="inlineStr">
        <is>
          <t>392. 供应链风险管理体系 (Gōngyìngliàn Fēngxiǎn Guǎnlǐ Tǐxì) - Supply Chain Risk Management System - Hệ thống Quản lý Rủi ro trong Chuỗi cung ứng</t>
        </is>
      </c>
      <c r="F1241" s="115">
        <f>HYPERLINK("https://youglish.com/pronounce/供应链风险管理体系/chinese","🔍")</f>
        <v/>
      </c>
    </row>
    <row r="1242" ht="28.5" customHeight="1" s="99">
      <c r="A1242" s="92" t="inlineStr">
        <is>
          <t>PDF_Tiếng trung Full BỘ BCT.pdf</t>
        </is>
      </c>
      <c r="B1242" s="93" t="inlineStr">
        <is>
          <t>393</t>
        </is>
      </c>
      <c r="C1242" s="92" t="inlineStr">
        <is>
          <t>生产线工艺控制</t>
        </is>
      </c>
      <c r="D1242" s="92" t="inlineStr">
        <is>
          <t>Shēngchǎn Xiàn Gōngyì Kòngzhì) - Process Control in Production Lines - Kiểm soát Quy trình trong Dây chuyền Sản xuất</t>
        </is>
      </c>
      <c r="E1242" s="92" t="inlineStr">
        <is>
          <t>393. 生产线工艺控制 (Shēngchǎn Xiàn Gōngyì Kòngzhì) - Process Control in Production Lines - Kiểm soát Quy trình trong Dây chuyền Sản xuất</t>
        </is>
      </c>
      <c r="F1242" s="114">
        <f>HYPERLINK("https://youglish.com/pronounce/生产线工艺控制/chinese","🔍")</f>
        <v/>
      </c>
    </row>
    <row r="1243" ht="28.5" customHeight="1" s="99">
      <c r="A1243" s="94" t="inlineStr">
        <is>
          <t>PDF_Tiếng trung Full BỘ BCT.pdf</t>
        </is>
      </c>
      <c r="B1243" s="95" t="inlineStr">
        <is>
          <t>394</t>
        </is>
      </c>
      <c r="C1243" s="94" t="inlineStr">
        <is>
          <t>货物分拣流程</t>
        </is>
      </c>
      <c r="D1243" s="94" t="inlineStr">
        <is>
          <t>Huòwù Fēnjiǎn Liúchéng) - Cargo Sorting Process - Quy trình Sắp xếp Hàng hóa</t>
        </is>
      </c>
      <c r="E1243" s="94" t="inlineStr">
        <is>
          <t>394. 货物分拣流程 (Huòwù Fēnjiǎn Liúchéng) - Cargo Sorting Process - Quy trình Sắp xếp Hàng hóa</t>
        </is>
      </c>
      <c r="F1243" s="115">
        <f>HYPERLINK("https://youglish.com/pronounce/货物分拣流程/chinese","🔍")</f>
        <v/>
      </c>
    </row>
    <row r="1244" ht="28.5" customHeight="1" s="99">
      <c r="A1244" s="92" t="inlineStr">
        <is>
          <t>PDF_Tiếng trung Full BỘ BCT.pdf</t>
        </is>
      </c>
      <c r="B1244" s="93" t="inlineStr">
        <is>
          <t>395</t>
        </is>
      </c>
      <c r="C1244" s="92" t="inlineStr">
        <is>
          <t>供应商社交责任</t>
        </is>
      </c>
      <c r="D1244" s="92" t="inlineStr">
        <is>
          <t>Gōngyìngshāng Shèjiāo Zérèn) - Vendor Social Responsibility - Trách nhiệm Xã hội của Nhà cung cấp</t>
        </is>
      </c>
      <c r="E1244" s="92" t="inlineStr">
        <is>
          <t>395. 供应商社交责任 (Gōngyìngshāng Shèjiāo Zérèn) - Vendor Social Responsibility - Trách nhiệm Xã hội của Nhà cung cấp</t>
        </is>
      </c>
      <c r="F1244" s="114">
        <f>HYPERLINK("https://youglish.com/pronounce/供应商社交责任/chinese","🔍")</f>
        <v/>
      </c>
    </row>
    <row r="1245" ht="28.5" customHeight="1" s="99">
      <c r="A1245" s="94" t="inlineStr">
        <is>
          <t>PDF_Tiếng trung Full BỘ BCT.pdf</t>
        </is>
      </c>
      <c r="B1245" s="95" t="inlineStr">
        <is>
          <t>396</t>
        </is>
      </c>
      <c r="C1245" s="94" t="inlineStr">
        <is>
          <t>物流网络优化</t>
        </is>
      </c>
      <c r="D1245" s="94" t="inlineStr">
        <is>
          <t>Wùliú Wǎngluò Yōuhuà) - Optimization of Logistics Networks - Tối ưu hóa Mạng lưới Logistics</t>
        </is>
      </c>
      <c r="E1245" s="94" t="inlineStr">
        <is>
          <t>396. 物流网络优化 (Wùliú Wǎngluò Yōuhuà) - Optimization of Logistics Networks - Tối ưu hóa Mạng lưới Logistics</t>
        </is>
      </c>
      <c r="F1245" s="115">
        <f>HYPERLINK("https://youglish.com/pronounce/物流网络优化/chinese","🔍")</f>
        <v/>
      </c>
    </row>
    <row r="1246" ht="42.75" customHeight="1" s="99">
      <c r="A1246" s="92" t="inlineStr">
        <is>
          <t>PDF_Tiếng trung Full BỘ BCT.pdf</t>
        </is>
      </c>
      <c r="B1246" s="93" t="inlineStr">
        <is>
          <t>397</t>
        </is>
      </c>
      <c r="C1246" s="92" t="inlineStr">
        <is>
          <t>生产线生产规划</t>
        </is>
      </c>
      <c r="D1246" s="92" t="inlineStr">
        <is>
          <t>Shēngchǎn Xiàn Shēngchǎn Guīhuà) - Production Planning in Production Lines - Kế hoạch Sản xuất trong Dây chuyền Sản xuất</t>
        </is>
      </c>
      <c r="E1246" s="92" t="inlineStr">
        <is>
          <t>397. 生产线生产规划 (Shēngchǎn Xiàn Shēngchǎn Guīhuà) - Production Planning in Production Lines - Kế hoạch Sản xuất trong Dây chuyền Sản xuất</t>
        </is>
      </c>
      <c r="F1246" s="114">
        <f>HYPERLINK("https://youglish.com/pronounce/生产线生产规划/chinese","🔍")</f>
        <v/>
      </c>
    </row>
    <row r="1247" ht="28.5" customHeight="1" s="99">
      <c r="A1247" s="94" t="inlineStr">
        <is>
          <t>PDF_Tiếng trung Full BỘ BCT.pdf</t>
        </is>
      </c>
      <c r="B1247" s="95" t="inlineStr">
        <is>
          <t>398</t>
        </is>
      </c>
      <c r="C1247" s="94" t="inlineStr">
        <is>
          <t>需求计划数据分析</t>
        </is>
      </c>
      <c r="D1247" s="94" t="inlineStr">
        <is>
          <t>Xūqiú Jìhuà Shùjù Fēnxī) - Data Analysis for Demand Planning - Phân tích Dữ liệu trong Kế hoạch Nhu cầu</t>
        </is>
      </c>
      <c r="E1247" s="94" t="inlineStr">
        <is>
          <t>398. 需求计划数据分析 (Xūqiú Jìhuà Shùjù Fēnxī) - Data Analysis for Demand Planning - Phân tích Dữ liệu trong Kế hoạch Nhu cầu</t>
        </is>
      </c>
      <c r="F1247" s="115">
        <f>HYPERLINK("https://youglish.com/pronounce/需求计划数据分析/chinese","🔍")</f>
        <v/>
      </c>
    </row>
    <row r="1248" ht="28.5" customHeight="1" s="99">
      <c r="A1248" s="92" t="inlineStr">
        <is>
          <t>PDF_Tiếng trung Full BỘ BCT.pdf</t>
        </is>
      </c>
      <c r="B1248" s="93" t="inlineStr">
        <is>
          <t>399</t>
        </is>
      </c>
      <c r="C1248" s="92" t="inlineStr">
        <is>
          <t>供应链灵活性评估</t>
        </is>
      </c>
      <c r="D1248" s="92" t="inlineStr">
        <is>
          <t>Gōngyìngliàn Línghuóxìng Pínggū) - Assessment of Supply Chain Flexibility - Đánh giá Linh hoạt trong Chuỗi cung ứng</t>
        </is>
      </c>
      <c r="E1248" s="92" t="inlineStr">
        <is>
          <t>399. 供应链灵活性评估 (Gōngyìngliàn Línghuóxìng Pínggū) - Assessment of Supply Chain Flexibility - Đánh giá Linh hoạt trong Chuỗi cung ứng</t>
        </is>
      </c>
      <c r="F1248" s="114">
        <f>HYPERLINK("https://youglish.com/pronounce/供应链灵活性评估/chinese","🔍")</f>
        <v/>
      </c>
    </row>
    <row r="1249" ht="42.75" customHeight="1" s="99">
      <c r="A1249" s="94" t="inlineStr">
        <is>
          <t>PDF_Tiếng trung Full BỘ BCT.pdf</t>
        </is>
      </c>
      <c r="B1249" s="95" t="inlineStr">
        <is>
          <t>400</t>
        </is>
      </c>
      <c r="C1249" s="94" t="inlineStr">
        <is>
          <t>物料供应链风险管理</t>
        </is>
      </c>
      <c r="D1249" s="94" t="inlineStr">
        <is>
          <t>Wùliào Gōngyìngliàn Fēngxiǎn Guǎnlǐ) - Risk Management in Material Supply Chains - Quản lý Rủi ro trong Chuỗi cung ứng Vật liệu</t>
        </is>
      </c>
      <c r="E1249" s="94" t="inlineStr">
        <is>
          <t>400. 物料供应链风险管理 (Wùliào Gōngyìngliàn Fēngxiǎn Guǎnlǐ) - Risk Management in Material Supply Chains - Quản lý Rủi ro trong Chuỗi cung ứng Vật liệu</t>
        </is>
      </c>
      <c r="F1249" s="115">
        <f>HYPERLINK("https://youglish.com/pronounce/物料供应链风险管理/chinese","🔍")</f>
        <v/>
      </c>
    </row>
    <row r="1250" ht="28.5" customHeight="1" s="99">
      <c r="A1250" s="92" t="inlineStr">
        <is>
          <t>PDF_Tiếng trung Full BỘ BCT.pdf</t>
        </is>
      </c>
      <c r="B1250" s="93" t="inlineStr">
        <is>
          <t>401</t>
        </is>
      </c>
      <c r="C1250" s="92" t="inlineStr">
        <is>
          <t>供应商合作伙伴关系</t>
        </is>
      </c>
      <c r="D1250" s="92" t="inlineStr">
        <is>
          <t>Gōngyìngshāng Hézuò Huǒbàn Guānxì) - Vendor Partnership Relations - Mối quan hệ Đối tác với Nhà cung cấp</t>
        </is>
      </c>
      <c r="E1250" s="92" t="inlineStr">
        <is>
          <t>401. 供应商合作伙伴关系 (Gōngyìngshāng Hézuò Huǒbàn Guānxì) - Vendor Partnership Relations - Mối quan hệ Đối tác với Nhà cung cấp</t>
        </is>
      </c>
      <c r="F1250" s="114">
        <f>HYPERLINK("https://youglish.com/pronounce/供应商合作伙伴关系/chinese","🔍")</f>
        <v/>
      </c>
    </row>
    <row r="1251" ht="42.75" customHeight="1" s="99">
      <c r="A1251" s="94" t="inlineStr">
        <is>
          <t>PDF_Tiếng trung Full BỘ BCT.pdf</t>
        </is>
      </c>
      <c r="B1251" s="95" t="inlineStr">
        <is>
          <t>402</t>
        </is>
      </c>
      <c r="C1251" s="94" t="inlineStr">
        <is>
          <t>生产线质量监控</t>
        </is>
      </c>
      <c r="D1251" s="94" t="inlineStr">
        <is>
          <t>Shēngchǎn Xiàn Zhìliàng Jiānkòng) - Quality Monitoring in Production Lines - Giám sát Chất lượng trong Dây chuyền Sản xuất</t>
        </is>
      </c>
      <c r="E1251" s="94" t="inlineStr">
        <is>
          <t>402. 生产线质量监控 (Shēngchǎn Xiàn Zhìliàng Jiānkòng) - Quality Monitoring in Production Lines - Giám sát Chất lượng trong Dây chuyền Sản xuất</t>
        </is>
      </c>
      <c r="F1251" s="115">
        <f>HYPERLINK("https://youglish.com/pronounce/生产线质量监控/chinese","🔍")</f>
        <v/>
      </c>
    </row>
    <row r="1252" ht="28.5" customHeight="1" s="99">
      <c r="A1252" s="92" t="inlineStr">
        <is>
          <t>PDF_Tiếng trung Full BỘ BCT.pdf</t>
        </is>
      </c>
      <c r="B1252" s="93" t="inlineStr">
        <is>
          <t>403</t>
        </is>
      </c>
      <c r="C1252" s="92" t="inlineStr">
        <is>
          <t>货物配送效率</t>
        </is>
      </c>
      <c r="D1252" s="92" t="inlineStr">
        <is>
          <t>Huòwù Pèisòng Xiàolǜ) - Efficiency in Cargo Distribution - Hiệu suất Phân phối Hàng hóa</t>
        </is>
      </c>
      <c r="E1252" s="92" t="inlineStr">
        <is>
          <t>403. 货物配送效率 (Huòwù Pèisòng Xiàolǜ) - Efficiency in Cargo Distribution - Hiệu suất Phân phối Hàng hóa</t>
        </is>
      </c>
      <c r="F1252" s="114">
        <f>HYPERLINK("https://youglish.com/pronounce/货物配送效率/chinese","🔍")</f>
        <v/>
      </c>
    </row>
    <row r="1253" ht="28.5" customHeight="1" s="99">
      <c r="A1253" s="94" t="inlineStr">
        <is>
          <t>PDF_Tiếng trung Full BỘ BCT.pdf</t>
        </is>
      </c>
      <c r="B1253" s="95" t="inlineStr">
        <is>
          <t>404</t>
        </is>
      </c>
      <c r="C1253" s="94" t="inlineStr">
        <is>
          <t>供应链数字化战略</t>
        </is>
      </c>
      <c r="D1253" s="94" t="inlineStr">
        <is>
          <t>Gōngyìngliàn Shùzìhuà Zhànlüè) - Digitalization Strategy in the Supply Chain - Chiến lược Số hóa trong Chuỗi cung ứng</t>
        </is>
      </c>
      <c r="E1253" s="94" t="inlineStr">
        <is>
          <t>404. 供应链数字化战略 (Gōngyìngliàn Shùzìhuà Zhànlüè) - Digitalization Strategy in the Supply Chain - Chiến lược Số hóa trong Chuỗi cung ứng</t>
        </is>
      </c>
      <c r="F1253" s="115">
        <f>HYPERLINK("https://youglish.com/pronounce/供应链数字化战略/chinese","🔍")</f>
        <v/>
      </c>
    </row>
    <row r="1254" ht="28.5" customHeight="1" s="99">
      <c r="A1254" s="92" t="inlineStr">
        <is>
          <t>PDF_Tiếng trung Full BỘ BCT.pdf</t>
        </is>
      </c>
      <c r="B1254" s="93" t="inlineStr">
        <is>
          <t>405</t>
        </is>
      </c>
      <c r="C1254" s="92" t="inlineStr">
        <is>
          <t>生产线运营报告</t>
        </is>
      </c>
      <c r="D1254" s="92" t="inlineStr">
        <is>
          <t>Shēngchǎn Xiàn Yùnyíng Bàogào) - Operations Reports of Production Lines - Báo cáo Hoạt động của Dây chuyền Sản xuất</t>
        </is>
      </c>
      <c r="E1254" s="92" t="inlineStr">
        <is>
          <t>405. 生产线运营报告 (Shēngchǎn Xiàn Yùnyíng Bàogào) - Operations Reports of Production Lines - Báo cáo Hoạt động của Dây chuyền Sản xuất</t>
        </is>
      </c>
      <c r="F1254" s="114">
        <f>HYPERLINK("https://youglish.com/pronounce/生产线运营报告/chinese","🔍")</f>
        <v/>
      </c>
    </row>
    <row r="1255" ht="28.5" customHeight="1" s="99">
      <c r="A1255" s="94" t="inlineStr">
        <is>
          <t>PDF_Tiếng trung Full BỘ BCT.pdf</t>
        </is>
      </c>
      <c r="B1255" s="95" t="inlineStr">
        <is>
          <t>406</t>
        </is>
      </c>
      <c r="C1255" s="94" t="inlineStr">
        <is>
          <t>需求计划执行流程</t>
        </is>
      </c>
      <c r="D1255" s="94" t="inlineStr">
        <is>
          <t>Xūqiú Jìhuà Zhíxíng Liúchéng) - Execution Process of Demand Planning - Quy trình Thực hiện Kế hoạch Nhu cầu</t>
        </is>
      </c>
      <c r="E1255" s="94" t="inlineStr">
        <is>
          <t>406. 需求计划执行流程 (Xūqiú Jìhuà Zhíxíng Liúchéng) - Execution Process of Demand Planning - Quy trình Thực hiện Kế hoạch Nhu cầu</t>
        </is>
      </c>
      <c r="F1255" s="115">
        <f>HYPERLINK("https://youglish.com/pronounce/需求计划执行流程/chinese","🔍")</f>
        <v/>
      </c>
    </row>
    <row r="1256" ht="28.5" customHeight="1" s="99">
      <c r="A1256" s="92" t="inlineStr">
        <is>
          <t>PDF_Tiếng trung Full BỘ BCT.pdf</t>
        </is>
      </c>
      <c r="B1256" s="93" t="inlineStr">
        <is>
          <t>407</t>
        </is>
      </c>
      <c r="C1256" s="92" t="inlineStr">
        <is>
          <t>供应商绩效改进</t>
        </is>
      </c>
      <c r="D1256" s="92" t="inlineStr">
        <is>
          <t>Gōngyìngshāng Jìxiào Gǎishàn) - Improvement in Vendor Performance - Cải thiện Hiệu suất của Nhà cung cấp</t>
        </is>
      </c>
      <c r="E1256" s="92" t="inlineStr">
        <is>
          <t>407. 供应商绩效改进 (Gōngyìngshāng Jìxiào Gǎishàn) - Improvement in Vendor Performance - Cải thiện Hiệu suất của Nhà cung cấp</t>
        </is>
      </c>
      <c r="F1256" s="114">
        <f>HYPERLINK("https://youglish.com/pronounce/供应商绩效改进/chinese","🔍")</f>
        <v/>
      </c>
    </row>
    <row r="1257" ht="28.5" customHeight="1" s="99">
      <c r="A1257" s="94" t="inlineStr">
        <is>
          <t>PDF_Tiếng trung Full BỘ BCT.pdf</t>
        </is>
      </c>
      <c r="B1257" s="95" t="inlineStr">
        <is>
          <t>408</t>
        </is>
      </c>
      <c r="C1257" s="94" t="inlineStr">
        <is>
          <t>物流协同合作</t>
        </is>
      </c>
      <c r="D1257" s="94" t="inlineStr">
        <is>
          <t>Wùliú Xiétiáo Hézuò) - Collaborative Cooperation in Logistics - Hợp tác Hợp nhất trong Logistics</t>
        </is>
      </c>
      <c r="E1257" s="94" t="inlineStr">
        <is>
          <t>408. 物流协同合作 (Wùliú Xiétiáo Hézuò) - Collaborative Cooperation in Logistics - Hợp tác Hợp nhất trong Logistics</t>
        </is>
      </c>
      <c r="F1257" s="115">
        <f>HYPERLINK("https://youglish.com/pronounce/物流协同合作/chinese","🔍")</f>
        <v/>
      </c>
    </row>
    <row r="1258" ht="42.75" customHeight="1" s="99">
      <c r="A1258" s="92" t="inlineStr">
        <is>
          <t>PDF_Tiếng trung Full BỘ BCT.pdf</t>
        </is>
      </c>
      <c r="B1258" s="93" t="inlineStr">
        <is>
          <t>409</t>
        </is>
      </c>
      <c r="C1258" s="92" t="inlineStr">
        <is>
          <t>生产线卫生安全</t>
        </is>
      </c>
      <c r="D1258" s="92" t="inlineStr">
        <is>
          <t>Shēngchǎn Xiàn Wèishēng Ānquán) - Health and Safety in Production Lines - An toàn và Sức khỏe trong Dây chuyền Sản xuất</t>
        </is>
      </c>
      <c r="E1258" s="92" t="inlineStr">
        <is>
          <t>409. 生产线卫生安全 (Shēngchǎn Xiàn Wèishēng Ānquán) - Health and Safety in Production Lines - An toàn và Sức khỏe trong Dây chuyền Sản xuất</t>
        </is>
      </c>
      <c r="F1258" s="114">
        <f>HYPERLINK("https://youglish.com/pronounce/生产线卫生安全/chinese","🔍")</f>
        <v/>
      </c>
    </row>
    <row r="1259" ht="42.75" customHeight="1" s="99">
      <c r="A1259" s="94" t="inlineStr">
        <is>
          <t>PDF_Tiếng trung Full BỘ BCT.pdf</t>
        </is>
      </c>
      <c r="B1259" s="95" t="inlineStr">
        <is>
          <t>410</t>
        </is>
      </c>
      <c r="C1259" s="94" t="inlineStr">
        <is>
          <t>供应链可持续性策略</t>
        </is>
      </c>
      <c r="D1259" s="94" t="inlineStr">
        <is>
          <t>Gōngyìngliàn Kěchíxù Xìng Cèlüè) - Strategies for Sustainable Practices in the Supply Chain - Chiến lược về Thực hành Bền vững trong Chuỗi cung ứng</t>
        </is>
      </c>
      <c r="E1259" s="94" t="inlineStr">
        <is>
          <t>410. 供应链可持续性策略 (Gōngyìngliàn Kěchíxù Xìng Cèlüè) - Strategies for Sustainable Practices in the Supply Chain - Chiến lược về Thực hành Bền vững trong Chuỗi cung ứng</t>
        </is>
      </c>
      <c r="F1259" s="115">
        <f>HYPERLINK("https://youglish.com/pronounce/供应链可持续性策略/chinese","🔍")</f>
        <v/>
      </c>
    </row>
    <row r="1260" ht="28.5" customHeight="1" s="99">
      <c r="A1260" s="92" t="inlineStr">
        <is>
          <t>PDF_Tiếng trung Full BỘ BCT.pdf</t>
        </is>
      </c>
      <c r="B1260" s="93" t="inlineStr">
        <is>
          <t>411</t>
        </is>
      </c>
      <c r="C1260" s="92" t="inlineStr">
        <is>
          <t>供应链运作效能</t>
        </is>
      </c>
      <c r="D1260" s="92" t="inlineStr">
        <is>
          <t>Gōngyìngliàn Yùnzuò Xiàonéng) - Operational Efficiency in the Supply Chain - Hiệu suất Hoạt động trong Chuỗi cung ứng</t>
        </is>
      </c>
      <c r="E1260" s="92" t="inlineStr">
        <is>
          <t>411. 供应链运作效能 (Gōngyìngliàn Yùnzuò Xiàonéng) - Operational Efficiency in the Supply Chain - Hiệu suất Hoạt động trong Chuỗi cung ứng</t>
        </is>
      </c>
      <c r="F1260" s="114">
        <f>HYPERLINK("https://youglish.com/pronounce/供应链运作效能/chinese","🔍")</f>
        <v/>
      </c>
    </row>
    <row r="1261" ht="42.75" customHeight="1" s="99">
      <c r="A1261" s="94" t="inlineStr">
        <is>
          <t>PDF_Tiếng trung Full BỘ BCT.pdf</t>
        </is>
      </c>
      <c r="B1261" s="95" t="inlineStr">
        <is>
          <t>412</t>
        </is>
      </c>
      <c r="C1261" s="94" t="inlineStr">
        <is>
          <t>生产线灵活调整</t>
        </is>
      </c>
      <c r="D1261" s="94" t="inlineStr">
        <is>
          <t>Shēngchǎn Xiàn Línghuó Tiáozhěng) - Flexible Adjustment in Production Lines - Điều chỉnh Linh hoạt trong Dây chuyền Sản xuất</t>
        </is>
      </c>
      <c r="E1261" s="94" t="inlineStr">
        <is>
          <t>412. 生产线灵活调整 (Shēngchǎn Xiàn Línghuó Tiáozhěng) - Flexible Adjustment in Production Lines - Điều chỉnh Linh hoạt trong Dây chuyền Sản xuất</t>
        </is>
      </c>
      <c r="F1261" s="115">
        <f>HYPERLINK("https://youglish.com/pronounce/生产线灵活调整/chinese","🔍")</f>
        <v/>
      </c>
    </row>
    <row r="1262" ht="28.5" customHeight="1" s="99">
      <c r="A1262" s="92" t="inlineStr">
        <is>
          <t>PDF_Tiếng trung Full BỘ BCT.pdf</t>
        </is>
      </c>
      <c r="B1262" s="93" t="inlineStr">
        <is>
          <t>413</t>
        </is>
      </c>
      <c r="C1262" s="92" t="inlineStr">
        <is>
          <t>货物追溯体系审计</t>
        </is>
      </c>
      <c r="D1262" s="92" t="inlineStr">
        <is>
          <t>Huòwù Zhuīsù Tǐxì Shěnjì) - Audit of Cargo Traceability Systems - Kiểm toán Hệ thống Theo dõi Hàng hóa</t>
        </is>
      </c>
      <c r="E1262" s="92" t="inlineStr">
        <is>
          <t>413. 货物追溯体系审计 (Huòwù Zhuīsù Tǐxì Shěnjì) - Audit of Cargo Traceability Systems - Kiểm toán Hệ thống Theo dõi Hàng hóa</t>
        </is>
      </c>
      <c r="F1262" s="114">
        <f>HYPERLINK("https://youglish.com/pronounce/货物追溯体系审计/chinese","🔍")</f>
        <v/>
      </c>
    </row>
    <row r="1263" ht="28.5" customHeight="1" s="99">
      <c r="A1263" s="94" t="inlineStr">
        <is>
          <t>PDF_Tiếng trung Full BỘ BCT.pdf</t>
        </is>
      </c>
      <c r="B1263" s="95" t="inlineStr">
        <is>
          <t>414</t>
        </is>
      </c>
      <c r="C1263" s="94" t="inlineStr">
        <is>
          <t>供应商合规性检查</t>
        </is>
      </c>
      <c r="D1263" s="94" t="inlineStr">
        <is>
          <t>Gōngyìngshāng Héguī Xìng Jiǎnchá) - Compliance Check of Vendors - Kiểm tra Tuân thủ của Nhà cung cấp</t>
        </is>
      </c>
      <c r="E1263" s="94" t="inlineStr">
        <is>
          <t>414. 供应商合规性检查 (Gōngyìngshāng Héguī Xìng Jiǎnchá) - Compliance Check of Vendors - Kiểm tra Tuân thủ của Nhà cung cấp</t>
        </is>
      </c>
      <c r="F1263" s="115">
        <f>HYPERLINK("https://youglish.com/pronounce/供应商合规性检查/chinese","🔍")</f>
        <v/>
      </c>
    </row>
    <row r="1264" ht="28.5" customHeight="1" s="99">
      <c r="A1264" s="92" t="inlineStr">
        <is>
          <t>PDF_Tiếng trung Full BỘ BCT.pdf</t>
        </is>
      </c>
      <c r="B1264" s="93" t="inlineStr">
        <is>
          <t>415</t>
        </is>
      </c>
      <c r="C1264" s="92" t="inlineStr">
        <is>
          <t>物流服务质量评估</t>
        </is>
      </c>
      <c r="D1264" s="92" t="inlineStr">
        <is>
          <t>Wùliú Fúwù Zhìliàng Pínggū) - Assessment of Logistics Service Quality - Đánh giá Chất lượng Dịch vụ Logistics</t>
        </is>
      </c>
      <c r="E1264" s="92" t="inlineStr">
        <is>
          <t>415. 物流服务质量评估 (Wùliú Fúwù Zhìliàng Pínggū) - Assessment of Logistics Service Quality - Đánh giá Chất lượng Dịch vụ Logistics</t>
        </is>
      </c>
      <c r="F1264" s="114">
        <f>HYPERLINK("https://youglish.com/pronounce/物流服务质量评估/chinese","🔍")</f>
        <v/>
      </c>
    </row>
    <row r="1265" ht="42.75" customHeight="1" s="99">
      <c r="A1265" s="94" t="inlineStr">
        <is>
          <t>PDF_Tiếng trung Full BỘ BCT.pdf</t>
        </is>
      </c>
      <c r="B1265" s="95" t="inlineStr">
        <is>
          <t>416</t>
        </is>
      </c>
      <c r="C1265" s="94" t="inlineStr">
        <is>
          <t>生产线自动化生产</t>
        </is>
      </c>
      <c r="D1265" s="94" t="inlineStr">
        <is>
          <t>Shēngchǎn Xiàn Zìdòng Huà Shēngchǎn) - Automated Production in Production Lines - Sản xuất Tự động hóa trong Dây chuyền Sản xuất</t>
        </is>
      </c>
      <c r="E1265" s="94" t="inlineStr">
        <is>
          <t>416. 生产线自动化生产 (Shēngchǎn Xiàn Zìdòng Huà Shēngchǎn) - Automated Production in Production Lines - Sản xuất Tự động hóa trong Dây chuyền Sản xuất</t>
        </is>
      </c>
      <c r="F1265" s="115">
        <f>HYPERLINK("https://youglish.com/pronounce/生产线自动化生产/chinese","🔍")</f>
        <v/>
      </c>
    </row>
    <row r="1266" ht="42.75" customHeight="1" s="99">
      <c r="A1266" s="92" t="inlineStr">
        <is>
          <t>PDF_Tiếng trung Full BỘ BCT.pdf</t>
        </is>
      </c>
      <c r="B1266" s="93" t="inlineStr">
        <is>
          <t>417</t>
        </is>
      </c>
      <c r="C1266" s="92" t="inlineStr">
        <is>
          <t>需求计划执行效果</t>
        </is>
      </c>
      <c r="D1266" s="92" t="inlineStr">
        <is>
          <t>Xūqiú Jìhuà Zhíxíng Xiàoguǒ) - Effectiveness of Demand Planning Execution - Hiệu suất của Quy trình Thực hiện Kế hoạch Nhu cầu</t>
        </is>
      </c>
      <c r="E1266" s="92" t="inlineStr">
        <is>
          <t>417. 需求计划执行效果 (Xūqiú Jìhuà Zhíxíng Xiàoguǒ) - Effectiveness of Demand Planning Execution - Hiệu suất của Quy trình Thực hiện Kế hoạch Nhu cầu</t>
        </is>
      </c>
      <c r="F1266" s="114">
        <f>HYPERLINK("https://youglish.com/pronounce/需求计划执行效果/chinese","🔍")</f>
        <v/>
      </c>
    </row>
    <row r="1267" ht="42.75" customHeight="1" s="99">
      <c r="A1267" s="94" t="inlineStr">
        <is>
          <t>PDF_Tiếng trung Full BỘ BCT.pdf</t>
        </is>
      </c>
      <c r="B1267" s="95" t="inlineStr">
        <is>
          <t>418</t>
        </is>
      </c>
      <c r="C1267" s="94" t="inlineStr">
        <is>
          <t>供应链可持续性证书</t>
        </is>
      </c>
      <c r="D1267" s="94" t="inlineStr">
        <is>
          <t>Gōngyìngliàn Kěchíxù Xìng Zhèngshū) - Certification for Sustainable Practices in the Supply Chain - Chứng chỉ về Thực hành Bền vững trong Chuỗi cung ứng</t>
        </is>
      </c>
      <c r="E1267" s="94" t="inlineStr">
        <is>
          <t>418. 供应链可持续性证书 (Gōngyìngliàn Kěchíxù Xìng Zhèngshū) - Certification for Sustainable Practices in the Supply Chain - Chứng chỉ về Thực hành Bền vững trong Chuỗi cung ứng</t>
        </is>
      </c>
      <c r="F1267" s="115">
        <f>HYPERLINK("https://youglish.com/pronounce/供应链可持续性证书/chinese","🔍")</f>
        <v/>
      </c>
    </row>
    <row r="1268" ht="42.75" customHeight="1" s="99">
      <c r="A1268" s="92" t="inlineStr">
        <is>
          <t>PDF_Tiếng trung Full BỘ BCT.pdf</t>
        </is>
      </c>
      <c r="B1268" s="93" t="inlineStr">
        <is>
          <t>419</t>
        </is>
      </c>
      <c r="C1268" s="92" t="inlineStr">
        <is>
          <t>物料供应链可追溯性</t>
        </is>
      </c>
      <c r="D1268" s="92" t="inlineStr">
        <is>
          <t>Wùliào Gōngyìngliàn Kě Zhuīsù Xìng) - Traceability of Material Supply Chains - Khả năng Theo dõi của Chuỗi cung ứng Vật liệu</t>
        </is>
      </c>
      <c r="E1268" s="92" t="inlineStr">
        <is>
          <t>419. 物料供应链可追溯性 (Wùliào Gōngyìngliàn Kě Zhuīsù Xìng) - Traceability of Material Supply Chains - Khả năng Theo dõi của Chuỗi cung ứng Vật liệu</t>
        </is>
      </c>
      <c r="F1268" s="114">
        <f>HYPERLINK("https://youglish.com/pronounce/物料供应链可追溯性/chinese","🔍")</f>
        <v/>
      </c>
    </row>
    <row r="1269" ht="42.75" customHeight="1" s="99">
      <c r="A1269" s="94" t="inlineStr">
        <is>
          <t>PDF_Tiếng trung Full BỘ BCT.pdf</t>
        </is>
      </c>
      <c r="B1269" s="95" t="inlineStr">
        <is>
          <t>420</t>
        </is>
      </c>
      <c r="C1269" s="94" t="inlineStr">
        <is>
          <t>供应商培训计划评估</t>
        </is>
      </c>
      <c r="D1269" s="94" t="inlineStr">
        <is>
          <t>Gōngyìngshāng Péixùn Jìhuà Pínggū) - Evaluation of Vendor Training Programs - Đánh giá Kế hoạch Đào tạo của Nhà cung cấp</t>
        </is>
      </c>
      <c r="E1269" s="94" t="inlineStr">
        <is>
          <t>420. 供应商培训计划评估 (Gōngyìngshāng Péixùn Jìhuà Pínggū) - Evaluation of Vendor Training Programs - Đánh giá Kế hoạch Đào tạo của Nhà cung cấp</t>
        </is>
      </c>
      <c r="F1269" s="115">
        <f>HYPERLINK("https://youglish.com/pronounce/供应商培训计划评估/chinese","🔍")</f>
        <v/>
      </c>
    </row>
    <row r="1270" ht="42.75" customHeight="1" s="99">
      <c r="A1270" s="92" t="inlineStr">
        <is>
          <t>PDF_Tiếng trung Full BỘ BCT.pdf</t>
        </is>
      </c>
      <c r="B1270" s="93" t="inlineStr">
        <is>
          <t>421</t>
        </is>
      </c>
      <c r="C1270" s="92" t="inlineStr">
        <is>
          <t>生产线效益提升</t>
        </is>
      </c>
      <c r="D1270" s="92" t="inlineStr">
        <is>
          <t>Shēngchǎn Xiàn Xiàolǜ Tígāo) - Enhancement of Efficiency in Production Lines - Nâng cao Hiệu quả trong Dây chuyền Sản xuất</t>
        </is>
      </c>
      <c r="E1270" s="92" t="inlineStr">
        <is>
          <t>421. 生产线效益提升 (Shēngchǎn Xiàn Xiàolǜ Tígāo) - Enhancement of Efficiency in Production Lines - Nâng cao Hiệu quả trong Dây chuyền Sản xuất</t>
        </is>
      </c>
      <c r="F1270" s="114">
        <f>HYPERLINK("https://youglish.com/pronounce/生产线效益提升/chinese","🔍")</f>
        <v/>
      </c>
    </row>
    <row r="1271" ht="28.5" customHeight="1" s="99">
      <c r="A1271" s="94" t="inlineStr">
        <is>
          <t>PDF_Tiếng trung Full BỘ BCT.pdf</t>
        </is>
      </c>
      <c r="B1271" s="95" t="inlineStr">
        <is>
          <t>422</t>
        </is>
      </c>
      <c r="C1271" s="94" t="inlineStr">
        <is>
          <t>需求满足速度分析</t>
        </is>
      </c>
      <c r="D1271" s="94" t="inlineStr">
        <is>
          <t>Xūqiú Mǎnzú Sùdù Fēnxi) - Analysis of Demand Fulfillment Speed - Phân tích Tốc độ Đáp ứng Nhu cầu</t>
        </is>
      </c>
      <c r="E1271" s="94" t="inlineStr">
        <is>
          <t>422. 需求满足速度分析 (Xūqiú Mǎnzú Sùdù Fēnxi) - Analysis of Demand Fulfillment Speed - Phân tích Tốc độ Đáp ứng Nhu cầu</t>
        </is>
      </c>
      <c r="F1271" s="115">
        <f>HYPERLINK("https://youglish.com/pronounce/需求满足速度分析/chinese","🔍")</f>
        <v/>
      </c>
    </row>
    <row r="1272" ht="28.5" customHeight="1" s="99">
      <c r="A1272" s="92" t="inlineStr">
        <is>
          <t>PDF_Tiếng trung Full BỘ BCT.pdf</t>
        </is>
      </c>
      <c r="B1272" s="93" t="inlineStr">
        <is>
          <t>423</t>
        </is>
      </c>
      <c r="C1272" s="92" t="inlineStr">
        <is>
          <t>供应链安全管理</t>
        </is>
      </c>
      <c r="D1272" s="92" t="inlineStr">
        <is>
          <t>Gōngyìngliàn Ānquán Guǎnlǐ) - Security Management in the Supply Chain - Quản lý An toàn trong Chuỗi cung ứng</t>
        </is>
      </c>
      <c r="E1272" s="92" t="inlineStr">
        <is>
          <t>423. 供应链安全管理 (Gōngyìngliàn Ānquán Guǎnlǐ) - Security Management in the Supply Chain - Quản lý An toàn trong Chuỗi cung ứng</t>
        </is>
      </c>
      <c r="F1272" s="114">
        <f>HYPERLINK("https://youglish.com/pronounce/供应链安全管理/chinese","🔍")</f>
        <v/>
      </c>
    </row>
    <row r="1273" ht="42.75" customHeight="1" s="99">
      <c r="A1273" s="94" t="inlineStr">
        <is>
          <t>PDF_Tiếng trung Full BỘ BCT.pdf</t>
        </is>
      </c>
      <c r="B1273" s="95" t="inlineStr">
        <is>
          <t>424</t>
        </is>
      </c>
      <c r="C1273" s="94" t="inlineStr">
        <is>
          <t>生产线协同生产</t>
        </is>
      </c>
      <c r="D1273" s="94" t="inlineStr">
        <is>
          <t>Shēngchǎn Xiàn Xiétiáo Shēngchǎn) - Collaborative Production in Production Lines - Sản xuất Hợp tác trong Dây chuyền Sản xuất</t>
        </is>
      </c>
      <c r="E1273" s="94" t="inlineStr">
        <is>
          <t>424. 生产线协同生产 (Shēngchǎn Xiàn Xiétiáo Shēngchǎn) - Collaborative Production in Production Lines - Sản xuất Hợp tác trong Dây chuyền Sản xuất</t>
        </is>
      </c>
      <c r="F1273" s="115">
        <f>HYPERLINK("https://youglish.com/pronounce/生产线协同生产/chinese","🔍")</f>
        <v/>
      </c>
    </row>
    <row r="1274" ht="28.5" customHeight="1" s="99">
      <c r="A1274" s="92" t="inlineStr">
        <is>
          <t>PDF_Tiếng trung Full BỘ BCT.pdf</t>
        </is>
      </c>
      <c r="B1274" s="93" t="inlineStr">
        <is>
          <t>425</t>
        </is>
      </c>
      <c r="C1274" s="92" t="inlineStr">
        <is>
          <t>货物追溯体系改进</t>
        </is>
      </c>
      <c r="D1274" s="92" t="inlineStr">
        <is>
          <t>Huòwù Zhuīsù Tǐxì Gǎishàn) - Improvement in Cargo Traceability Systems - Cải thiện Hệ thống Theo dõi Hàng hóa</t>
        </is>
      </c>
      <c r="E1274" s="92" t="inlineStr">
        <is>
          <t>425. 货物追溯体系改进 (Huòwù Zhuīsù Tǐxì Gǎishàn) - Improvement in Cargo Traceability Systems - Cải thiện Hệ thống Theo dõi Hàng hóa</t>
        </is>
      </c>
      <c r="F1274" s="114">
        <f>HYPERLINK("https://youglish.com/pronounce/货物追溯体系改进/chinese","🔍")</f>
        <v/>
      </c>
    </row>
    <row r="1275" ht="42.75" customHeight="1" s="99">
      <c r="A1275" s="94" t="inlineStr">
        <is>
          <t>PDF_Tiếng trung Full BỘ BCT.pdf</t>
        </is>
      </c>
      <c r="B1275" s="95" t="inlineStr">
        <is>
          <t>426</t>
        </is>
      </c>
      <c r="C1275" s="94" t="inlineStr">
        <is>
          <t>供应商社交责任政策</t>
        </is>
      </c>
      <c r="D1275" s="94" t="inlineStr">
        <is>
          <t>Gōngyìngshāng Shèjiāo Zérèn Zhèngcè) - Policies on Vendor Social Responsibility - Chính sách về Trách nhiệm Xã hội của Nhà cung cấp</t>
        </is>
      </c>
      <c r="E1275" s="94" t="inlineStr">
        <is>
          <t>426. 供应商社交责任政策 (Gōngyìngshāng Shèjiāo Zérèn Zhèngcè) - Policies on Vendor Social Responsibility - Chính sách về Trách nhiệm Xã hội của Nhà cung cấp</t>
        </is>
      </c>
      <c r="F1275" s="115">
        <f>HYPERLINK("https://youglish.com/pronounce/供应商社交责任政策/chinese","🔍")</f>
        <v/>
      </c>
    </row>
    <row r="1276" ht="28.5" customHeight="1" s="99">
      <c r="A1276" s="92" t="inlineStr">
        <is>
          <t>PDF_Tiếng trung Full BỘ BCT.pdf</t>
        </is>
      </c>
      <c r="B1276" s="93" t="inlineStr">
        <is>
          <t>427</t>
        </is>
      </c>
      <c r="C1276" s="92" t="inlineStr">
        <is>
          <t>物流运输效能</t>
        </is>
      </c>
      <c r="D1276" s="92" t="inlineStr">
        <is>
          <t>Wùliú Yùnshū Xiàonéng) - Transportation Efficiency in Logistics - Hiệu suất Vận chuyển trong Logistics</t>
        </is>
      </c>
      <c r="E1276" s="92" t="inlineStr">
        <is>
          <t>427. 物流运输效能 (Wùliú Yùnshū Xiàonéng) - Transportation Efficiency in Logistics - Hiệu suất Vận chuyển trong Logistics</t>
        </is>
      </c>
      <c r="F1276" s="114">
        <f>HYPERLINK("https://youglish.com/pronounce/物流运输效能/chinese","🔍")</f>
        <v/>
      </c>
    </row>
    <row r="1277" ht="42.75" customHeight="1" s="99">
      <c r="A1277" s="94" t="inlineStr">
        <is>
          <t>PDF_Tiếng trung Full BỘ BCT.pdf</t>
        </is>
      </c>
      <c r="B1277" s="95" t="inlineStr">
        <is>
          <t>428</t>
        </is>
      </c>
      <c r="C1277" s="94" t="inlineStr">
        <is>
          <t>生产线质量保证</t>
        </is>
      </c>
      <c r="D1277" s="94" t="inlineStr">
        <is>
          <t>Shēngchǎn Xiàn Zhìliàng Bǎozhèng) - Quality Assurance in Production Lines - Bảo đảm Chất lượng trong Dây chuyền Sản xuất</t>
        </is>
      </c>
      <c r="E1277" s="94" t="inlineStr">
        <is>
          <t>428. 生产线质量保证 (Shēngchǎn Xiàn Zhìliàng Bǎozhèng) - Quality Assurance in Production Lines - Bảo đảm Chất lượng trong Dây chuyền Sản xuất</t>
        </is>
      </c>
      <c r="F1277" s="115">
        <f>HYPERLINK("https://youglish.com/pronounce/生产线质量保证/chinese","🔍")</f>
        <v/>
      </c>
    </row>
    <row r="1278" ht="28.5" customHeight="1" s="99">
      <c r="A1278" s="92" t="inlineStr">
        <is>
          <t>PDF_Tiếng trung Full BỘ BCT.pdf</t>
        </is>
      </c>
      <c r="B1278" s="93" t="inlineStr">
        <is>
          <t>429</t>
        </is>
      </c>
      <c r="C1278" s="92" t="inlineStr">
        <is>
          <t>需求计划实施</t>
        </is>
      </c>
      <c r="D1278" s="92" t="inlineStr">
        <is>
          <t>Xūqiú Jìhuà Shíshī) - Implementation of Demand Planning - Thực hiện Kế hoạch Nhu cầu</t>
        </is>
      </c>
      <c r="E1278" s="92" t="inlineStr">
        <is>
          <t>429. 需求计划实施 (Xūqiú Jìhuà Shíshī) - Implementation of Demand Planning - Thực hiện Kế hoạch Nhu cầu</t>
        </is>
      </c>
      <c r="F1278" s="114">
        <f>HYPERLINK("https://youglish.com/pronounce/需求计划实施/chinese","🔍")</f>
        <v/>
      </c>
    </row>
    <row r="1279" ht="28.5" customHeight="1" s="99">
      <c r="A1279" s="94" t="inlineStr">
        <is>
          <t>PDF_Tiếng trung Full BỘ BCT.pdf</t>
        </is>
      </c>
      <c r="B1279" s="95" t="inlineStr">
        <is>
          <t>430</t>
        </is>
      </c>
      <c r="C1279" s="94" t="inlineStr">
        <is>
          <t>供应链数字化工具</t>
        </is>
      </c>
      <c r="D1279" s="94" t="inlineStr">
        <is>
          <t>Gōngyìngliàn Shùzìhuà Gōngjù) - Digital Tools for Supply Chain - Công cụ Số hóa cho Chuỗi cung ứng</t>
        </is>
      </c>
      <c r="E1279" s="94" t="inlineStr">
        <is>
          <t>430. 供应链数字化工具 (Gōngyìngliàn Shùzìhuà Gōngjù) - Digital Tools for Supply Chain - Công cụ Số hóa cho Chuỗi cung ứng</t>
        </is>
      </c>
      <c r="F1279" s="115">
        <f>HYPERLINK("https://youglish.com/pronounce/供应链数字化工具/chinese","🔍")</f>
        <v/>
      </c>
    </row>
    <row r="1280" ht="28.5" customHeight="1" s="99">
      <c r="A1280" s="92" t="inlineStr">
        <is>
          <t>PDF_Tiếng trung Full BỘ BCT.pdf</t>
        </is>
      </c>
      <c r="B1280" s="93" t="inlineStr">
        <is>
          <t>431</t>
        </is>
      </c>
      <c r="C1280" s="92" t="inlineStr">
        <is>
          <t>供应链决策支持</t>
        </is>
      </c>
      <c r="D1280" s="92" t="inlineStr">
        <is>
          <t>Gōngyìngliàn Juédá Zhīchí) - Decision Support in the Supply Chain - Hỗ trợ Quyết định trong Chuỗi cung ứng</t>
        </is>
      </c>
      <c r="E1280" s="92" t="inlineStr">
        <is>
          <t>431. 供应链决策支持 (Gōngyìngliàn Juédá Zhīchí) - Decision Support in the Supply Chain - Hỗ trợ Quyết định trong Chuỗi cung ứng</t>
        </is>
      </c>
      <c r="F1280" s="114">
        <f>HYPERLINK("https://youglish.com/pronounce/供应链决策支持/chinese","🔍")</f>
        <v/>
      </c>
    </row>
    <row r="1281" ht="28.5" customHeight="1" s="99">
      <c r="A1281" s="94" t="inlineStr">
        <is>
          <t>PDF_Tiếng trung Full BỘ BCT.pdf</t>
        </is>
      </c>
      <c r="B1281" s="95" t="inlineStr">
        <is>
          <t>432</t>
        </is>
      </c>
      <c r="C1281" s="94" t="inlineStr">
        <is>
          <t>生产线升级计划</t>
        </is>
      </c>
      <c r="D1281" s="94" t="inlineStr">
        <is>
          <t>Shēngchǎn Xiàn Shēngjí Jìhuà) - Upgrade Plans for Production Lines - Kế hoạch Nâng cấp cho Dây chuyền Sản xuất</t>
        </is>
      </c>
      <c r="E1281" s="94" t="inlineStr">
        <is>
          <t>432. 生产线升级计划 (Shēngchǎn Xiàn Shēngjí Jìhuà) - Upgrade Plans for Production Lines - Kế hoạch Nâng cấp cho Dây chuyền Sản xuất</t>
        </is>
      </c>
      <c r="F1281" s="115">
        <f>HYPERLINK("https://youglish.com/pronounce/生产线升级计划/chinese","🔍")</f>
        <v/>
      </c>
    </row>
    <row r="1282" ht="28.5" customHeight="1" s="99">
      <c r="A1282" s="92" t="inlineStr">
        <is>
          <t>PDF_Tiếng trung Full BỘ BCT.pdf</t>
        </is>
      </c>
      <c r="B1282" s="93" t="inlineStr">
        <is>
          <t>433</t>
        </is>
      </c>
      <c r="C1282" s="92" t="inlineStr">
        <is>
          <t>货物追溯数据管理</t>
        </is>
      </c>
      <c r="D1282" s="92" t="inlineStr">
        <is>
          <t>Huòwù Zhuīsù Shùjù Guǎnlǐ) - Data Management for Cargo Traceability - Quản lý Dữ liệu Theo dõi Hàng hóa</t>
        </is>
      </c>
      <c r="E1282" s="92" t="inlineStr">
        <is>
          <t>433. 货物追溯数据管理 (Huòwù Zhuīsù Shùjù Guǎnlǐ) - Data Management for Cargo Traceability - Quản lý Dữ liệu Theo dõi Hàng hóa</t>
        </is>
      </c>
      <c r="F1282" s="114">
        <f>HYPERLINK("https://youglish.com/pronounce/货物追溯数据管理/chinese","🔍")</f>
        <v/>
      </c>
    </row>
    <row r="1283" ht="28.5" customHeight="1" s="99">
      <c r="A1283" s="94" t="inlineStr">
        <is>
          <t>PDF_Tiếng trung Full BỘ BCT.pdf</t>
        </is>
      </c>
      <c r="B1283" s="95" t="inlineStr">
        <is>
          <t>434</t>
        </is>
      </c>
      <c r="C1283" s="94" t="inlineStr">
        <is>
          <t>供应商供货能力</t>
        </is>
      </c>
      <c r="D1283" s="94" t="inlineStr">
        <is>
          <t>Gōngyìngshāng Gònghuò Nénglì) - Vendor Supply Capability - Khả năng Cung cấp của Nhà cung cấp</t>
        </is>
      </c>
      <c r="E1283" s="94" t="inlineStr">
        <is>
          <t>434. 供应商供货能力 (Gōngyìngshāng Gònghuò Nénglì) - Vendor Supply Capability - Khả năng Cung cấp của Nhà cung cấp</t>
        </is>
      </c>
      <c r="F1283" s="115">
        <f>HYPERLINK("https://youglish.com/pronounce/供应商供货能力/chinese","🔍")</f>
        <v/>
      </c>
    </row>
    <row r="1284" ht="28.5" customHeight="1" s="99">
      <c r="A1284" s="92" t="inlineStr">
        <is>
          <t>PDF_Tiếng trung Full BỘ BCT.pdf</t>
        </is>
      </c>
      <c r="B1284" s="93" t="inlineStr">
        <is>
          <t>435</t>
        </is>
      </c>
      <c r="C1284" s="92" t="inlineStr">
        <is>
          <t>物流成本效益</t>
        </is>
      </c>
      <c r="D1284" s="92" t="inlineStr">
        <is>
          <t>Wùliú Chéngběn Xiàoyì) - Cost-Benefit Analysis in Logistics - Phân tích Hiệu suất Chi phí trong Logistics</t>
        </is>
      </c>
      <c r="E1284" s="92" t="inlineStr">
        <is>
          <t>435. 物流成本效益 (Wùliú Chéngběn Xiàoyì) - Cost-Benefit Analysis in Logistics - Phân tích Hiệu suất Chi phí trong Logistics</t>
        </is>
      </c>
      <c r="F1284" s="114">
        <f>HYPERLINK("https://youglish.com/pronounce/物流成本效益/chinese","🔍")</f>
        <v/>
      </c>
    </row>
    <row r="1285" ht="28.5" customHeight="1" s="99">
      <c r="A1285" s="94" t="inlineStr">
        <is>
          <t>PDF_Tiếng trung Full BỘ BCT.pdf</t>
        </is>
      </c>
      <c r="B1285" s="95" t="inlineStr">
        <is>
          <t>436</t>
        </is>
      </c>
      <c r="C1285" s="94" t="inlineStr">
        <is>
          <t>生产线技术支持</t>
        </is>
      </c>
      <c r="D1285" s="94" t="inlineStr">
        <is>
          <t>Shēngchǎn Xiàn Jìshù Zhīchí) - Technical Support for Production Lines - Hỗ trợ Kỹ thuật cho Dây chuyền Sản xuất</t>
        </is>
      </c>
      <c r="E1285" s="94" t="inlineStr">
        <is>
          <t>436. 生产线技术支持 (Shēngchǎn Xiàn Jìshù Zhīchí) - Technical Support for Production Lines - Hỗ trợ Kỹ thuật cho Dây chuyền Sản xuất</t>
        </is>
      </c>
      <c r="F1285" s="115">
        <f>HYPERLINK("https://youglish.com/pronounce/生产线技术支持/chinese","🔍")</f>
        <v/>
      </c>
    </row>
    <row r="1286" ht="28.5" customHeight="1" s="99">
      <c r="A1286" s="92" t="inlineStr">
        <is>
          <t>PDF_Tiếng trung Full BỘ BCT.pdf</t>
        </is>
      </c>
      <c r="B1286" s="93" t="inlineStr">
        <is>
          <t>437</t>
        </is>
      </c>
      <c r="C1286" s="92" t="inlineStr">
        <is>
          <t>需求计划执行效率</t>
        </is>
      </c>
      <c r="D1286" s="92" t="inlineStr">
        <is>
          <t>Xūqiú Jìhuà Zhíxíng Xiàolǜ) - Efficiency in Demand Planning Execution - Hiệu suất Thực hiện Kế hoạch Nhu cầu</t>
        </is>
      </c>
      <c r="E1286" s="92" t="inlineStr">
        <is>
          <t>437. 需求计划执行效率 (Xūqiú Jìhuà Zhíxíng Xiàolǜ) - Efficiency in Demand Planning Execution - Hiệu suất Thực hiện Kế hoạch Nhu cầu</t>
        </is>
      </c>
      <c r="F1286" s="114">
        <f>HYPERLINK("https://youglish.com/pronounce/需求计划执行效率/chinese","🔍")</f>
        <v/>
      </c>
    </row>
    <row r="1287" ht="42.75" customHeight="1" s="99">
      <c r="A1287" s="94" t="inlineStr">
        <is>
          <t>PDF_Tiếng trung Full BỘ BCT.pdf</t>
        </is>
      </c>
      <c r="B1287" s="95" t="inlineStr">
        <is>
          <t>438</t>
        </is>
      </c>
      <c r="C1287" s="94" t="inlineStr">
        <is>
          <t>供应链可持续性报告</t>
        </is>
      </c>
      <c r="D1287" s="94" t="inlineStr">
        <is>
          <t>Gōngyìngliàn Kěchíxù Xìng Bàogào) - Sustainability Reports in the Supply Chain - Báo cáo Về tính Bền vững trong Chuỗi cung ứng</t>
        </is>
      </c>
      <c r="E1287" s="94" t="inlineStr">
        <is>
          <t>438. 供应链可持续性报告 (Gōngyìngliàn Kěchíxù Xìng Bàogào) - Sustainability Reports in the Supply Chain - Báo cáo Về tính Bền vững trong Chuỗi cung ứng</t>
        </is>
      </c>
      <c r="F1287" s="115">
        <f>HYPERLINK("https://youglish.com/pronounce/供应链可持续性报告/chinese","🔍")</f>
        <v/>
      </c>
    </row>
    <row r="1288" ht="28.5" customHeight="1" s="99">
      <c r="A1288" s="92" t="inlineStr">
        <is>
          <t>PDF_Tiếng trung Full BỘ BCT.pdf</t>
        </is>
      </c>
      <c r="B1288" s="93" t="inlineStr">
        <is>
          <t>439</t>
        </is>
      </c>
      <c r="C1288" s="92" t="inlineStr">
        <is>
          <t>物料供应链创新</t>
        </is>
      </c>
      <c r="D1288" s="92" t="inlineStr">
        <is>
          <t>Wùliào Gōngyìngliàn Chuàngxīn) - Innovation in Material Supply Chains - Đổi mới trong Chuỗi cung ứng Vật liệu</t>
        </is>
      </c>
      <c r="E1288" s="92" t="inlineStr">
        <is>
          <t>439. 物料供应链创新 (Wùliào Gōngyìngliàn Chuàngxīn) - Innovation in Material Supply Chains - Đổi mới trong Chuỗi cung ứng Vật liệu</t>
        </is>
      </c>
      <c r="F1288" s="114">
        <f>HYPERLINK("https://youglish.com/pronounce/物料供应链创新/chinese","🔍")</f>
        <v/>
      </c>
    </row>
    <row r="1289" ht="28.5" customHeight="1" s="99">
      <c r="A1289" s="94" t="inlineStr">
        <is>
          <t>PDF_Tiếng trung Full BỘ BCT.pdf</t>
        </is>
      </c>
      <c r="B1289" s="95" t="inlineStr">
        <is>
          <t>440</t>
        </is>
      </c>
      <c r="C1289" s="94" t="inlineStr">
        <is>
          <t>供应商质量标准</t>
        </is>
      </c>
      <c r="D1289" s="94" t="inlineStr">
        <is>
          <t>Gōngyìngshāng Zhìliàng Biāozhǔn) - Quality Standards for Vendors - Tiêu chuẩn Chất lượng cho Nhà cung cấp</t>
        </is>
      </c>
      <c r="E1289" s="94" t="inlineStr">
        <is>
          <t>440. 供应商质量标准 (Gōngyìngshāng Zhìliàng Biāozhǔn) - Quality Standards for Vendors - Tiêu chuẩn Chất lượng cho Nhà cung cấp</t>
        </is>
      </c>
      <c r="F1289" s="115">
        <f>HYPERLINK("https://youglish.com/pronounce/供应商质量标准/chinese","🔍")</f>
        <v/>
      </c>
    </row>
    <row r="1290" ht="42.75" customHeight="1" s="99">
      <c r="A1290" s="92" t="inlineStr">
        <is>
          <t>PDF_Tiếng trung Full BỘ BCT.pdf</t>
        </is>
      </c>
      <c r="B1290" s="93" t="inlineStr">
        <is>
          <t>441</t>
        </is>
      </c>
      <c r="C1290" s="92" t="inlineStr">
        <is>
          <t>生产线容量规划</t>
        </is>
      </c>
      <c r="D1290" s="92" t="inlineStr">
        <is>
          <t>Shēngchǎn Xiàn Róngliàng Guīhuà) - Capacity Planning in Production Lines - Kế hoạch Dung lượng cho Dây chuyền Sản xuất</t>
        </is>
      </c>
      <c r="E1290" s="92" t="inlineStr">
        <is>
          <t>441. 生产线容量规划 (Shēngchǎn Xiàn Róngliàng Guīhuà) - Capacity Planning in Production Lines - Kế hoạch Dung lượng cho Dây chuyền Sản xuất</t>
        </is>
      </c>
      <c r="F1290" s="114">
        <f>HYPERLINK("https://youglish.com/pronounce/生产线容量规划/chinese","🔍")</f>
        <v/>
      </c>
    </row>
    <row r="1291" ht="28.5" customHeight="1" s="99">
      <c r="A1291" s="94" t="inlineStr">
        <is>
          <t>PDF_Tiếng trung Full BỘ BCT.pdf</t>
        </is>
      </c>
      <c r="B1291" s="95" t="inlineStr">
        <is>
          <t>442</t>
        </is>
      </c>
      <c r="C1291" s="94" t="inlineStr">
        <is>
          <t>需求计划执行监督</t>
        </is>
      </c>
      <c r="D1291" s="94" t="inlineStr">
        <is>
          <t>Xūqiú Jìhuà Zhíxíng Jiāndū) - Supervision of Demand Planning Execution - Giám sát Thực hiện Kế hoạch Nhu cầu</t>
        </is>
      </c>
      <c r="E1291" s="94" t="inlineStr">
        <is>
          <t>442. 需求计划执行监督 (Xūqiú Jìhuà Zhíxíng Jiāndū) - Supervision of Demand Planning Execution - Giám sát Thực hiện Kế hoạch Nhu cầu</t>
        </is>
      </c>
      <c r="F1291" s="115">
        <f>HYPERLINK("https://youglish.com/pronounce/需求计划执行监督/chinese","🔍")</f>
        <v/>
      </c>
    </row>
    <row r="1292" ht="42.75" customHeight="1" s="99">
      <c r="A1292" s="92" t="inlineStr">
        <is>
          <t>PDF_Tiếng trung Full BỘ BCT.pdf</t>
        </is>
      </c>
      <c r="B1292" s="93" t="inlineStr">
        <is>
          <t>443</t>
        </is>
      </c>
      <c r="C1292" s="92" t="inlineStr">
        <is>
          <t>供应链数字化转型</t>
        </is>
      </c>
      <c r="D1292" s="92" t="inlineStr">
        <is>
          <t>Gōngyìngliàn Shùzìhuà Zhuǎnxíng) - Digital Transformation in the Supply Chain - Chuyển đổi Số hóa trong Chuỗi cung ứng</t>
        </is>
      </c>
      <c r="E1292" s="92" t="inlineStr">
        <is>
          <t>443. 供应链数字化转型 (Gōngyìngliàn Shùzìhuà Zhuǎnxíng) - Digital Transformation in the Supply Chain - Chuyển đổi Số hóa trong Chuỗi cung ứng</t>
        </is>
      </c>
      <c r="F1292" s="114">
        <f>HYPERLINK("https://youglish.com/pronounce/供应链数字化转型/chinese","🔍")</f>
        <v/>
      </c>
    </row>
    <row r="1293" ht="42.75" customHeight="1" s="99">
      <c r="A1293" s="94" t="inlineStr">
        <is>
          <t>PDF_Tiếng trung Full BỘ BCT.pdf</t>
        </is>
      </c>
      <c r="B1293" s="95" t="inlineStr">
        <is>
          <t>444</t>
        </is>
      </c>
      <c r="C1293" s="94" t="inlineStr">
        <is>
          <t>生产线灵活生产系统</t>
        </is>
      </c>
      <c r="D1293" s="94" t="inlineStr">
        <is>
          <t>Shēngchǎn Xiàn Línghuó Shēngchǎn Xìtǒng) - Flexible Production Systems in Production Lines - Hệ thống Sản xuất Linh hoạt trong Dây chuyền Sản xuất</t>
        </is>
      </c>
      <c r="E1293" s="94" t="inlineStr">
        <is>
          <t>444. 生产线灵活生产系统 (Shēngchǎn Xiàn Línghuó Shēngchǎn Xìtǒng) - Flexible Production Systems in Production Lines - Hệ thống Sản xuất Linh hoạt trong Dây chuyền Sản xuất</t>
        </is>
      </c>
      <c r="F1293" s="115">
        <f>HYPERLINK("https://youglish.com/pronounce/生产线灵活生产系统/chinese","🔍")</f>
        <v/>
      </c>
    </row>
    <row r="1294" ht="42.75" customHeight="1" s="99">
      <c r="A1294" s="92" t="inlineStr">
        <is>
          <t>PDF_Tiếng trung Full BỘ BCT.pdf</t>
        </is>
      </c>
      <c r="B1294" s="93" t="inlineStr">
        <is>
          <t>445</t>
        </is>
      </c>
      <c r="C1294" s="92" t="inlineStr">
        <is>
          <t>货物包装环保要求</t>
        </is>
      </c>
      <c r="D1294" s="92" t="inlineStr">
        <is>
          <t>Huòwù Bāozhuāng Huánbǎo Yāoqiú) - Environmental Requirements for Cargo Packaging - Yêu cầu Môi trường cho Đóng gói Hàng hóa</t>
        </is>
      </c>
      <c r="E1294" s="92" t="inlineStr">
        <is>
          <t>445. 货物包装环保要求 (Huòwù Bāozhuāng Huánbǎo Yāoqiú) - Environmental Requirements for Cargo Packaging - Yêu cầu Môi trường cho Đóng gói Hàng hóa</t>
        </is>
      </c>
      <c r="F1294" s="114">
        <f>HYPERLINK("https://youglish.com/pronounce/货物包装环保要求/chinese","🔍")</f>
        <v/>
      </c>
    </row>
    <row r="1295" ht="28.5" customHeight="1" s="99">
      <c r="A1295" s="94" t="inlineStr">
        <is>
          <t>PDF_Tiếng trung Full BỘ BCT.pdf</t>
        </is>
      </c>
      <c r="B1295" s="95" t="inlineStr">
        <is>
          <t>446</t>
        </is>
      </c>
      <c r="C1295" s="94" t="inlineStr">
        <is>
          <t>供应商合同执行</t>
        </is>
      </c>
      <c r="D1295" s="94" t="inlineStr">
        <is>
          <t>Gōngyìngshāng Héhtóng Zhíxíng) - Execution of Vendor Contracts - Thực hiện Hợp đồng của Nhà cung cấp</t>
        </is>
      </c>
      <c r="E1295" s="94" t="inlineStr">
        <is>
          <t>446. 供应商合同执行 (Gōngyìngshāng Héhtóng Zhíxíng) - Execution of Vendor Contracts - Thực hiện Hợp đồng của Nhà cung cấp</t>
        </is>
      </c>
      <c r="F1295" s="115">
        <f>HYPERLINK("https://youglish.com/pronounce/供应商合同执行/chinese","🔍")</f>
        <v/>
      </c>
    </row>
    <row r="1296" ht="28.5" customHeight="1" s="99">
      <c r="A1296" s="92" t="inlineStr">
        <is>
          <t>PDF_Tiếng trung Full BỘ BCT.pdf</t>
        </is>
      </c>
      <c r="B1296" s="93" t="inlineStr">
        <is>
          <t>447</t>
        </is>
      </c>
      <c r="C1296" s="92" t="inlineStr">
        <is>
          <t>物流服务创新</t>
        </is>
      </c>
      <c r="D1296" s="92" t="inlineStr">
        <is>
          <t>Wùliú Fúwù Chuàngxīn) - Innovation in Logistics Services - Đổi mới trong Dịch vụ Logistics</t>
        </is>
      </c>
      <c r="E1296" s="92" t="inlineStr">
        <is>
          <t>447. 物流服务创新 (Wùliú Fúwù Chuàngxīn) - Innovation in Logistics Services - Đổi mới trong Dịch vụ Logistics</t>
        </is>
      </c>
      <c r="F1296" s="114">
        <f>HYPERLINK("https://youglish.com/pronounce/物流服务创新/chinese","🔍")</f>
        <v/>
      </c>
    </row>
    <row r="1297" ht="42.75" customHeight="1" s="99">
      <c r="A1297" s="94" t="inlineStr">
        <is>
          <t>PDF_Tiếng trung Full BỘ BCT.pdf</t>
        </is>
      </c>
      <c r="B1297" s="95" t="inlineStr">
        <is>
          <t>448</t>
        </is>
      </c>
      <c r="C1297" s="94" t="inlineStr">
        <is>
          <t>生产线产品质量控制</t>
        </is>
      </c>
      <c r="D1297" s="94" t="inlineStr">
        <is>
          <t>Shēngchǎn Xiàn Chǎnpǐn Zhìliàng Kòngzhì) - Quality Control of Products in Production Lines - Kiểm soát Chất lượng của Sản phẩm trong Dây chuyền Sản xuất</t>
        </is>
      </c>
      <c r="E1297" s="94" t="inlineStr">
        <is>
          <t>448. 生产线产品质量控制 (Shēngchǎn Xiàn Chǎnpǐn Zhìliàng Kòngzhì) - Quality Control of Products in Production Lines - Kiểm soát Chất lượng của Sản phẩm trong Dây chuyền Sản xuất</t>
        </is>
      </c>
      <c r="F1297" s="115">
        <f>HYPERLINK("https://youglish.com/pronounce/生产线产品质量控制/chinese","🔍")</f>
        <v/>
      </c>
    </row>
    <row r="1298" ht="42.75" customHeight="1" s="99">
      <c r="A1298" s="92" t="inlineStr">
        <is>
          <t>PDF_Tiếng trung Full BỘ BCT.pdf</t>
        </is>
      </c>
      <c r="B1298" s="93" t="inlineStr">
        <is>
          <t>449</t>
        </is>
      </c>
      <c r="C1298" s="92" t="inlineStr">
        <is>
          <t>需求计划变更通知</t>
        </is>
      </c>
      <c r="D1298" s="92" t="inlineStr">
        <is>
          <t>Xūqiú Jìhuà Biàngē Tōngzhī) - Notification of Changes in Demand Planning - Thông báo về Sự thay đổi trong Kế hoạch Nhu cầu</t>
        </is>
      </c>
      <c r="E1298" s="92" t="inlineStr">
        <is>
          <t>449. 需求计划变更通知 (Xūqiú Jìhuà Biàngē Tōngzhī) - Notification of Changes in Demand Planning - Thông báo về Sự thay đổi trong Kế hoạch Nhu cầu</t>
        </is>
      </c>
      <c r="F1298" s="114">
        <f>HYPERLINK("https://youglish.com/pronounce/需求计划变更通知/chinese","🔍")</f>
        <v/>
      </c>
    </row>
    <row r="1299" ht="28.5" customHeight="1" s="99">
      <c r="A1299" s="94" t="inlineStr">
        <is>
          <t>PDF_Tiếng trung Full BỘ BCT.pdf</t>
        </is>
      </c>
      <c r="B1299" s="95" t="inlineStr">
        <is>
          <t>450</t>
        </is>
      </c>
      <c r="C1299" s="94" t="inlineStr">
        <is>
          <t>供应链危机管理</t>
        </is>
      </c>
      <c r="D1299" s="94" t="inlineStr">
        <is>
          <t>Gōngyìngliàn Wēijī Guǎnlǐ) - Crisis Management in the Supply Chain - Quản lý Khủng hoảng trong Chuỗi cung ứng</t>
        </is>
      </c>
      <c r="E1299" s="94" t="inlineStr">
        <is>
          <t>450. 供应链危机管理 (Gōngyìngliàn Wēijī Guǎnlǐ) - Crisis Management in the Supply Chain - Quản lý Khủng hoảng trong Chuỗi cung ứng</t>
        </is>
      </c>
      <c r="F1299" s="115">
        <f>HYPERLINK("https://youglish.com/pronounce/供应链危机管理/chinese","🔍")</f>
        <v/>
      </c>
    </row>
    <row r="1300" ht="42.75" customHeight="1" s="99">
      <c r="A1300" s="92" t="inlineStr">
        <is>
          <t>PDF_Tiếng trung Full BỘ BCT.pdf</t>
        </is>
      </c>
      <c r="B1300" s="93" t="inlineStr">
        <is>
          <t>451</t>
        </is>
      </c>
      <c r="C1300" s="92" t="inlineStr">
        <is>
          <t>生产线自动化控制系统</t>
        </is>
      </c>
      <c r="D1300" s="92" t="inlineStr">
        <is>
          <t>Shēngchǎn Xiàn Zìdòng Huà Kòngzhì Xìtǒng) - Automated Control Systems in Production Lines - Hệ thống Kiểm soát Tự động hóa trong Dây chuyền Sản xuất</t>
        </is>
      </c>
      <c r="E1300" s="92" t="inlineStr">
        <is>
          <t>451. 生产线自动化控制系统 (Shēngchǎn Xiàn Zìdòng Huà Kòngzhì Xìtǒng) - Automated Control Systems in Production Lines - Hệ thống Kiểm soát Tự động hóa trong Dây chuyền Sản xuất</t>
        </is>
      </c>
      <c r="F1300" s="114">
        <f>HYPERLINK("https://youglish.com/pronounce/生产线自动化控制系统/chinese","🔍")</f>
        <v/>
      </c>
    </row>
    <row r="1301" ht="28.5" customHeight="1" s="99">
      <c r="A1301" s="94" t="inlineStr">
        <is>
          <t>PDF_Tiếng trung Full BỘ BCT.pdf</t>
        </is>
      </c>
      <c r="B1301" s="95" t="inlineStr">
        <is>
          <t>452</t>
        </is>
      </c>
      <c r="C1301" s="94" t="inlineStr">
        <is>
          <t>货物追溯技术</t>
        </is>
      </c>
      <c r="D1301" s="94" t="inlineStr">
        <is>
          <t>Huòwù Zhuīsù Jìshù) - Traceability Technology for Cargo - Công nghệ Theo dõi cho Hàng hóa</t>
        </is>
      </c>
      <c r="E1301" s="94" t="inlineStr">
        <is>
          <t>452. 货物追溯技术 (Huòwù Zhuīsù Jìshù) - Traceability Technology for Cargo - Công nghệ Theo dõi cho Hàng hóa</t>
        </is>
      </c>
      <c r="F1301" s="115">
        <f>HYPERLINK("https://youglish.com/pronounce/货物追溯技术/chinese","🔍")</f>
        <v/>
      </c>
    </row>
    <row r="1302" ht="28.5" customHeight="1" s="99">
      <c r="A1302" s="92" t="inlineStr">
        <is>
          <t>PDF_Tiếng trung Full BỘ BCT.pdf</t>
        </is>
      </c>
      <c r="B1302" s="93" t="inlineStr">
        <is>
          <t>453</t>
        </is>
      </c>
      <c r="C1302" s="92" t="inlineStr">
        <is>
          <t>供应商投诉处理</t>
        </is>
      </c>
      <c r="D1302" s="92" t="inlineStr">
        <is>
          <t>Gōngyìngshāng Tóusù Chǔlǐ) - Handling Vendor Complaints - Xử lý khiếu nại của Nhà cung cấp</t>
        </is>
      </c>
      <c r="E1302" s="92" t="inlineStr">
        <is>
          <t>453. 供应商投诉处理 (Gōngyìngshāng Tóusù Chǔlǐ) - Handling Vendor Complaints - Xử lý khiếu nại của Nhà cung cấp</t>
        </is>
      </c>
      <c r="F1302" s="114">
        <f>HYPERLINK("https://youglish.com/pronounce/供应商投诉处理/chinese","🔍")</f>
        <v/>
      </c>
    </row>
    <row r="1303" ht="28.5" customHeight="1" s="99">
      <c r="A1303" s="94" t="inlineStr">
        <is>
          <t>PDF_Tiếng trung Full BỘ BCT.pdf</t>
        </is>
      </c>
      <c r="B1303" s="95" t="inlineStr">
        <is>
          <t>454</t>
        </is>
      </c>
      <c r="C1303" s="94" t="inlineStr">
        <is>
          <t>物流信息系统</t>
        </is>
      </c>
      <c r="D1303" s="94" t="inlineStr">
        <is>
          <t>Wùliú Xìnxī Xìtǒng) - Information Systems in Logistics - Hệ thống Thông tin trong Logistics</t>
        </is>
      </c>
      <c r="E1303" s="94" t="inlineStr">
        <is>
          <t>454. 物流信息系统 (Wùliú Xìnxī Xìtǒng) - Information Systems in Logistics - Hệ thống Thông tin trong Logistics</t>
        </is>
      </c>
      <c r="F1303" s="115">
        <f>HYPERLINK("https://youglish.com/pronounce/物流信息系统/chinese","🔍")</f>
        <v/>
      </c>
    </row>
    <row r="1304" ht="42.75" customHeight="1" s="99">
      <c r="A1304" s="92" t="inlineStr">
        <is>
          <t>PDF_Tiếng trung Full BỘ BCT.pdf</t>
        </is>
      </c>
      <c r="B1304" s="93" t="inlineStr">
        <is>
          <t>455</t>
        </is>
      </c>
      <c r="C1304" s="92" t="inlineStr">
        <is>
          <t>生产线质量审查</t>
        </is>
      </c>
      <c r="D1304" s="92" t="inlineStr">
        <is>
          <t>Shēngchǎn Xiàn Zhìliàng Shěnchá) - Quality Inspection in Production Lines - Kiểm tra Chất lượng trong Dây chuyền Sản xuất</t>
        </is>
      </c>
      <c r="E1304" s="92" t="inlineStr">
        <is>
          <t>455. 生产线质量审查 (Shēngchǎn Xiàn Zhìliàng Shěnchá) - Quality Inspection in Production Lines - Kiểm tra Chất lượng trong Dây chuyền Sản xuất</t>
        </is>
      </c>
      <c r="F1304" s="114">
        <f>HYPERLINK("https://youglish.com/pronounce/生产线质量审查/chinese","🔍")</f>
        <v/>
      </c>
    </row>
    <row r="1305" ht="42.75" customHeight="1" s="99">
      <c r="A1305" s="94" t="inlineStr">
        <is>
          <t>PDF_Tiếng trung Full BỘ BCT.pdf</t>
        </is>
      </c>
      <c r="B1305" s="95" t="inlineStr">
        <is>
          <t>456</t>
        </is>
      </c>
      <c r="C1305" s="94" t="inlineStr">
        <is>
          <t>需求计划可行性分析</t>
        </is>
      </c>
      <c r="D1305" s="94" t="inlineStr">
        <is>
          <t>Xūqiú Jìhuà Kěxíng Xìng Fēnxi) - Feasibility Analysis of Demand Planning - Phân tích Khả năng Thực hiện Kế hoạch Nhu cầu</t>
        </is>
      </c>
      <c r="E1305" s="94" t="inlineStr">
        <is>
          <t>456. 需求计划可行性分析 (Xūqiú Jìhuà Kěxíng Xìng Fēnxi) - Feasibility Analysis of Demand Planning - Phân tích Khả năng Thực hiện Kế hoạch Nhu cầu</t>
        </is>
      </c>
      <c r="F1305" s="115">
        <f>HYPERLINK("https://youglish.com/pronounce/需求计划可行性分析/chinese","🔍")</f>
        <v/>
      </c>
    </row>
    <row r="1306" ht="28.5" customHeight="1" s="99">
      <c r="A1306" s="92" t="inlineStr">
        <is>
          <t>PDF_Tiếng trung Full BỘ BCT.pdf</t>
        </is>
      </c>
      <c r="B1306" s="93" t="inlineStr">
        <is>
          <t>457</t>
        </is>
      </c>
      <c r="C1306" s="92" t="inlineStr">
        <is>
          <t>供应链监测系统</t>
        </is>
      </c>
      <c r="D1306" s="92" t="inlineStr">
        <is>
          <t>Gōngyìngliàn Jiāncè Xìtǒng) - Monitoring Systems in the Supply Chain - Hệ thống Giám sát trong Chuỗi cung ứng</t>
        </is>
      </c>
      <c r="E1306" s="92" t="inlineStr">
        <is>
          <t>457. 供应链监测系统 (Gōngyìngliàn Jiāncè Xìtǒng) - Monitoring Systems in the Supply Chain - Hệ thống Giám sát trong Chuỗi cung ứng</t>
        </is>
      </c>
      <c r="F1306" s="114">
        <f>HYPERLINK("https://youglish.com/pronounce/供应链监测系统/chinese","🔍")</f>
        <v/>
      </c>
    </row>
    <row r="1307" ht="28.5" customHeight="1" s="99">
      <c r="A1307" s="94" t="inlineStr">
        <is>
          <t>PDF_Tiếng trung Full BỘ BCT.pdf</t>
        </is>
      </c>
      <c r="B1307" s="95" t="inlineStr">
        <is>
          <t>458</t>
        </is>
      </c>
      <c r="C1307" s="94" t="inlineStr">
        <is>
          <t>供应商评估报告</t>
        </is>
      </c>
      <c r="D1307" s="94" t="inlineStr">
        <is>
          <t>Gōngyìngshāng Pínggū Bàogào) - Vendor Assessment Reports - Báo cáo Đánh giá của Nhà cung cấp</t>
        </is>
      </c>
      <c r="E1307" s="94" t="inlineStr">
        <is>
          <t>458. 供应商评估报告 (Gōngyìngshāng Pínggū Bàogào) - Vendor Assessment Reports - Báo cáo Đánh giá của Nhà cung cấp</t>
        </is>
      </c>
      <c r="F1307" s="115">
        <f>HYPERLINK("https://youglish.com/pronounce/供应商评估报告/chinese","🔍")</f>
        <v/>
      </c>
    </row>
    <row r="1308" ht="28.5" customHeight="1" s="99">
      <c r="A1308" s="92" t="inlineStr">
        <is>
          <t>PDF_Tiếng trung Full BỘ BCT.pdf</t>
        </is>
      </c>
      <c r="B1308" s="93" t="inlineStr">
        <is>
          <t>459</t>
        </is>
      </c>
      <c r="C1308" s="92" t="inlineStr">
        <is>
          <t>生产线工艺改良</t>
        </is>
      </c>
      <c r="D1308" s="92" t="inlineStr">
        <is>
          <t>Shēngchǎn Xiàn Gōngyì Gǎiliáng) - Improvement in Production Line Processes - Cải thiện Quy trình Dây chuyền Sản xuất</t>
        </is>
      </c>
      <c r="E1308" s="92" t="inlineStr">
        <is>
          <t>459. 生产线工艺改良 (Shēngchǎn Xiàn Gōngyì Gǎiliáng) - Improvement in Production Line Processes - Cải thiện Quy trình Dây chuyền Sản xuất</t>
        </is>
      </c>
      <c r="F1308" s="114">
        <f>HYPERLINK("https://youglish.com/pronounce/生产线工艺改良/chinese","🔍")</f>
        <v/>
      </c>
    </row>
    <row r="1309" ht="28.5" customHeight="1" s="99">
      <c r="A1309" s="94" t="inlineStr">
        <is>
          <t>PDF_Tiếng trung Full BỘ BCT.pdf</t>
        </is>
      </c>
      <c r="B1309" s="95" t="inlineStr">
        <is>
          <t>460</t>
        </is>
      </c>
      <c r="C1309" s="94" t="inlineStr">
        <is>
          <t>需求计划执行指南</t>
        </is>
      </c>
      <c r="D1309" s="94" t="inlineStr">
        <is>
          <t>Xūqiú Jìhuà Zhíxíng Zhǐnán) - Guidelines for Demand Planning Execution - Hướng dẫn Thực hiện Kế hoạch Nhu cầu</t>
        </is>
      </c>
      <c r="E1309" s="94" t="inlineStr">
        <is>
          <t>460. 需求计划执行指南 (Xūqiú Jìhuà Zhíxíng Zhǐnán) - Guidelines for Demand Planning Execution - Hướng dẫn Thực hiện Kế hoạch Nhu cầu</t>
        </is>
      </c>
      <c r="F1309" s="115">
        <f>HYPERLINK("https://youglish.com/pronounce/需求计划执行指南/chinese","🔍")</f>
        <v/>
      </c>
    </row>
    <row r="1310" ht="42.75" customHeight="1" s="99">
      <c r="A1310" s="92" t="inlineStr">
        <is>
          <t>PDF_Tiếng trung Full BỘ BCT.pdf</t>
        </is>
      </c>
      <c r="B1310" s="93" t="inlineStr">
        <is>
          <t>461</t>
        </is>
      </c>
      <c r="C1310" s="92" t="inlineStr">
        <is>
          <t>供应链透明度报告</t>
        </is>
      </c>
      <c r="D1310" s="92" t="inlineStr">
        <is>
          <t>Gōngyìngliàn Tòumíngdù Bàogào) - Transparency Reports in the Supply Chain - Báo cáo về Tính minh bạch trong Chuỗi cung ứng</t>
        </is>
      </c>
      <c r="E1310" s="92" t="inlineStr">
        <is>
          <t>461. 供应链透明度报告 (Gōngyìngliàn Tòumíngdù Bàogào) - Transparency Reports in the Supply Chain - Báo cáo về Tính minh bạch trong Chuỗi cung ứng</t>
        </is>
      </c>
      <c r="F1310" s="114">
        <f>HYPERLINK("https://youglish.com/pronounce/供应链透明度报告/chinese","🔍")</f>
        <v/>
      </c>
    </row>
    <row r="1311" ht="42.75" customHeight="1" s="99">
      <c r="A1311" s="94" t="inlineStr">
        <is>
          <t>PDF_Tiếng trung Full BỘ BCT.pdf</t>
        </is>
      </c>
      <c r="B1311" s="95" t="inlineStr">
        <is>
          <t>462</t>
        </is>
      </c>
      <c r="C1311" s="94" t="inlineStr">
        <is>
          <t>生产线设备维护</t>
        </is>
      </c>
      <c r="D1311" s="94" t="inlineStr">
        <is>
          <t>Shēngchǎn Xiàn Shèbèi Wéihù) - Maintenance of Equipment in Production Lines - Bảo dưỡng Thiết bị trong Dây chuyền Sản xuất</t>
        </is>
      </c>
      <c r="E1311" s="94" t="inlineStr">
        <is>
          <t>462. 生产线设备维护 (Shēngchǎn Xiàn Shèbèi Wéihù) - Maintenance of Equipment in Production Lines - Bảo dưỡng Thiết bị trong Dây chuyền Sản xuất</t>
        </is>
      </c>
      <c r="F1311" s="115">
        <f>HYPERLINK("https://youglish.com/pronounce/生产线设备维护/chinese","🔍")</f>
        <v/>
      </c>
    </row>
    <row r="1312" ht="28.5" customHeight="1" s="99">
      <c r="A1312" s="92" t="inlineStr">
        <is>
          <t>PDF_Tiếng trung Full BỘ BCT.pdf</t>
        </is>
      </c>
      <c r="B1312" s="93" t="inlineStr">
        <is>
          <t>463</t>
        </is>
      </c>
      <c r="C1312" s="92" t="inlineStr">
        <is>
          <t>货物追溯系统集成</t>
        </is>
      </c>
      <c r="D1312" s="92" t="inlineStr">
        <is>
          <t>Huòwù Zhuīsù Xìtǒng Jíchéng) - Integration of Cargo Traceability Systems - Tích hợp Hệ thống Theo dõi Hàng hóa</t>
        </is>
      </c>
      <c r="E1312" s="92" t="inlineStr">
        <is>
          <t>463. 货物追溯系统集成 (Huòwù Zhuīsù Xìtǒng Jíchéng) - Integration of Cargo Traceability Systems - Tích hợp Hệ thống Theo dõi Hàng hóa</t>
        </is>
      </c>
      <c r="F1312" s="114">
        <f>HYPERLINK("https://youglish.com/pronounce/货物追溯系统集成/chinese","🔍")</f>
        <v/>
      </c>
    </row>
    <row r="1313" ht="42.75" customHeight="1" s="99">
      <c r="A1313" s="94" t="inlineStr">
        <is>
          <t>PDF_Tiếng trung Full BỘ BCT.pdf</t>
        </is>
      </c>
      <c r="B1313" s="95" t="inlineStr">
        <is>
          <t>464</t>
        </is>
      </c>
      <c r="C1313" s="94" t="inlineStr">
        <is>
          <t>供应商培训计划实施</t>
        </is>
      </c>
      <c r="D1313" s="94" t="inlineStr">
        <is>
          <t>Gōngyìngshāng Péixùn Jìhuà Shíshī) - Implementation of Vendor Training Programs - Thực hiện Kế hoạch Đào tạo của Nhà cung cấp</t>
        </is>
      </c>
      <c r="E1313" s="94" t="inlineStr">
        <is>
          <t>464. 供应商培训计划实施 (Gōngyìngshāng Péixùn Jìhuà Shíshī) - Implementation of Vendor Training Programs - Thực hiện Kế hoạch Đào tạo của Nhà cung cấp</t>
        </is>
      </c>
      <c r="F1313" s="115">
        <f>HYPERLINK("https://youglish.com/pronounce/供应商培训计划实施/chinese","🔍")</f>
        <v/>
      </c>
    </row>
    <row r="1314" ht="28.5" customHeight="1" s="99">
      <c r="A1314" s="92" t="inlineStr">
        <is>
          <t>PDF_Tiếng trung Full BỘ BCT.pdf</t>
        </is>
      </c>
      <c r="B1314" s="93" t="inlineStr">
        <is>
          <t>465</t>
        </is>
      </c>
      <c r="C1314" s="92" t="inlineStr">
        <is>
          <t>物流网络规划</t>
        </is>
      </c>
      <c r="D1314" s="92" t="inlineStr">
        <is>
          <t>Wùliú Wǎngluò Guīhuà) - Network Planning in Logistics - Kế hoạch Mạng lưới trong Logistics</t>
        </is>
      </c>
      <c r="E1314" s="92" t="inlineStr">
        <is>
          <t>465. 物流网络规划 (Wùliú Wǎngluò Guīhuà) - Network Planning in Logistics - Kế hoạch Mạng lưới trong Logistics</t>
        </is>
      </c>
      <c r="F1314" s="114">
        <f>HYPERLINK("https://youglish.com/pronounce/物流网络规划/chinese","🔍")</f>
        <v/>
      </c>
    </row>
    <row r="1315" ht="42.75" customHeight="1" s="99">
      <c r="A1315" s="94" t="inlineStr">
        <is>
          <t>PDF_Tiếng trung Full BỘ BCT.pdf</t>
        </is>
      </c>
      <c r="B1315" s="95" t="inlineStr">
        <is>
          <t>466</t>
        </is>
      </c>
      <c r="C1315" s="94" t="inlineStr">
        <is>
          <t>生产线能源效率</t>
        </is>
      </c>
      <c r="D1315" s="94" t="inlineStr">
        <is>
          <t>Shēngchǎn Xiàn Néngyuán Xiàolǜ) - Energy Efficiency in Production Lines - Hiệu suất Năng lượng trong Dây chuyền Sản xuất</t>
        </is>
      </c>
      <c r="E1315" s="94" t="inlineStr">
        <is>
          <t>466. 生产线能源效率 (Shēngchǎn Xiàn Néngyuán Xiàolǜ) - Energy Efficiency in Production Lines - Hiệu suất Năng lượng trong Dây chuyền Sản xuất</t>
        </is>
      </c>
      <c r="F1315" s="115">
        <f>HYPERLINK("https://youglish.com/pronounce/生产线能源效率/chinese","🔍")</f>
        <v/>
      </c>
    </row>
    <row r="1316" ht="28.5" customHeight="1" s="99">
      <c r="A1316" s="92" t="inlineStr">
        <is>
          <t>PDF_Tiếng trung Full BỘ BCT.pdf</t>
        </is>
      </c>
      <c r="B1316" s="93" t="inlineStr">
        <is>
          <t>467</t>
        </is>
      </c>
      <c r="C1316" s="92" t="inlineStr">
        <is>
          <t>供应链协同作业</t>
        </is>
      </c>
      <c r="D1316" s="92" t="inlineStr">
        <is>
          <t>Gōngyìngliàn Xiétiáo Zuòyè) - Collaborative Operations in the Supply Chain - Hoạt động Hợp tác trong Chuỗi cung ứng</t>
        </is>
      </c>
      <c r="E1316" s="92" t="inlineStr">
        <is>
          <t>467. 供应链协同作业 (Gōngyìngliàn Xiétiáo Zuòyè) - Collaborative Operations in the Supply Chain - Hoạt động Hợp tác trong Chuỗi cung ứng</t>
        </is>
      </c>
      <c r="F1316" s="114">
        <f>HYPERLINK("https://youglish.com/pronounce/供应链协同作业/chinese","🔍")</f>
        <v/>
      </c>
    </row>
    <row r="1317" ht="28.5" customHeight="1" s="99">
      <c r="A1317" s="94" t="inlineStr">
        <is>
          <t>PDF_Tiếng trung Full BỘ BCT.pdf</t>
        </is>
      </c>
      <c r="B1317" s="95" t="inlineStr">
        <is>
          <t>468</t>
        </is>
      </c>
      <c r="C1317" s="94" t="inlineStr">
        <is>
          <t>供应链数据安全</t>
        </is>
      </c>
      <c r="D1317" s="94" t="inlineStr">
        <is>
          <t>Gōngyìngliàn Shùjù Ānquán) - Data Security in the Supply Chain - An ninh Dữ liệu trong Chuỗi cung ứng</t>
        </is>
      </c>
      <c r="E1317" s="94" t="inlineStr">
        <is>
          <t>468. 供应链数据安全 (Gōngyìngliàn Shùjù Ānquán) - Data Security in the Supply Chain - An ninh Dữ liệu trong Chuỗi cung ứng</t>
        </is>
      </c>
      <c r="F1317" s="115">
        <f>HYPERLINK("https://youglish.com/pronounce/供应链数据安全/chinese","🔍")</f>
        <v/>
      </c>
    </row>
    <row r="1318" ht="42.75" customHeight="1" s="99">
      <c r="A1318" s="92" t="inlineStr">
        <is>
          <t>PDF_Tiếng trung Full BỘ BCT.pdf</t>
        </is>
      </c>
      <c r="B1318" s="93" t="inlineStr">
        <is>
          <t>469</t>
        </is>
      </c>
      <c r="C1318" s="92" t="inlineStr">
        <is>
          <t>生产线流程优化</t>
        </is>
      </c>
      <c r="D1318" s="92" t="inlineStr">
        <is>
          <t>Shēngchǎn Xiàn Liúchéng Yōuhuà) - Process Optimization in Production Lines - Tối ưu hóa Quy trình trong Dây chuyền Sản xuất</t>
        </is>
      </c>
      <c r="E1318" s="92" t="inlineStr">
        <is>
          <t>469. 生产线流程优化 (Shēngchǎn Xiàn Liúchéng Yōuhuà) - Process Optimization in Production Lines - Tối ưu hóa Quy trình trong Dây chuyền Sản xuất</t>
        </is>
      </c>
      <c r="F1318" s="114">
        <f>HYPERLINK("https://youglish.com/pronounce/生产线流程优化/chinese","🔍")</f>
        <v/>
      </c>
    </row>
    <row r="1319" ht="28.5" customHeight="1" s="99">
      <c r="A1319" s="94" t="inlineStr">
        <is>
          <t>PDF_Tiếng trung Full BỘ BCT.pdf</t>
        </is>
      </c>
      <c r="B1319" s="95" t="inlineStr">
        <is>
          <t>470</t>
        </is>
      </c>
      <c r="C1319" s="94" t="inlineStr">
        <is>
          <t>货物损耗监控</t>
        </is>
      </c>
      <c r="D1319" s="94" t="inlineStr">
        <is>
          <t>Huòwù Sǔnhào Jiānkòng) - Monitoring of Cargo Losses - Giám sát Mất mát Hàng hóa</t>
        </is>
      </c>
      <c r="E1319" s="94" t="inlineStr">
        <is>
          <t>470. 货物损耗监控 (Huòwù Sǔnhào Jiānkòng) - Monitoring of Cargo Losses - Giám sát Mất mát Hàng hóa</t>
        </is>
      </c>
      <c r="F1319" s="115">
        <f>HYPERLINK("https://youglish.com/pronounce/货物损耗监控/chinese","🔍")</f>
        <v/>
      </c>
    </row>
    <row r="1320" ht="28.5" customHeight="1" s="99">
      <c r="A1320" s="92" t="inlineStr">
        <is>
          <t>PDF_Tiếng trung Full BỘ BCT.pdf</t>
        </is>
      </c>
      <c r="B1320" s="93" t="inlineStr">
        <is>
          <t>471</t>
        </is>
      </c>
      <c r="C1320" s="92" t="inlineStr">
        <is>
          <t>供应商技术支持</t>
        </is>
      </c>
      <c r="D1320" s="92" t="inlineStr">
        <is>
          <t>Gōngyìngshāng Jìshù Zhīchí) - Technical Support for Vendors - Hỗ trợ Kỹ thuật cho Nhà cung cấp</t>
        </is>
      </c>
      <c r="E1320" s="92" t="inlineStr">
        <is>
          <t>471. 供应商技术支持 (Gōngyìngshāng Jìshù Zhīchí) - Technical Support for Vendors - Hỗ trợ Kỹ thuật cho Nhà cung cấp</t>
        </is>
      </c>
      <c r="F1320" s="114">
        <f>HYPERLINK("https://youglish.com/pronounce/供应商技术支持/chinese","🔍")</f>
        <v/>
      </c>
    </row>
    <row r="1321" ht="28.5" customHeight="1" s="99">
      <c r="A1321" s="94" t="inlineStr">
        <is>
          <t>PDF_Tiếng trung Full BỘ BCT.pdf</t>
        </is>
      </c>
      <c r="B1321" s="95" t="inlineStr">
        <is>
          <t>472</t>
        </is>
      </c>
      <c r="C1321" s="94" t="inlineStr">
        <is>
          <t>物流服务水平评估</t>
        </is>
      </c>
      <c r="D1321" s="94" t="inlineStr">
        <is>
          <t>Wùliú Fúwù Shuǐpíng Pínggū) - Evaluation of Logistics Service Levels - Đánh giá Cấp độ Dịch vụ Logistics</t>
        </is>
      </c>
      <c r="E1321" s="94" t="inlineStr">
        <is>
          <t>472. 物流服务水平评估 (Wùliú Fúwù Shuǐpíng Pínggū) - Evaluation of Logistics Service Levels - Đánh giá Cấp độ Dịch vụ Logistics</t>
        </is>
      </c>
      <c r="F1321" s="115">
        <f>HYPERLINK("https://youglish.com/pronounce/物流服务水平评估/chinese","🔍")</f>
        <v/>
      </c>
    </row>
    <row r="1322" ht="42.75" customHeight="1" s="99">
      <c r="A1322" s="92" t="inlineStr">
        <is>
          <t>PDF_Tiếng trung Full BỘ BCT.pdf</t>
        </is>
      </c>
      <c r="B1322" s="93" t="inlineStr">
        <is>
          <t>473</t>
        </is>
      </c>
      <c r="C1322" s="92" t="inlineStr">
        <is>
          <t>生产线人员培训</t>
        </is>
      </c>
      <c r="D1322" s="92" t="inlineStr">
        <is>
          <t>Shēngchǎn Xiàn Rényuán Péixùn) - Training of Personnel in Production Lines - Đào tạo Nhân sự trong Dây chuyền Sản xuất</t>
        </is>
      </c>
      <c r="E1322" s="92" t="inlineStr">
        <is>
          <t>473. 生产线人员培训 (Shēngchǎn Xiàn Rényuán Péixùn) - Training of Personnel in Production Lines - Đào tạo Nhân sự trong Dây chuyền Sản xuất</t>
        </is>
      </c>
      <c r="F1322" s="114">
        <f>HYPERLINK("https://youglish.com/pronounce/生产线人员培训/chinese","🔍")</f>
        <v/>
      </c>
    </row>
    <row r="1323" ht="28.5" customHeight="1" s="99">
      <c r="A1323" s="94" t="inlineStr">
        <is>
          <t>PDF_Tiếng trung Full BỘ BCT.pdf</t>
        </is>
      </c>
      <c r="B1323" s="95" t="inlineStr">
        <is>
          <t>474</t>
        </is>
      </c>
      <c r="C1323" s="94" t="inlineStr">
        <is>
          <t>供应链风险评估</t>
        </is>
      </c>
      <c r="D1323" s="94" t="inlineStr">
        <is>
          <t>Gōngyìngliàn Fēngxiǎn Pínggū) - Risk Assessment in the Supply Chain - Đánh giá Rủi ro trong Chuỗi cung ứng</t>
        </is>
      </c>
      <c r="E1323" s="94" t="inlineStr">
        <is>
          <t>474. 供应链风险评估 (Gōngyìngliàn Fēngxiǎn Pínggū) - Risk Assessment in the Supply Chain - Đánh giá Rủi ro trong Chuỗi cung ứng</t>
        </is>
      </c>
      <c r="F1323" s="115">
        <f>HYPERLINK("https://youglish.com/pronounce/供应链风险评估/chinese","🔍")</f>
        <v/>
      </c>
    </row>
    <row r="1324" ht="42.75" customHeight="1" s="99">
      <c r="A1324" s="92" t="inlineStr">
        <is>
          <t>PDF_Tiếng trung Full BỘ BCT.pdf</t>
        </is>
      </c>
      <c r="B1324" s="93" t="inlineStr">
        <is>
          <t>475</t>
        </is>
      </c>
      <c r="C1324" s="92" t="inlineStr">
        <is>
          <t>物料供应链质量控制</t>
        </is>
      </c>
      <c r="D1324" s="92" t="inlineStr">
        <is>
          <t>Wùliào Gōngyìngliàn Zhìliàng Kòngzhì) - Quality Control in Material Supply Chains - Kiểm soát Chất lượng trong Chuỗi cung ứng Vật liệu</t>
        </is>
      </c>
      <c r="E1324" s="92" t="inlineStr">
        <is>
          <t>475. 物料供应链质量控制 (Wùliào Gōngyìngliàn Zhìliàng Kòngzhì) - Quality Control in Material Supply Chains - Kiểm soát Chất lượng trong Chuỗi cung ứng Vật liệu</t>
        </is>
      </c>
      <c r="F1324" s="114">
        <f>HYPERLINK("https://youglish.com/pronounce/物料供应链质量控制/chinese","🔍")</f>
        <v/>
      </c>
    </row>
    <row r="1325" ht="28.5" customHeight="1" s="99">
      <c r="A1325" s="94" t="inlineStr">
        <is>
          <t>PDF_Tiếng trung Full BỘ BCT.pdf</t>
        </is>
      </c>
      <c r="B1325" s="95" t="inlineStr">
        <is>
          <t>476</t>
        </is>
      </c>
      <c r="C1325" s="94" t="inlineStr">
        <is>
          <t>供应商可持续性战略</t>
        </is>
      </c>
      <c r="D1325" s="94" t="inlineStr">
        <is>
          <t>Gōngyìngshāng Kěchíxù Xìng Zhànlüè) - Vendor Sustainability Strategies - Chiến lược Bền vững của Nhà cung cấp</t>
        </is>
      </c>
      <c r="E1325" s="94" t="inlineStr">
        <is>
          <t>476. 供应商可持续性战略 (Gōngyìngshāng Kěchíxù Xìng Zhànlüè) - Vendor Sustainability Strategies - Chiến lược Bền vững của Nhà cung cấp</t>
        </is>
      </c>
      <c r="F1325" s="115">
        <f>HYPERLINK("https://youglish.com/pronounce/供应商可持续性战略/chinese","🔍")</f>
        <v/>
      </c>
    </row>
    <row r="1326" ht="42.75" customHeight="1" s="99">
      <c r="A1326" s="92" t="inlineStr">
        <is>
          <t>PDF_Tiếng trung Full BỘ BCT.pdf</t>
        </is>
      </c>
      <c r="B1326" s="93" t="inlineStr">
        <is>
          <t>477</t>
        </is>
      </c>
      <c r="C1326" s="92" t="inlineStr">
        <is>
          <t>生产线生产计划调整</t>
        </is>
      </c>
      <c r="D1326" s="92" t="inlineStr">
        <is>
          <t>Shēngchǎn Xiàn Shēngchǎn Jìhuà Tiáozhěng) - Adjustment of Production Plans in Production Lines - Điều chỉnh Kế hoạch Sản xuất trong Dây chuyền Sản xuất</t>
        </is>
      </c>
      <c r="E1326" s="92" t="inlineStr">
        <is>
          <t>477. 生产线生产计划调整 (Shēngchǎn Xiàn Shēngchǎn Jìhuà Tiáozhěng) - Adjustment of Production Plans in Production Lines - Điều chỉnh Kế hoạch Sản xuất trong Dây chuyền Sản xuất</t>
        </is>
      </c>
      <c r="F1326" s="114">
        <f>HYPERLINK("https://youglish.com/pronounce/生产线生产计划调整/chinese","🔍")</f>
        <v/>
      </c>
    </row>
    <row r="1327" ht="28.5" customHeight="1" s="99">
      <c r="A1327" s="94" t="inlineStr">
        <is>
          <t>PDF_Tiếng trung Full BỘ BCT.pdf</t>
        </is>
      </c>
      <c r="B1327" s="95" t="inlineStr">
        <is>
          <t>478</t>
        </is>
      </c>
      <c r="C1327" s="94" t="inlineStr">
        <is>
          <t>供应链数字化工具</t>
        </is>
      </c>
      <c r="D1327" s="94" t="inlineStr">
        <is>
          <t>Gōngyìngliàn Shùzìhuà Gōngjù) - Digital Tools for the Supply Chain - Công cụ Số hóa cho Chuỗi cung ứng</t>
        </is>
      </c>
      <c r="E1327" s="94" t="inlineStr">
        <is>
          <t>478. 供应链数字化工具 (Gōngyìngliàn Shùzìhuà Gōngjù) - Digital Tools for the Supply Chain - Công cụ Số hóa cho Chuỗi cung ứng</t>
        </is>
      </c>
      <c r="F1327" s="115">
        <f>HYPERLINK("https://youglish.com/pronounce/供应链数字化工具/chinese","🔍")</f>
        <v/>
      </c>
    </row>
    <row r="1328" ht="42.75" customHeight="1" s="99">
      <c r="A1328" s="92" t="inlineStr">
        <is>
          <t>PDF_Tiếng trung Full BỘ BCT.pdf</t>
        </is>
      </c>
      <c r="B1328" s="93" t="inlineStr">
        <is>
          <t>479</t>
        </is>
      </c>
      <c r="C1328" s="92" t="inlineStr">
        <is>
          <t>生产线协同作业</t>
        </is>
      </c>
      <c r="D1328" s="92" t="inlineStr">
        <is>
          <t>Shēngchǎn Xiàn Xiétiáo Zuòyè) - Collaborative Operations in Production Lines - Hoạt động Hợp tác trong Dây chuyền Sản xuất</t>
        </is>
      </c>
      <c r="E1328" s="92" t="inlineStr">
        <is>
          <t>479. 生产线协同作业 (Shēngchǎn Xiàn Xiétiáo Zuòyè) - Collaborative Operations in Production Lines - Hoạt động Hợp tác trong Dây chuyền Sản xuất</t>
        </is>
      </c>
      <c r="F1328" s="114">
        <f>HYPERLINK("https://youglish.com/pronounce/生产线协同作业/chinese","🔍")</f>
        <v/>
      </c>
    </row>
    <row r="1329" ht="28.5" customHeight="1" s="99">
      <c r="A1329" s="94" t="inlineStr">
        <is>
          <t>PDF_Tiếng trung Full BỘ BCT.pdf</t>
        </is>
      </c>
      <c r="B1329" s="95" t="inlineStr">
        <is>
          <t>480</t>
        </is>
      </c>
      <c r="C1329" s="94" t="inlineStr">
        <is>
          <t>货物包装规范</t>
        </is>
      </c>
      <c r="D1329" s="94" t="inlineStr">
        <is>
          <t>Huòwù Bāozhuāng Guīfàn) - Packaging Standards for Cargo - Tiêu chuẩn Đóng gói cho Hàng hóa</t>
        </is>
      </c>
      <c r="E1329" s="94" t="inlineStr">
        <is>
          <t>480. 货物包装规范 (Huòwù Bāozhuāng Guīfàn) - Packaging Standards for Cargo - Tiêu chuẩn Đóng gói cho Hàng hóa</t>
        </is>
      </c>
      <c r="F1329" s="115">
        <f>HYPERLINK("https://youglish.com/pronounce/货物包装规范/chinese","🔍")</f>
        <v/>
      </c>
    </row>
    <row r="1330" ht="28.5" customHeight="1" s="99">
      <c r="A1330" s="92" t="inlineStr">
        <is>
          <t>PDF_Tiếng trung Full BỘ BCT.pdf</t>
        </is>
      </c>
      <c r="B1330" s="93" t="inlineStr">
        <is>
          <t>481</t>
        </is>
      </c>
      <c r="C1330" s="92" t="inlineStr">
        <is>
          <t>供应商绩效评估</t>
        </is>
      </c>
      <c r="D1330" s="92" t="inlineStr">
        <is>
          <t>Gōngyìngshāng Jìxiào Pínggū) - Evaluation of Vendor Performance - Đánh giá Hiệu suất của Nhà cung cấp</t>
        </is>
      </c>
      <c r="E1330" s="92" t="inlineStr">
        <is>
          <t>481. 供应商绩效评估 (Gōngyìngshāng Jìxiào Pínggū) - Evaluation of Vendor Performance - Đánh giá Hiệu suất của Nhà cung cấp</t>
        </is>
      </c>
      <c r="F1330" s="114">
        <f>HYPERLINK("https://youglish.com/pronounce/供应商绩效评估/chinese","🔍")</f>
        <v/>
      </c>
    </row>
    <row r="1331" ht="42.75" customHeight="1" s="99">
      <c r="A1331" s="94" t="inlineStr">
        <is>
          <t>PDF_Tiếng trung Full BỘ BCT.pdf</t>
        </is>
      </c>
      <c r="B1331" s="95" t="inlineStr">
        <is>
          <t>482</t>
        </is>
      </c>
      <c r="C1331" s="94" t="inlineStr">
        <is>
          <t>物流运输管理系统</t>
        </is>
      </c>
      <c r="D1331" s="94" t="inlineStr">
        <is>
          <t>Wùliú Yùnshū Guǎnlǐ Xìtǒng) - Transportation Management Systems in Logistics - Hệ thống Quản lý Vận chuyển trong Logistics</t>
        </is>
      </c>
      <c r="E1331" s="94" t="inlineStr">
        <is>
          <t>482. 物流运输管理系统 (Wùliú Yùnshū Guǎnlǐ Xìtǒng) - Transportation Management Systems in Logistics - Hệ thống Quản lý Vận chuyển trong Logistics</t>
        </is>
      </c>
      <c r="F1331" s="115">
        <f>HYPERLINK("https://youglish.com/pronounce/物流运输管理系统/chinese","🔍")</f>
        <v/>
      </c>
    </row>
    <row r="1332" ht="42.75" customHeight="1" s="99">
      <c r="A1332" s="92" t="inlineStr">
        <is>
          <t>PDF_Tiếng trung Full BỘ BCT.pdf</t>
        </is>
      </c>
      <c r="B1332" s="93" t="inlineStr">
        <is>
          <t>483</t>
        </is>
      </c>
      <c r="C1332" s="92" t="inlineStr">
        <is>
          <t>生产线安全操作</t>
        </is>
      </c>
      <c r="D1332" s="92" t="inlineStr">
        <is>
          <t>Shēngchǎn Xiàn Ānquán Cāozuò) - Safe Operations in Production Lines - Hoạt động An toàn trong Dây chuyền Sản xuất</t>
        </is>
      </c>
      <c r="E1332" s="92" t="inlineStr">
        <is>
          <t>483. 生产线安全操作 (Shēngchǎn Xiàn Ānquán Cāozuò) - Safe Operations in Production Lines - Hoạt động An toàn trong Dây chuyền Sản xuất</t>
        </is>
      </c>
      <c r="F1332" s="114">
        <f>HYPERLINK("https://youglish.com/pronounce/生产线安全操作/chinese","🔍")</f>
        <v/>
      </c>
    </row>
    <row r="1333" ht="42.75" customHeight="1" s="99">
      <c r="A1333" s="94" t="inlineStr">
        <is>
          <t>PDF_Tiếng trung Full BỘ BCT.pdf</t>
        </is>
      </c>
      <c r="B1333" s="95" t="inlineStr">
        <is>
          <t>484</t>
        </is>
      </c>
      <c r="C1333" s="94" t="inlineStr">
        <is>
          <t>供应链可追溯性报告</t>
        </is>
      </c>
      <c r="D1333" s="94" t="inlineStr">
        <is>
          <t>Gōngyìngliàn Kě Zhuīsù Xìng Bàogào) - Traceability Reports in the Supply Chain - Báo cáo về Khả năng Theo dõi trong Chuỗi cung ứng</t>
        </is>
      </c>
      <c r="E1333" s="94" t="inlineStr">
        <is>
          <t>484. 供应链可追溯性报告 (Gōngyìngliàn Kě Zhuīsù Xìng Bàogào) - Traceability Reports in the Supply Chain - Báo cáo về Khả năng Theo dõi trong Chuỗi cung ứng</t>
        </is>
      </c>
      <c r="F1333" s="115">
        <f>HYPERLINK("https://youglish.com/pronounce/供应链可追溯性报告/chinese","🔍")</f>
        <v/>
      </c>
    </row>
    <row r="1334" ht="28.5" customHeight="1" s="99">
      <c r="A1334" s="92" t="inlineStr">
        <is>
          <t>PDF_Tiếng trung Full BỘ BCT.pdf</t>
        </is>
      </c>
      <c r="B1334" s="93" t="inlineStr">
        <is>
          <t>485</t>
        </is>
      </c>
      <c r="C1334" s="92" t="inlineStr">
        <is>
          <t>供应链合规审查</t>
        </is>
      </c>
      <c r="D1334" s="92" t="inlineStr">
        <is>
          <t>Gōngyìngliàn Héguī Shěnchá) - Compliance Review in the Supply Chain - Kiểm tra Tuân thủ trong Chuỗi cung ứng</t>
        </is>
      </c>
      <c r="E1334" s="92" t="inlineStr">
        <is>
          <t>485. 供应链合规审查 (Gōngyìngliàn Héguī Shěnchá) - Compliance Review in the Supply Chain - Kiểm tra Tuân thủ trong Chuỗi cung ứng</t>
        </is>
      </c>
      <c r="F1334" s="114">
        <f>HYPERLINK("https://youglish.com/pronounce/供应链合规审查/chinese","🔍")</f>
        <v/>
      </c>
    </row>
    <row r="1335" ht="42.75" customHeight="1" s="99">
      <c r="A1335" s="94" t="inlineStr">
        <is>
          <t>PDF_Tiếng trung Full BỘ BCT.pdf</t>
        </is>
      </c>
      <c r="B1335" s="95" t="inlineStr">
        <is>
          <t>486</t>
        </is>
      </c>
      <c r="C1335" s="94" t="inlineStr">
        <is>
          <t>生产线维修保养</t>
        </is>
      </c>
      <c r="D1335" s="94" t="inlineStr">
        <is>
          <t>Shēngchǎn Xiàn Wéixiū Bǎoyǎng) - Maintenance and Upkeep in Production Lines - Bảo dưỡng và Bảo trì trong Dây chuyền Sản xuất</t>
        </is>
      </c>
      <c r="E1335" s="94" t="inlineStr">
        <is>
          <t>486. 生产线维修保养 (Shēngchǎn Xiàn Wéixiū Bǎoyǎng) - Maintenance and Upkeep in Production Lines - Bảo dưỡng và Bảo trì trong Dây chuyền Sản xuất</t>
        </is>
      </c>
      <c r="F1335" s="115">
        <f>HYPERLINK("https://youglish.com/pronounce/生产线维修保养/chinese","🔍")</f>
        <v/>
      </c>
    </row>
    <row r="1336" ht="28.5" customHeight="1" s="99">
      <c r="A1336" s="92" t="inlineStr">
        <is>
          <t>PDF_Tiếng trung Full BỘ BCT.pdf</t>
        </is>
      </c>
      <c r="B1336" s="93" t="inlineStr">
        <is>
          <t>487</t>
        </is>
      </c>
      <c r="C1336" s="92" t="inlineStr">
        <is>
          <t>货物追溯流程</t>
        </is>
      </c>
      <c r="D1336" s="92" t="inlineStr">
        <is>
          <t>Huòwù Zhuīsù Liúchéng) - Traceability Processes for Cargo - Quy trình Theo dõi cho Hàng hóa</t>
        </is>
      </c>
      <c r="E1336" s="92" t="inlineStr">
        <is>
          <t>487. 货物追溯流程 (Huòwù Zhuīsù Liúchéng) - Traceability Processes for Cargo - Quy trình Theo dõi cho Hàng hóa</t>
        </is>
      </c>
      <c r="F1336" s="114">
        <f>HYPERLINK("https://youglish.com/pronounce/货物追溯流程/chinese","🔍")</f>
        <v/>
      </c>
    </row>
    <row r="1337" ht="42.75" customHeight="1" s="99">
      <c r="A1337" s="94" t="inlineStr">
        <is>
          <t>PDF_Tiếng trung Full BỘ BCT.pdf</t>
        </is>
      </c>
      <c r="B1337" s="95" t="inlineStr">
        <is>
          <t>488</t>
        </is>
      </c>
      <c r="C1337" s="94" t="inlineStr">
        <is>
          <t>供应商供应链协调</t>
        </is>
      </c>
      <c r="D1337" s="94" t="inlineStr">
        <is>
          <t>Gōngyìngshāng Gòngyìngliàn Xiétiáo) - Coordination in Vendor Supply Chains - Điều phối trong Chuỗi cung ứng của Nhà cung cấp</t>
        </is>
      </c>
      <c r="E1337" s="94" t="inlineStr">
        <is>
          <t>488. 供应商供应链协调 (Gōngyìngshāng Gòngyìngliàn Xiétiáo) - Coordination in Vendor Supply Chains - Điều phối trong Chuỗi cung ứng của Nhà cung cấp</t>
        </is>
      </c>
      <c r="F1337" s="115">
        <f>HYPERLINK("https://youglish.com/pronounce/供应商供应链协调/chinese","🔍")</f>
        <v/>
      </c>
    </row>
    <row r="1338" ht="28.5" customHeight="1" s="99">
      <c r="A1338" s="92" t="inlineStr">
        <is>
          <t>PDF_Tiếng trung Full BỘ BCT.pdf</t>
        </is>
      </c>
      <c r="B1338" s="93" t="inlineStr">
        <is>
          <t>489</t>
        </is>
      </c>
      <c r="C1338" s="92" t="inlineStr">
        <is>
          <t>物流信息技术</t>
        </is>
      </c>
      <c r="D1338" s="92" t="inlineStr">
        <is>
          <t>Wùliú Xìnxī Jìshù) - Information Technology in Logistics - Công nghệ Thông tin trong Logistics</t>
        </is>
      </c>
      <c r="E1338" s="92" t="inlineStr">
        <is>
          <t>489. 物流信息技术 (Wùliú Xìnxī Jìshù) - Information Technology in Logistics - Công nghệ Thông tin trong Logistics</t>
        </is>
      </c>
      <c r="F1338" s="114">
        <f>HYPERLINK("https://youglish.com/pronounce/物流信息技术/chinese","🔍")</f>
        <v/>
      </c>
    </row>
    <row r="1339" ht="42.75" customHeight="1" s="99">
      <c r="A1339" s="94" t="inlineStr">
        <is>
          <t>PDF_Tiếng trung Full BỘ BCT.pdf</t>
        </is>
      </c>
      <c r="B1339" s="95" t="inlineStr">
        <is>
          <t>490</t>
        </is>
      </c>
      <c r="C1339" s="94" t="inlineStr">
        <is>
          <t>生产线灵活生产计划</t>
        </is>
      </c>
      <c r="D1339" s="94" t="inlineStr">
        <is>
          <t>Shēngchǎn Xiàn Línghuó Shēngchǎn Jìhuà) - Flexible Production Planning in Production Lines - Kế hoạch Sản xuất Linh hoạt trong Dây chuyền Sản xuất</t>
        </is>
      </c>
      <c r="E1339" s="94" t="inlineStr">
        <is>
          <t>490. 生产线灵活生产计划 (Shēngchǎn Xiàn Línghuó Shēngchǎn Jìhuà) - Flexible Production Planning in Production Lines - Kế hoạch Sản xuất Linh hoạt trong Dây chuyền Sản xuất</t>
        </is>
      </c>
      <c r="F1339" s="115">
        <f>HYPERLINK("https://youglish.com/pronounce/生产线灵活生产计划/chinese","🔍")</f>
        <v/>
      </c>
    </row>
    <row r="1340" ht="28.5" customHeight="1" s="99">
      <c r="A1340" s="92" t="inlineStr">
        <is>
          <t>PDF_Tiếng trung Full BỘ BCT.pdf</t>
        </is>
      </c>
      <c r="B1340" s="93" t="inlineStr">
        <is>
          <t>491</t>
        </is>
      </c>
      <c r="C1340" s="92" t="inlineStr">
        <is>
          <t>需求计划协同</t>
        </is>
      </c>
      <c r="D1340" s="92" t="inlineStr">
        <is>
          <t>Xūqiú Jìhuà Xiétóng) - Collaborative Demand Planning - Kế hoạch Nhu cầu Hợp tác</t>
        </is>
      </c>
      <c r="E1340" s="92" t="inlineStr">
        <is>
          <t>491. 需求计划协同 (Xūqiú Jìhuà Xiétóng) - Collaborative Demand Planning - Kế hoạch Nhu cầu Hợp tác</t>
        </is>
      </c>
      <c r="F1340" s="114">
        <f>HYPERLINK("https://youglish.com/pronounce/需求计划协同/chinese","🔍")</f>
        <v/>
      </c>
    </row>
    <row r="1341" ht="28.5" customHeight="1" s="99">
      <c r="A1341" s="94" t="inlineStr">
        <is>
          <t>PDF_Tiếng trung Full BỘ BCT.pdf</t>
        </is>
      </c>
      <c r="B1341" s="95" t="inlineStr">
        <is>
          <t>492</t>
        </is>
      </c>
      <c r="C1341" s="94" t="inlineStr">
        <is>
          <t>供应链危机应对</t>
        </is>
      </c>
      <c r="D1341" s="94" t="inlineStr">
        <is>
          <t>Gōngyìngliàn Wēijī Yìngduì) - Crisis Response in the Supply Chain - Ứng phó với Khủng hoảng trong Chuỗi cung ứng</t>
        </is>
      </c>
      <c r="E1341" s="94" t="inlineStr">
        <is>
          <t>492. 供应链危机应对 (Gōngyìngliàn Wēijī Yìngduì) - Crisis Response in the Supply Chain - Ứng phó với Khủng hoảng trong Chuỗi cung ứng</t>
        </is>
      </c>
      <c r="F1341" s="115">
        <f>HYPERLINK("https://youglish.com/pronounce/供应链危机应对/chinese","🔍")</f>
        <v/>
      </c>
    </row>
    <row r="1342" ht="42.75" customHeight="1" s="99">
      <c r="A1342" s="92" t="inlineStr">
        <is>
          <t>PDF_Tiếng trung Full BỘ BCT.pdf</t>
        </is>
      </c>
      <c r="B1342" s="93" t="inlineStr">
        <is>
          <t>493</t>
        </is>
      </c>
      <c r="C1342" s="92" t="inlineStr">
        <is>
          <t>物料供应链可持续性</t>
        </is>
      </c>
      <c r="D1342" s="92" t="inlineStr">
        <is>
          <t>Wùliào Gōngyìngliàn Kěchíxù Xìng) - Sustainability in Material Supply Chains - Bền vững trong Chuỗi cung ứng Vật liệu</t>
        </is>
      </c>
      <c r="E1342" s="92" t="inlineStr">
        <is>
          <t>493. 物料供应链可持续性 (Wùliào Gōngyìngliàn Kěchíxù Xìng) - Sustainability in Material Supply Chains - Bền vững trong Chuỗi cung ứng Vật liệu</t>
        </is>
      </c>
      <c r="F1342" s="114">
        <f>HYPERLINK("https://youglish.com/pronounce/物料供应链可持续性/chinese","🔍")</f>
        <v/>
      </c>
    </row>
    <row r="1343" ht="42.75" customHeight="1" s="99">
      <c r="A1343" s="94" t="inlineStr">
        <is>
          <t>PDF_Tiếng trung Full BỘ BCT.pdf</t>
        </is>
      </c>
      <c r="B1343" s="95" t="inlineStr">
        <is>
          <t>494</t>
        </is>
      </c>
      <c r="C1343" s="94" t="inlineStr">
        <is>
          <t>生产线流程改进</t>
        </is>
      </c>
      <c r="D1343" s="94" t="inlineStr">
        <is>
          <t>Shēngchǎn Xiàn Liúchéng Gǎishàn) - Process Improvement in Production Lines - Cải thiện Quy trình trong Dây chuyền Sản xuất</t>
        </is>
      </c>
      <c r="E1343" s="94" t="inlineStr">
        <is>
          <t>494. 生产线流程改进 (Shēngchǎn Xiàn Liúchéng Gǎishàn) - Process Improvement in Production Lines - Cải thiện Quy trình trong Dây chuyền Sản xuất</t>
        </is>
      </c>
      <c r="F1343" s="115">
        <f>HYPERLINK("https://youglish.com/pronounce/生产线流程改进/chinese","🔍")</f>
        <v/>
      </c>
    </row>
    <row r="1344" ht="42.75" customHeight="1" s="99">
      <c r="A1344" s="92" t="inlineStr">
        <is>
          <t>PDF_Tiếng trung Full BỘ BCT.pdf</t>
        </is>
      </c>
      <c r="B1344" s="93" t="inlineStr">
        <is>
          <t>495</t>
        </is>
      </c>
      <c r="C1344" s="92" t="inlineStr">
        <is>
          <t>生产线效率改善</t>
        </is>
      </c>
      <c r="D1344" s="92" t="inlineStr">
        <is>
          <t>Shēngchǎn Xiàn Xiàolǜ Gǎishàn) - Efficiency Enhancement in Production Lines - Nâng cao Hiệu suất trong Dây chuyền Sản xuất</t>
        </is>
      </c>
      <c r="E1344" s="92" t="inlineStr">
        <is>
          <t>495. 生产线效率改善 (Shēngchǎn Xiàn Xiàolǜ Gǎishàn) - Efficiency Enhancement in Production Lines - Nâng cao Hiệu suất trong Dây chuyền Sản xuất</t>
        </is>
      </c>
      <c r="F1344" s="114">
        <f>HYPERLINK("https://youglish.com/pronounce/生产线效率改善/chinese","🔍")</f>
        <v/>
      </c>
    </row>
    <row r="1345" ht="28.5" customHeight="1" s="99">
      <c r="A1345" s="94" t="inlineStr">
        <is>
          <t>PDF_Tiếng trung Full BỘ BCT.pdf</t>
        </is>
      </c>
      <c r="B1345" s="95" t="inlineStr">
        <is>
          <t>496</t>
        </is>
      </c>
      <c r="C1345" s="94" t="inlineStr">
        <is>
          <t>货物追溯平台</t>
        </is>
      </c>
      <c r="D1345" s="94" t="inlineStr">
        <is>
          <t>Huòwù Zhuīsù Píngtái) - Traceability Platforms for Cargo - Nền tảng Theo dõi cho Hàng hóa</t>
        </is>
      </c>
      <c r="E1345" s="94" t="inlineStr">
        <is>
          <t>496. 货物追溯平台 (Huòwù Zhuīsù Píngtái) - Traceability Platforms for Cargo - Nền tảng Theo dõi cho Hàng hóa</t>
        </is>
      </c>
      <c r="F1345" s="115">
        <f>HYPERLINK("https://youglish.com/pronounce/货物追溯平台/chinese","🔍")</f>
        <v/>
      </c>
    </row>
    <row r="1346" ht="28.5" customHeight="1" s="99">
      <c r="A1346" s="92" t="inlineStr">
        <is>
          <t>PDF_Tiếng trung Full BỘ BCT.pdf</t>
        </is>
      </c>
      <c r="B1346" s="93" t="inlineStr">
        <is>
          <t>497</t>
        </is>
      </c>
      <c r="C1346" s="92" t="inlineStr">
        <is>
          <t>供应商物流合作</t>
        </is>
      </c>
      <c r="D1346" s="92" t="inlineStr">
        <is>
          <t>Gōngyìngshāng Wùliú Hézuò) - Logistics Collaboration with Vendors - Hợp tác Logistics với Nhà cung cấp</t>
        </is>
      </c>
      <c r="E1346" s="92" t="inlineStr">
        <is>
          <t>497. 供应商物流合作 (Gōngyìngshāng Wùliú Hézuò) - Logistics Collaboration with Vendors - Hợp tác Logistics với Nhà cung cấp</t>
        </is>
      </c>
      <c r="F1346" s="114">
        <f>HYPERLINK("https://youglish.com/pronounce/供应商物流合作/chinese","🔍")</f>
        <v/>
      </c>
    </row>
    <row r="1347" ht="42.75" customHeight="1" s="99">
      <c r="A1347" s="94" t="inlineStr">
        <is>
          <t>PDF_Tiếng trung Full BỘ BCT.pdf</t>
        </is>
      </c>
      <c r="B1347" s="95" t="inlineStr">
        <is>
          <t>498</t>
        </is>
      </c>
      <c r="C1347" s="94" t="inlineStr">
        <is>
          <t>物流运输效能优化</t>
        </is>
      </c>
      <c r="D1347" s="94" t="inlineStr">
        <is>
          <t>Wùliú Yùnshū Xiàonéng Yōuhuà) - Optimization of Transportation Efficiency in Logistics - Tối ưu hóa Hiệu suất Vận chuyển trong Logistics</t>
        </is>
      </c>
      <c r="E1347" s="94" t="inlineStr">
        <is>
          <t>498. 物流运输效能优化 (Wùliú Yùnshū Xiàonéng Yōuhuà) - Optimization of Transportation Efficiency in Logistics - Tối ưu hóa Hiệu suất Vận chuyển trong Logistics</t>
        </is>
      </c>
      <c r="F1347" s="115">
        <f>HYPERLINK("https://youglish.com/pronounce/物流运输效能优化/chinese","🔍")</f>
        <v/>
      </c>
    </row>
    <row r="1348" ht="42.75" customHeight="1" s="99">
      <c r="A1348" s="92" t="inlineStr">
        <is>
          <t>PDF_Tiếng trung Full BỘ BCT.pdf</t>
        </is>
      </c>
      <c r="B1348" s="93" t="inlineStr">
        <is>
          <t>499</t>
        </is>
      </c>
      <c r="C1348" s="92" t="inlineStr">
        <is>
          <t>生产线质量管理体系</t>
        </is>
      </c>
      <c r="D1348" s="92" t="inlineStr">
        <is>
          <t>Shēngchǎn Xiàn Zhìliàng Guǎnlǐ Tǐxì) - Quality Management System in Production Lines - Hệ thống Quản lý Chất lượng trong Dây chuyền Sản xuất</t>
        </is>
      </c>
      <c r="E1348" s="92" t="inlineStr">
        <is>
          <t>499. 生产线质量管理体系 (Shēngchǎn Xiàn Zhìliàng Guǎnlǐ Tǐxì) - Quality Management System in Production Lines - Hệ thống Quản lý Chất lượng trong Dây chuyền Sản xuất</t>
        </is>
      </c>
      <c r="F1348" s="114">
        <f>HYPERLINK("https://youglish.com/pronounce/生产线质量管理体系/chinese","🔍")</f>
        <v/>
      </c>
    </row>
    <row r="1349" ht="28.5" customHeight="1" s="99">
      <c r="A1349" s="94" t="inlineStr">
        <is>
          <t>PDF_Tiếng trung Full BỘ BCT.pdf</t>
        </is>
      </c>
      <c r="B1349" s="95" t="inlineStr">
        <is>
          <t>500</t>
        </is>
      </c>
      <c r="C1349" s="94" t="inlineStr">
        <is>
          <t>需求计划实施方案</t>
        </is>
      </c>
      <c r="D1349" s="94" t="inlineStr">
        <is>
          <t>Xūqiú Jìhuà Shíshī Fāng'àn) - Implementation Plans for Demand Planning - Kế hoạch Thực hiện Kế hoạch Nhu cầu</t>
        </is>
      </c>
      <c r="E1349" s="94" t="inlineStr">
        <is>
          <t>500. 需求计划实施方案 (Xūqiú Jìhuà Shíshī Fāng'àn) - Implementation Plans for Demand Planning - Kế hoạch Thực hiện Kế hoạch Nhu cầu</t>
        </is>
      </c>
      <c r="F1349" s="115">
        <f>HYPERLINK("https://youglish.com/pronounce/需求计划实施方案/chinese","🔍")</f>
        <v/>
      </c>
    </row>
    <row r="1350" ht="42.75" customHeight="1" s="99">
      <c r="A1350" s="92" t="inlineStr">
        <is>
          <t>PDF_Tiếng trung Full BỘ BCT.pdf</t>
        </is>
      </c>
      <c r="B1350" s="93" t="inlineStr">
        <is>
          <t>501</t>
        </is>
      </c>
      <c r="C1350" s="92" t="inlineStr">
        <is>
          <t>供应链协同作业平台</t>
        </is>
      </c>
      <c r="D1350" s="92" t="inlineStr">
        <is>
          <t>Gōngyìngliàn Xiétiáo Zuòyè Píngtái) - Collaborative Operations Platform in the Supply Chain - Nền tảng Hoạt động Hợp tác trong Chuỗi cung ứng</t>
        </is>
      </c>
      <c r="E1350" s="92" t="inlineStr">
        <is>
          <t>501. 供应链协同作业平台 (Gōngyìngliàn Xiétiáo Zuòyè Píngtái) - Collaborative Operations Platform in the Supply Chain - Nền tảng Hoạt động Hợp tác trong Chuỗi cung ứng</t>
        </is>
      </c>
      <c r="F1350" s="114">
        <f>HYPERLINK("https://youglish.com/pronounce/供应链协同作业平台/chinese","🔍")</f>
        <v/>
      </c>
    </row>
    <row r="1351" ht="42.75" customHeight="1" s="99">
      <c r="A1351" s="94" t="inlineStr">
        <is>
          <t>PDF_Tiếng trung Full BỘ BCT.pdf</t>
        </is>
      </c>
      <c r="B1351" s="95" t="inlineStr">
        <is>
          <t>502</t>
        </is>
      </c>
      <c r="C1351" s="94" t="inlineStr">
        <is>
          <t>供应链可持续性评估</t>
        </is>
      </c>
      <c r="D1351" s="94" t="inlineStr">
        <is>
          <t>Gōngyìngliàn Kěchíxù Xìng Pínggū) - Sustainability Assessment in the Supply Chain - Đánh giá Tính Bền vững trong Chuỗi cung ứng</t>
        </is>
      </c>
      <c r="E1351" s="94" t="inlineStr">
        <is>
          <t>502. 供应链可持续性评估 (Gōngyìngliàn Kěchíxù Xìng Pínggū) - Sustainability Assessment in the Supply Chain - Đánh giá Tính Bền vững trong Chuỗi cung ứng</t>
        </is>
      </c>
      <c r="F1351" s="115">
        <f>HYPERLINK("https://youglish.com/pronounce/供应链可持续性评估/chinese","🔍")</f>
        <v/>
      </c>
    </row>
    <row r="1352" ht="42.75" customHeight="1" s="99">
      <c r="A1352" s="92" t="inlineStr">
        <is>
          <t>PDF_Tiếng trung Full BỘ BCT.pdf</t>
        </is>
      </c>
      <c r="B1352" s="93" t="inlineStr">
        <is>
          <t>503</t>
        </is>
      </c>
      <c r="C1352" s="92" t="inlineStr">
        <is>
          <t>生产线生产能力规划</t>
        </is>
      </c>
      <c r="D1352" s="92" t="inlineStr">
        <is>
          <t>Shēngchǎn Xiàn Shēngchǎn Nénglì Guīhuà) - Capacity Planning for Production in Production Lines - Kế hoạch Dung lượng Sản xuất trong Dây chuyền Sản xuất</t>
        </is>
      </c>
      <c r="E1352" s="92" t="inlineStr">
        <is>
          <t>503. 生产线生产能力规划 (Shēngchǎn Xiàn Shēngchǎn Nénglì Guīhuà) - Capacity Planning for Production in Production Lines - Kế hoạch Dung lượng Sản xuất trong Dây chuyền Sản xuất</t>
        </is>
      </c>
      <c r="F1352" s="114">
        <f>HYPERLINK("https://youglish.com/pronounce/生产线生产能力规划/chinese","🔍")</f>
        <v/>
      </c>
    </row>
    <row r="1353" ht="28.5" customHeight="1" s="99">
      <c r="A1353" s="94" t="inlineStr">
        <is>
          <t>PDF_Tiếng trung Full BỘ BCT.pdf</t>
        </is>
      </c>
      <c r="B1353" s="95" t="inlineStr">
        <is>
          <t>504</t>
        </is>
      </c>
      <c r="C1353" s="94" t="inlineStr">
        <is>
          <t>货物追溯标准化</t>
        </is>
      </c>
      <c r="D1353" s="94" t="inlineStr">
        <is>
          <t>Huòwù Zhuīsù Biāozhǔnhuà) - Standardization of Cargo Traceability - Tiêu chuẩn Hóa Theo dõi Hàng hóa</t>
        </is>
      </c>
      <c r="E1353" s="94" t="inlineStr">
        <is>
          <t>504. 货物追溯标准化 (Huòwù Zhuīsù Biāozhǔnhuà) - Standardization of Cargo Traceability - Tiêu chuẩn Hóa Theo dõi Hàng hóa</t>
        </is>
      </c>
      <c r="F1353" s="115">
        <f>HYPERLINK("https://youglish.com/pronounce/货物追溯标准化/chinese","🔍")</f>
        <v/>
      </c>
    </row>
    <row r="1354" ht="28.5" customHeight="1" s="99">
      <c r="A1354" s="92" t="inlineStr">
        <is>
          <t>PDF_Tiếng trung Full BỘ BCT.pdf</t>
        </is>
      </c>
      <c r="B1354" s="93" t="inlineStr">
        <is>
          <t>505</t>
        </is>
      </c>
      <c r="C1354" s="92" t="inlineStr">
        <is>
          <t>供应商培训计划</t>
        </is>
      </c>
      <c r="D1354" s="92" t="inlineStr">
        <is>
          <t>Gōngyìngshāng Péixùn Jìhuà) - Vendor Training Programs - Kế hoạch Đào tạo của Nhà cung cấp</t>
        </is>
      </c>
      <c r="E1354" s="92" t="inlineStr">
        <is>
          <t>505. 供应商培训计划 (Gōngyìngshāng Péixùn Jìhuà) - Vendor Training Programs - Kế hoạch Đào tạo của Nhà cung cấp</t>
        </is>
      </c>
      <c r="F1354" s="114">
        <f>HYPERLINK("https://youglish.com/pronounce/供应商培训计划/chinese","🔍")</f>
        <v/>
      </c>
    </row>
    <row r="1355" ht="28.5" customHeight="1" s="99">
      <c r="A1355" s="94" t="inlineStr">
        <is>
          <t>PDF_Tiếng trung Full BỘ BCT.pdf</t>
        </is>
      </c>
      <c r="B1355" s="95" t="inlineStr">
        <is>
          <t>506</t>
        </is>
      </c>
      <c r="C1355" s="94" t="inlineStr">
        <is>
          <t>物流成本分析</t>
        </is>
      </c>
      <c r="D1355" s="94" t="inlineStr">
        <is>
          <t>Wùliú Chéngběn Fēnxi) - Cost Analysis in Logistics - Phân tích Chi phí trong Logistics</t>
        </is>
      </c>
      <c r="E1355" s="94" t="inlineStr">
        <is>
          <t>506. 物流成本分析 (Wùliú Chéngběn Fēnxi) - Cost Analysis in Logistics - Phân tích Chi phí trong Logistics</t>
        </is>
      </c>
      <c r="F1355" s="115">
        <f>HYPERLINK("https://youglish.com/pronounce/物流成本分析/chinese","🔍")</f>
        <v/>
      </c>
    </row>
    <row r="1356" ht="42.75" customHeight="1" s="99">
      <c r="A1356" s="92" t="inlineStr">
        <is>
          <t>PDF_Tiếng trung Full BỘ BCT.pdf</t>
        </is>
      </c>
      <c r="B1356" s="93" t="inlineStr">
        <is>
          <t>507</t>
        </is>
      </c>
      <c r="C1356" s="92" t="inlineStr">
        <is>
          <t>生产线技术更新</t>
        </is>
      </c>
      <c r="D1356" s="92" t="inlineStr">
        <is>
          <t>Shēngchǎn Xiàn Jìshù Gēngxīn) - Technological Updates in Production Lines - Cập nhật Công nghệ trong Dây chuyền Sản xuất</t>
        </is>
      </c>
      <c r="E1356" s="92" t="inlineStr">
        <is>
          <t>507. 生产线技术更新 (Shēngchǎn Xiàn Jìshù Gēngxīn) - Technological Updates in Production Lines - Cập nhật Công nghệ trong Dây chuyền Sản xuất</t>
        </is>
      </c>
      <c r="F1356" s="114">
        <f>HYPERLINK("https://youglish.com/pronounce/生产线技术更新/chinese","🔍")</f>
        <v/>
      </c>
    </row>
    <row r="1357" ht="28.5" customHeight="1" s="99">
      <c r="A1357" s="94" t="inlineStr">
        <is>
          <t>PDF_Tiếng trung Full BỘ BCT.pdf</t>
        </is>
      </c>
      <c r="B1357" s="95" t="inlineStr">
        <is>
          <t>508</t>
        </is>
      </c>
      <c r="C1357" s="94" t="inlineStr">
        <is>
          <t>需求计划调整策略</t>
        </is>
      </c>
      <c r="D1357" s="94" t="inlineStr">
        <is>
          <t>Xūqiú Jìhuà Tiáozhěng Cèlüè) - Strategies for Adjusting Demand Planning - Chiến lược Điều chỉnh Kế hoạch Nhu cầu</t>
        </is>
      </c>
      <c r="E1357" s="94" t="inlineStr">
        <is>
          <t>508. 需求计划调整策略 (Xūqiú Jìhuà Tiáozhěng Cèlüè) - Strategies for Adjusting Demand Planning - Chiến lược Điều chỉnh Kế hoạch Nhu cầu</t>
        </is>
      </c>
      <c r="F1357" s="115">
        <f>HYPERLINK("https://youglish.com/pronounce/需求计划调整策略/chinese","🔍")</f>
        <v/>
      </c>
    </row>
    <row r="1358" ht="28.5" customHeight="1" s="99">
      <c r="A1358" s="92" t="inlineStr">
        <is>
          <t>PDF_Tiếng trung Full BỘ BCT.pdf</t>
        </is>
      </c>
      <c r="B1358" s="93" t="inlineStr">
        <is>
          <t>509</t>
        </is>
      </c>
      <c r="C1358" s="92" t="inlineStr">
        <is>
          <t>供应链可视化工具</t>
        </is>
      </c>
      <c r="D1358" s="92" t="inlineStr">
        <is>
          <t>Gōngyìngliàn Kěshìhuà Gōngjù) - Visualization Tools in the Supply Chain - Công cụ Trực quan hóa trong Chuỗi cung ứng</t>
        </is>
      </c>
      <c r="E1358" s="92" t="inlineStr">
        <is>
          <t>509. 供应链可视化工具 (Gōngyìngliàn Kěshìhuà Gōngjù) - Visualization Tools in the Supply Chain - Công cụ Trực quan hóa trong Chuỗi cung ứng</t>
        </is>
      </c>
      <c r="F1358" s="114">
        <f>HYPERLINK("https://youglish.com/pronounce/供应链可视化工具/chinese","🔍")</f>
        <v/>
      </c>
    </row>
    <row r="1359" ht="28.5" customHeight="1" s="99">
      <c r="A1359" s="94" t="inlineStr">
        <is>
          <t>PDF_Tiếng trung Full BỘ BCT.pdf</t>
        </is>
      </c>
      <c r="B1359" s="95" t="inlineStr">
        <is>
          <t>510</t>
        </is>
      </c>
      <c r="C1359" s="94" t="inlineStr">
        <is>
          <t>物料供应链协同</t>
        </is>
      </c>
      <c r="D1359" s="94" t="inlineStr">
        <is>
          <t>Wùliào Gōngyìngliàn Xiétiáo) - Collaboration in Material Supply Chains - Hợp tác trong Chuỗi cung ứng Vật liệu</t>
        </is>
      </c>
      <c r="E1359" s="94" t="inlineStr">
        <is>
          <t>510. 物料供应链协同 (Wùliào Gōngyìngliàn Xiétiáo) - Collaboration in Material Supply Chains - Hợp tác trong Chuỗi cung ứng Vật liệu</t>
        </is>
      </c>
      <c r="F1359" s="115">
        <f>HYPERLINK("https://youglish.com/pronounce/物料供应链协同/chinese","🔍")</f>
        <v/>
      </c>
    </row>
    <row r="1360" ht="42.75" customHeight="1" s="99">
      <c r="A1360" s="92" t="inlineStr">
        <is>
          <t>PDF_Tiếng trung Full BỘ BCT.pdf</t>
        </is>
      </c>
      <c r="B1360" s="93" t="inlineStr">
        <is>
          <t>511</t>
        </is>
      </c>
      <c r="C1360" s="92" t="inlineStr">
        <is>
          <t>供应商质量控制流程</t>
        </is>
      </c>
      <c r="D1360" s="92" t="inlineStr">
        <is>
          <t>Gōngyìngshāng Zhìliàng Kòngzhì Liúchéng) - Quality Control Processes for Vendors - Quy trình Kiểm soát Chất lượng cho Nhà cung cấp</t>
        </is>
      </c>
      <c r="E1360" s="92" t="inlineStr">
        <is>
          <t>511. 供应商质量控制流程 (Gōngyìngshāng Zhìliàng Kòngzhì Liúchéng) - Quality Control Processes for Vendors - Quy trình Kiểm soát Chất lượng cho Nhà cung cấp</t>
        </is>
      </c>
      <c r="F1360" s="114">
        <f>HYPERLINK("https://youglish.com/pronounce/供应商质量控制流程/chinese","🔍")</f>
        <v/>
      </c>
    </row>
    <row r="1361" ht="42.75" customHeight="1" s="99">
      <c r="A1361" s="94" t="inlineStr">
        <is>
          <t>PDF_Tiếng trung Full BỘ BCT.pdf</t>
        </is>
      </c>
      <c r="B1361" s="95" t="inlineStr">
        <is>
          <t>512</t>
        </is>
      </c>
      <c r="C1361" s="94" t="inlineStr">
        <is>
          <t>生产线工艺流程图</t>
        </is>
      </c>
      <c r="D1361" s="94" t="inlineStr">
        <is>
          <t>Shēngchǎn Xiàn Gōngyì Liúchéngtú) - Process Flow Diagrams in Production Lines - Sơ đồ Quy trình trong Dây chuyền Sản xuất</t>
        </is>
      </c>
      <c r="E1361" s="94" t="inlineStr">
        <is>
          <t>512. 生产线工艺流程图 (Shēngchǎn Xiàn Gōngyì Liúchéngtú) - Process Flow Diagrams in Production Lines - Sơ đồ Quy trình trong Dây chuyền Sản xuất</t>
        </is>
      </c>
      <c r="F1361" s="115">
        <f>HYPERLINK("https://youglish.com/pronounce/生产线工艺流程图/chinese","🔍")</f>
        <v/>
      </c>
    </row>
    <row r="1362" ht="28.5" customHeight="1" s="99">
      <c r="A1362" s="92" t="inlineStr">
        <is>
          <t>PDF_Tiếng trung Full BỘ BCT.pdf</t>
        </is>
      </c>
      <c r="B1362" s="93" t="inlineStr">
        <is>
          <t>513</t>
        </is>
      </c>
      <c r="C1362" s="92" t="inlineStr">
        <is>
          <t>需求计划执行监测</t>
        </is>
      </c>
      <c r="D1362" s="92" t="inlineStr">
        <is>
          <t>Xūqiú Jìhuà Zhíxíng Jiāncè) - Monitoring of Demand Planning Execution - Giám sát Thực hiện Kế hoạch Nhu cầu</t>
        </is>
      </c>
      <c r="E1362" s="92" t="inlineStr">
        <is>
          <t>513. 需求计划执行监测 (Xūqiú Jìhuà Zhíxíng Jiāncè) - Monitoring of Demand Planning Execution - Giám sát Thực hiện Kế hoạch Nhu cầu</t>
        </is>
      </c>
      <c r="F1362" s="114">
        <f>HYPERLINK("https://youglish.com/pronounce/需求计划执行监测/chinese","🔍")</f>
        <v/>
      </c>
    </row>
    <row r="1363" ht="42.75" customHeight="1" s="99">
      <c r="A1363" s="94" t="inlineStr">
        <is>
          <t>PDF_Tiếng trung Full BỘ BCT.pdf</t>
        </is>
      </c>
      <c r="B1363" s="95" t="inlineStr">
        <is>
          <t>514</t>
        </is>
      </c>
      <c r="C1363" s="94" t="inlineStr">
        <is>
          <t>供应链数字化战略规划</t>
        </is>
      </c>
      <c r="D1363" s="94" t="inlineStr">
        <is>
          <t>Gōngyìngliàn Shùzìhuà Zhànlüè Guīhuà) - Strategic Planning for Digitalization in the Supply Chain - Kế hoạch Chiến lược cho Số hóa trong Chuỗi cung ứng</t>
        </is>
      </c>
      <c r="E1363" s="94" t="inlineStr">
        <is>
          <t>514. 供应链数字化战略规划 (Gōngyìngliàn Shùzìhuà Zhànlüè Guīhuà) - Strategic Planning for Digitalization in the Supply Chain - Kế hoạch Chiến lược cho Số hóa trong Chuỗi cung ứng</t>
        </is>
      </c>
      <c r="F1363" s="115">
        <f>HYPERLINK("https://youglish.com/pronounce/供应链数字化战略规划/chinese","🔍")</f>
        <v/>
      </c>
    </row>
    <row r="1364" ht="42.75" customHeight="1" s="99">
      <c r="A1364" s="92" t="inlineStr">
        <is>
          <t>PDF_Tiếng trung Full BỘ BCT.pdf</t>
        </is>
      </c>
      <c r="B1364" s="93" t="inlineStr">
        <is>
          <t>515</t>
        </is>
      </c>
      <c r="C1364" s="92" t="inlineStr">
        <is>
          <t>生产线库存管理</t>
        </is>
      </c>
      <c r="D1364" s="92" t="inlineStr">
        <is>
          <t>Shēngchǎn Xiàn Kùcún Guǎnlǐ) - Inventory Management in Production Lines - Quản lý Tồn kho trong Dây chuyền Sản xuất</t>
        </is>
      </c>
      <c r="E1364" s="92" t="inlineStr">
        <is>
          <t>515. 生产线库存管理 (Shēngchǎn Xiàn Kùcún Guǎnlǐ) - Inventory Management in Production Lines - Quản lý Tồn kho trong Dây chuyền Sản xuất</t>
        </is>
      </c>
      <c r="F1364" s="114">
        <f>HYPERLINK("https://youglish.com/pronounce/生产线库存管理/chinese","🔍")</f>
        <v/>
      </c>
    </row>
    <row r="1365" ht="28.5" customHeight="1" s="99">
      <c r="A1365" s="94" t="inlineStr">
        <is>
          <t>PDF_Tiếng trung Full BỘ BCT.pdf</t>
        </is>
      </c>
      <c r="B1365" s="95" t="inlineStr">
        <is>
          <t>516</t>
        </is>
      </c>
      <c r="C1365" s="94" t="inlineStr">
        <is>
          <t>供应商服务水平</t>
        </is>
      </c>
      <c r="D1365" s="94" t="inlineStr">
        <is>
          <t>Gōngyìngshāng Fúwù Shuǐpíng) - Service Levels for Vendors - Cấp độ Dịch vụ cho Nhà cung cấp</t>
        </is>
      </c>
      <c r="E1365" s="94" t="inlineStr">
        <is>
          <t>516. 供应商服务水平 (Gōngyìngshāng Fúwù Shuǐpíng) - Service Levels for Vendors - Cấp độ Dịch vụ cho Nhà cung cấp</t>
        </is>
      </c>
      <c r="F1365" s="115">
        <f>HYPERLINK("https://youglish.com/pronounce/供应商服务水平/chinese","🔍")</f>
        <v/>
      </c>
    </row>
    <row r="1366" ht="28.5" customHeight="1" s="99">
      <c r="A1366" s="92" t="inlineStr">
        <is>
          <t>PDF_Tiếng trung Full BỘ BCT.pdf</t>
        </is>
      </c>
      <c r="B1366" s="93" t="inlineStr">
        <is>
          <t>517</t>
        </is>
      </c>
      <c r="C1366" s="92" t="inlineStr">
        <is>
          <t>物流运输规划</t>
        </is>
      </c>
      <c r="D1366" s="92" t="inlineStr">
        <is>
          <t>Wùliú Yùnshū Guīhuà) - Transportation Planning in Logistics - Kế hoạch Vận chuyển trong Logistics</t>
        </is>
      </c>
      <c r="E1366" s="92" t="inlineStr">
        <is>
          <t>517. 物流运输规划 (Wùliú Yùnshū Guīhuà) - Transportation Planning in Logistics - Kế hoạch Vận chuyển trong Logistics</t>
        </is>
      </c>
      <c r="F1366" s="114">
        <f>HYPERLINK("https://youglish.com/pronounce/物流运输规划/chinese","🔍")</f>
        <v/>
      </c>
    </row>
    <row r="1367" ht="42.75" customHeight="1" s="99">
      <c r="A1367" s="94" t="inlineStr">
        <is>
          <t>PDF_Tiếng trung Full BỘ BCT.pdf</t>
        </is>
      </c>
      <c r="B1367" s="95" t="inlineStr">
        <is>
          <t>518</t>
        </is>
      </c>
      <c r="C1367" s="94" t="inlineStr">
        <is>
          <t>生产线质量问题解决</t>
        </is>
      </c>
      <c r="D1367" s="94" t="inlineStr">
        <is>
          <t>Shēngchǎn Xiàn Zhìliàng Wèntí Jiějué) - Problem Resolution for Quality in Production Lines - Giải quyết Vấn đề Chất lượng trong Dây chuyền Sản xuất</t>
        </is>
      </c>
      <c r="E1367" s="94" t="inlineStr">
        <is>
          <t>518. 生产线质量问题解决 (Shēngchǎn Xiàn Zhìliàng Wèntí Jiějué) - Problem Resolution for Quality in Production Lines - Giải quyết Vấn đề Chất lượng trong Dây chuyền Sản xuất</t>
        </is>
      </c>
      <c r="F1367" s="115">
        <f>HYPERLINK("https://youglish.com/pronounce/生产线质量问题解决/chinese","🔍")</f>
        <v/>
      </c>
    </row>
    <row r="1368" ht="28.5" customHeight="1" s="99">
      <c r="A1368" s="92" t="inlineStr">
        <is>
          <t>PDF_Tiếng trung Full BỘ BCT.pdf</t>
        </is>
      </c>
      <c r="B1368" s="93" t="inlineStr">
        <is>
          <t>519</t>
        </is>
      </c>
      <c r="C1368" s="92" t="inlineStr">
        <is>
          <t>需求计划优化策略</t>
        </is>
      </c>
      <c r="D1368" s="92" t="inlineStr">
        <is>
          <t>Xūqiú Jìhuà Yōuhuà Cèlüè) - Strategies for Optimizing Demand Planning - Chiến lược Tối ưu hóa Kế hoạch Nhu cầu</t>
        </is>
      </c>
      <c r="E1368" s="92" t="inlineStr">
        <is>
          <t>519. 需求计划优化策略 (Xūqiú Jìhuà Yōuhuà Cèlüè) - Strategies for Optimizing Demand Planning - Chiến lược Tối ưu hóa Kế hoạch Nhu cầu</t>
        </is>
      </c>
      <c r="F1368" s="114">
        <f>HYPERLINK("https://youglish.com/pronounce/需求计划优化策略/chinese","🔍")</f>
        <v/>
      </c>
    </row>
    <row r="1369" ht="28.5" customHeight="1" s="99">
      <c r="A1369" s="94" t="inlineStr">
        <is>
          <t>PDF_Tiếng trung Full BỘ BCT.pdf</t>
        </is>
      </c>
      <c r="B1369" s="95" t="inlineStr">
        <is>
          <t>520</t>
        </is>
      </c>
      <c r="C1369" s="94" t="inlineStr">
        <is>
          <t>供应链信息共享</t>
        </is>
      </c>
      <c r="D1369" s="94" t="inlineStr">
        <is>
          <t>Gōngyìngliàn Xìnxī Gòngxiǎng) - Information Sharing in the Supply Chain - Chia sẻ Thông tin trong Chuỗi cung ứng</t>
        </is>
      </c>
      <c r="E1369" s="94" t="inlineStr">
        <is>
          <t>520. 供应链信息共享 (Gōngyìngliàn Xìnxī Gòngxiǎng) - Information Sharing in the Supply Chain - Chia sẻ Thông tin trong Chuỗi cung ứng</t>
        </is>
      </c>
      <c r="F1369" s="115">
        <f>HYPERLINK("https://youglish.com/pronounce/供应链信息共享/chinese","🔍")</f>
        <v/>
      </c>
    </row>
    <row r="1370" ht="28.5" customHeight="1" s="99">
      <c r="A1370" s="92" t="inlineStr">
        <is>
          <t>PDF_Tiếng trung Full BỘ BCT.pdf</t>
        </is>
      </c>
      <c r="B1370" s="93" t="inlineStr">
        <is>
          <t>521</t>
        </is>
      </c>
      <c r="C1370" s="92" t="inlineStr">
        <is>
          <t>供应商风险评估</t>
        </is>
      </c>
      <c r="D1370" s="92" t="inlineStr">
        <is>
          <t>Gōngyìngshāng Fēngxiǎn Pínggū) - Risk Assessment for Vendors - Đánh giá Rủi ro cho Nhà cung cấp</t>
        </is>
      </c>
      <c r="E1370" s="92" t="inlineStr">
        <is>
          <t>521. 供应商风险评估 (Gōngyìngshāng Fēngxiǎn Pínggū) - Risk Assessment for Vendors - Đánh giá Rủi ro cho Nhà cung cấp</t>
        </is>
      </c>
      <c r="F1370" s="114">
        <f>HYPERLINK("https://youglish.com/pronounce/供应商风险评估/chinese","🔍")</f>
        <v/>
      </c>
    </row>
    <row r="1371" ht="42.75" customHeight="1" s="99">
      <c r="A1371" s="94" t="inlineStr">
        <is>
          <t>PDF_Tiếng trung Full BỘ BCT.pdf</t>
        </is>
      </c>
      <c r="B1371" s="95" t="inlineStr">
        <is>
          <t>522</t>
        </is>
      </c>
      <c r="C1371" s="94" t="inlineStr">
        <is>
          <t>生产线质量监督</t>
        </is>
      </c>
      <c r="D1371" s="94" t="inlineStr">
        <is>
          <t>Shēngchǎn Xiàn Zhìliàng Jiāndū) - Quality Supervision in Production Lines - Giám sát Chất lượng trong Dây chuyền Sản xuất</t>
        </is>
      </c>
      <c r="E1371" s="94" t="inlineStr">
        <is>
          <t>522. 生产线质量监督 (Shēngchǎn Xiàn Zhìliàng Jiāndū) - Quality Supervision in Production Lines - Giám sát Chất lượng trong Dây chuyền Sản xuất</t>
        </is>
      </c>
      <c r="F1371" s="115">
        <f>HYPERLINK("https://youglish.com/pronounce/生产线质量监督/chinese","🔍")</f>
        <v/>
      </c>
    </row>
    <row r="1372" ht="28.5" customHeight="1" s="99">
      <c r="A1372" s="92" t="inlineStr">
        <is>
          <t>PDF_Tiếng trung Full BỘ BCT.pdf</t>
        </is>
      </c>
      <c r="B1372" s="93" t="inlineStr">
        <is>
          <t>523</t>
        </is>
      </c>
      <c r="C1372" s="92" t="inlineStr">
        <is>
          <t>货物追溯数据分析</t>
        </is>
      </c>
      <c r="D1372" s="92" t="inlineStr">
        <is>
          <t>Huòwù Zhuīsù Shùjù Fēnxi) - Data Analysis for Cargo Traceability - Phân tích Dữ liệu Theo dõi Hàng hóa</t>
        </is>
      </c>
      <c r="E1372" s="92" t="inlineStr">
        <is>
          <t>523. 货物追溯数据分析 (Huòwù Zhuīsù Shùjù Fēnxi) - Data Analysis for Cargo Traceability - Phân tích Dữ liệu Theo dõi Hàng hóa</t>
        </is>
      </c>
      <c r="F1372" s="114">
        <f>HYPERLINK("https://youglish.com/pronounce/货物追溯数据分析/chinese","🔍")</f>
        <v/>
      </c>
    </row>
    <row r="1373" ht="42.75" customHeight="1" s="99">
      <c r="A1373" s="94" t="inlineStr">
        <is>
          <t>PDF_Tiếng trung Full BỘ BCT.pdf</t>
        </is>
      </c>
      <c r="B1373" s="95" t="inlineStr">
        <is>
          <t>524</t>
        </is>
      </c>
      <c r="C1373" s="94" t="inlineStr">
        <is>
          <t>供应链灾难恢复计划</t>
        </is>
      </c>
      <c r="D1373" s="94" t="inlineStr">
        <is>
          <t>Gōngyìngliàn Zāinàn Huīfù Jìhuà) - Disaster Recovery Plan in the Supply Chain - Kế hoạch Phục hồi sau Thảm họa trong Chuỗi cung ứng</t>
        </is>
      </c>
      <c r="E1373" s="94" t="inlineStr">
        <is>
          <t>524. 供应链灾难恢复计划 (Gōngyìngliàn Zāinàn Huīfù Jìhuà) - Disaster Recovery Plan in the Supply Chain - Kế hoạch Phục hồi sau Thảm họa trong Chuỗi cung ứng</t>
        </is>
      </c>
      <c r="F1373" s="115">
        <f>HYPERLINK("https://youglish.com/pronounce/供应链灾难恢复计划/chinese","🔍")</f>
        <v/>
      </c>
    </row>
    <row r="1374" ht="28.5" customHeight="1" s="99">
      <c r="A1374" s="92" t="inlineStr">
        <is>
          <t>PDF_Tiếng trung Full BỘ BCT.pdf</t>
        </is>
      </c>
      <c r="B1374" s="93" t="inlineStr">
        <is>
          <t>525</t>
        </is>
      </c>
      <c r="C1374" s="92" t="inlineStr">
        <is>
          <t>物流合作协议</t>
        </is>
      </c>
      <c r="D1374" s="92" t="inlineStr">
        <is>
          <t>Wùliú Hézuò Xiéyì) - Logistics Cooperation Agreements - Thỏa thuận Hợp tác Logistics</t>
        </is>
      </c>
      <c r="E1374" s="92" t="inlineStr">
        <is>
          <t>525. 物流合作协议 (Wùliú Hézuò Xiéyì) - Logistics Cooperation Agreements - Thỏa thuận Hợp tác Logistics</t>
        </is>
      </c>
      <c r="F1374" s="114">
        <f>HYPERLINK("https://youglish.com/pronounce/物流合作协议/chinese","🔍")</f>
        <v/>
      </c>
    </row>
    <row r="1375" ht="42.75" customHeight="1" s="99">
      <c r="A1375" s="94" t="inlineStr">
        <is>
          <t>PDF_Tiếng trung Full BỘ BCT.pdf</t>
        </is>
      </c>
      <c r="B1375" s="95" t="inlineStr">
        <is>
          <t>526</t>
        </is>
      </c>
      <c r="C1375" s="94" t="inlineStr">
        <is>
          <t>生产线成本效益</t>
        </is>
      </c>
      <c r="D1375" s="94" t="inlineStr">
        <is>
          <t>Shēngchǎn Xiàn Chéngběn Xiàoyì) - Cost-effectiveness in Production Lines - Hiệu quả Chi phí trong Dây chuyền Sản xuất</t>
        </is>
      </c>
      <c r="E1375" s="94" t="inlineStr">
        <is>
          <t>526. 生产线成本效益 (Shēngchǎn Xiàn Chéngběn Xiàoyì) - Cost-effectiveness in Production Lines - Hiệu quả Chi phí trong Dây chuyền Sản xuất</t>
        </is>
      </c>
      <c r="F1375" s="115">
        <f>HYPERLINK("https://youglish.com/pronounce/生产线成本效益/chinese","🔍")</f>
        <v/>
      </c>
    </row>
    <row r="1376" ht="28.5" customHeight="1" s="99">
      <c r="A1376" s="92" t="inlineStr">
        <is>
          <t>PDF_Tiếng trung Full BỘ BCT.pdf</t>
        </is>
      </c>
      <c r="B1376" s="93" t="inlineStr">
        <is>
          <t>527</t>
        </is>
      </c>
      <c r="C1376" s="92" t="inlineStr">
        <is>
          <t>需求计划调整方案</t>
        </is>
      </c>
      <c r="D1376" s="92" t="inlineStr">
        <is>
          <t>Xūqiú Jìhuà Tiáozhěng Fāng'àn) - Adjustment Plans for Demand Planning - Kế hoạch Điều chỉnh Kế hoạch Nhu cầu</t>
        </is>
      </c>
      <c r="E1376" s="92" t="inlineStr">
        <is>
          <t>527. 需求计划调整方案 (Xūqiú Jìhuà Tiáozhěng Fāng'àn) - Adjustment Plans for Demand Planning - Kế hoạch Điều chỉnh Kế hoạch Nhu cầu</t>
        </is>
      </c>
      <c r="F1376" s="114">
        <f>HYPERLINK("https://youglish.com/pronounce/需求计划调整方案/chinese","🔍")</f>
        <v/>
      </c>
    </row>
    <row r="1377" ht="42.75" customHeight="1" s="99">
      <c r="A1377" s="94" t="inlineStr">
        <is>
          <t>PDF_Tiếng trung Full BỘ BCT.pdf</t>
        </is>
      </c>
      <c r="B1377" s="95" t="inlineStr">
        <is>
          <t>528</t>
        </is>
      </c>
      <c r="C1377" s="94" t="inlineStr">
        <is>
          <t>供应链质量标准</t>
        </is>
      </c>
      <c r="D1377" s="94" t="inlineStr">
        <is>
          <t>Gōngyìngliàn Zhìliàng Biāozhǔn) - Quality Standards in the Supply Chain - Tiêu chuẩn Chất lượng trong Chuỗi cung ứng</t>
        </is>
      </c>
      <c r="E1377" s="94" t="inlineStr">
        <is>
          <t>528. 供应链质量标准 (Gōngyìngliàn Zhìliàng Biāozhǔn) - Quality Standards in the Supply Chain - Tiêu chuẩn Chất lượng trong Chuỗi cung ứng</t>
        </is>
      </c>
      <c r="F1377" s="115">
        <f>HYPERLINK("https://youglish.com/pronounce/供应链质量标准/chinese","🔍")</f>
        <v/>
      </c>
    </row>
    <row r="1378" ht="42.75" customHeight="1" s="99">
      <c r="A1378" s="92" t="inlineStr">
        <is>
          <t>PDF_Tiếng trung Full BỘ BCT.pdf</t>
        </is>
      </c>
      <c r="B1378" s="93" t="inlineStr">
        <is>
          <t>529</t>
        </is>
      </c>
      <c r="C1378" s="92" t="inlineStr">
        <is>
          <t>物料供应链合作伙伴</t>
        </is>
      </c>
      <c r="D1378" s="92" t="inlineStr">
        <is>
          <t>Wùliào Gōngyìngliàn Hézuò Huǒbàn) - Collaboration Partners in Material Supply Chains - Đối tác Hợp tác trong Chuỗi cung ứng Vật liệu</t>
        </is>
      </c>
      <c r="E1378" s="92" t="inlineStr">
        <is>
          <t>529. 物料供应链合作伙伴 (Wùliào Gōngyìngliàn Hézuò Huǒbàn) - Collaboration Partners in Material Supply Chains - Đối tác Hợp tác trong Chuỗi cung ứng Vật liệu</t>
        </is>
      </c>
      <c r="F1378" s="114">
        <f>HYPERLINK("https://youglish.com/pronounce/物料供应链合作伙伴/chinese","🔍")</f>
        <v/>
      </c>
    </row>
    <row r="1379" ht="42.75" customHeight="1" s="99">
      <c r="A1379" s="94" t="inlineStr">
        <is>
          <t>PDF_Tiếng trung Full BỘ BCT.pdf</t>
        </is>
      </c>
      <c r="B1379" s="95" t="inlineStr">
        <is>
          <t>530</t>
        </is>
      </c>
      <c r="C1379" s="94" t="inlineStr">
        <is>
          <t>供应商供应链透明度</t>
        </is>
      </c>
      <c r="D1379" s="94" t="inlineStr">
        <is>
          <t>Gōngyìngshāng Gòngyìngliàn Tòumíngdù) - Transparency in Vendor Supply Chains - Tính minh bạch trong Chuỗi cung ứng của Nhà cung cấp</t>
        </is>
      </c>
      <c r="E1379" s="94" t="inlineStr">
        <is>
          <t>530. 供应商供应链透明度 (Gōngyìngshāng Gòngyìngliàn Tòumíngdù) - Transparency in Vendor Supply Chains - Tính minh bạch trong Chuỗi cung ứng của Nhà cung cấp</t>
        </is>
      </c>
      <c r="F1379" s="115">
        <f>HYPERLINK("https://youglish.com/pronounce/供应商供应链透明度/chinese","🔍")</f>
        <v/>
      </c>
    </row>
    <row r="1380" ht="42.75" customHeight="1" s="99">
      <c r="A1380" s="92" t="inlineStr">
        <is>
          <t>PDF_Tiếng trung Full BỘ BCT.pdf</t>
        </is>
      </c>
      <c r="B1380" s="93" t="inlineStr">
        <is>
          <t>531</t>
        </is>
      </c>
      <c r="C1380" s="92" t="inlineStr">
        <is>
          <t>生产线危机管理计划</t>
        </is>
      </c>
      <c r="D1380" s="92" t="inlineStr">
        <is>
          <t>Shēngchǎn Xiàn Wēijī Guǎnlǐ Jìhuà) - Crisis Management Plan in Production Lines - Kế hoạch Quản lý Khủng hoảng trong Dây chuyền Sản xuất</t>
        </is>
      </c>
      <c r="E1380" s="92" t="inlineStr">
        <is>
          <t>531. 生产线危机管理计划 (Shēngchǎn Xiàn Wēijī Guǎnlǐ Jìhuà) - Crisis Management Plan in Production Lines - Kế hoạch Quản lý Khủng hoảng trong Dây chuyền Sản xuất</t>
        </is>
      </c>
      <c r="F1380" s="114">
        <f>HYPERLINK("https://youglish.com/pronounce/生产线危机管理计划/chinese","🔍")</f>
        <v/>
      </c>
    </row>
    <row r="1381" ht="42.75" customHeight="1" s="99">
      <c r="A1381" s="94" t="inlineStr">
        <is>
          <t>PDF_Tiếng trung Full BỘ BCT.pdf</t>
        </is>
      </c>
      <c r="B1381" s="95" t="inlineStr">
        <is>
          <t>532</t>
        </is>
      </c>
      <c r="C1381" s="94" t="inlineStr">
        <is>
          <t>需求计划执行效果评估</t>
        </is>
      </c>
      <c r="D1381" s="94" t="inlineStr">
        <is>
          <t>Xūqiú Jìhuà Zhíxíng Xiàoguǒ Pínggū) - Evaluation of the Effectiveness of Demand Planning Execution - Đánh giá Hiệu suất của Quy trình Thực hiện Kế hoạch Nhu cầu</t>
        </is>
      </c>
      <c r="E1381" s="94" t="inlineStr">
        <is>
          <t>532. 需求计划执行效果评估 (Xūqiú Jìhuà Zhíxíng Xiàoguǒ Pínggū) - Evaluation of the Effectiveness of Demand Planning Execution - Đánh giá Hiệu suất của Quy trình Thực hiện Kế hoạch Nhu cầu</t>
        </is>
      </c>
      <c r="F1381" s="115">
        <f>HYPERLINK("https://youglish.com/pronounce/需求计划执行效果评估/chinese","🔍")</f>
        <v/>
      </c>
    </row>
    <row r="1382" ht="42.75" customHeight="1" s="99">
      <c r="A1382" s="92" t="inlineStr">
        <is>
          <t>PDF_Tiếng trung Full BỘ BCT.pdf</t>
        </is>
      </c>
      <c r="B1382" s="93" t="inlineStr">
        <is>
          <t>533</t>
        </is>
      </c>
      <c r="C1382" s="92" t="inlineStr">
        <is>
          <t>供应链数字化工程</t>
        </is>
      </c>
      <c r="D1382" s="92" t="inlineStr">
        <is>
          <t>Gōngyìngliàn Shùzìhuà Gōngchéng) - Digitalization Projects in the Supply Chain - Dự án Số hóa trong Chuỗi cung ứng</t>
        </is>
      </c>
      <c r="E1382" s="92" t="inlineStr">
        <is>
          <t>533. 供应链数字化工程 (Gōngyìngliàn Shùzìhuà Gōngchéng) - Digitalization Projects in the Supply Chain - Dự án Số hóa trong Chuỗi cung ứng</t>
        </is>
      </c>
      <c r="F1382" s="114">
        <f>HYPERLINK("https://youglish.com/pronounce/供应链数字化工程/chinese","🔍")</f>
        <v/>
      </c>
    </row>
    <row r="1383" ht="42.75" customHeight="1" s="99">
      <c r="A1383" s="94" t="inlineStr">
        <is>
          <t>PDF_Tiếng trung Full BỘ BCT.pdf</t>
        </is>
      </c>
      <c r="B1383" s="95" t="inlineStr">
        <is>
          <t>534</t>
        </is>
      </c>
      <c r="C1383" s="94" t="inlineStr">
        <is>
          <t>生产线生产力改进</t>
        </is>
      </c>
      <c r="D1383" s="94" t="inlineStr">
        <is>
          <t>Shēngchǎn Xiàn Shēngchǎnlì Gǎishàn) - Productivity Improvement in Production Lines - Cải thiện Năng suất trong Dây chuyền Sản xuất</t>
        </is>
      </c>
      <c r="E1383" s="94" t="inlineStr">
        <is>
          <t>534. 生产线生产力改进 (Shēngchǎn Xiàn Shēngchǎnlì Gǎishàn) - Productivity Improvement in Production Lines - Cải thiện Năng suất trong Dây chuyền Sản xuất</t>
        </is>
      </c>
      <c r="F1383" s="115">
        <f>HYPERLINK("https://youglish.com/pronounce/生产线生产力改进/chinese","🔍")</f>
        <v/>
      </c>
    </row>
    <row r="1384" ht="28.5" customHeight="1" s="99">
      <c r="A1384" s="92" t="inlineStr">
        <is>
          <t>PDF_Tiếng trung Full BỘ BCT.pdf</t>
        </is>
      </c>
      <c r="B1384" s="93" t="inlineStr">
        <is>
          <t>535</t>
        </is>
      </c>
      <c r="C1384" s="92" t="inlineStr">
        <is>
          <t>货物追溯验证系统</t>
        </is>
      </c>
      <c r="D1384" s="92" t="inlineStr">
        <is>
          <t>Huòwù Zhuīsù Yànzhèng Xìtǒng) - Verification Systems for Cargo Traceability - Hệ thống Xác minh Theo dõi Hàng hóa</t>
        </is>
      </c>
      <c r="E1384" s="92" t="inlineStr">
        <is>
          <t>535. 货物追溯验证系统 (Huòwù Zhuīsù Yànzhèng Xìtǒng) - Verification Systems for Cargo Traceability - Hệ thống Xác minh Theo dõi Hàng hóa</t>
        </is>
      </c>
      <c r="F1384" s="114">
        <f>HYPERLINK("https://youglish.com/pronounce/货物追溯验证系统/chinese","🔍")</f>
        <v/>
      </c>
    </row>
    <row r="1385" ht="28.5" customHeight="1" s="99">
      <c r="A1385" s="94" t="inlineStr">
        <is>
          <t>PDF_Tiếng trung Full BỘ BCT.pdf</t>
        </is>
      </c>
      <c r="B1385" s="95" t="inlineStr">
        <is>
          <t>536</t>
        </is>
      </c>
      <c r="C1385" s="94" t="inlineStr">
        <is>
          <t>供应商信息安全</t>
        </is>
      </c>
      <c r="D1385" s="94" t="inlineStr">
        <is>
          <t>Gōngyìngshāng Xìnxī Ānquán) - Information Security for Vendors - An ninh Thông tin cho Nhà cung cấp</t>
        </is>
      </c>
      <c r="E1385" s="94" t="inlineStr">
        <is>
          <t>536. 供应商信息安全 (Gōngyìngshāng Xìnxī Ānquán) - Information Security for Vendors - An ninh Thông tin cho Nhà cung cấp</t>
        </is>
      </c>
      <c r="F1385" s="115">
        <f>HYPERLINK("https://youglish.com/pronounce/供应商信息安全/chinese","🔍")</f>
        <v/>
      </c>
    </row>
    <row r="1386" ht="42.75" customHeight="1" s="99">
      <c r="A1386" s="92" t="inlineStr">
        <is>
          <t>PDF_Tiếng trung Full BỘ BCT.pdf</t>
        </is>
      </c>
      <c r="B1386" s="93" t="inlineStr">
        <is>
          <t>537</t>
        </is>
      </c>
      <c r="C1386" s="92" t="inlineStr">
        <is>
          <t>物流运输计划优化</t>
        </is>
      </c>
      <c r="D1386" s="92" t="inlineStr">
        <is>
          <t>Wùliú Yùnshū Jìhuà Yōuhuà) - Optimization of Transportation Plans in Logistics - Tối ưu hóa Kế hoạch Vận chuyển trong Logistics</t>
        </is>
      </c>
      <c r="E1386" s="92" t="inlineStr">
        <is>
          <t>537. 物流运输计划优化 (Wùliú Yùnshū Jìhuà Yōuhuà) - Optimization of Transportation Plans in Logistics - Tối ưu hóa Kế hoạch Vận chuyển trong Logistics</t>
        </is>
      </c>
      <c r="F1386" s="114">
        <f>HYPERLINK("https://youglish.com/pronounce/物流运输计划优化/chinese","🔍")</f>
        <v/>
      </c>
    </row>
    <row r="1387" ht="42.75" customHeight="1" s="99">
      <c r="A1387" s="94" t="inlineStr">
        <is>
          <t>PDF_Tiếng trung Full BỘ BCT.pdf</t>
        </is>
      </c>
      <c r="B1387" s="95" t="inlineStr">
        <is>
          <t>538</t>
        </is>
      </c>
      <c r="C1387" s="94" t="inlineStr">
        <is>
          <t>生产线效率监测</t>
        </is>
      </c>
      <c r="D1387" s="94" t="inlineStr">
        <is>
          <t>Shēngchǎn Xiàn Xiàolǜ Jiāncè) - Efficiency Monitoring in Production Lines - Giám sát Hiệu suất trong Dây chuyền Sản xuất</t>
        </is>
      </c>
      <c r="E1387" s="94" t="inlineStr">
        <is>
          <t>538. 生产线效率监测 (Shēngchǎn Xiàn Xiàolǜ Jiāncè) - Efficiency Monitoring in Production Lines - Giám sát Hiệu suất trong Dây chuyền Sản xuất</t>
        </is>
      </c>
      <c r="F1387" s="115">
        <f>HYPERLINK("https://youglish.com/pronounce/生产线效率监测/chinese","🔍")</f>
        <v/>
      </c>
    </row>
    <row r="1388" ht="42.75" customHeight="1" s="99">
      <c r="A1388" s="92" t="inlineStr">
        <is>
          <t>PDF_Tiếng trung Full BỘ BCT.pdf</t>
        </is>
      </c>
      <c r="B1388" s="93" t="inlineStr">
        <is>
          <t>539</t>
        </is>
      </c>
      <c r="C1388" s="92" t="inlineStr">
        <is>
          <t>供应链可追溯性技术</t>
        </is>
      </c>
      <c r="D1388" s="92" t="inlineStr">
        <is>
          <t>Gōngyìngliàn Kě Zhuīsù Xìng Jìshù) - Traceability Technologies in the Supply Chain - Công nghệ Theo dõi trong Chuỗi cung ứng</t>
        </is>
      </c>
      <c r="E1388" s="92" t="inlineStr">
        <is>
          <t>539. 供应链可追溯性技术 (Gōngyìngliàn Kě Zhuīsù Xìng Jìshù) - Traceability Technologies in the Supply Chain - Công nghệ Theo dõi trong Chuỗi cung ứng</t>
        </is>
      </c>
      <c r="F1388" s="114">
        <f>HYPERLINK("https://youglish.com/pronounce/供应链可追溯性技术/chinese","🔍")</f>
        <v/>
      </c>
    </row>
    <row r="1389" ht="42.75" customHeight="1" s="99">
      <c r="A1389" s="94" t="inlineStr">
        <is>
          <t>PDF_Tiếng trung Full BỘ BCT.pdf</t>
        </is>
      </c>
      <c r="B1389" s="95" t="inlineStr">
        <is>
          <t>540</t>
        </is>
      </c>
      <c r="C1389" s="94" t="inlineStr">
        <is>
          <t>生产线定期维护</t>
        </is>
      </c>
      <c r="D1389" s="94" t="inlineStr">
        <is>
          <t>Shēngchǎn Xiàn Dìngqī Wéihù) - Regular Maintenance in Production Lines - Bảo dưỡng Định kỳ trong Dây chuyền Sản xuất</t>
        </is>
      </c>
      <c r="E1389" s="94" t="inlineStr">
        <is>
          <t>540. 生产线定期维护 (Shēngchǎn Xiàn Dìngqī Wéihù) - Regular Maintenance in Production Lines - Bảo dưỡng Định kỳ trong Dây chuyền Sản xuất</t>
        </is>
      </c>
      <c r="F1389" s="115">
        <f>HYPERLINK("https://youglish.com/pronounce/生产线定期维护/chinese","🔍")</f>
        <v/>
      </c>
    </row>
    <row r="1390" ht="28.5" customHeight="1" s="99">
      <c r="A1390" s="92" t="inlineStr">
        <is>
          <t>PDF_Tiếng trung Full BỘ BCT.pdf</t>
        </is>
      </c>
      <c r="B1390" s="93" t="inlineStr">
        <is>
          <t>541</t>
        </is>
      </c>
      <c r="C1390" s="92" t="inlineStr">
        <is>
          <t>货物分拣和包装</t>
        </is>
      </c>
      <c r="D1390" s="92" t="inlineStr">
        <is>
          <t>Huòwù Fēnjiǎn Hé Bāozhuāng) - Sorting and Packaging of Cargo - Phân loại và Đóng gói Hàng hóa</t>
        </is>
      </c>
      <c r="E1390" s="92" t="inlineStr">
        <is>
          <t>541. 货物分拣和包装 (Huòwù Fēnjiǎn Hé Bāozhuāng) - Sorting and Packaging of Cargo - Phân loại và Đóng gói Hàng hóa</t>
        </is>
      </c>
      <c r="F1390" s="114">
        <f>HYPERLINK("https://youglish.com/pronounce/货物分拣和包装/chinese","🔍")</f>
        <v/>
      </c>
    </row>
    <row r="1391" ht="42.75" customHeight="1" s="99">
      <c r="A1391" s="94" t="inlineStr">
        <is>
          <t>PDF_Tiếng trung Full BỘ BCT.pdf</t>
        </is>
      </c>
      <c r="B1391" s="95" t="inlineStr">
        <is>
          <t>542</t>
        </is>
      </c>
      <c r="C1391" s="94" t="inlineStr">
        <is>
          <t>供应商生产能力评估</t>
        </is>
      </c>
      <c r="D1391" s="94" t="inlineStr">
        <is>
          <t>Gōngyìngshāng Shēngchǎn Nénglì Pínggū) - Assessment of Production Capacity for Vendors - Đánh giá Năng lực Sản xuất cho Nhà cung cấp</t>
        </is>
      </c>
      <c r="E1391" s="94" t="inlineStr">
        <is>
          <t>542. 供应商生产能力评估 (Gōngyìngshāng Shēngchǎn Nénglì Pínggū) - Assessment of Production Capacity for Vendors - Đánh giá Năng lực Sản xuất cho Nhà cung cấp</t>
        </is>
      </c>
      <c r="F1391" s="115">
        <f>HYPERLINK("https://youglish.com/pronounce/供应商生产能力评估/chinese","🔍")</f>
        <v/>
      </c>
    </row>
    <row r="1392" ht="28.5" customHeight="1" s="99">
      <c r="A1392" s="92" t="inlineStr">
        <is>
          <t>PDF_Tiếng trung Full BỘ BCT.pdf</t>
        </is>
      </c>
      <c r="B1392" s="93" t="inlineStr">
        <is>
          <t>543</t>
        </is>
      </c>
      <c r="C1392" s="92" t="inlineStr">
        <is>
          <t>物流数据分析工具</t>
        </is>
      </c>
      <c r="D1392" s="92" t="inlineStr">
        <is>
          <t>Wùliú Shùjù Fēnxi Gōngjù) - Data Analysis Tools in Logistics - Công cụ Phân tích Dữ liệu trong Logistics</t>
        </is>
      </c>
      <c r="E1392" s="92" t="inlineStr">
        <is>
          <t>543. 物流数据分析工具 (Wùliú Shùjù Fēnxi Gōngjù) - Data Analysis Tools in Logistics - Công cụ Phân tích Dữ liệu trong Logistics</t>
        </is>
      </c>
      <c r="F1392" s="114">
        <f>HYPERLINK("https://youglish.com/pronounce/物流数据分析工具/chinese","🔍")</f>
        <v/>
      </c>
    </row>
    <row r="1393" ht="42.75" customHeight="1" s="99">
      <c r="A1393" s="94" t="inlineStr">
        <is>
          <t>PDF_Tiếng trung Full BỘ BCT.pdf</t>
        </is>
      </c>
      <c r="B1393" s="95" t="inlineStr">
        <is>
          <t>544</t>
        </is>
      </c>
      <c r="C1393" s="94" t="inlineStr">
        <is>
          <t>生产线卫生和安全规定</t>
        </is>
      </c>
      <c r="D1393" s="94" t="inlineStr">
        <is>
          <t>Shēngchǎn Xiàn Wèishēng Hé Ānquán Guīdìng) - Hygiene and Safety Regulations in Production Lines - Quy định Vệ sinh và An toàn trong Dây chuyền Sản xuất</t>
        </is>
      </c>
      <c r="E1393" s="94" t="inlineStr">
        <is>
          <t>544. 生产线卫生和安全规定 (Shēngchǎn Xiàn Wèishēng Hé Ānquán Guīdìng) - Hygiene and Safety Regulations in Production Lines - Quy định Vệ sinh và An toàn trong Dây chuyền Sản xuất</t>
        </is>
      </c>
      <c r="F1393" s="115">
        <f>HYPERLINK("https://youglish.com/pronounce/生产线卫生和安全规定/chinese","🔍")</f>
        <v/>
      </c>
    </row>
    <row r="1394" ht="28.5" customHeight="1" s="99">
      <c r="A1394" s="92" t="inlineStr">
        <is>
          <t>PDF_Tiếng trung Full BỘ BCT.pdf</t>
        </is>
      </c>
      <c r="B1394" s="93" t="inlineStr">
        <is>
          <t>545</t>
        </is>
      </c>
      <c r="C1394" s="92" t="inlineStr">
        <is>
          <t>需求计划变更流程</t>
        </is>
      </c>
      <c r="D1394" s="92" t="inlineStr">
        <is>
          <t>Xūqiú Jìhuà Biàngē Liúchéng) - Processes for Demand Planning Changes - Quy trình Thay đổi Kế hoạch Nhu cầu</t>
        </is>
      </c>
      <c r="E1394" s="92" t="inlineStr">
        <is>
          <t>545. 需求计划变更流程 (Xūqiú Jìhuà Biàngē Liúchéng) - Processes for Demand Planning Changes - Quy trình Thay đổi Kế hoạch Nhu cầu</t>
        </is>
      </c>
      <c r="F1394" s="114">
        <f>HYPERLINK("https://youglish.com/pronounce/需求计划变更流程/chinese","🔍")</f>
        <v/>
      </c>
    </row>
    <row r="1395" ht="42.75" customHeight="1" s="99">
      <c r="A1395" s="94" t="inlineStr">
        <is>
          <t>PDF_Tiếng trung Full BỘ BCT.pdf</t>
        </is>
      </c>
      <c r="B1395" s="95" t="inlineStr">
        <is>
          <t>546</t>
        </is>
      </c>
      <c r="C1395" s="94" t="inlineStr">
        <is>
          <t>供应链危机管理策略</t>
        </is>
      </c>
      <c r="D1395" s="94" t="inlineStr">
        <is>
          <t>Gōngyìngliàn Wēijī Guǎnlǐ Cèlüè) - Strategies for Crisis Management in the Supply Chain - Chiến lược Quản lý Khủng hoảng trong Chuỗi cung ứng</t>
        </is>
      </c>
      <c r="E1395" s="94" t="inlineStr">
        <is>
          <t>546. 供应链危机管理策略 (Gōngyìngliàn Wēijī Guǎnlǐ Cèlüè) - Strategies for Crisis Management in the Supply Chain - Chiến lược Quản lý Khủng hoảng trong Chuỗi cung ứng</t>
        </is>
      </c>
      <c r="F1395" s="115">
        <f>HYPERLINK("https://youglish.com/pronounce/供应链危机管理策略/chinese","🔍")</f>
        <v/>
      </c>
    </row>
    <row r="1396" ht="42.75" customHeight="1" s="99">
      <c r="A1396" s="92" t="inlineStr">
        <is>
          <t>PDF_Tiếng trung Full BỘ BCT.pdf</t>
        </is>
      </c>
      <c r="B1396" s="93" t="inlineStr">
        <is>
          <t>547</t>
        </is>
      </c>
      <c r="C1396" s="92" t="inlineStr">
        <is>
          <t>物料供应链可追溯性标准</t>
        </is>
      </c>
      <c r="D1396" s="92" t="inlineStr">
        <is>
          <t>Wùliào Gōngyìngliàn Kě Zhuīsù Xìng Biāozhǔn) - Standards for Traceability in Material Supply Chains - Tiêu chuẩn Theo dõi trong Chuỗi cung ứng Vật liệu</t>
        </is>
      </c>
      <c r="E1396" s="92" t="inlineStr">
        <is>
          <t>547. 物料供应链可追溯性标准 (Wùliào Gōngyìngliàn Kě Zhuīsù Xìng Biāozhǔn) - Standards for Traceability in Material Supply Chains - Tiêu chuẩn Theo dõi trong Chuỗi cung ứng Vật liệu</t>
        </is>
      </c>
      <c r="F1396" s="114">
        <f>HYPERLINK("https://youglish.com/pronounce/物料供应链可追溯性标准/chinese","🔍")</f>
        <v/>
      </c>
    </row>
    <row r="1397" ht="28.5" customHeight="1" s="99">
      <c r="A1397" s="94" t="inlineStr">
        <is>
          <t>PDF_Tiếng trung Full BỘ BCT.pdf</t>
        </is>
      </c>
      <c r="B1397" s="95" t="inlineStr">
        <is>
          <t>548</t>
        </is>
      </c>
      <c r="C1397" s="94" t="inlineStr">
        <is>
          <t>供应商合同管理</t>
        </is>
      </c>
      <c r="D1397" s="94" t="inlineStr">
        <is>
          <t>Gōngyìngshāng Hétián Guǎnlǐ) - Contract Management for Vendors - Quản lý Hợp đồng cho Nhà cung cấp</t>
        </is>
      </c>
      <c r="E1397" s="94" t="inlineStr">
        <is>
          <t>548. 供应商合同管理 (Gōngyìngshāng Hétián Guǎnlǐ) - Contract Management for Vendors - Quản lý Hợp đồng cho Nhà cung cấp</t>
        </is>
      </c>
      <c r="F1397" s="115">
        <f>HYPERLINK("https://youglish.com/pronounce/供应商合同管理/chinese","🔍")</f>
        <v/>
      </c>
    </row>
    <row r="1398" ht="42.75" customHeight="1" s="99">
      <c r="A1398" s="92" t="inlineStr">
        <is>
          <t>PDF_Tiếng trung Full BỘ BCT.pdf</t>
        </is>
      </c>
      <c r="B1398" s="93" t="inlineStr">
        <is>
          <t>549</t>
        </is>
      </c>
      <c r="C1398" s="92" t="inlineStr">
        <is>
          <t>生产线数据分析工具</t>
        </is>
      </c>
      <c r="D1398" s="92" t="inlineStr">
        <is>
          <t>Shēngchǎn Xiàn Shùjù Fēnxi Gōngjù) - Data Analysis Tools in Production Lines - Công cụ Phân tích Dữ liệu trong Dây chuyền Sản xuất</t>
        </is>
      </c>
      <c r="E1398" s="92" t="inlineStr">
        <is>
          <t>549. 生产线数据分析工具 (Shēngchǎn Xiàn Shùjù Fēnxi Gōngjù) - Data Analysis Tools in Production Lines - Công cụ Phân tích Dữ liệu trong Dây chuyền Sản xuất</t>
        </is>
      </c>
      <c r="F1398" s="114">
        <f>HYPERLINK("https://youglish.com/pronounce/生产线数据分析工具/chinese","🔍")</f>
        <v/>
      </c>
    </row>
    <row r="1399" ht="28.5" customHeight="1" s="99">
      <c r="A1399" s="94" t="inlineStr">
        <is>
          <t>PDF_Tiếng trung Full BỘ BCT.pdf</t>
        </is>
      </c>
      <c r="B1399" s="95" t="inlineStr">
        <is>
          <t>550</t>
        </is>
      </c>
      <c r="C1399" s="94" t="inlineStr">
        <is>
          <t>需求计划执行过程</t>
        </is>
      </c>
      <c r="D1399" s="94" t="inlineStr">
        <is>
          <t>Xūqiú Jìhuà Zhíxíng Guòchéng) - Processes for Demand Planning Execution - Quy trình Thực hiện Kế hoạch Nhu cầu</t>
        </is>
      </c>
      <c r="E1399" s="94" t="inlineStr">
        <is>
          <t>550. 需求计划执行过程 (Xūqiú Jìhuà Zhíxíng Guòchéng) - Processes for Demand Planning Execution - Quy trình Thực hiện Kế hoạch Nhu cầu</t>
        </is>
      </c>
      <c r="F1399" s="115">
        <f>HYPERLINK("https://youglish.com/pronounce/需求计划执行过程/chinese","🔍")</f>
        <v/>
      </c>
    </row>
    <row r="1400" ht="28.5" customHeight="1" s="99">
      <c r="A1400" s="92" t="inlineStr">
        <is>
          <t>PDF_Tiếng trung Full BỘ BCT.pdf</t>
        </is>
      </c>
      <c r="B1400" s="93" t="inlineStr">
        <is>
          <t>551</t>
        </is>
      </c>
      <c r="C1400" s="92" t="inlineStr">
        <is>
          <t>供应链数字化平台</t>
        </is>
      </c>
      <c r="D1400" s="92" t="inlineStr">
        <is>
          <t>Gōngyìngliàn Shùzìhuà Píngtái) - Digital Platforms in the Supply Chain - Nền tảng Số hóa trong Chuỗi cung ứng</t>
        </is>
      </c>
      <c r="E1400" s="92" t="inlineStr">
        <is>
          <t>551. 供应链数字化平台 (Gōngyìngliàn Shùzìhuà Píngtái) - Digital Platforms in the Supply Chain - Nền tảng Số hóa trong Chuỗi cung ứng</t>
        </is>
      </c>
      <c r="F1400" s="114">
        <f>HYPERLINK("https://youglish.com/pronounce/供应链数字化平台/chinese","🔍")</f>
        <v/>
      </c>
    </row>
    <row r="1401" ht="42.75" customHeight="1" s="99">
      <c r="A1401" s="94" t="inlineStr">
        <is>
          <t>PDF_Tiếng trung Full BỘ BCT.pdf</t>
        </is>
      </c>
      <c r="B1401" s="95" t="inlineStr">
        <is>
          <t>552</t>
        </is>
      </c>
      <c r="C1401" s="94" t="inlineStr">
        <is>
          <t>生产线人员健康监测</t>
        </is>
      </c>
      <c r="D1401" s="94" t="inlineStr">
        <is>
          <t>Shēngchǎn Xiàn Rényuán Jiànkāng Jiāncè) - Health Monitoring of Personnel in Production Lines - Giám sát Sức khỏe của Nhân viên trong Dây chuyền Sản xuất</t>
        </is>
      </c>
      <c r="E1401" s="94" t="inlineStr">
        <is>
          <t>552. 生产线人员健康监测 (Shēngchǎn Xiàn Rényuán Jiànkāng Jiāncè) - Health Monitoring of Personnel in Production Lines - Giám sát Sức khỏe của Nhân viên trong Dây chuyền Sản xuất</t>
        </is>
      </c>
      <c r="F1401" s="115">
        <f>HYPERLINK("https://youglish.com/pronounce/生产线人员健康监测/chinese","🔍")</f>
        <v/>
      </c>
    </row>
    <row r="1402" ht="28.5" customHeight="1" s="99">
      <c r="A1402" s="92" t="inlineStr">
        <is>
          <t>PDF_Tiếng trung Full BỘ BCT.pdf</t>
        </is>
      </c>
      <c r="B1402" s="93" t="inlineStr">
        <is>
          <t>553</t>
        </is>
      </c>
      <c r="C1402" s="92" t="inlineStr">
        <is>
          <t>货物追溯法规遵循</t>
        </is>
      </c>
      <c r="D1402" s="92" t="inlineStr">
        <is>
          <t>Huòwù Zhuīsù Fǎguī Zūnxún) - Compliance with Cargo Traceability Regulations - Tuân thủ Pháp luật về Theo dõi Hàng hóa</t>
        </is>
      </c>
      <c r="E1402" s="92" t="inlineStr">
        <is>
          <t>553. 货物追溯法规遵循 (Huòwù Zhuīsù Fǎguī Zūnxún) - Compliance with Cargo Traceability Regulations - Tuân thủ Pháp luật về Theo dõi Hàng hóa</t>
        </is>
      </c>
      <c r="F1402" s="114">
        <f>HYPERLINK("https://youglish.com/pronounce/货物追溯法规遵循/chinese","🔍")</f>
        <v/>
      </c>
    </row>
    <row r="1403" ht="28.5" customHeight="1" s="99">
      <c r="A1403" s="94" t="inlineStr">
        <is>
          <t>PDF_Tiếng trung Full BỘ BCT.pdf</t>
        </is>
      </c>
      <c r="B1403" s="95" t="inlineStr">
        <is>
          <t>554</t>
        </is>
      </c>
      <c r="C1403" s="94" t="inlineStr">
        <is>
          <t>供应商物流执行</t>
        </is>
      </c>
      <c r="D1403" s="94" t="inlineStr">
        <is>
          <t>Gōngyìngshāng Wùliú Zhíxíng) - Logistics Execution for Vendors - Thực hiện Logistics cho Nhà cung cấp</t>
        </is>
      </c>
      <c r="E1403" s="94" t="inlineStr">
        <is>
          <t>554. 供应商物流执行 (Gōngyìngshāng Wùliú Zhíxíng) - Logistics Execution for Vendors - Thực hiện Logistics cho Nhà cung cấp</t>
        </is>
      </c>
      <c r="F1403" s="115">
        <f>HYPERLINK("https://youglish.com/pronounce/供应商物流执行/chinese","🔍")</f>
        <v/>
      </c>
    </row>
    <row r="1404" ht="42.75" customHeight="1" s="99">
      <c r="A1404" s="92" t="inlineStr">
        <is>
          <t>PDF_Tiếng trung Full BỘ BCT.pdf</t>
        </is>
      </c>
      <c r="B1404" s="93" t="inlineStr">
        <is>
          <t>555</t>
        </is>
      </c>
      <c r="C1404" s="92" t="inlineStr">
        <is>
          <t>物流运输网络优化</t>
        </is>
      </c>
      <c r="D1404" s="92" t="inlineStr">
        <is>
          <t>Wùliú Yùnshū Wǎngluò Yōuhuà) - Optimization of Transportation Networks in Logistics - Tối ưu hóa Mạng lưới Vận chuyển trong Logistics</t>
        </is>
      </c>
      <c r="E1404" s="92" t="inlineStr">
        <is>
          <t>555. 物流运输网络优化 (Wùliú Yùnshū Wǎngluò Yōuhuà) - Optimization of Transportation Networks in Logistics - Tối ưu hóa Mạng lưới Vận chuyển trong Logistics</t>
        </is>
      </c>
      <c r="F1404" s="114">
        <f>HYPERLINK("https://youglish.com/pronounce/物流运输网络优化/chinese","🔍")</f>
        <v/>
      </c>
    </row>
    <row r="1405" ht="42.75" customHeight="1" s="99">
      <c r="A1405" s="94" t="inlineStr">
        <is>
          <t>PDF_Tiếng trung Full BỘ BCT.pdf</t>
        </is>
      </c>
      <c r="B1405" s="95" t="inlineStr">
        <is>
          <t>556</t>
        </is>
      </c>
      <c r="C1405" s="94" t="inlineStr">
        <is>
          <t>生产线质量控制标准</t>
        </is>
      </c>
      <c r="D1405" s="94" t="inlineStr">
        <is>
          <t>Shēngchǎn Xiàn Zhìliàng Kòngzhì Biāozhǔn) - Quality Control Standards in Production Lines - Tiêu chuẩn Kiểm soát Chất lượng trong Dây chuyền Sản xuất</t>
        </is>
      </c>
      <c r="E1405" s="94" t="inlineStr">
        <is>
          <t>556. 生产线质量控制标准 (Shēngchǎn Xiàn Zhìliàng Kòngzhì Biāozhǔn) - Quality Control Standards in Production Lines - Tiêu chuẩn Kiểm soát Chất lượng trong Dây chuyền Sản xuất</t>
        </is>
      </c>
      <c r="F1405" s="115">
        <f>HYPERLINK("https://youglish.com/pronounce/生产线质量控制标准/chinese","🔍")</f>
        <v/>
      </c>
    </row>
    <row r="1406" ht="28.5" customHeight="1" s="99">
      <c r="A1406" s="92" t="inlineStr">
        <is>
          <t>PDF_Tiếng trung Full BỘ BCT.pdf</t>
        </is>
      </c>
      <c r="B1406" s="93" t="inlineStr">
        <is>
          <t>557</t>
        </is>
      </c>
      <c r="C1406" s="92" t="inlineStr">
        <is>
          <t>需求计划实施过程</t>
        </is>
      </c>
      <c r="D1406" s="92" t="inlineStr">
        <is>
          <t>Xūqiú Jìhuà Shíshī Guòchéng) - Processes for Implementing Demand Planning - Quy trình Thực hiện Kế hoạch Nhu cầu</t>
        </is>
      </c>
      <c r="E1406" s="92" t="inlineStr">
        <is>
          <t>557. 需求计划实施过程 (Xūqiú Jìhuà Shíshī Guòchéng) - Processes for Implementing Demand Planning - Quy trình Thực hiện Kế hoạch Nhu cầu</t>
        </is>
      </c>
      <c r="F1406" s="114">
        <f>HYPERLINK("https://youglish.com/pronounce/需求计划实施过程/chinese","🔍")</f>
        <v/>
      </c>
    </row>
    <row r="1407" ht="42.75" customHeight="1" s="99">
      <c r="A1407" s="94" t="inlineStr">
        <is>
          <t>PDF_Tiếng trung Full BỘ BCT.pdf</t>
        </is>
      </c>
      <c r="B1407" s="95" t="inlineStr">
        <is>
          <t>558</t>
        </is>
      </c>
      <c r="C1407" s="94" t="inlineStr">
        <is>
          <t>供应链协同危机应对</t>
        </is>
      </c>
      <c r="D1407" s="94" t="inlineStr">
        <is>
          <t>Gōngyìngliàn Xiétiáo Wēijī Yìngduì) - Collaborative Crisis Response in the Supply Chain - Ứng phó Hợp tác với Khủng hoảng trong Chuỗi cung ứng</t>
        </is>
      </c>
      <c r="E1407" s="94" t="inlineStr">
        <is>
          <t>558. 供应链协同危机应对 (Gōngyìngliàn Xiétiáo Wēijī Yìngduì) - Collaborative Crisis Response in the Supply Chain - Ứng phó Hợp tác với Khủng hoảng trong Chuỗi cung ứng</t>
        </is>
      </c>
      <c r="F1407" s="115">
        <f>HYPERLINK("https://youglish.com/pronounce/供应链协同危机应对/chinese","🔍")</f>
        <v/>
      </c>
    </row>
    <row r="1408" ht="28.5" customHeight="1" s="99">
      <c r="A1408" s="92" t="inlineStr">
        <is>
          <t>PDF_Tiếng trung Full BỘ BCT.pdf</t>
        </is>
      </c>
      <c r="B1408" s="93" t="inlineStr">
        <is>
          <t>559</t>
        </is>
      </c>
      <c r="C1408" s="92" t="inlineStr">
        <is>
          <t>供应链安全管理</t>
        </is>
      </c>
      <c r="D1408" s="92" t="inlineStr">
        <is>
          <t>Gōngyìngliàn Ānquán Guǎnlǐ) - Security Management in the Supply Chain - Quản lý An ninh trong Chuỗi cung ứng</t>
        </is>
      </c>
      <c r="E1408" s="92" t="inlineStr">
        <is>
          <t>559. 供应链安全管理 (Gōngyìngliàn Ānquán Guǎnlǐ) - Security Management in the Supply Chain - Quản lý An ninh trong Chuỗi cung ứng</t>
        </is>
      </c>
      <c r="F1408" s="114">
        <f>HYPERLINK("https://youglish.com/pronounce/供应链安全管理/chinese","🔍")</f>
        <v/>
      </c>
    </row>
    <row r="1409" ht="42.75" customHeight="1" s="99">
      <c r="A1409" s="94" t="inlineStr">
        <is>
          <t>PDF_Tiếng trung Full BỘ BCT.pdf</t>
        </is>
      </c>
      <c r="B1409" s="95" t="inlineStr">
        <is>
          <t>560</t>
        </is>
      </c>
      <c r="C1409" s="94" t="inlineStr">
        <is>
          <t>生产线创新技术应用</t>
        </is>
      </c>
      <c r="D1409" s="94" t="inlineStr">
        <is>
          <t>Shēngchǎn Xiàn Chuàngxīn Jìshù Yìngyòng) - Application of Innovative Technologies in Production Lines - Ứng dụng Công nghệ Đổi mới trong Dây chuyền Sản xuất</t>
        </is>
      </c>
      <c r="E1409" s="94" t="inlineStr">
        <is>
          <t>560. 生产线创新技术应用 (Shēngchǎn Xiàn Chuàngxīn Jìshù Yìngyòng) - Application of Innovative Technologies in Production Lines - Ứng dụng Công nghệ Đổi mới trong Dây chuyền Sản xuất</t>
        </is>
      </c>
      <c r="F1409" s="115">
        <f>HYPERLINK("https://youglish.com/pronounce/生产线创新技术应用/chinese","🔍")</f>
        <v/>
      </c>
    </row>
    <row r="1410" ht="28.5" customHeight="1" s="99">
      <c r="A1410" s="92" t="inlineStr">
        <is>
          <t>PDF_Tiếng trung Full BỘ BCT.pdf</t>
        </is>
      </c>
      <c r="B1410" s="93" t="inlineStr">
        <is>
          <t>561</t>
        </is>
      </c>
      <c r="C1410" s="92" t="inlineStr">
        <is>
          <t>货物追溯责任制度</t>
        </is>
      </c>
      <c r="D1410" s="92" t="inlineStr">
        <is>
          <t>Huòwù Zhuīsù Zérèn Zhìdù) - Responsibility System for Cargo Traceability - Hệ thống Trách nhiệm Theo dõi Hàng hóa</t>
        </is>
      </c>
      <c r="E1410" s="92" t="inlineStr">
        <is>
          <t>561. 货物追溯责任制度 (Huòwù Zhuīsù Zérèn Zhìdù) - Responsibility System for Cargo Traceability - Hệ thống Trách nhiệm Theo dõi Hàng hóa</t>
        </is>
      </c>
      <c r="F1410" s="114">
        <f>HYPERLINK("https://youglish.com/pronounce/货物追溯责任制度/chinese","🔍")</f>
        <v/>
      </c>
    </row>
    <row r="1411" ht="28.5" customHeight="1" s="99">
      <c r="A1411" s="94" t="inlineStr">
        <is>
          <t>PDF_Tiếng trung Full BỘ BCT.pdf</t>
        </is>
      </c>
      <c r="B1411" s="95" t="inlineStr">
        <is>
          <t>562</t>
        </is>
      </c>
      <c r="C1411" s="94" t="inlineStr">
        <is>
          <t>供应商合作评估</t>
        </is>
      </c>
      <c r="D1411" s="94" t="inlineStr">
        <is>
          <t>Gōngyìngshāng Hézuò Pínggū) - Assessment of Collaboration for Vendors - Đánh giá Hợp tác cho Nhà cung cấp</t>
        </is>
      </c>
      <c r="E1411" s="94" t="inlineStr">
        <is>
          <t>562. 供应商合作评估 (Gōngyìngshāng Hézuò Pínggū) - Assessment of Collaboration for Vendors - Đánh giá Hợp tác cho Nhà cung cấp</t>
        </is>
      </c>
      <c r="F1411" s="115">
        <f>HYPERLINK("https://youglish.com/pronounce/供应商合作评估/chinese","🔍")</f>
        <v/>
      </c>
    </row>
    <row r="1412" ht="42.75" customHeight="1" s="99">
      <c r="A1412" s="92" t="inlineStr">
        <is>
          <t>PDF_Tiếng trung Full BỘ BCT.pdf</t>
        </is>
      </c>
      <c r="B1412" s="93" t="inlineStr">
        <is>
          <t>563</t>
        </is>
      </c>
      <c r="C1412" s="92" t="inlineStr">
        <is>
          <t>物流仓储优化策略</t>
        </is>
      </c>
      <c r="D1412" s="92" t="inlineStr">
        <is>
          <t>Wùliú Cāngchǔ Yōuhuà Cèlüè) - Strategies for Optimization in Logistics Warehousing - Chiến lược Tối ưu hóa trong Kho vận Logistics</t>
        </is>
      </c>
      <c r="E1412" s="92" t="inlineStr">
        <is>
          <t>563. 物流仓储优化策略 (Wùliú Cāngchǔ Yōuhuà Cèlüè) - Strategies for Optimization in Logistics Warehousing - Chiến lược Tối ưu hóa trong Kho vận Logistics</t>
        </is>
      </c>
      <c r="F1412" s="114">
        <f>HYPERLINK("https://youglish.com/pronounce/物流仓储优化策略/chinese","🔍")</f>
        <v/>
      </c>
    </row>
    <row r="1413" ht="42.75" customHeight="1" s="99">
      <c r="A1413" s="94" t="inlineStr">
        <is>
          <t>PDF_Tiếng trung Full BỘ BCT.pdf</t>
        </is>
      </c>
      <c r="B1413" s="95" t="inlineStr">
        <is>
          <t>564</t>
        </is>
      </c>
      <c r="C1413" s="94" t="inlineStr">
        <is>
          <t>生产线可持续发展计划</t>
        </is>
      </c>
      <c r="D1413" s="94" t="inlineStr">
        <is>
          <t>Shēngchǎn Xiàn Kěchíxù Fāzhǎn Jìhuà) - Sustainable Development Plans for Production Lines - Kế hoạch Phát triển Bền vững cho Dây chuyền Sản xuất</t>
        </is>
      </c>
      <c r="E1413" s="94" t="inlineStr">
        <is>
          <t>564. 生产线可持续发展计划 (Shēngchǎn Xiàn Kěchíxù Fāzhǎn Jìhuà) - Sustainable Development Plans for Production Lines - Kế hoạch Phát triển Bền vững cho Dây chuyền Sản xuất</t>
        </is>
      </c>
      <c r="F1413" s="115">
        <f>HYPERLINK("https://youglish.com/pronounce/生产线可持续发展计划/chinese","🔍")</f>
        <v/>
      </c>
    </row>
    <row r="1414" ht="28.5" customHeight="1" s="99">
      <c r="A1414" s="92" t="inlineStr">
        <is>
          <t>PDF_Tiếng trung Full BỘ BCT.pdf</t>
        </is>
      </c>
      <c r="B1414" s="93" t="inlineStr">
        <is>
          <t>565</t>
        </is>
      </c>
      <c r="C1414" s="92" t="inlineStr">
        <is>
          <t>需求计划执行评估</t>
        </is>
      </c>
      <c r="D1414" s="92" t="inlineStr">
        <is>
          <t>Xūqiú Jìhuà Zhíxíng Pínggū) - Evaluation of Demand Planning Execution - Đánh giá Thực hiện Kế hoạch Nhu cầu</t>
        </is>
      </c>
      <c r="E1414" s="92" t="inlineStr">
        <is>
          <t>565. 需求计划执行评估 (Xūqiú Jìhuà Zhíxíng Pínggū) - Evaluation of Demand Planning Execution - Đánh giá Thực hiện Kế hoạch Nhu cầu</t>
        </is>
      </c>
      <c r="F1414" s="114">
        <f>HYPERLINK("https://youglish.com/pronounce/需求计划执行评估/chinese","🔍")</f>
        <v/>
      </c>
    </row>
    <row r="1415" ht="42.75" customHeight="1" s="99">
      <c r="A1415" s="94" t="inlineStr">
        <is>
          <t>PDF_Tiếng trung Full BỘ BCT.pdf</t>
        </is>
      </c>
      <c r="B1415" s="95" t="inlineStr">
        <is>
          <t>566</t>
        </is>
      </c>
      <c r="C1415" s="94" t="inlineStr">
        <is>
          <t>供应链危机溃散计划</t>
        </is>
      </c>
      <c r="D1415" s="94" t="inlineStr">
        <is>
          <t>Gōngyìngliàn Wēijī Kuìsàn Jìhuà) - Crisis Dispersal Plans in the Supply Chain - Kế hoạch Phân tán Khủng hoảng trong Chuỗi cung ứng</t>
        </is>
      </c>
      <c r="E1415" s="94" t="inlineStr">
        <is>
          <t>566. 供应链危机溃散计划 (Gōngyìngliàn Wēijī Kuìsàn Jìhuà) - Crisis Dispersal Plans in the Supply Chain - Kế hoạch Phân tán Khủng hoảng trong Chuỗi cung ứng</t>
        </is>
      </c>
      <c r="F1415" s="115">
        <f>HYPERLINK("https://youglish.com/pronounce/供应链危机溃散计划/chinese","🔍")</f>
        <v/>
      </c>
    </row>
    <row r="1416" ht="42.75" customHeight="1" s="99">
      <c r="A1416" s="92" t="inlineStr">
        <is>
          <t>PDF_Tiếng trung Full BỘ BCT.pdf</t>
        </is>
      </c>
      <c r="B1416" s="93" t="inlineStr">
        <is>
          <t>567</t>
        </is>
      </c>
      <c r="C1416" s="92" t="inlineStr">
        <is>
          <t>物料供应链风险防控</t>
        </is>
      </c>
      <c r="D1416" s="92" t="inlineStr">
        <is>
          <t>Wùliào Gōngyìngliàn Fēngxiǎn Fángkòng) - Risk Prevention and Control in Material Supply Chains - Phòng ngừa và Kiểm soát Rủi ro trong Chuỗi cung ứng Vật liệu</t>
        </is>
      </c>
      <c r="E1416" s="92" t="inlineStr">
        <is>
          <t>567. 物料供应链风险防控 (Wùliào Gōngyìngliàn Fēngxiǎn Fángkòng) - Risk Prevention and Control in Material Supply Chains - Phòng ngừa và Kiểm soát Rủi ro trong Chuỗi cung ứng Vật liệu</t>
        </is>
      </c>
      <c r="F1416" s="114">
        <f>HYPERLINK("https://youglish.com/pronounce/物料供应链风险防控/chinese","🔍")</f>
        <v/>
      </c>
    </row>
    <row r="1417" ht="28.5" customHeight="1" s="99">
      <c r="A1417" s="94" t="inlineStr">
        <is>
          <t>PDF_Tiếng trung Full BỘ BCT.pdf</t>
        </is>
      </c>
      <c r="B1417" s="95" t="inlineStr">
        <is>
          <t>568</t>
        </is>
      </c>
      <c r="C1417" s="94" t="inlineStr">
        <is>
          <t>供应商绩效评估</t>
        </is>
      </c>
      <c r="D1417" s="94" t="inlineStr">
        <is>
          <t>Gōngyìngshāng Jìxiào Pínggū) - Performance Evaluation for Vendors - Đánh giá Hiệu suất cho Nhà cung cấp</t>
        </is>
      </c>
      <c r="E1417" s="94" t="inlineStr">
        <is>
          <t>568. 供应商绩效评估 (Gōngyìngshāng Jìxiào Pínggū) - Performance Evaluation for Vendors - Đánh giá Hiệu suất cho Nhà cung cấp</t>
        </is>
      </c>
      <c r="F1417" s="115">
        <f>HYPERLINK("https://youglish.com/pronounce/供应商绩效评估/chinese","🔍")</f>
        <v/>
      </c>
    </row>
    <row r="1418" ht="42.75" customHeight="1" s="99">
      <c r="A1418" s="92" t="inlineStr">
        <is>
          <t>PDF_Tiếng trung Full BỘ BCT.pdf</t>
        </is>
      </c>
      <c r="B1418" s="93" t="inlineStr">
        <is>
          <t>569</t>
        </is>
      </c>
      <c r="C1418" s="92" t="inlineStr">
        <is>
          <t>生产线数字化转型</t>
        </is>
      </c>
      <c r="D1418" s="92" t="inlineStr">
        <is>
          <t>Shēngchǎn Xiàn Shùzìhuà Zhuǎnxíng) - Digital Transformation in Production Lines - Chuyển đổi Số hóa trong Dây chuyền Sản xuất</t>
        </is>
      </c>
      <c r="E1418" s="92" t="inlineStr">
        <is>
          <t>569. 生产线数字化转型 (Shēngchǎn Xiàn Shùzìhuà Zhuǎnxíng) - Digital Transformation in Production Lines - Chuyển đổi Số hóa trong Dây chuyền Sản xuất</t>
        </is>
      </c>
      <c r="F1418" s="114">
        <f>HYPERLINK("https://youglish.com/pronounce/生产线数字化转型/chinese","🔍")</f>
        <v/>
      </c>
    </row>
    <row r="1419" ht="42.75" customHeight="1" s="99">
      <c r="A1419" s="94" t="inlineStr">
        <is>
          <t>PDF_Tiếng trung Full BỘ BCT.pdf</t>
        </is>
      </c>
      <c r="B1419" s="95" t="inlineStr">
        <is>
          <t>570</t>
        </is>
      </c>
      <c r="C1419" s="94" t="inlineStr">
        <is>
          <t>需求计划信息集成</t>
        </is>
      </c>
      <c r="D1419" s="94" t="inlineStr">
        <is>
          <t>Xūqiú Jìhuà Xìnxī Jíchéng) - Integration of Information in Demand Planning - Tích hợp Thông tin trong Kế hoạch Nhu cầu</t>
        </is>
      </c>
      <c r="E1419" s="94" t="inlineStr">
        <is>
          <t>570. 需求计划信息集成 (Xūqiú Jìhuà Xìnxī Jíchéng) - Integration of Information in Demand Planning - Tích hợp Thông tin trong Kế hoạch Nhu cầu</t>
        </is>
      </c>
      <c r="F1419" s="115">
        <f>HYPERLINK("https://youglish.com/pronounce/需求计划信息集成/chinese","🔍")</f>
        <v/>
      </c>
    </row>
    <row r="1420" ht="42.75" customHeight="1" s="99">
      <c r="A1420" s="92" t="inlineStr">
        <is>
          <t>PDF_Tiếng trung Full BỘ BCT.pdf</t>
        </is>
      </c>
      <c r="B1420" s="93" t="inlineStr">
        <is>
          <t>571</t>
        </is>
      </c>
      <c r="C1420" s="92" t="inlineStr">
        <is>
          <t>供应链协同沟通</t>
        </is>
      </c>
      <c r="D1420" s="92" t="inlineStr">
        <is>
          <t>Gōngyìngliàn Xiétiáo Gōutōng) - Collaborative Communication in the Supply Chain - Giao tiếp Hợp tác trong Chuỗi cung ứng</t>
        </is>
      </c>
      <c r="E1420" s="92" t="inlineStr">
        <is>
          <t>571. 供应链协同沟通 (Gōngyìngliàn Xiétiáo Gōutōng) - Collaborative Communication in the Supply Chain - Giao tiếp Hợp tác trong Chuỗi cung ứng</t>
        </is>
      </c>
      <c r="F1420" s="114">
        <f>HYPERLINK("https://youglish.com/pronounce/供应链协同沟通/chinese","🔍")</f>
        <v/>
      </c>
    </row>
    <row r="1421" ht="42.75" customHeight="1" s="99">
      <c r="A1421" s="94" t="inlineStr">
        <is>
          <t>PDF_Tiếng trung Full BỘ BCT.pdf</t>
        </is>
      </c>
      <c r="B1421" s="95" t="inlineStr">
        <is>
          <t>572</t>
        </is>
      </c>
      <c r="C1421" s="94" t="inlineStr">
        <is>
          <t>生产线资源优化</t>
        </is>
      </c>
      <c r="D1421" s="94" t="inlineStr">
        <is>
          <t>Shēngchǎn Xiàn Zīyuán Yōuhuà) - Optimization of Resources in Production Lines - Tối ưu hóa Tài nguyên trong Dây chuyền Sản xuất</t>
        </is>
      </c>
      <c r="E1421" s="94" t="inlineStr">
        <is>
          <t>572. 生产线资源优化 (Shēngchǎn Xiàn Zīyuán Yōuhuà) - Optimization of Resources in Production Lines - Tối ưu hóa Tài nguyên trong Dây chuyền Sản xuất</t>
        </is>
      </c>
      <c r="F1421" s="115">
        <f>HYPERLINK("https://youglish.com/pronounce/生产线资源优化/chinese","🔍")</f>
        <v/>
      </c>
    </row>
    <row r="1422" ht="28.5" customHeight="1" s="99">
      <c r="A1422" s="92" t="inlineStr">
        <is>
          <t>PDF_Tiếng trung Full BỘ BCT.pdf</t>
        </is>
      </c>
      <c r="B1422" s="93" t="inlineStr">
        <is>
          <t>573</t>
        </is>
      </c>
      <c r="C1422" s="92" t="inlineStr">
        <is>
          <t>货物追溯监管政策</t>
        </is>
      </c>
      <c r="D1422" s="92" t="inlineStr">
        <is>
          <t>Huòwù Zhuīsù Jiānguǎn Zhèngcè) - Regulatory Policies for Cargo Traceability - Chính sách Quản lý Theo dõi Hàng hóa</t>
        </is>
      </c>
      <c r="E1422" s="92" t="inlineStr">
        <is>
          <t>573. 货物追溯监管政策 (Huòwù Zhuīsù Jiānguǎn Zhèngcè) - Regulatory Policies for Cargo Traceability - Chính sách Quản lý Theo dõi Hàng hóa</t>
        </is>
      </c>
      <c r="F1422" s="114">
        <f>HYPERLINK("https://youglish.com/pronounce/货物追溯监管政策/chinese","🔍")</f>
        <v/>
      </c>
    </row>
    <row r="1423" ht="28.5" customHeight="1" s="99">
      <c r="A1423" s="94" t="inlineStr">
        <is>
          <t>PDF_Tiếng trung Full BỘ BCT.pdf</t>
        </is>
      </c>
      <c r="B1423" s="95" t="inlineStr">
        <is>
          <t>574</t>
        </is>
      </c>
      <c r="C1423" s="94" t="inlineStr">
        <is>
          <t>供应商协作平台</t>
        </is>
      </c>
      <c r="D1423" s="94" t="inlineStr">
        <is>
          <t>Gōngyìngshāng Xiézuò Píngtái) - Collaboration Platforms for Vendors - Nền tảng Hợp tác cho Nhà cung cấp</t>
        </is>
      </c>
      <c r="E1423" s="94" t="inlineStr">
        <is>
          <t>574. 供应商协作平台 (Gōngyìngshāng Xiézuò Píngtái) - Collaboration Platforms for Vendors - Nền tảng Hợp tác cho Nhà cung cấp</t>
        </is>
      </c>
      <c r="F1423" s="115">
        <f>HYPERLINK("https://youglish.com/pronounce/供应商协作平台/chinese","🔍")</f>
        <v/>
      </c>
    </row>
    <row r="1424" ht="42.75" customHeight="1" s="99">
      <c r="A1424" s="92" t="inlineStr">
        <is>
          <t>PDF_Tiếng trung Full BỘ BCT.pdf</t>
        </is>
      </c>
      <c r="B1424" s="93" t="inlineStr">
        <is>
          <t>575</t>
        </is>
      </c>
      <c r="C1424" s="92" t="inlineStr">
        <is>
          <t>物流运输安全标准</t>
        </is>
      </c>
      <c r="D1424" s="92" t="inlineStr">
        <is>
          <t>Wùliú Yùnshū Ānquán Biāozhǔn) - Safety Standards in Transportation for Logistics - Tiêu chuẩn An toàn trong Vận chuyển Logistics</t>
        </is>
      </c>
      <c r="E1424" s="92" t="inlineStr">
        <is>
          <t>575. 物流运输安全标准 (Wùliú Yùnshū Ānquán Biāozhǔn) - Safety Standards in Transportation for Logistics - Tiêu chuẩn An toàn trong Vận chuyển Logistics</t>
        </is>
      </c>
      <c r="F1424" s="114">
        <f>HYPERLINK("https://youglish.com/pronounce/物流运输安全标准/chinese","🔍")</f>
        <v/>
      </c>
    </row>
    <row r="1425" ht="42.75" customHeight="1" s="99">
      <c r="A1425" s="94" t="inlineStr">
        <is>
          <t>PDF_Tiếng trung Full BỘ BCT.pdf</t>
        </is>
      </c>
      <c r="B1425" s="95" t="inlineStr">
        <is>
          <t>576</t>
        </is>
      </c>
      <c r="C1425" s="94" t="inlineStr">
        <is>
          <t>生产线质量报告</t>
        </is>
      </c>
      <c r="D1425" s="94" t="inlineStr">
        <is>
          <t>Shēngchǎn Xiàn Zhìliàng Bàogào) - Quality Reports in Production Lines - Báo cáo Chất lượng trong Dây chuyền Sản xuất</t>
        </is>
      </c>
      <c r="E1425" s="94" t="inlineStr">
        <is>
          <t>576. 生产线质量报告 (Shēngchǎn Xiàn Zhìliàng Bàogào) - Quality Reports in Production Lines - Báo cáo Chất lượng trong Dây chuyền Sản xuất</t>
        </is>
      </c>
      <c r="F1425" s="115">
        <f>HYPERLINK("https://youglish.com/pronounce/生产线质量报告/chinese","🔍")</f>
        <v/>
      </c>
    </row>
    <row r="1426" ht="42.75" customHeight="1" s="99">
      <c r="A1426" s="92" t="inlineStr">
        <is>
          <t>PDF_Tiếng trung Full BỘ BCT.pdf</t>
        </is>
      </c>
      <c r="B1426" s="93" t="inlineStr">
        <is>
          <t>577</t>
        </is>
      </c>
      <c r="C1426" s="92" t="inlineStr">
        <is>
          <t>需求计划效果评估</t>
        </is>
      </c>
      <c r="D1426" s="92" t="inlineStr">
        <is>
          <t>Xūqiú Jìhuà Xiàoguǒ Pínggū) - Evaluation of the Effectiveness of Demand Planning - Đánh giá Hiệu suất của Kế hoạch Nhu cầu</t>
        </is>
      </c>
      <c r="E1426" s="92" t="inlineStr">
        <is>
          <t>577. 需求计划效果评估 (Xūqiú Jìhuà Xiàoguǒ Pínggū) - Evaluation of the Effectiveness of Demand Planning - Đánh giá Hiệu suất của Kế hoạch Nhu cầu</t>
        </is>
      </c>
      <c r="F1426" s="114">
        <f>HYPERLINK("https://youglish.com/pronounce/需求计划效果评估/chinese","🔍")</f>
        <v/>
      </c>
    </row>
    <row r="1427" ht="42.75" customHeight="1" s="99">
      <c r="A1427" s="94" t="inlineStr">
        <is>
          <t>PDF_Tiếng trung Full BỘ BCT.pdf</t>
        </is>
      </c>
      <c r="B1427" s="95" t="inlineStr">
        <is>
          <t>578</t>
        </is>
      </c>
      <c r="C1427" s="94" t="inlineStr">
        <is>
          <t>供应链可持续性策略</t>
        </is>
      </c>
      <c r="D1427" s="94" t="inlineStr">
        <is>
          <t>Gōngyìngliàn Kěchíxù Xìng Cèlüè) - Strategies for Sustainability in the Supply Chain - Chiến lược Bền vững trong Chuỗi cung ứng</t>
        </is>
      </c>
      <c r="E1427" s="94" t="inlineStr">
        <is>
          <t>578. 供应链可持续性策略 (Gōngyìngliàn Kěchíxù Xìng Cèlüè) - Strategies for Sustainability in the Supply Chain - Chiến lược Bền vững trong Chuỗi cung ứng</t>
        </is>
      </c>
      <c r="F1427" s="115">
        <f>HYPERLINK("https://youglish.com/pronounce/供应链可持续性策略/chinese","🔍")</f>
        <v/>
      </c>
    </row>
    <row r="1428" ht="28.5" customHeight="1" s="99">
      <c r="A1428" s="92" t="inlineStr">
        <is>
          <t>PDF_Tiếng trung Full BỘ BCT.pdf</t>
        </is>
      </c>
      <c r="B1428" s="93" t="inlineStr">
        <is>
          <t>579</t>
        </is>
      </c>
      <c r="C1428" s="92" t="inlineStr">
        <is>
          <t>供应链社会责任</t>
        </is>
      </c>
      <c r="D1428" s="92" t="inlineStr">
        <is>
          <t>Gōngyìngliàn Shèhuì Zérèn) - Social Responsibility in the Supply Chain - Trách nhiệm Xã hội trong Chuỗi cung ứng</t>
        </is>
      </c>
      <c r="E1428" s="92" t="inlineStr">
        <is>
          <t>579. 供应链社会责任 (Gōngyìngliàn Shèhuì Zérèn) - Social Responsibility in the Supply Chain - Trách nhiệm Xã hội trong Chuỗi cung ứng</t>
        </is>
      </c>
      <c r="F1428" s="114">
        <f>HYPERLINK("https://youglish.com/pronounce/供应链社会责任/chinese","🔍")</f>
        <v/>
      </c>
    </row>
    <row r="1429" ht="42.75" customHeight="1" s="99">
      <c r="A1429" s="94" t="inlineStr">
        <is>
          <t>PDF_Tiếng trung Full BỘ BCT.pdf</t>
        </is>
      </c>
      <c r="B1429" s="95" t="inlineStr">
        <is>
          <t>580</t>
        </is>
      </c>
      <c r="C1429" s="94" t="inlineStr">
        <is>
          <t>生产线智能制造</t>
        </is>
      </c>
      <c r="D1429" s="94" t="inlineStr">
        <is>
          <t>Shēngchǎn Xiàn Zhìnéng Zhìzào) - Smart Manufacturing in Production Lines - Chế tạo Thông minh trong Dây chuyền Sản xuất</t>
        </is>
      </c>
      <c r="E1429" s="94" t="inlineStr">
        <is>
          <t>580. 生产线智能制造 (Shēngchǎn Xiàn Zhìnéng Zhìzào) - Smart Manufacturing in Production Lines - Chế tạo Thông minh trong Dây chuyền Sản xuất</t>
        </is>
      </c>
      <c r="F1429" s="115">
        <f>HYPERLINK("https://youglish.com/pronounce/生产线智能制造/chinese","🔍")</f>
        <v/>
      </c>
    </row>
    <row r="1430" ht="28.5" customHeight="1" s="99">
      <c r="A1430" s="92" t="inlineStr">
        <is>
          <t>PDF_Tiếng trung Full BỘ BCT.pdf</t>
        </is>
      </c>
      <c r="B1430" s="93" t="inlineStr">
        <is>
          <t>581</t>
        </is>
      </c>
      <c r="C1430" s="92" t="inlineStr">
        <is>
          <t>货物分配和配送</t>
        </is>
      </c>
      <c r="D1430" s="92" t="inlineStr">
        <is>
          <t>Huòwù Fēnpèi Hé Pèisòng) - Goods Allocation and Distribution - Phân phối và Phân phối Hàng hóa</t>
        </is>
      </c>
      <c r="E1430" s="92" t="inlineStr">
        <is>
          <t>581. 货物分配和配送 (Huòwù Fēnpèi Hé Pèisòng) - Goods Allocation and Distribution - Phân phối và Phân phối Hàng hóa</t>
        </is>
      </c>
      <c r="F1430" s="114">
        <f>HYPERLINK("https://youglish.com/pronounce/货物分配和配送/chinese","🔍")</f>
        <v/>
      </c>
    </row>
    <row r="1431" ht="42.75" customHeight="1" s="99">
      <c r="A1431" s="94" t="inlineStr">
        <is>
          <t>PDF_Tiếng trung Full BỘ BCT.pdf</t>
        </is>
      </c>
      <c r="B1431" s="95" t="inlineStr">
        <is>
          <t>582</t>
        </is>
      </c>
      <c r="C1431" s="94" t="inlineStr">
        <is>
          <t>供应商风险管理计划</t>
        </is>
      </c>
      <c r="D1431" s="94" t="inlineStr">
        <is>
          <t>Gōngyìngshāng Fēngxiǎn Guǎnlǐ Jìhuà) - Risk Management Plans for Vendors - Kế hoạch Quản lý Rủi ro cho Nhà cung cấp</t>
        </is>
      </c>
      <c r="E1431" s="94" t="inlineStr">
        <is>
          <t>582. 供应商风险管理计划 (Gōngyìngshāng Fēngxiǎn Guǎnlǐ Jìhuà) - Risk Management Plans for Vendors - Kế hoạch Quản lý Rủi ro cho Nhà cung cấp</t>
        </is>
      </c>
      <c r="F1431" s="115">
        <f>HYPERLINK("https://youglish.com/pronounce/供应商风险管理计划/chinese","🔍")</f>
        <v/>
      </c>
    </row>
    <row r="1432" ht="28.5" customHeight="1" s="99">
      <c r="A1432" s="92" t="inlineStr">
        <is>
          <t>PDF_Tiếng trung Full BỘ BCT.pdf</t>
        </is>
      </c>
      <c r="B1432" s="93" t="inlineStr">
        <is>
          <t>583</t>
        </is>
      </c>
      <c r="C1432" s="92" t="inlineStr">
        <is>
          <t>物流仓库自动化</t>
        </is>
      </c>
      <c r="D1432" s="92" t="inlineStr">
        <is>
          <t>Wùliú Cāngkù Zìdòng Huà) - Automation in Logistics Warehousing - Tự động hóa trong Kho vận Logistics</t>
        </is>
      </c>
      <c r="E1432" s="92" t="inlineStr">
        <is>
          <t>583. 物流仓库自动化 (Wùliú Cāngkù Zìdòng Huà) - Automation in Logistics Warehousing - Tự động hóa trong Kho vận Logistics</t>
        </is>
      </c>
      <c r="F1432" s="114">
        <f>HYPERLINK("https://youglish.com/pronounce/物流仓库自动化/chinese","🔍")</f>
        <v/>
      </c>
    </row>
    <row r="1433" ht="42.75" customHeight="1" s="99">
      <c r="A1433" s="94" t="inlineStr">
        <is>
          <t>PDF_Tiếng trung Full BỘ BCT.pdf</t>
        </is>
      </c>
      <c r="B1433" s="95" t="inlineStr">
        <is>
          <t>584</t>
        </is>
      </c>
      <c r="C1433" s="94" t="inlineStr">
        <is>
          <t>生产线环境保护政策</t>
        </is>
      </c>
      <c r="D1433" s="94" t="inlineStr">
        <is>
          <t>Shēngchǎn Xiàn Huánjìng Bǎohù Zhèngcè) - Environmental Protection Policies in Production Lines - Chính sách Bảo vệ Môi trường trong Dây chuyền Sản xuất</t>
        </is>
      </c>
      <c r="E1433" s="94" t="inlineStr">
        <is>
          <t>584. 生产线环境保护政策 (Shēngchǎn Xiàn Huánjìng Bǎohù Zhèngcè) - Environmental Protection Policies in Production Lines - Chính sách Bảo vệ Môi trường trong Dây chuyền Sản xuất</t>
        </is>
      </c>
      <c r="F1433" s="115">
        <f>HYPERLINK("https://youglish.com/pronounce/生产线环境保护政策/chinese","🔍")</f>
        <v/>
      </c>
    </row>
    <row r="1434" ht="28.5" customHeight="1" s="99">
      <c r="A1434" s="92" t="inlineStr">
        <is>
          <t>PDF_Tiếng trung Full BỘ BCT.pdf</t>
        </is>
      </c>
      <c r="B1434" s="93" t="inlineStr">
        <is>
          <t>585</t>
        </is>
      </c>
      <c r="C1434" s="92" t="inlineStr">
        <is>
          <t>需求计划执行进度</t>
        </is>
      </c>
      <c r="D1434" s="92" t="inlineStr">
        <is>
          <t>Xūqiú Jìhuà Zhíxíng Jìndù) - Progress in Demand Planning Execution - Tiến độ Thực hiện Kế hoạch Nhu cầu</t>
        </is>
      </c>
      <c r="E1434" s="92" t="inlineStr">
        <is>
          <t>585. 需求计划执行进度 (Xūqiú Jìhuà Zhíxíng Jìndù) - Progress in Demand Planning Execution - Tiến độ Thực hiện Kế hoạch Nhu cầu</t>
        </is>
      </c>
      <c r="F1434" s="114">
        <f>HYPERLINK("https://youglish.com/pronounce/需求计划执行进度/chinese","🔍")</f>
        <v/>
      </c>
    </row>
    <row r="1435" ht="42.75" customHeight="1" s="99">
      <c r="A1435" s="94" t="inlineStr">
        <is>
          <t>PDF_Tiếng trung Full BỘ BCT.pdf</t>
        </is>
      </c>
      <c r="B1435" s="95" t="inlineStr">
        <is>
          <t>586</t>
        </is>
      </c>
      <c r="C1435" s="94" t="inlineStr">
        <is>
          <t>供应链危机响应团队</t>
        </is>
      </c>
      <c r="D1435" s="94" t="inlineStr">
        <is>
          <t>Gōngyìngliàn Wēijī Xiǎngyìng Tuánduì) - Crisis Response Teams in the Supply Chain - Đội ngũ Ứng phó Khủng hoảng trong Chuỗi cung ứng</t>
        </is>
      </c>
      <c r="E1435" s="94" t="inlineStr">
        <is>
          <t>586. 供应链危机响应团队 (Gōngyìngliàn Wēijī Xiǎngyìng Tuánduì) - Crisis Response Teams in the Supply Chain - Đội ngũ Ứng phó Khủng hoảng trong Chuỗi cung ứng</t>
        </is>
      </c>
      <c r="F1435" s="115">
        <f>HYPERLINK("https://youglish.com/pronounce/供应链危机响应团队/chinese","🔍")</f>
        <v/>
      </c>
    </row>
    <row r="1436" ht="42.75" customHeight="1" s="99">
      <c r="A1436" s="92" t="inlineStr">
        <is>
          <t>PDF_Tiếng trung Full BỘ BCT.pdf</t>
        </is>
      </c>
      <c r="B1436" s="93" t="inlineStr">
        <is>
          <t>587</t>
        </is>
      </c>
      <c r="C1436" s="92" t="inlineStr">
        <is>
          <t>物料供应链可追溯性系统</t>
        </is>
      </c>
      <c r="D1436" s="92" t="inlineStr">
        <is>
          <t>Wùliào Gōngyìngliàn Kě Zhuīsù Xìng Xìtǒng) - Traceability Systems in Material Supply Chains - Hệ thống Theo dõi trong Chuỗi cung ứng Vật liệu</t>
        </is>
      </c>
      <c r="E1436" s="92" t="inlineStr">
        <is>
          <t>587. 物料供应链可追溯性系统 (Wùliào Gōngyìngliàn Kě Zhuīsù Xìng Xìtǒng) - Traceability Systems in Material Supply Chains - Hệ thống Theo dõi trong Chuỗi cung ứng Vật liệu</t>
        </is>
      </c>
      <c r="F1436" s="114">
        <f>HYPERLINK("https://youglish.com/pronounce/物料供应链可追溯性系统/chinese","🔍")</f>
        <v/>
      </c>
    </row>
    <row r="1437" ht="28.5" customHeight="1" s="99">
      <c r="A1437" s="94" t="inlineStr">
        <is>
          <t>PDF_Tiếng trung Full BỘ BCT.pdf</t>
        </is>
      </c>
      <c r="B1437" s="95" t="inlineStr">
        <is>
          <t>588</t>
        </is>
      </c>
      <c r="C1437" s="94" t="inlineStr">
        <is>
          <t>供应商培训和发展</t>
        </is>
      </c>
      <c r="D1437" s="94" t="inlineStr">
        <is>
          <t>Gōngyìngshāng Péixùn Hé Fāzhǎn) - Training and Development for Vendors - Đào tạo và Phát triển cho Nhà cung cấp</t>
        </is>
      </c>
      <c r="E1437" s="94" t="inlineStr">
        <is>
          <t>588. 供应商培训和发展 (Gōngyìngshāng Péixùn Hé Fāzhǎn) - Training and Development for Vendors - Đào tạo và Phát triển cho Nhà cung cấp</t>
        </is>
      </c>
      <c r="F1437" s="115">
        <f>HYPERLINK("https://youglish.com/pronounce/供应商培训和发展/chinese","🔍")</f>
        <v/>
      </c>
    </row>
    <row r="1438" ht="42.75" customHeight="1" s="99">
      <c r="A1438" s="92" t="inlineStr">
        <is>
          <t>PDF_Tiếng trung Full BỘ BCT.pdf</t>
        </is>
      </c>
      <c r="B1438" s="93" t="inlineStr">
        <is>
          <t>589</t>
        </is>
      </c>
      <c r="C1438" s="92" t="inlineStr">
        <is>
          <t>生产线数字化监控</t>
        </is>
      </c>
      <c r="D1438" s="92" t="inlineStr">
        <is>
          <t>Shēngchǎn Xiàn Shùzìhuà Jiānkòng) - Digital Monitoring in Production Lines - Giám sát Số hóa trong Dây chuyền Sản xuất</t>
        </is>
      </c>
      <c r="E1438" s="92" t="inlineStr">
        <is>
          <t>589. 生产线数字化监控 (Shēngchǎn Xiàn Shùzìhuà Jiānkòng) - Digital Monitoring in Production Lines - Giám sát Số hóa trong Dây chuyền Sản xuất</t>
        </is>
      </c>
      <c r="F1438" s="114">
        <f>HYPERLINK("https://youglish.com/pronounce/生产线数字化监控/chinese","🔍")</f>
        <v/>
      </c>
    </row>
    <row r="1439" ht="28.5" customHeight="1" s="99">
      <c r="A1439" s="94" t="inlineStr">
        <is>
          <t>PDF_Tiếng trung Full BỘ BCT.pdf</t>
        </is>
      </c>
      <c r="B1439" s="95" t="inlineStr">
        <is>
          <t>590</t>
        </is>
      </c>
      <c r="C1439" s="94" t="inlineStr">
        <is>
          <t>需求计划优化流程</t>
        </is>
      </c>
      <c r="D1439" s="94" t="inlineStr">
        <is>
          <t>Xūqiú Jìhuà Yōuhuà Liúchéng) - Processes for Optimizing Demand Planning - Quy trình Tối ưu hóa Kế hoạch Nhu cầu</t>
        </is>
      </c>
      <c r="E1439" s="94" t="inlineStr">
        <is>
          <t>590. 需求计划优化流程 (Xūqiú Jìhuà Yōuhuà Liúchéng) - Processes for Optimizing Demand Planning - Quy trình Tối ưu hóa Kế hoạch Nhu cầu</t>
        </is>
      </c>
      <c r="F1439" s="115">
        <f>HYPERLINK("https://youglish.com/pronounce/需求计划优化流程/chinese","🔍")</f>
        <v/>
      </c>
    </row>
    <row r="1440" ht="42.75" customHeight="1" s="99">
      <c r="A1440" s="92" t="inlineStr">
        <is>
          <t>PDF_Tiếng trung Full BỘ BCT.pdf</t>
        </is>
      </c>
      <c r="B1440" s="93" t="inlineStr">
        <is>
          <t>591</t>
        </is>
      </c>
      <c r="C1440" s="92" t="inlineStr">
        <is>
          <t>供应链协同创造力</t>
        </is>
      </c>
      <c r="D1440" s="92" t="inlineStr">
        <is>
          <t>Gōngyìngliàn Xiétiáo Chuàngzàolì) - Collaborative Creativity in the Supply Chain - Sự Sáng tạo Hợp tác trong Chuỗi cung ứng</t>
        </is>
      </c>
      <c r="E1440" s="92" t="inlineStr">
        <is>
          <t>591. 供应链协同创造力 (Gōngyìngliàn Xiétiáo Chuàngzàolì) - Collaborative Creativity in the Supply Chain - Sự Sáng tạo Hợp tác trong Chuỗi cung ứng</t>
        </is>
      </c>
      <c r="F1440" s="114">
        <f>HYPERLINK("https://youglish.com/pronounce/供应链协同创造力/chinese","🔍")</f>
        <v/>
      </c>
    </row>
    <row r="1441" ht="42.75" customHeight="1" s="99">
      <c r="A1441" s="94" t="inlineStr">
        <is>
          <t>PDF_Tiếng trung Full BỘ BCT.pdf</t>
        </is>
      </c>
      <c r="B1441" s="95" t="inlineStr">
        <is>
          <t>592</t>
        </is>
      </c>
      <c r="C1441" s="94" t="inlineStr">
        <is>
          <t>生产线人机协同</t>
        </is>
      </c>
      <c r="D1441" s="94" t="inlineStr">
        <is>
          <t>Shēngchǎn Xiàn Rénjī Xiétóng) - Human-Machine Collaboration in Production Lines - Hợp tác Giữa người và Máy trong Dây chuyền Sản xuất</t>
        </is>
      </c>
      <c r="E1441" s="94" t="inlineStr">
        <is>
          <t>592. 生产线人机协同 (Shēngchǎn Xiàn Rénjī Xiétóng) - Human-Machine Collaboration in Production Lines - Hợp tác Giữa người và Máy trong Dây chuyền Sản xuất</t>
        </is>
      </c>
      <c r="F1441" s="115">
        <f>HYPERLINK("https://youglish.com/pronounce/生产线人机协同/chinese","🔍")</f>
        <v/>
      </c>
    </row>
    <row r="1442" ht="42.75" customHeight="1" s="99">
      <c r="A1442" s="92" t="inlineStr">
        <is>
          <t>PDF_Tiếng trung Full BỘ BCT.pdf</t>
        </is>
      </c>
      <c r="B1442" s="93" t="inlineStr">
        <is>
          <t>593</t>
        </is>
      </c>
      <c r="C1442" s="92" t="inlineStr">
        <is>
          <t>货物追溯技术创新</t>
        </is>
      </c>
      <c r="D1442" s="92" t="inlineStr">
        <is>
          <t>Huòwù Zhuīsù Jìshù Chuàngxīn) - Technological Innovation in Cargo Traceability - Đổi mới Công nghệ trong Theo dõi Hàng hóa</t>
        </is>
      </c>
      <c r="E1442" s="92" t="inlineStr">
        <is>
          <t>593. 货物追溯技术创新 (Huòwù Zhuīsù Jìshù Chuàngxīn) - Technological Innovation in Cargo Traceability - Đổi mới Công nghệ trong Theo dõi Hàng hóa</t>
        </is>
      </c>
      <c r="F1442" s="114">
        <f>HYPERLINK("https://youglish.com/pronounce/货物追溯技术创新/chinese","🔍")</f>
        <v/>
      </c>
    </row>
    <row r="1443" ht="42.75" customHeight="1" s="99">
      <c r="A1443" s="94" t="inlineStr">
        <is>
          <t>PDF_Tiếng trung Full BỘ BCT.pdf</t>
        </is>
      </c>
      <c r="B1443" s="95" t="inlineStr">
        <is>
          <t>594</t>
        </is>
      </c>
      <c r="C1443" s="94" t="inlineStr">
        <is>
          <t>供应商信息管理系统</t>
        </is>
      </c>
      <c r="D1443" s="94" t="inlineStr">
        <is>
          <t>Gōngyìngshāng Xìnxī Guǎnlǐ Xìtǒng) - Information Management Systems for Vendors - Hệ thống Quản lý Thông tin cho Nhà cung cấp</t>
        </is>
      </c>
      <c r="E1443" s="94" t="inlineStr">
        <is>
          <t>594. 供应商信息管理系统 (Gōngyìngshāng Xìnxī Guǎnlǐ Xìtǒng) - Information Management Systems for Vendors - Hệ thống Quản lý Thông tin cho Nhà cung cấp</t>
        </is>
      </c>
      <c r="F1443" s="115">
        <f>HYPERLINK("https://youglish.com/pronounce/供应商信息管理系统/chinese","🔍")</f>
        <v/>
      </c>
    </row>
    <row r="1444" ht="42.75" customHeight="1" s="99">
      <c r="A1444" s="92" t="inlineStr">
        <is>
          <t>PDF_Tiếng trung Full BỘ BCT.pdf</t>
        </is>
      </c>
      <c r="B1444" s="93" t="inlineStr">
        <is>
          <t>595</t>
        </is>
      </c>
      <c r="C1444" s="92" t="inlineStr">
        <is>
          <t>物流运输成本分析</t>
        </is>
      </c>
      <c r="D1444" s="92" t="inlineStr">
        <is>
          <t>Wùliú Yùnshū Chéngběn Fēnxi) - Cost Analysis in Transportation for Logistics - Phân tích Chi phí trong Vận chuyển Logistics</t>
        </is>
      </c>
      <c r="E1444" s="92" t="inlineStr">
        <is>
          <t>595. 物流运输成本分析 (Wùliú Yùnshū Chéngběn Fēnxi) - Cost Analysis in Transportation for Logistics - Phân tích Chi phí trong Vận chuyển Logistics</t>
        </is>
      </c>
      <c r="F1444" s="114">
        <f>HYPERLINK("https://youglish.com/pronounce/物流运输成本分析/chinese","🔍")</f>
        <v/>
      </c>
    </row>
    <row r="1445" ht="42.75" customHeight="1" s="99">
      <c r="A1445" s="94" t="inlineStr">
        <is>
          <t>PDF_Tiếng trung Full BỘ BCT.pdf</t>
        </is>
      </c>
      <c r="B1445" s="95" t="inlineStr">
        <is>
          <t>596</t>
        </is>
      </c>
      <c r="C1445" s="94" t="inlineStr">
        <is>
          <t>生产线安全生产标准</t>
        </is>
      </c>
      <c r="D1445" s="94" t="inlineStr">
        <is>
          <t>Shēngchǎn Xiàn Ānquán Shēngchǎn Biāozhǔn) - Safety Production Standards in Production Lines - Tiêu chuẩn An toàn Sản xuất trong Dây chuyền Sản xuất</t>
        </is>
      </c>
      <c r="E1445" s="94" t="inlineStr">
        <is>
          <t>596. 生产线安全生产标准 (Shēngchǎn Xiàn Ānquán Shēngchǎn Biāozhǔn) - Safety Production Standards in Production Lines - Tiêu chuẩn An toàn Sản xuất trong Dây chuyền Sản xuất</t>
        </is>
      </c>
      <c r="F1445" s="115">
        <f>HYPERLINK("https://youglish.com/pronounce/生产线安全生产标准/chinese","🔍")</f>
        <v/>
      </c>
    </row>
    <row r="1446" ht="42.75" customHeight="1" s="99">
      <c r="A1446" s="92" t="inlineStr">
        <is>
          <t>PDF_Tiếng trung Full BỘ BCT.pdf</t>
        </is>
      </c>
      <c r="B1446" s="93" t="inlineStr">
        <is>
          <t>597</t>
        </is>
      </c>
      <c r="C1446" s="92" t="inlineStr">
        <is>
          <t>需求计划执行质量检查</t>
        </is>
      </c>
      <c r="D1446" s="92" t="inlineStr">
        <is>
          <t>Xūqiú Jìhuà Zhíxíng Zhìliàng Jiǎnchá) - Quality Checks in Demand Planning Execution - Kiểm tra Chất lượng trong Quy trình Thực hiện Kế hoạch Nhu cầu</t>
        </is>
      </c>
      <c r="E1446" s="92" t="inlineStr">
        <is>
          <t>597. 需求计划执行质量检查 (Xūqiú Jìhuà Zhíxíng Zhìliàng Jiǎnchá) - Quality Checks in Demand Planning Execution - Kiểm tra Chất lượng trong Quy trình Thực hiện Kế hoạch Nhu cầu</t>
        </is>
      </c>
      <c r="F1446" s="114">
        <f>HYPERLINK("https://youglish.com/pronounce/需求计划执行质量检查/chinese","🔍")</f>
        <v/>
      </c>
    </row>
    <row r="1447" ht="42.75" customHeight="1" s="99">
      <c r="A1447" s="94" t="inlineStr">
        <is>
          <t>PDF_Tiếng trung Full BỘ BCT.pdf</t>
        </is>
      </c>
      <c r="B1447" s="95" t="inlineStr">
        <is>
          <t>598</t>
        </is>
      </c>
      <c r="C1447" s="94" t="inlineStr">
        <is>
          <t>供应链可持续性指南</t>
        </is>
      </c>
      <c r="D1447" s="94" t="inlineStr">
        <is>
          <t>Gōngyìngliàn Kěchíxù Xìng Zhǐnán) - Guidelines for Sustainability in the Supply Chain - Hướng dẫn về Bền vững trong Chuỗi cung ứng</t>
        </is>
      </c>
      <c r="E1447" s="94" t="inlineStr">
        <is>
          <t>598. 供应链可持续性指南 (Gōngyìngliàn Kěchíxù Xìng Zhǐnán) - Guidelines for Sustainability in the Supply Chain - Hướng dẫn về Bền vững trong Chuỗi cung ứng</t>
        </is>
      </c>
      <c r="F1447" s="115">
        <f>HYPERLINK("https://youglish.com/pronounce/供应链可持续性指南/chinese","🔍")</f>
        <v/>
      </c>
    </row>
    <row r="1448" ht="28.5" customHeight="1" s="99">
      <c r="A1448" s="92" t="inlineStr">
        <is>
          <t>PDF_Tiếng trung Full BỘ BCT.pdf</t>
        </is>
      </c>
      <c r="B1448" s="93" t="inlineStr">
        <is>
          <t>599</t>
        </is>
      </c>
      <c r="C1448" s="92" t="inlineStr">
        <is>
          <t>供应链数字化策略</t>
        </is>
      </c>
      <c r="D1448" s="92" t="inlineStr">
        <is>
          <t>Gōngyìngliàn Shùzìhuà Cèlüè) - Digitalization Strategies in the Supply Chain - Chiến lược Số hóa trong Chuỗi cung ứng</t>
        </is>
      </c>
      <c r="E1448" s="92" t="inlineStr">
        <is>
          <t>599. 供应链数字化策略 (Gōngyìngliàn Shùzìhuà Cèlüè) - Digitalization Strategies in the Supply Chain - Chiến lược Số hóa trong Chuỗi cung ứng</t>
        </is>
      </c>
      <c r="F1448" s="114">
        <f>HYPERLINK("https://youglish.com/pronounce/供应链数字化策略/chinese","🔍")</f>
        <v/>
      </c>
    </row>
    <row r="1449" ht="42.75" customHeight="1" s="99">
      <c r="A1449" s="94" t="inlineStr">
        <is>
          <t>PDF_Tiếng trung Full BỘ BCT.pdf</t>
        </is>
      </c>
      <c r="B1449" s="95" t="inlineStr">
        <is>
          <t>600</t>
        </is>
      </c>
      <c r="C1449" s="94" t="inlineStr">
        <is>
          <t>生产线过程改善</t>
        </is>
      </c>
      <c r="D1449" s="94" t="inlineStr">
        <is>
          <t>Shēngchǎn Xiàn Guòchéng Gǎishàn) - Process Improvement in Production Lines - Cải thiện Quy trình trong Dây chuyền Sản xuất</t>
        </is>
      </c>
      <c r="E1449" s="94" t="inlineStr">
        <is>
          <t>600. 生产线过程改善 (Shēngchǎn Xiàn Guòchéng Gǎishàn) - Process Improvement in Production Lines - Cải thiện Quy trình trong Dây chuyền Sản xuất</t>
        </is>
      </c>
      <c r="F1449" s="115">
        <f>HYPERLINK("https://youglish.com/pronounce/生产线过程改善/chinese","🔍")</f>
        <v/>
      </c>
    </row>
    <row r="1450" ht="42.75" customHeight="1" s="99">
      <c r="A1450" s="92" t="inlineStr">
        <is>
          <t>PDF_Tiếng trung Full BỘ BCT.pdf</t>
        </is>
      </c>
      <c r="B1450" s="93" t="inlineStr">
        <is>
          <t>601</t>
        </is>
      </c>
      <c r="C1450" s="92" t="inlineStr">
        <is>
          <t>货物追溯技术标准</t>
        </is>
      </c>
      <c r="D1450" s="92" t="inlineStr">
        <is>
          <t>Huòwù Zhuīsù Jìshù Biāozhǔn) - Technical Standards for Cargo Traceability - Tiêu chuẩn Công nghệ Theo dõi Hàng hóa</t>
        </is>
      </c>
      <c r="E1450" s="92" t="inlineStr">
        <is>
          <t>601. 货物追溯技术标准 (Huòwù Zhuīsù Jìshù Biāozhǔn) - Technical Standards for Cargo Traceability - Tiêu chuẩn Công nghệ Theo dõi Hàng hóa</t>
        </is>
      </c>
      <c r="F1450" s="114">
        <f>HYPERLINK("https://youglish.com/pronounce/货物追溯技术标准/chinese","🔍")</f>
        <v/>
      </c>
    </row>
    <row r="1451" ht="42.75" customHeight="1" s="99">
      <c r="A1451" s="94" t="inlineStr">
        <is>
          <t>PDF_Tiếng trung Full BỘ BCT.pdf</t>
        </is>
      </c>
      <c r="B1451" s="95" t="inlineStr">
        <is>
          <t>602</t>
        </is>
      </c>
      <c r="C1451" s="94" t="inlineStr">
        <is>
          <t>供应商供应链整合</t>
        </is>
      </c>
      <c r="D1451" s="94" t="inlineStr">
        <is>
          <t>Gōngyìngshāng Gòngyìngliàn Zhěng hé) - Integration of Vendor Supply Chains - Tích hợp Chuỗi cung ứng của Nhà cung cấp</t>
        </is>
      </c>
      <c r="E1451" s="94" t="inlineStr">
        <is>
          <t>602. 供应商供应链整合 (Gōngyìngshāng Gòngyìngliàn Zhěng hé) - Integration of Vendor Supply Chains - Tích hợp Chuỗi cung ứng của Nhà cung cấp</t>
        </is>
      </c>
      <c r="F1451" s="115">
        <f>HYPERLINK("https://youglish.com/pronounce/供应商供应链整合/chinese","🔍")</f>
        <v/>
      </c>
    </row>
    <row r="1452" ht="42.75" customHeight="1" s="99">
      <c r="A1452" s="92" t="inlineStr">
        <is>
          <t>PDF_Tiếng trung Full BỘ BCT.pdf</t>
        </is>
      </c>
      <c r="B1452" s="93" t="inlineStr">
        <is>
          <t>603</t>
        </is>
      </c>
      <c r="C1452" s="92" t="inlineStr">
        <is>
          <t>物流仓储效率优化</t>
        </is>
      </c>
      <c r="D1452" s="92" t="inlineStr">
        <is>
          <t>Wùliú Cāngchǔ Xiàolǜ Yōuhuà) - Efficiency Optimization in Logistics Warehousing - Tối ưu hóa Hiệu suất trong Kho vận Logistics</t>
        </is>
      </c>
      <c r="E1452" s="92" t="inlineStr">
        <is>
          <t>603. 物流仓储效率优化 (Wùliú Cāngchǔ Xiàolǜ Yōuhuà) - Efficiency Optimization in Logistics Warehousing - Tối ưu hóa Hiệu suất trong Kho vận Logistics</t>
        </is>
      </c>
      <c r="F1452" s="114">
        <f>HYPERLINK("https://youglish.com/pronounce/物流仓储效率优化/chinese","🔍")</f>
        <v/>
      </c>
    </row>
    <row r="1453" ht="42.75" customHeight="1" s="99">
      <c r="A1453" s="94" t="inlineStr">
        <is>
          <t>PDF_Tiếng trung Full BỘ BCT.pdf</t>
        </is>
      </c>
      <c r="B1453" s="95" t="inlineStr">
        <is>
          <t>604</t>
        </is>
      </c>
      <c r="C1453" s="94" t="inlineStr">
        <is>
          <t>生产线质量监管</t>
        </is>
      </c>
      <c r="D1453" s="94" t="inlineStr">
        <is>
          <t>Shēngchǎn Xiàn Zhìliàng Jiānguǎn) - Quality Supervision in Production Lines - Giám sát Chất lượng trong Dây chuyền Sản xuất</t>
        </is>
      </c>
      <c r="E1453" s="94" t="inlineStr">
        <is>
          <t>604. 生产线质量监管 (Shēngchǎn Xiàn Zhìliàng Jiānguǎn) - Quality Supervision in Production Lines - Giám sát Chất lượng trong Dây chuyền Sản xuất</t>
        </is>
      </c>
      <c r="F1453" s="115">
        <f>HYPERLINK("https://youglish.com/pronounce/生产线质量监管/chinese","🔍")</f>
        <v/>
      </c>
    </row>
    <row r="1454" ht="28.5" customHeight="1" s="99">
      <c r="A1454" s="92" t="inlineStr">
        <is>
          <t>PDF_Tiếng trung Full BỘ BCT.pdf</t>
        </is>
      </c>
      <c r="B1454" s="93" t="inlineStr">
        <is>
          <t>605</t>
        </is>
      </c>
      <c r="C1454" s="92" t="inlineStr">
        <is>
          <t>需求计划数据分析</t>
        </is>
      </c>
      <c r="D1454" s="92" t="inlineStr">
        <is>
          <t>Xūqiú Jìhuà Shùjù Fēnxi) - Data Analysis in Demand Planning - Phân tích Dữ liệu trong Kế hoạch Nhu cầu</t>
        </is>
      </c>
      <c r="E1454" s="92" t="inlineStr">
        <is>
          <t>605. 需求计划数据分析 (Xūqiú Jìhuà Shùjù Fēnxi) - Data Analysis in Demand Planning - Phân tích Dữ liệu trong Kế hoạch Nhu cầu</t>
        </is>
      </c>
      <c r="F1454" s="114">
        <f>HYPERLINK("https://youglish.com/pronounce/需求计划数据分析/chinese","🔍")</f>
        <v/>
      </c>
    </row>
    <row r="1455" ht="42.75" customHeight="1" s="99">
      <c r="A1455" s="94" t="inlineStr">
        <is>
          <t>PDF_Tiếng trung Full BỘ BCT.pdf</t>
        </is>
      </c>
      <c r="B1455" s="95" t="inlineStr">
        <is>
          <t>606</t>
        </is>
      </c>
      <c r="C1455" s="94" t="inlineStr">
        <is>
          <t>供应链危机管理培训</t>
        </is>
      </c>
      <c r="D1455" s="94" t="inlineStr">
        <is>
          <t>Gōngyìngliàn Wēijī Guǎnlǐ Péixùn) - Training in Crisis Management for the Supply Chain - Đào tạo về Quản lý Khủng hoảng trong Chuỗi cung ứng</t>
        </is>
      </c>
      <c r="E1455" s="94" t="inlineStr">
        <is>
          <t>606. 供应链危机管理培训 (Gōngyìngliàn Wēijī Guǎnlǐ Péixùn) - Training in Crisis Management for the Supply Chain - Đào tạo về Quản lý Khủng hoảng trong Chuỗi cung ứng</t>
        </is>
      </c>
      <c r="F1455" s="115">
        <f>HYPERLINK("https://youglish.com/pronounce/供应链危机管理培训/chinese","🔍")</f>
        <v/>
      </c>
    </row>
    <row r="1456" ht="42.75" customHeight="1" s="99">
      <c r="A1456" s="92" t="inlineStr">
        <is>
          <t>PDF_Tiếng trung Full BỘ BCT.pdf</t>
        </is>
      </c>
      <c r="B1456" s="93" t="inlineStr">
        <is>
          <t>607</t>
        </is>
      </c>
      <c r="C1456" s="92" t="inlineStr">
        <is>
          <t>物料供应链数字化解决方案</t>
        </is>
      </c>
      <c r="D1456" s="92" t="inlineStr">
        <is>
          <t>Wùliào Gōngyìngliàn Shùzìhuà Jiějué Fāng'àn) - Digital Solutions in Material Supply Chain - Giải pháp Số hóa trong Chuỗi cung ứng Vật liệu</t>
        </is>
      </c>
      <c r="E1456" s="92" t="inlineStr">
        <is>
          <t>607. 物料供应链数字化解决方案 (Wùliào Gōngyìngliàn Shùzìhuà Jiějué Fāng'àn) - Digital Solutions in Material Supply Chain - Giải pháp Số hóa trong Chuỗi cung ứng Vật liệu</t>
        </is>
      </c>
      <c r="F1456" s="114">
        <f>HYPERLINK("https://youglish.com/pronounce/物料供应链数字化解决方案/chinese","🔍")</f>
        <v/>
      </c>
    </row>
    <row r="1457" ht="28.5" customHeight="1" s="99">
      <c r="A1457" s="94" t="inlineStr">
        <is>
          <t>PDF_Tiếng trung Full BỘ BCT.pdf</t>
        </is>
      </c>
      <c r="B1457" s="95" t="inlineStr">
        <is>
          <t>608</t>
        </is>
      </c>
      <c r="C1457" s="94" t="inlineStr">
        <is>
          <t>供应商采购流程</t>
        </is>
      </c>
      <c r="D1457" s="94" t="inlineStr">
        <is>
          <t>Gōngyìngshāng Cǎigòu Liúchéng) - Procurement Processes for Vendors - Quy trình Mua hàng cho Nhà cung cấp</t>
        </is>
      </c>
      <c r="E1457" s="94" t="inlineStr">
        <is>
          <t>608. 供应商采购流程 (Gōngyìngshāng Cǎigòu Liúchéng) - Procurement Processes for Vendors - Quy trình Mua hàng cho Nhà cung cấp</t>
        </is>
      </c>
      <c r="F1457" s="115">
        <f>HYPERLINK("https://youglish.com/pronounce/供应商采购流程/chinese","🔍")</f>
        <v/>
      </c>
    </row>
    <row r="1458" ht="42.75" customHeight="1" s="99">
      <c r="A1458" s="92" t="inlineStr">
        <is>
          <t>PDF_Tiếng trung Full BỘ BCT.pdf</t>
        </is>
      </c>
      <c r="B1458" s="93" t="inlineStr">
        <is>
          <t>609</t>
        </is>
      </c>
      <c r="C1458" s="92" t="inlineStr">
        <is>
          <t>生产线创新管理</t>
        </is>
      </c>
      <c r="D1458" s="92" t="inlineStr">
        <is>
          <t>Shēngchǎn Xiàn Chuàngxīn Guǎnlǐ) - Innovation Management in Production Lines - Quản lý Đổi mới trong Dây chuyền Sản xuất</t>
        </is>
      </c>
      <c r="E1458" s="92" t="inlineStr">
        <is>
          <t>609. 生产线创新管理 (Shēngchǎn Xiàn Chuàngxīn Guǎnlǐ) - Innovation Management in Production Lines - Quản lý Đổi mới trong Dây chuyền Sản xuất</t>
        </is>
      </c>
      <c r="F1458" s="114">
        <f>HYPERLINK("https://youglish.com/pronounce/生产线创新管理/chinese","🔍")</f>
        <v/>
      </c>
    </row>
    <row r="1459" ht="42.75" customHeight="1" s="99">
      <c r="A1459" s="94" t="inlineStr">
        <is>
          <t>PDF_Tiếng trung Full BỘ BCT.pdf</t>
        </is>
      </c>
      <c r="B1459" s="95" t="inlineStr">
        <is>
          <t>610</t>
        </is>
      </c>
      <c r="C1459" s="94" t="inlineStr">
        <is>
          <t>供应链合规性评估</t>
        </is>
      </c>
      <c r="D1459" s="94" t="inlineStr">
        <is>
          <t>Gōngyìngliàn Héguīxìng Pínggū) - Assessment of Compliance in the Supply Chain - Đánh giá Tuân thủ trong Chuỗi cung ứng</t>
        </is>
      </c>
      <c r="E1459" s="94" t="inlineStr">
        <is>
          <t>610. 供应链合规性评估 (Gōngyìngliàn Héguīxìng Pínggū) - Assessment of Compliance in the Supply Chain - Đánh giá Tuân thủ trong Chuỗi cung ứng</t>
        </is>
      </c>
      <c r="F1459" s="115">
        <f>HYPERLINK("https://youglish.com/pronounce/供应链合规性评估/chinese","🔍")</f>
        <v/>
      </c>
    </row>
    <row r="1460" ht="42.75" customHeight="1" s="99">
      <c r="A1460" s="92" t="inlineStr">
        <is>
          <t>PDF_Tiếng trung Full BỘ BCT.pdf</t>
        </is>
      </c>
      <c r="B1460" s="93" t="inlineStr">
        <is>
          <t>611</t>
        </is>
      </c>
      <c r="C1460" s="92" t="inlineStr">
        <is>
          <t>生产线自动化技术</t>
        </is>
      </c>
      <c r="D1460" s="92" t="inlineStr">
        <is>
          <t>Shēngchǎn Xiàn Zìdòng Huà Jìshù) - Automation Technologies in Production Lines - Công nghệ Tự động hóa trong Dây chuyền Sản xuất</t>
        </is>
      </c>
      <c r="E1460" s="92" t="inlineStr">
        <is>
          <t>611. 生产线自动化技术 (Shēngchǎn Xiàn Zìdòng Huà Jìshù) - Automation Technologies in Production Lines - Công nghệ Tự động hóa trong Dây chuyền Sản xuất</t>
        </is>
      </c>
      <c r="F1460" s="114">
        <f>HYPERLINK("https://youglish.com/pronounce/生产线自动化技术/chinese","🔍")</f>
        <v/>
      </c>
    </row>
    <row r="1461" ht="42.75" customHeight="1" s="99">
      <c r="A1461" s="94" t="inlineStr">
        <is>
          <t>PDF_Tiếng trung Full BỘ BCT.pdf</t>
        </is>
      </c>
      <c r="B1461" s="95" t="inlineStr">
        <is>
          <t>612</t>
        </is>
      </c>
      <c r="C1461" s="94" t="inlineStr">
        <is>
          <t>货物追溯实时监控</t>
        </is>
      </c>
      <c r="D1461" s="94" t="inlineStr">
        <is>
          <t>Huòwù Zhuīsù Shíshí Jiānkòng) - Real-time Monitoring of Cargo Traceability - Giám sát Theo dõi Hàng hóa theo Thời gian thực</t>
        </is>
      </c>
      <c r="E1461" s="94" t="inlineStr">
        <is>
          <t>612. 货物追溯实时监控 (Huòwù Zhuīsù Shíshí Jiānkòng) - Real-time Monitoring of Cargo Traceability - Giám sát Theo dõi Hàng hóa theo Thời gian thực</t>
        </is>
      </c>
      <c r="F1461" s="115">
        <f>HYPERLINK("https://youglish.com/pronounce/货物追溯实时监控/chinese","🔍")</f>
        <v/>
      </c>
    </row>
    <row r="1462" ht="42.75" customHeight="1" s="99">
      <c r="A1462" s="92" t="inlineStr">
        <is>
          <t>PDF_Tiếng trung Full BỘ BCT.pdf</t>
        </is>
      </c>
      <c r="B1462" s="93" t="inlineStr">
        <is>
          <t>613</t>
        </is>
      </c>
      <c r="C1462" s="92" t="inlineStr">
        <is>
          <t>供应商风险评估工具</t>
        </is>
      </c>
      <c r="D1462" s="92" t="inlineStr">
        <is>
          <t>Gōngyìngshāng Fēngxiǎn Pínggū Gōngjù) - Tools for Vendor Risk Assessment - Công cụ Đánh giá Rủi ro cho Nhà cung cấp</t>
        </is>
      </c>
      <c r="E1462" s="92" t="inlineStr">
        <is>
          <t>613. 供应商风险评估工具 (Gōngyìngshāng Fēngxiǎn Pínggū Gōngjù) - Tools for Vendor Risk Assessment - Công cụ Đánh giá Rủi ro cho Nhà cung cấp</t>
        </is>
      </c>
      <c r="F1462" s="114">
        <f>HYPERLINK("https://youglish.com/pronounce/供应商风险评估工具/chinese","🔍")</f>
        <v/>
      </c>
    </row>
    <row r="1463" ht="42.75" customHeight="1" s="99">
      <c r="A1463" s="94" t="inlineStr">
        <is>
          <t>PDF_Tiếng trung Full BỘ BCT.pdf</t>
        </is>
      </c>
      <c r="B1463" s="95" t="inlineStr">
        <is>
          <t>614</t>
        </is>
      </c>
      <c r="C1463" s="94" t="inlineStr">
        <is>
          <t>物流运输网络规划</t>
        </is>
      </c>
      <c r="D1463" s="94" t="inlineStr">
        <is>
          <t>Wùliú Yùnshū Wǎngluò Guīhuà) - Planning of Transportation Networks in Logistics - Lập kế hoạch Mạng lưới Vận chuyển trong Logistics</t>
        </is>
      </c>
      <c r="E1463" s="94" t="inlineStr">
        <is>
          <t>614. 物流运输网络规划 (Wùliú Yùnshū Wǎngluò Guīhuà) - Planning of Transportation Networks in Logistics - Lập kế hoạch Mạng lưới Vận chuyển trong Logistics</t>
        </is>
      </c>
      <c r="F1463" s="115">
        <f>HYPERLINK("https://youglish.com/pronounce/物流运输网络规划/chinese","🔍")</f>
        <v/>
      </c>
    </row>
    <row r="1464" ht="42.75" customHeight="1" s="99">
      <c r="A1464" s="92" t="inlineStr">
        <is>
          <t>PDF_Tiếng trung Full BỘ BCT.pdf</t>
        </is>
      </c>
      <c r="B1464" s="93" t="inlineStr">
        <is>
          <t>615</t>
        </is>
      </c>
      <c r="C1464" s="92" t="inlineStr">
        <is>
          <t>生产线效能优化</t>
        </is>
      </c>
      <c r="D1464" s="92" t="inlineStr">
        <is>
          <t>Shēngchǎn Xiàn Xiàolǜ Yōuhuà) - Optimization of Efficiency in Production Lines - Tối ưu hóa Hiệu suất trong Dây chuyền Sản xuất</t>
        </is>
      </c>
      <c r="E1464" s="92" t="inlineStr">
        <is>
          <t>615. 生产线效能优化 (Shēngchǎn Xiàn Xiàolǜ Yōuhuà) - Optimization of Efficiency in Production Lines - Tối ưu hóa Hiệu suất trong Dây chuyền Sản xuất</t>
        </is>
      </c>
      <c r="F1464" s="114">
        <f>HYPERLINK("https://youglish.com/pronounce/生产线效能优化/chinese","🔍")</f>
        <v/>
      </c>
    </row>
    <row r="1465" ht="42.75" customHeight="1" s="99">
      <c r="A1465" s="94" t="inlineStr">
        <is>
          <t>PDF_Tiếng trung Full BỘ BCT.pdf</t>
        </is>
      </c>
      <c r="B1465" s="95" t="inlineStr">
        <is>
          <t>616</t>
        </is>
      </c>
      <c r="C1465" s="94" t="inlineStr">
        <is>
          <t>需求计划执行协调</t>
        </is>
      </c>
      <c r="D1465" s="94" t="inlineStr">
        <is>
          <t>Xūqiú Jìhuà Zhíxíng Xiétiáo) - Coordination in Demand Planning Execution - Điều phối trong Quy trình Thực hiện Kế hoạch Nhu cầu</t>
        </is>
      </c>
      <c r="E1465" s="94" t="inlineStr">
        <is>
          <t>616. 需求计划执行协调 (Xūqiú Jìhuà Zhíxíng Xiétiáo) - Coordination in Demand Planning Execution - Điều phối trong Quy trình Thực hiện Kế hoạch Nhu cầu</t>
        </is>
      </c>
      <c r="F1465" s="115">
        <f>HYPERLINK("https://youglish.com/pronounce/需求计划执行协调/chinese","🔍")</f>
        <v/>
      </c>
    </row>
    <row r="1466" ht="42.75" customHeight="1" s="99">
      <c r="A1466" s="92" t="inlineStr">
        <is>
          <t>PDF_Tiếng trung Full BỘ BCT.pdf</t>
        </is>
      </c>
      <c r="B1466" s="93" t="inlineStr">
        <is>
          <t>617</t>
        </is>
      </c>
      <c r="C1466" s="92" t="inlineStr">
        <is>
          <t>供应链透明度标准</t>
        </is>
      </c>
      <c r="D1466" s="92" t="inlineStr">
        <is>
          <t>Gōngyìngliàn Tòumíngdù Biāozhǔn) - Standards for Transparency in the Supply Chain - Tiêu chuẩn Tính minh bạch trong Chuỗi cung ứng</t>
        </is>
      </c>
      <c r="E1466" s="92" t="inlineStr">
        <is>
          <t>617. 供应链透明度标准 (Gōngyìngliàn Tòumíngdù Biāozhǔn) - Standards for Transparency in the Supply Chain - Tiêu chuẩn Tính minh bạch trong Chuỗi cung ứng</t>
        </is>
      </c>
      <c r="F1466" s="114">
        <f>HYPERLINK("https://youglish.com/pronounce/供应链透明度标准/chinese","🔍")</f>
        <v/>
      </c>
    </row>
    <row r="1467" ht="28.5" customHeight="1" s="99">
      <c r="A1467" s="94" t="inlineStr">
        <is>
          <t>PDF_Tiếng trung Full BỘ BCT.pdf</t>
        </is>
      </c>
      <c r="B1467" s="95" t="inlineStr">
        <is>
          <t>618</t>
        </is>
      </c>
      <c r="C1467" s="94" t="inlineStr">
        <is>
          <t>供应链可视化工具</t>
        </is>
      </c>
      <c r="D1467" s="94" t="inlineStr">
        <is>
          <t>Gōngyìngliàn Kěshìhuà Gōngjù) - Visualization Tools in the Supply Chain - Công cụ Hóa trong Chuỗi cung ứng</t>
        </is>
      </c>
      <c r="E1467" s="94" t="inlineStr">
        <is>
          <t>618. 供应链可视化工具 (Gōngyìngliàn Kěshìhuà Gōngjù) - Visualization Tools in the Supply Chain - Công cụ Hóa trong Chuỗi cung ứng</t>
        </is>
      </c>
      <c r="F1467" s="115">
        <f>HYPERLINK("https://youglish.com/pronounce/供应链可视化工具/chinese","🔍")</f>
        <v/>
      </c>
    </row>
    <row r="1468" ht="42.75" customHeight="1" s="99">
      <c r="A1468" s="92" t="inlineStr">
        <is>
          <t>PDF_Tiếng trung Full BỘ BCT.pdf</t>
        </is>
      </c>
      <c r="B1468" s="93" t="inlineStr">
        <is>
          <t>619</t>
        </is>
      </c>
      <c r="C1468" s="92" t="inlineStr">
        <is>
          <t>生产线协同计划</t>
        </is>
      </c>
      <c r="D1468" s="92" t="inlineStr">
        <is>
          <t>Shēngchǎn Xiàn Xiétóng Jìhuà) - Collaborative Planning in Production Lines - Kế hoạch Hợp tác trong Dây chuyền Sản xuất</t>
        </is>
      </c>
      <c r="E1468" s="92" t="inlineStr">
        <is>
          <t>619. 生产线协同计划 (Shēngchǎn Xiàn Xiétóng Jìhuà) - Collaborative Planning in Production Lines - Kế hoạch Hợp tác trong Dây chuyền Sản xuất</t>
        </is>
      </c>
      <c r="F1468" s="114">
        <f>HYPERLINK("https://youglish.com/pronounce/生产线协同计划/chinese","🔍")</f>
        <v/>
      </c>
    </row>
    <row r="1469" ht="28.5" customHeight="1" s="99">
      <c r="A1469" s="94" t="inlineStr">
        <is>
          <t>PDF_Tiếng trung Full BỘ BCT.pdf</t>
        </is>
      </c>
      <c r="B1469" s="95" t="inlineStr">
        <is>
          <t>620</t>
        </is>
      </c>
      <c r="C1469" s="94" t="inlineStr">
        <is>
          <t>货物追溯信息安全</t>
        </is>
      </c>
      <c r="D1469" s="94" t="inlineStr">
        <is>
          <t>Huòwù Zhuīsù Xìnxī Ānquán) - Information Security in Cargo Traceability - An ninh Thông tin trong Theo dõi Hàng hóa</t>
        </is>
      </c>
      <c r="E1469" s="94" t="inlineStr">
        <is>
          <t>620. 货物追溯信息安全 (Huòwù Zhuīsù Xìnxī Ānquán) - Information Security in Cargo Traceability - An ninh Thông tin trong Theo dõi Hàng hóa</t>
        </is>
      </c>
      <c r="F1469" s="115">
        <f>HYPERLINK("https://youglish.com/pronounce/货物追溯信息安全/chinese","🔍")</f>
        <v/>
      </c>
    </row>
    <row r="1470" ht="28.5" customHeight="1" s="99">
      <c r="A1470" s="92" t="inlineStr">
        <is>
          <t>PDF_Tiếng trung Full BỘ BCT.pdf</t>
        </is>
      </c>
      <c r="B1470" s="93" t="inlineStr">
        <is>
          <t>621</t>
        </is>
      </c>
      <c r="C1470" s="92" t="inlineStr">
        <is>
          <t>供应商社会责任</t>
        </is>
      </c>
      <c r="D1470" s="92" t="inlineStr">
        <is>
          <t>Gōngyìngshāng Shèhuì Zérèn) - Social Responsibility for Vendors - Trách nhiệm Xã hội cho Nhà cung cấp</t>
        </is>
      </c>
      <c r="E1470" s="92" t="inlineStr">
        <is>
          <t>621. 供应商社会责任 (Gōngyìngshāng Shèhuì Zérèn) - Social Responsibility for Vendors - Trách nhiệm Xã hội cho Nhà cung cấp</t>
        </is>
      </c>
      <c r="F1470" s="114">
        <f>HYPERLINK("https://youglish.com/pronounce/供应商社会责任/chinese","🔍")</f>
        <v/>
      </c>
    </row>
    <row r="1471" ht="28.5" customHeight="1" s="99">
      <c r="A1471" s="94" t="inlineStr">
        <is>
          <t>PDF_Tiếng trung Full BỘ BCT.pdf</t>
        </is>
      </c>
      <c r="B1471" s="95" t="inlineStr">
        <is>
          <t>622</t>
        </is>
      </c>
      <c r="C1471" s="94" t="inlineStr">
        <is>
          <t>物流仓库灵活性</t>
        </is>
      </c>
      <c r="D1471" s="94" t="inlineStr">
        <is>
          <t>Wùliú Cāngkù Línghuó Xìng) - Flexibility in Logistics Warehousing - Linh hoạt trong Kho vận Logistics</t>
        </is>
      </c>
      <c r="E1471" s="94" t="inlineStr">
        <is>
          <t>622. 物流仓库灵活性 (Wùliú Cāngkù Línghuó Xìng) - Flexibility in Logistics Warehousing - Linh hoạt trong Kho vận Logistics</t>
        </is>
      </c>
      <c r="F1471" s="115">
        <f>HYPERLINK("https://youglish.com/pronounce/物流仓库灵活性/chinese","🔍")</f>
        <v/>
      </c>
    </row>
    <row r="1472" ht="42.75" customHeight="1" s="99">
      <c r="A1472" s="92" t="inlineStr">
        <is>
          <t>PDF_Tiếng trung Full BỘ BCT.pdf</t>
        </is>
      </c>
      <c r="B1472" s="93" t="inlineStr">
        <is>
          <t>623</t>
        </is>
      </c>
      <c r="C1472" s="92" t="inlineStr">
        <is>
          <t>生产线成本效益分析</t>
        </is>
      </c>
      <c r="D1472" s="92" t="inlineStr">
        <is>
          <t>Shēngchǎn Xiàn Chéngběn Xiàoyì Fēnxi) - Analysis of Cost-effectiveness in Production Lines - Phân tích Hiệu quả Chi phí trong Dây chuyền Sản xuất</t>
        </is>
      </c>
      <c r="E1472" s="92" t="inlineStr">
        <is>
          <t>623. 生产线成本效益分析 (Shēngchǎn Xiàn Chéngběn Xiàoyì Fēnxi) - Analysis of Cost-effectiveness in Production Lines - Phân tích Hiệu quả Chi phí trong Dây chuyền Sản xuất</t>
        </is>
      </c>
      <c r="F1472" s="114">
        <f>HYPERLINK("https://youglish.com/pronounce/生产线成本效益分析/chinese","🔍")</f>
        <v/>
      </c>
    </row>
    <row r="1473" ht="42.75" customHeight="1" s="99">
      <c r="A1473" s="94" t="inlineStr">
        <is>
          <t>PDF_Tiếng trung Full BỘ BCT.pdf</t>
        </is>
      </c>
      <c r="B1473" s="95" t="inlineStr">
        <is>
          <t>624</t>
        </is>
      </c>
      <c r="C1473" s="94" t="inlineStr">
        <is>
          <t>供应链创新技术应用</t>
        </is>
      </c>
      <c r="D1473" s="94" t="inlineStr">
        <is>
          <t>Gōngyìngliàn Chuàngxīn Jìshù Yìngyòng) - Application of Innovative Technologies in the Supply Chain - Ứng dụng Công nghệ Đổi mới trong Chuỗi cung ứng</t>
        </is>
      </c>
      <c r="E1473" s="94" t="inlineStr">
        <is>
          <t>624. 供应链创新技术应用 (Gōngyìngliàn Chuàngxīn Jìshù Yìngyòng) - Application of Innovative Technologies in the Supply Chain - Ứng dụng Công nghệ Đổi mới trong Chuỗi cung ứng</t>
        </is>
      </c>
      <c r="F1473" s="115">
        <f>HYPERLINK("https://youglish.com/pronounce/供应链创新技术应用/chinese","🔍")</f>
        <v/>
      </c>
    </row>
    <row r="1474" ht="42.75" customHeight="1" s="99">
      <c r="A1474" s="92" t="inlineStr">
        <is>
          <t>PDF_Tiếng trung Full BỘ BCT.pdf</t>
        </is>
      </c>
      <c r="B1474" s="93" t="inlineStr">
        <is>
          <t>625</t>
        </is>
      </c>
      <c r="C1474" s="92" t="inlineStr">
        <is>
          <t>物料供应链可追溯性标签</t>
        </is>
      </c>
      <c r="D1474" s="92" t="inlineStr">
        <is>
          <t>Wùliào Gōngyìngliàn Kě Zhuīsù Xìng Biāoqiān) - Traceability Labels in Material Supply Chains - Nhãn Theo dõi trong Chuỗi cung ứng Vật liệu</t>
        </is>
      </c>
      <c r="E1474" s="92" t="inlineStr">
        <is>
          <t>625. 物料供应链可追溯性标签 (Wùliào Gōngyìngliàn Kě Zhuīsù Xìng Biāoqiān) - Traceability Labels in Material Supply Chains - Nhãn Theo dõi trong Chuỗi cung ứng Vật liệu</t>
        </is>
      </c>
      <c r="F1474" s="114">
        <f>HYPERLINK("https://youglish.com/pronounce/物料供应链可追溯性标签/chinese","🔍")</f>
        <v/>
      </c>
    </row>
    <row r="1475" ht="28.5" customHeight="1" s="99">
      <c r="A1475" s="94" t="inlineStr">
        <is>
          <t>PDF_Tiếng trung Full BỘ BCT.pdf</t>
        </is>
      </c>
      <c r="B1475" s="95" t="inlineStr">
        <is>
          <t>626</t>
        </is>
      </c>
      <c r="C1475" s="94" t="inlineStr">
        <is>
          <t>供应商质量控制</t>
        </is>
      </c>
      <c r="D1475" s="94" t="inlineStr">
        <is>
          <t>Gōngyìngshāng Zhìliàng Kòngzhì) - Quality Control for Vendors - Kiểm soát Chất lượng cho Nhà cung cấp</t>
        </is>
      </c>
      <c r="E1475" s="94" t="inlineStr">
        <is>
          <t>626. 供应商质量控制 (Gōngyìngshāng Zhìliàng Kòngzhì) - Quality Control for Vendors - Kiểm soát Chất lượng cho Nhà cung cấp</t>
        </is>
      </c>
      <c r="F1475" s="115">
        <f>HYPERLINK("https://youglish.com/pronounce/供应商质量控制/chinese","🔍")</f>
        <v/>
      </c>
    </row>
    <row r="1476" ht="42.75" customHeight="1" s="99">
      <c r="A1476" s="92" t="inlineStr">
        <is>
          <t>PDF_Tiếng trung Full BỘ BCT.pdf</t>
        </is>
      </c>
      <c r="B1476" s="93" t="inlineStr">
        <is>
          <t>627</t>
        </is>
      </c>
      <c r="C1476" s="92" t="inlineStr">
        <is>
          <t>生产线灾难恢复计划</t>
        </is>
      </c>
      <c r="D1476" s="92" t="inlineStr">
        <is>
          <t>Shēngchǎn Xiàn Zāinàn Huīfù Jìhuà) - Disaster Recovery Plans in Production Lines - Kế hoạch Phục hồi sau Thảm họa trong Dây chuyền Sản xuất</t>
        </is>
      </c>
      <c r="E1476" s="92" t="inlineStr">
        <is>
          <t>627. 生产线灾难恢复计划 (Shēngchǎn Xiàn Zāinàn Huīfù Jìhuà) - Disaster Recovery Plans in Production Lines - Kế hoạch Phục hồi sau Thảm họa trong Dây chuyền Sản xuất</t>
        </is>
      </c>
      <c r="F1476" s="114">
        <f>HYPERLINK("https://youglish.com/pronounce/生产线灾难恢复计划/chinese","🔍")</f>
        <v/>
      </c>
    </row>
    <row r="1477" ht="28.5" customHeight="1" s="99">
      <c r="A1477" s="94" t="inlineStr">
        <is>
          <t>PDF_Tiếng trung Full BỘ BCT.pdf</t>
        </is>
      </c>
      <c r="B1477" s="95" t="inlineStr">
        <is>
          <t>628</t>
        </is>
      </c>
      <c r="C1477" s="94" t="inlineStr">
        <is>
          <t>需求计划协同工具</t>
        </is>
      </c>
      <c r="D1477" s="94" t="inlineStr">
        <is>
          <t>Xūqiú Jìhuà Xiétiáo Gōngjù) - Collaborative Tools in Demand Planning - Công cụ Hợp tác trong Kế hoạch Nhu cầu</t>
        </is>
      </c>
      <c r="E1477" s="94" t="inlineStr">
        <is>
          <t>628. 需求计划协同工具 (Xūqiú Jìhuà Xiétiáo Gōngjù) - Collaborative Tools in Demand Planning - Công cụ Hợp tác trong Kế hoạch Nhu cầu</t>
        </is>
      </c>
      <c r="F1477" s="115">
        <f>HYPERLINK("https://youglish.com/pronounce/需求计划协同工具/chinese","🔍")</f>
        <v/>
      </c>
    </row>
    <row r="1478" ht="42.75" customHeight="1" s="99">
      <c r="A1478" s="92" t="inlineStr">
        <is>
          <t>PDF_Tiếng trung Full BỘ BCT.pdf</t>
        </is>
      </c>
      <c r="B1478" s="93" t="inlineStr">
        <is>
          <t>629</t>
        </is>
      </c>
      <c r="C1478" s="92" t="inlineStr">
        <is>
          <t>供应链风险应对策略</t>
        </is>
      </c>
      <c r="D1478" s="92" t="inlineStr">
        <is>
          <t>Gōngyìngliàn Fēngxiǎn Yìngduì Cèlüè) - Strategies for Dealing with Risks in the Supply Chain - Chiến lược Đối phó với Rủi ro trong Chuỗi cung ứng</t>
        </is>
      </c>
      <c r="E1478" s="92" t="inlineStr">
        <is>
          <t>629. 供应链风险应对策略 (Gōngyìngliàn Fēngxiǎn Yìngduì Cèlüè) - Strategies for Dealing with Risks in the Supply Chain - Chiến lược Đối phó với Rủi ro trong Chuỗi cung ứng</t>
        </is>
      </c>
      <c r="F1478" s="114">
        <f>HYPERLINK("https://youglish.com/pronounce/供应链风险应对策略/chinese","🔍")</f>
        <v/>
      </c>
    </row>
    <row r="1479" ht="42.75" customHeight="1" s="99">
      <c r="A1479" s="94" t="inlineStr">
        <is>
          <t>PDF_Tiếng trung Full BỘ BCT.pdf</t>
        </is>
      </c>
      <c r="B1479" s="95" t="inlineStr">
        <is>
          <t>630</t>
        </is>
      </c>
      <c r="C1479" s="94" t="inlineStr">
        <is>
          <t>物流运输路径规划</t>
        </is>
      </c>
      <c r="D1479" s="94" t="inlineStr">
        <is>
          <t>Wùliú Yùnshū Lùjìng Guīhuà) - Route Planning in Transportation for Logistics - Lập kế hoạch Tuyến đường trong Vận chuyển Logistics</t>
        </is>
      </c>
      <c r="E1479" s="94" t="inlineStr">
        <is>
          <t>630. 物流运输路径规划 (Wùliú Yùnshū Lùjìng Guīhuà) - Route Planning in Transportation for Logistics - Lập kế hoạch Tuyến đường trong Vận chuyển Logistics</t>
        </is>
      </c>
      <c r="F1479" s="115">
        <f>HYPERLINK("https://youglish.com/pronounce/物流运输路径规划/chinese","🔍")</f>
        <v/>
      </c>
    </row>
    <row r="1480" ht="42.75" customHeight="1" s="99">
      <c r="A1480" s="92" t="inlineStr">
        <is>
          <t>PDF_Tiếng trung Full BỘ BCT.pdf</t>
        </is>
      </c>
      <c r="B1480" s="93" t="inlineStr">
        <is>
          <t>631</t>
        </is>
      </c>
      <c r="C1480" s="92" t="inlineStr">
        <is>
          <t>生产线工序优化</t>
        </is>
      </c>
      <c r="D1480" s="92" t="inlineStr">
        <is>
          <t>Shēngchǎn Xiàn Gōngxù Yōuhuà) - Optimization of Processes in Production Lines - Tối ưu hóa Quy trình trong Dây chuyền Sản xuất</t>
        </is>
      </c>
      <c r="E1480" s="92" t="inlineStr">
        <is>
          <t>631. 生产线工序优化 (Shēngchǎn Xiàn Gōngxù Yōuhuà) - Optimization of Processes in Production Lines - Tối ưu hóa Quy trình trong Dây chuyền Sản xuất</t>
        </is>
      </c>
      <c r="F1480" s="114">
        <f>HYPERLINK("https://youglish.com/pronounce/生产线工序优化/chinese","🔍")</f>
        <v/>
      </c>
    </row>
    <row r="1481" ht="42.75" customHeight="1" s="99">
      <c r="A1481" s="94" t="inlineStr">
        <is>
          <t>PDF_Tiếng trung Full BỘ BCT.pdf</t>
        </is>
      </c>
      <c r="B1481" s="95" t="inlineStr">
        <is>
          <t>632</t>
        </is>
      </c>
      <c r="C1481" s="94" t="inlineStr">
        <is>
          <t>货物追溯防伪技术</t>
        </is>
      </c>
      <c r="D1481" s="94" t="inlineStr">
        <is>
          <t>Huòwù Zhuīsù Fángwěi Jìshù) - Anti-counterfeiting Technologies in Cargo Traceability - Công nghệ Chống giả mạo trong Theo dõi Hàng hóa</t>
        </is>
      </c>
      <c r="E1481" s="94" t="inlineStr">
        <is>
          <t>632. 货物追溯防伪技术 (Huòwù Zhuīsù Fángwěi Jìshù) - Anti-counterfeiting Technologies in Cargo Traceability - Công nghệ Chống giả mạo trong Theo dõi Hàng hóa</t>
        </is>
      </c>
      <c r="F1481" s="115">
        <f>HYPERLINK("https://youglish.com/pronounce/货物追溯防伪技术/chinese","🔍")</f>
        <v/>
      </c>
    </row>
    <row r="1482" ht="28.5" customHeight="1" s="99">
      <c r="A1482" s="92" t="inlineStr">
        <is>
          <t>PDF_Tiếng trung Full BỘ BCT.pdf</t>
        </is>
      </c>
      <c r="B1482" s="93" t="inlineStr">
        <is>
          <t>633</t>
        </is>
      </c>
      <c r="C1482" s="92" t="inlineStr">
        <is>
          <t>供应商采购计划</t>
        </is>
      </c>
      <c r="D1482" s="92" t="inlineStr">
        <is>
          <t>Gōngyìngshāng Cǎigòu Jìhuà) - Procurement Plans for Vendors - Kế hoạch Mua hàng cho Nhà cung cấp</t>
        </is>
      </c>
      <c r="E1482" s="92" t="inlineStr">
        <is>
          <t>633. 供应商采购计划 (Gōngyìngshāng Cǎigòu Jìhuà) - Procurement Plans for Vendors - Kế hoạch Mua hàng cho Nhà cung cấp</t>
        </is>
      </c>
      <c r="F1482" s="114">
        <f>HYPERLINK("https://youglish.com/pronounce/供应商采购计划/chinese","🔍")</f>
        <v/>
      </c>
    </row>
    <row r="1483" ht="42.75" customHeight="1" s="99">
      <c r="A1483" s="94" t="inlineStr">
        <is>
          <t>PDF_Tiếng trung Full BỘ BCT.pdf</t>
        </is>
      </c>
      <c r="B1483" s="95" t="inlineStr">
        <is>
          <t>634</t>
        </is>
      </c>
      <c r="C1483" s="94" t="inlineStr">
        <is>
          <t>物流仓储容量规划</t>
        </is>
      </c>
      <c r="D1483" s="94" t="inlineStr">
        <is>
          <t>Wùliú Cāngchǔ Róngliàng Guīhuà) - Capacity Planning in Logistics Warehousing - Lập kế hoạch Dung lượng trong Kho vận Logistics</t>
        </is>
      </c>
      <c r="E1483" s="94" t="inlineStr">
        <is>
          <t>634. 物流仓储容量规划 (Wùliú Cāngchǔ Róngliàng Guīhuà) - Capacity Planning in Logistics Warehousing - Lập kế hoạch Dung lượng trong Kho vận Logistics</t>
        </is>
      </c>
      <c r="F1483" s="115">
        <f>HYPERLINK("https://youglish.com/pronounce/物流仓储容量规划/chinese","🔍")</f>
        <v/>
      </c>
    </row>
    <row r="1484" ht="42.75" customHeight="1" s="99">
      <c r="A1484" s="92" t="inlineStr">
        <is>
          <t>PDF_Tiếng trung Full BỘ BCT.pdf</t>
        </is>
      </c>
      <c r="B1484" s="93" t="inlineStr">
        <is>
          <t>635</t>
        </is>
      </c>
      <c r="C1484" s="92" t="inlineStr">
        <is>
          <t>生产线数字化生产</t>
        </is>
      </c>
      <c r="D1484" s="92" t="inlineStr">
        <is>
          <t>Shēngchǎn Xiàn Shùzìhuà Shēngchǎn) - Digital Production in Production Lines - Sản xuất Số hóa trong Dây chuyền Sản xuất</t>
        </is>
      </c>
      <c r="E1484" s="92" t="inlineStr">
        <is>
          <t>635. 生产线数字化生产 (Shēngchǎn Xiàn Shùzìhuà Shēngchǎn) - Digital Production in Production Lines - Sản xuất Số hóa trong Dây chuyền Sản xuất</t>
        </is>
      </c>
      <c r="F1484" s="114">
        <f>HYPERLINK("https://youglish.com/pronounce/生产线数字化生产/chinese","🔍")</f>
        <v/>
      </c>
    </row>
    <row r="1485" ht="42.75" customHeight="1" s="99">
      <c r="A1485" s="94" t="inlineStr">
        <is>
          <t>PDF_Tiếng trung Full BỘ BCT.pdf</t>
        </is>
      </c>
      <c r="B1485" s="95" t="inlineStr">
        <is>
          <t>636</t>
        </is>
      </c>
      <c r="C1485" s="94" t="inlineStr">
        <is>
          <t>需求计划执行效果评估</t>
        </is>
      </c>
      <c r="D1485" s="94" t="inlineStr">
        <is>
          <t>Xūqiú Jìhuà Zhíxíng Xiàoguǒ Pínggū) - Evaluation of the Effectiveness in Demand Planning Execution - Đánh giá Hiệu suất trong Quy trình Thực hiện Kế hoạch Nhu cầu</t>
        </is>
      </c>
      <c r="E1485" s="94" t="inlineStr">
        <is>
          <t>636. 需求计划执行效果评估 (Xūqiú Jìhuà Zhíxíng Xiàoguǒ Pínggū) - Evaluation of the Effectiveness in Demand Planning Execution - Đánh giá Hiệu suất trong Quy trình Thực hiện Kế hoạch Nhu cầu</t>
        </is>
      </c>
      <c r="F1485" s="115">
        <f>HYPERLINK("https://youglish.com/pronounce/需求计划执行效果评估/chinese","🔍")</f>
        <v/>
      </c>
    </row>
    <row r="1486" ht="42.75" customHeight="1" s="99">
      <c r="A1486" s="92" t="inlineStr">
        <is>
          <t>PDF_Tiếng trung Full BỘ BCT.pdf</t>
        </is>
      </c>
      <c r="B1486" s="93" t="inlineStr">
        <is>
          <t>637</t>
        </is>
      </c>
      <c r="C1486" s="92" t="inlineStr">
        <is>
          <t>供应链数据隐私保护</t>
        </is>
      </c>
      <c r="D1486" s="92" t="inlineStr">
        <is>
          <t>Gōngyìngliàn Shùjù Yǐnsī Bǎohù) - Data Privacy Protection in the Supply Chain - Bảo vệ Quyền riêng tư Dữ liệu trong Chuỗi cung ứng</t>
        </is>
      </c>
      <c r="E1486" s="92" t="inlineStr">
        <is>
          <t>637. 供应链数据隐私保护 (Gōngyìngliàn Shùjù Yǐnsī Bǎohù) - Data Privacy Protection in the Supply Chain - Bảo vệ Quyền riêng tư Dữ liệu trong Chuỗi cung ứng</t>
        </is>
      </c>
      <c r="F1486" s="114">
        <f>HYPERLINK("https://youglish.com/pronounce/供应链数据隐私保护/chinese","🔍")</f>
        <v/>
      </c>
    </row>
    <row r="1487" ht="42.75" customHeight="1" s="99">
      <c r="A1487" s="94" t="inlineStr">
        <is>
          <t>PDF_Tiếng trung Full BỘ BCT.pdf</t>
        </is>
      </c>
      <c r="B1487" s="95" t="inlineStr">
        <is>
          <t>638</t>
        </is>
      </c>
      <c r="C1487" s="94" t="inlineStr">
        <is>
          <t>生产线资源供应计划</t>
        </is>
      </c>
      <c r="D1487" s="94" t="inlineStr">
        <is>
          <t>Shēngchǎn Xiàn Zīyuán Gōngyìng Jìhuà) - Resource Supply Planning in Production Lines - Kế hoạch Cung ứng Tài nguyên trong Dây chuyền Sản xuất</t>
        </is>
      </c>
      <c r="E1487" s="94" t="inlineStr">
        <is>
          <t>638. 生产线资源供应计划 (Shēngchǎn Xiàn Zīyuán Gōngyìng Jìhuà) - Resource Supply Planning in Production Lines - Kế hoạch Cung ứng Tài nguyên trong Dây chuyền Sản xuất</t>
        </is>
      </c>
      <c r="F1487" s="115">
        <f>HYPERLINK("https://youglish.com/pronounce/生产线资源供应计划/chinese","🔍")</f>
        <v/>
      </c>
    </row>
    <row r="1488" ht="28.5" customHeight="1" s="99">
      <c r="A1488" s="92" t="inlineStr">
        <is>
          <t>PDF_Tiếng trung Full BỘ BCT.pdf</t>
        </is>
      </c>
      <c r="B1488" s="93" t="inlineStr">
        <is>
          <t>639</t>
        </is>
      </c>
      <c r="C1488" s="92" t="inlineStr">
        <is>
          <t>货物追溯绿色标准</t>
        </is>
      </c>
      <c r="D1488" s="92" t="inlineStr">
        <is>
          <t>Huòwù Zhuīsù Lǜsè Biāozhǔn) - Green Standards for Cargo Traceability - Tiêu chuẩn Xanh cho Theo dõi Hàng hóa</t>
        </is>
      </c>
      <c r="E1488" s="92" t="inlineStr">
        <is>
          <t>639. 货物追溯绿色标准 (Huòwù Zhuīsù Lǜsè Biāozhǔn) - Green Standards for Cargo Traceability - Tiêu chuẩn Xanh cho Theo dõi Hàng hóa</t>
        </is>
      </c>
      <c r="F1488" s="114">
        <f>HYPERLINK("https://youglish.com/pronounce/货物追溯绿色标准/chinese","🔍")</f>
        <v/>
      </c>
    </row>
    <row r="1489" ht="28.5" customHeight="1" s="99">
      <c r="A1489" s="94" t="inlineStr">
        <is>
          <t>PDF_Tiếng trung Full BỘ BCT.pdf</t>
        </is>
      </c>
      <c r="B1489" s="95" t="inlineStr">
        <is>
          <t>640</t>
        </is>
      </c>
      <c r="C1489" s="94" t="inlineStr">
        <is>
          <t>供应商创新合作</t>
        </is>
      </c>
      <c r="D1489" s="94" t="inlineStr">
        <is>
          <t>Gōngyìngshāng Chuàngxīn Hézuò) - Innovative Collaboration with Vendors - Hợp tác Đổi mới với Nhà cung cấp</t>
        </is>
      </c>
      <c r="E1489" s="94" t="inlineStr">
        <is>
          <t>640. 供应商创新合作 (Gōngyìngshāng Chuàngxīn Hézuò) - Innovative Collaboration with Vendors - Hợp tác Đổi mới với Nhà cung cấp</t>
        </is>
      </c>
      <c r="F1489" s="115">
        <f>HYPERLINK("https://youglish.com/pronounce/供应商创新合作/chinese","🔍")</f>
        <v/>
      </c>
    </row>
    <row r="1490" ht="28.5" customHeight="1" s="99">
      <c r="A1490" s="92" t="inlineStr">
        <is>
          <t>PDF_Tiếng trung Full BỘ BCT.pdf</t>
        </is>
      </c>
      <c r="B1490" s="93" t="inlineStr">
        <is>
          <t>641</t>
        </is>
      </c>
      <c r="C1490" s="92" t="inlineStr">
        <is>
          <t>物流仓库货架优化</t>
        </is>
      </c>
      <c r="D1490" s="92" t="inlineStr">
        <is>
          <t>Wùliú Cāngkù Huòjià Yōuhuà) - Optimization of Shelves in Logistics Warehousing - Tối ưu hóa Kệ trong Kho vận Logistics</t>
        </is>
      </c>
      <c r="E1490" s="92" t="inlineStr">
        <is>
          <t>641. 物流仓库货架优化 (Wùliú Cāngkù Huòjià Yōuhuà) - Optimization of Shelves in Logistics Warehousing - Tối ưu hóa Kệ trong Kho vận Logistics</t>
        </is>
      </c>
      <c r="F1490" s="114">
        <f>HYPERLINK("https://youglish.com/pronounce/物流仓库货架优化/chinese","🔍")</f>
        <v/>
      </c>
    </row>
    <row r="1491" ht="42.75" customHeight="1" s="99">
      <c r="A1491" s="94" t="inlineStr">
        <is>
          <t>PDF_Tiếng trung Full BỘ BCT.pdf</t>
        </is>
      </c>
      <c r="B1491" s="95" t="inlineStr">
        <is>
          <t>642</t>
        </is>
      </c>
      <c r="C1491" s="94" t="inlineStr">
        <is>
          <t>生产线质量改进计划</t>
        </is>
      </c>
      <c r="D1491" s="94" t="inlineStr">
        <is>
          <t>Shēngchǎn Xiàn Zhìliàng Gǎishàn Jìhuà) - Quality Improvement Plans in Production Lines - Kế hoạch Cải thiện Chất lượng trong Dây chuyền Sản xuất</t>
        </is>
      </c>
      <c r="E1491" s="94" t="inlineStr">
        <is>
          <t>642. 生产线质量改进计划 (Shēngchǎn Xiàn Zhìliàng Gǎishàn Jìhuà) - Quality Improvement Plans in Production Lines - Kế hoạch Cải thiện Chất lượng trong Dây chuyền Sản xuất</t>
        </is>
      </c>
      <c r="F1491" s="115">
        <f>HYPERLINK("https://youglish.com/pronounce/生产线质量改进计划/chinese","🔍")</f>
        <v/>
      </c>
    </row>
    <row r="1492" ht="28.5" customHeight="1" s="99">
      <c r="A1492" s="92" t="inlineStr">
        <is>
          <t>PDF_Tiếng trung Full BỘ BCT.pdf</t>
        </is>
      </c>
      <c r="B1492" s="93" t="inlineStr">
        <is>
          <t>643</t>
        </is>
      </c>
      <c r="C1492" s="92" t="inlineStr">
        <is>
          <t>需求计划培训课程</t>
        </is>
      </c>
      <c r="D1492" s="92" t="inlineStr">
        <is>
          <t>Xūqiú Jìhuà Péixùn Kèchéng) - Training Courses in Demand Planning - Khóa học Đào tạo về Kế hoạch Nhu cầu</t>
        </is>
      </c>
      <c r="E1492" s="92" t="inlineStr">
        <is>
          <t>643. 需求计划培训课程 (Xūqiú Jìhuà Péixùn Kèchéng) - Training Courses in Demand Planning - Khóa học Đào tạo về Kế hoạch Nhu cầu</t>
        </is>
      </c>
      <c r="F1492" s="114">
        <f>HYPERLINK("https://youglish.com/pronounce/需求计划培训课程/chinese","🔍")</f>
        <v/>
      </c>
    </row>
    <row r="1493" ht="28.5" customHeight="1" s="99">
      <c r="A1493" s="94" t="inlineStr">
        <is>
          <t>PDF_Tiếng trung Full BỘ BCT.pdf</t>
        </is>
      </c>
      <c r="B1493" s="95" t="inlineStr">
        <is>
          <t>644</t>
        </is>
      </c>
      <c r="C1493" s="94" t="inlineStr">
        <is>
          <t>供应链数字化监测</t>
        </is>
      </c>
      <c r="D1493" s="94" t="inlineStr">
        <is>
          <t>Gōngyìngliàn Shùzìhuà Jiāncè) - Digital Monitoring in the Supply Chain - Giám sát Số hóa trong Chuỗi cung ứng</t>
        </is>
      </c>
      <c r="E1493" s="94" t="inlineStr">
        <is>
          <t>644. 供应链数字化监测 (Gōngyìngliàn Shùzìhuà Jiāncè) - Digital Monitoring in the Supply Chain - Giám sát Số hóa trong Chuỗi cung ứng</t>
        </is>
      </c>
      <c r="F1493" s="115">
        <f>HYPERLINK("https://youglish.com/pronounce/供应链数字化监测/chinese","🔍")</f>
        <v/>
      </c>
    </row>
    <row r="1494" ht="42.75" customHeight="1" s="99">
      <c r="A1494" s="92" t="inlineStr">
        <is>
          <t>PDF_Tiếng trung Full BỘ BCT.pdf</t>
        </is>
      </c>
      <c r="B1494" s="93" t="inlineStr">
        <is>
          <t>645</t>
        </is>
      </c>
      <c r="C1494" s="92" t="inlineStr">
        <is>
          <t>物料供应链风险评估</t>
        </is>
      </c>
      <c r="D1494" s="92" t="inlineStr">
        <is>
          <t>Wùliào Gōngyìngliàn Fēngxiǎn Pínggū) - Risk Assessment in Material Supply Chains - Đánh giá Rủi ro trong Chuỗi cung ứng Vật liệu</t>
        </is>
      </c>
      <c r="E1494" s="92" t="inlineStr">
        <is>
          <t>645. 物料供应链风险评估 (Wùliào Gōngyìngliàn Fēngxiǎn Pínggū) - Risk Assessment in Material Supply Chains - Đánh giá Rủi ro trong Chuỗi cung ứng Vật liệu</t>
        </is>
      </c>
      <c r="F1494" s="114">
        <f>HYPERLINK("https://youglish.com/pronounce/物料供应链风险评估/chinese","🔍")</f>
        <v/>
      </c>
    </row>
    <row r="1495" ht="28.5" customHeight="1" s="99">
      <c r="A1495" s="94" t="inlineStr">
        <is>
          <t>PDF_Tiếng trung Full BỘ BCT.pdf</t>
        </is>
      </c>
      <c r="B1495" s="95" t="inlineStr">
        <is>
          <t>646</t>
        </is>
      </c>
      <c r="C1495" s="94" t="inlineStr">
        <is>
          <t>供应商交付性能</t>
        </is>
      </c>
      <c r="D1495" s="94" t="inlineStr">
        <is>
          <t>Gōngyìngshāng Jiāofù Xìngnéng) - Delivery Performance for Vendors - Hiệu suất Giao hàng cho Nhà cung cấp</t>
        </is>
      </c>
      <c r="E1495" s="94" t="inlineStr">
        <is>
          <t>646. 供应商交付性能 (Gōngyìngshāng Jiāofù Xìngnéng) - Delivery Performance for Vendors - Hiệu suất Giao hàng cho Nhà cung cấp</t>
        </is>
      </c>
      <c r="F1495" s="115">
        <f>HYPERLINK("https://youglish.com/pronounce/供应商交付性能/chinese","🔍")</f>
        <v/>
      </c>
    </row>
    <row r="1496" ht="42.75" customHeight="1" s="99">
      <c r="A1496" s="92" t="inlineStr">
        <is>
          <t>PDF_Tiếng trung Full BỘ BCT.pdf</t>
        </is>
      </c>
      <c r="B1496" s="93" t="inlineStr">
        <is>
          <t>647</t>
        </is>
      </c>
      <c r="C1496" s="92" t="inlineStr">
        <is>
          <t>生产线人工智能应用</t>
        </is>
      </c>
      <c r="D1496" s="92" t="inlineStr">
        <is>
          <t>Shēngchǎn Xiàn Réngōng Zhìnéng Yìngyòng) - Application of Artificial Intelligence in Production Lines - Ứng dụng Trí tuệ Nhân tạo trong Dây chuyền Sản xuất</t>
        </is>
      </c>
      <c r="E1496" s="92" t="inlineStr">
        <is>
          <t>647. 生产线人工智能应用 (Shēngchǎn Xiàn Réngōng Zhìnéng Yìngyòng) - Application of Artificial Intelligence in Production Lines - Ứng dụng Trí tuệ Nhân tạo trong Dây chuyền Sản xuất</t>
        </is>
      </c>
      <c r="F1496" s="114">
        <f>HYPERLINK("https://youglish.com/pronounce/生产线人工智能应用/chinese","🔍")</f>
        <v/>
      </c>
    </row>
    <row r="1497" ht="42.75" customHeight="1" s="99">
      <c r="A1497" s="94" t="inlineStr">
        <is>
          <t>PDF_Tiếng trung Full BỘ BCT.pdf</t>
        </is>
      </c>
      <c r="B1497" s="95" t="inlineStr">
        <is>
          <t>648</t>
        </is>
      </c>
      <c r="C1497" s="94" t="inlineStr">
        <is>
          <t>需求计划执行风险管理</t>
        </is>
      </c>
      <c r="D1497" s="94" t="inlineStr">
        <is>
          <t>Xūqiú Jìhuà Zhíxíng Fēngxiǎn Guǎnlǐ) - Risk Management in Demand Planning Execution - Quản lý Rủi ro trong Quy trình Thực hiện Kế hoạch Nhu cầu</t>
        </is>
      </c>
      <c r="E1497" s="94" t="inlineStr">
        <is>
          <t>648. 需求计划执行风险管理 (Xūqiú Jìhuà Zhíxíng Fēngxiǎn Guǎnlǐ) - Risk Management in Demand Planning Execution - Quản lý Rủi ro trong Quy trình Thực hiện Kế hoạch Nhu cầu</t>
        </is>
      </c>
      <c r="F1497" s="115">
        <f>HYPERLINK("https://youglish.com/pronounce/需求计划执行风险管理/chinese","🔍")</f>
        <v/>
      </c>
    </row>
    <row r="1498" ht="42.75" customHeight="1" s="99">
      <c r="A1498" s="92" t="inlineStr">
        <is>
          <t>PDF_Tiếng trung Full BỘ BCT.pdf</t>
        </is>
      </c>
      <c r="B1498" s="93" t="inlineStr">
        <is>
          <t>649</t>
        </is>
      </c>
      <c r="C1498" s="92" t="inlineStr">
        <is>
          <t>供应链伙伴关系建设</t>
        </is>
      </c>
      <c r="D1498" s="92" t="inlineStr">
        <is>
          <t>Gōngyìngliàn Huǒbàn Guānxì Jiànshè) - Building Partnerships in the Supply Chain - Xây dựng Quan hệ Đối tác trong Chuỗi cung ứng</t>
        </is>
      </c>
      <c r="E1498" s="92" t="inlineStr">
        <is>
          <t>649. 供应链伙伴关系建设 (Gōngyìngliàn Huǒbàn Guānxì Jiànshè) - Building Partnerships in the Supply Chain - Xây dựng Quan hệ Đối tác trong Chuỗi cung ứng</t>
        </is>
      </c>
      <c r="F1498" s="114">
        <f>HYPERLINK("https://youglish.com/pronounce/供应链伙伴关系建设/chinese","🔍")</f>
        <v/>
      </c>
    </row>
    <row r="1499" ht="42.75" customHeight="1" s="99">
      <c r="A1499" s="94" t="inlineStr">
        <is>
          <t>PDF_Tiếng trung Full BỘ BCT.pdf</t>
        </is>
      </c>
      <c r="B1499" s="95" t="inlineStr">
        <is>
          <t>650</t>
        </is>
      </c>
      <c r="C1499" s="94" t="inlineStr">
        <is>
          <t>物流仓库安全标准</t>
        </is>
      </c>
      <c r="D1499" s="94" t="inlineStr">
        <is>
          <t>Wùliú Cāngkù Ānquán Biāozhǔn) - Safety Standards in Logistics Warehousing - Tiêu chuẩn An toàn trong Kho vận Logistics</t>
        </is>
      </c>
      <c r="E1499" s="94" t="inlineStr">
        <is>
          <t>650. 物流仓库安全标准 (Wùliú Cāngkù Ānquán Biāozhǔn) - Safety Standards in Logistics Warehousing - Tiêu chuẩn An toàn trong Kho vận Logistics</t>
        </is>
      </c>
      <c r="F1499" s="115">
        <f>HYPERLINK("https://youglish.com/pronounce/物流仓库安全标准/chinese","🔍")</f>
        <v/>
      </c>
    </row>
    <row r="1500" ht="42.75" customHeight="1" s="99">
      <c r="A1500" s="92" t="inlineStr">
        <is>
          <t>PDF_Tiếng trung Full BỘ BCT.pdf</t>
        </is>
      </c>
      <c r="B1500" s="93" t="inlineStr">
        <is>
          <t>651</t>
        </is>
      </c>
      <c r="C1500" s="92" t="inlineStr">
        <is>
          <t>生产线灵活生产模式</t>
        </is>
      </c>
      <c r="D1500" s="92" t="inlineStr">
        <is>
          <t>Shēngchǎn Xiàn Línghuó Shēngchǎn Móshì) - Flexible Production Models in Production Lines - Mô hình Sản xuất Linh hoạt trong Dây chuyền Sản xuất</t>
        </is>
      </c>
      <c r="E1500" s="92" t="inlineStr">
        <is>
          <t>651. 生产线灵活生产模式 (Shēngchǎn Xiàn Línghuó Shēngchǎn Móshì) - Flexible Production Models in Production Lines - Mô hình Sản xuất Linh hoạt trong Dây chuyền Sản xuất</t>
        </is>
      </c>
      <c r="F1500" s="114">
        <f>HYPERLINK("https://youglish.com/pronounce/生产线灵活生产模式/chinese","🔍")</f>
        <v/>
      </c>
    </row>
    <row r="1501" ht="28.5" customHeight="1" s="99">
      <c r="A1501" s="94" t="inlineStr">
        <is>
          <t>PDF_Tiếng trung Full BỘ BCT.pdf</t>
        </is>
      </c>
      <c r="B1501" s="95" t="inlineStr">
        <is>
          <t>652</t>
        </is>
      </c>
      <c r="C1501" s="94" t="inlineStr">
        <is>
          <t>货物追溯技术标签</t>
        </is>
      </c>
      <c r="D1501" s="94" t="inlineStr">
        <is>
          <t>Huòwù Zhuīsù Jìshù Biāoqiān) - Technological Labels for Cargo Traceability - Nhãn Công nghệ cho Theo dõi Hàng hóa</t>
        </is>
      </c>
      <c r="E1501" s="94" t="inlineStr">
        <is>
          <t>652. 货物追溯技术标签 (Huòwù Zhuīsù Jìshù Biāoqiān) - Technological Labels for Cargo Traceability - Nhãn Công nghệ cho Theo dõi Hàng hóa</t>
        </is>
      </c>
      <c r="F1501" s="115">
        <f>HYPERLINK("https://youglish.com/pronounce/货物追溯技术标签/chinese","🔍")</f>
        <v/>
      </c>
    </row>
    <row r="1502" ht="42.75" customHeight="1" s="99">
      <c r="A1502" s="92" t="inlineStr">
        <is>
          <t>PDF_Tiếng trung Full BỘ BCT.pdf</t>
        </is>
      </c>
      <c r="B1502" s="93" t="inlineStr">
        <is>
          <t>653</t>
        </is>
      </c>
      <c r="C1502" s="92" t="inlineStr">
        <is>
          <t>物流仓储流程优化</t>
        </is>
      </c>
      <c r="D1502" s="92" t="inlineStr">
        <is>
          <t>Wùliú Cāngchǔ Liúchéng Yōuhuà) - Process Optimization in Logistics Warehousing - Tối ưu hóa Quy trình trong Kho vận Logistics</t>
        </is>
      </c>
      <c r="E1502" s="92" t="inlineStr">
        <is>
          <t>653. 物流仓储流程优化 (Wùliú Cāngchǔ Liúchéng Yōuhuà) - Process Optimization in Logistics Warehousing - Tối ưu hóa Quy trình trong Kho vận Logistics</t>
        </is>
      </c>
      <c r="F1502" s="114">
        <f>HYPERLINK("https://youglish.com/pronounce/物流仓储流程优化/chinese","🔍")</f>
        <v/>
      </c>
    </row>
    <row r="1503" ht="42.75" customHeight="1" s="99">
      <c r="A1503" s="94" t="inlineStr">
        <is>
          <t>PDF_Tiếng trung Full BỘ BCT.pdf</t>
        </is>
      </c>
      <c r="B1503" s="95" t="inlineStr">
        <is>
          <t>654</t>
        </is>
      </c>
      <c r="C1503" s="94" t="inlineStr">
        <is>
          <t>生产线质量管理标准</t>
        </is>
      </c>
      <c r="D1503" s="94" t="inlineStr">
        <is>
          <t>Shēngchǎn Xiàn Zhìliàng Guǎnlǐ Biāozhǔn) - Quality Management Standards in Production Lines - Tiêu chuẩn Quản lý Chất lượng trong Dây chuyền Sản xuất</t>
        </is>
      </c>
      <c r="E1503" s="94" t="inlineStr">
        <is>
          <t>654. 生产线质量管理标准 (Shēngchǎn Xiàn Zhìliàng Guǎnlǐ Biāozhǔn) - Quality Management Standards in Production Lines - Tiêu chuẩn Quản lý Chất lượng trong Dây chuyền Sản xuất</t>
        </is>
      </c>
      <c r="F1503" s="115">
        <f>HYPERLINK("https://youglish.com/pronounce/生产线质量管理标准/chinese","🔍")</f>
        <v/>
      </c>
    </row>
    <row r="1504" ht="42.75" customHeight="1" s="99">
      <c r="A1504" s="92" t="inlineStr">
        <is>
          <t>PDF_Tiếng trung Full BỘ BCT.pdf</t>
        </is>
      </c>
      <c r="B1504" s="93" t="inlineStr">
        <is>
          <t>655</t>
        </is>
      </c>
      <c r="C1504" s="92" t="inlineStr">
        <is>
          <t>需求计划执行监测系统</t>
        </is>
      </c>
      <c r="D1504" s="92" t="inlineStr">
        <is>
          <t>Xūqiú Jìhuà Zhíxíng Jiāncè Xìtǒng) - Monitoring Systems for Demand Planning Execution - Hệ thống Giám sát cho Quy trình Thực hiện Kế hoạch Nhu cầu</t>
        </is>
      </c>
      <c r="E1504" s="92" t="inlineStr">
        <is>
          <t>655. 需求计划执行监测系统 (Xūqiú Jìhuà Zhíxíng Jiāncè Xìtǒng) - Monitoring Systems for Demand Planning Execution - Hệ thống Giám sát cho Quy trình Thực hiện Kế hoạch Nhu cầu</t>
        </is>
      </c>
      <c r="F1504" s="114">
        <f>HYPERLINK("https://youglish.com/pronounce/需求计划执行监测系统/chinese","🔍")</f>
        <v/>
      </c>
    </row>
    <row r="1505" ht="42.75" customHeight="1" s="99">
      <c r="A1505" s="94" t="inlineStr">
        <is>
          <t>PDF_Tiếng trung Full BỘ BCT.pdf</t>
        </is>
      </c>
      <c r="B1505" s="95" t="inlineStr">
        <is>
          <t>656</t>
        </is>
      </c>
      <c r="C1505" s="94" t="inlineStr">
        <is>
          <t>供应链风险溯源体系</t>
        </is>
      </c>
      <c r="D1505" s="94" t="inlineStr">
        <is>
          <t>Gōngyìngliàn Fēngxiǎn Sùyuán Tǐxì) - Risk Tracing System in the Supply Chain - Hệ thống Theo dõi Rủi ro trong Chuỗi cung ứng</t>
        </is>
      </c>
      <c r="E1505" s="94" t="inlineStr">
        <is>
          <t>656. 供应链风险溯源体系 (Gōngyìngliàn Fēngxiǎn Sùyuán Tǐxì) - Risk Tracing System in the Supply Chain - Hệ thống Theo dõi Rủi ro trong Chuỗi cung ứng</t>
        </is>
      </c>
      <c r="F1505" s="115">
        <f>HYPERLINK("https://youglish.com/pronounce/供应链风险溯源体系/chinese","🔍")</f>
        <v/>
      </c>
    </row>
    <row r="1506" ht="42.75" customHeight="1" s="99">
      <c r="A1506" s="92" t="inlineStr">
        <is>
          <t>PDF_Tiếng trung Full BỘ BCT.pdf</t>
        </is>
      </c>
      <c r="B1506" s="93" t="inlineStr">
        <is>
          <t>657</t>
        </is>
      </c>
      <c r="C1506" s="92" t="inlineStr">
        <is>
          <t>生产线自动化控制</t>
        </is>
      </c>
      <c r="D1506" s="92" t="inlineStr">
        <is>
          <t>Shēngchǎn Xiàn Zìdòng Huà Kòngzhì) - Automation Control in Production Lines - Kiểm soát Tự động hóa trong Dây chuyền Sản xuất</t>
        </is>
      </c>
      <c r="E1506" s="92" t="inlineStr">
        <is>
          <t>657. 生产线自动化控制 (Shēngchǎn Xiàn Zìdòng Huà Kòngzhì) - Automation Control in Production Lines - Kiểm soát Tự động hóa trong Dây chuyền Sản xuất</t>
        </is>
      </c>
      <c r="F1506" s="114">
        <f>HYPERLINK("https://youglish.com/pronounce/生产线自动化控制/chinese","🔍")</f>
        <v/>
      </c>
    </row>
    <row r="1507" ht="28.5" customHeight="1" s="99">
      <c r="A1507" s="94" t="inlineStr">
        <is>
          <t>PDF_Tiếng trung Full BỘ BCT.pdf</t>
        </is>
      </c>
      <c r="B1507" s="95" t="inlineStr">
        <is>
          <t>658</t>
        </is>
      </c>
      <c r="C1507" s="94" t="inlineStr">
        <is>
          <t>货物追溯数据分析</t>
        </is>
      </c>
      <c r="D1507" s="94" t="inlineStr">
        <is>
          <t>Huòwù Zhuīsù Shùjù Fēnxi) - Data Analysis in Cargo Traceability - Phân tích Dữ liệu trong Theo dõi Hàng hóa</t>
        </is>
      </c>
      <c r="E1507" s="94" t="inlineStr">
        <is>
          <t>658. 货物追溯数据分析 (Huòwù Zhuīsù Shùjù Fēnxi) - Data Analysis in Cargo Traceability - Phân tích Dữ liệu trong Theo dõi Hàng hóa</t>
        </is>
      </c>
      <c r="F1507" s="115">
        <f>HYPERLINK("https://youglish.com/pronounce/货物追溯数据分析/chinese","🔍")</f>
        <v/>
      </c>
    </row>
    <row r="1508" ht="42.75" customHeight="1" s="99">
      <c r="A1508" s="92" t="inlineStr">
        <is>
          <t>PDF_Tiếng trung Full BỘ BCT.pdf</t>
        </is>
      </c>
      <c r="B1508" s="93" t="inlineStr">
        <is>
          <t>659</t>
        </is>
      </c>
      <c r="C1508" s="92" t="inlineStr">
        <is>
          <t>供应商供应链可持续性评估</t>
        </is>
      </c>
      <c r="D1508" s="92" t="inlineStr">
        <is>
          <t>Gōngyìngshāng Gòngyìngliàn Kěchíxù Xìng Pínggū) - Sustainability Assessment in Vendor Supply Chains - Đánh giá Bền vững trong Chuỗi cung ứng của Nhà cung cấp</t>
        </is>
      </c>
      <c r="E1508" s="92" t="inlineStr">
        <is>
          <t>659. 供应商供应链可持续性评估 (Gōngyìngshāng Gòngyìngliàn Kěchíxù Xìng Pínggū) - Sustainability Assessment in Vendor Supply Chains - Đánh giá Bền vững trong Chuỗi cung ứng của Nhà cung cấp</t>
        </is>
      </c>
      <c r="F1508" s="114">
        <f>HYPERLINK("https://youglish.com/pronounce/供应商供应链可持续性评估/chinese","🔍")</f>
        <v/>
      </c>
    </row>
    <row r="1509" ht="42.75" customHeight="1" s="99">
      <c r="A1509" s="94" t="inlineStr">
        <is>
          <t>PDF_Tiếng trung Full BỘ BCT.pdf</t>
        </is>
      </c>
      <c r="B1509" s="95" t="inlineStr">
        <is>
          <t>660</t>
        </is>
      </c>
      <c r="C1509" s="94" t="inlineStr">
        <is>
          <t>物流仓库信息系统</t>
        </is>
      </c>
      <c r="D1509" s="94" t="inlineStr">
        <is>
          <t>Wùliú Cāngkù Xìnxī Xìtǒng) - Information Systems in Logistics Warehousing - Hệ thống Thông tin trong Kho vận Logistics</t>
        </is>
      </c>
      <c r="E1509" s="94" t="inlineStr">
        <is>
          <t>660. 物流仓库信息系统 (Wùliú Cāngkù Xìnxī Xìtǒng) - Information Systems in Logistics Warehousing - Hệ thống Thông tin trong Kho vận Logistics</t>
        </is>
      </c>
      <c r="F1509" s="115">
        <f>HYPERLINK("https://youglish.com/pronounce/物流仓库信息系统/chinese","🔍")</f>
        <v/>
      </c>
    </row>
    <row r="1510" ht="57" customHeight="1" s="99">
      <c r="A1510" s="92" t="inlineStr">
        <is>
          <t>PDF_Tiếng trung Full BỘ BCT.pdf</t>
        </is>
      </c>
      <c r="B1510" s="93" t="inlineStr">
        <is>
          <t>661</t>
        </is>
      </c>
      <c r="C1510" s="92" t="inlineStr">
        <is>
          <t>生产线节能环保技术</t>
        </is>
      </c>
      <c r="D1510" s="92" t="inlineStr">
        <is>
          <t>Shēngchǎn Xiàn Jié néng Huánbǎo Jìshù) - Energy-saving and Environmental Protection Technologies in Production Lines - Công nghệ Tiết kiệm Năng lượng và Bảo vệ Môi trường trong Dây chuyền Sản xuất</t>
        </is>
      </c>
      <c r="E1510" s="92" t="inlineStr">
        <is>
          <t>661. 生产线节能环保技术 (Shēngchǎn Xiàn Jié néng Huánbǎo Jìshù) - Energy-saving and Environmental Protection Technologies in Production Lines - Công nghệ Tiết kiệm Năng lượng và Bảo vệ Môi trường trong Dây chuyền Sản xuất</t>
        </is>
      </c>
      <c r="F1510" s="114">
        <f>HYPERLINK("https://youglish.com/pronounce/生产线节能环保技术/chinese","🔍")</f>
        <v/>
      </c>
    </row>
    <row r="1511" ht="42.75" customHeight="1" s="99">
      <c r="A1511" s="94" t="inlineStr">
        <is>
          <t>PDF_Tiếng trung Full BỘ BCT.pdf</t>
        </is>
      </c>
      <c r="B1511" s="95" t="inlineStr">
        <is>
          <t>662</t>
        </is>
      </c>
      <c r="C1511" s="94" t="inlineStr">
        <is>
          <t>需求计划变更通知系统</t>
        </is>
      </c>
      <c r="D1511" s="94" t="inlineStr">
        <is>
          <t>Xūqiú Jìhuà Biàngē Tōngzhī Xìtǒng) - Notification Systems for Changes in Demand Planning - Hệ thống Thông báo về Sự thay đổi trong Kế hoạch Nhu cầu</t>
        </is>
      </c>
      <c r="E1511" s="94" t="inlineStr">
        <is>
          <t>662. 需求计划变更通知系统 (Xūqiú Jìhuà Biàngē Tōngzhī Xìtǒng) - Notification Systems for Changes in Demand Planning - Hệ thống Thông báo về Sự thay đổi trong Kế hoạch Nhu cầu</t>
        </is>
      </c>
      <c r="F1511" s="115">
        <f>HYPERLINK("https://youglish.com/pronounce/需求计划变更通知系统/chinese","🔍")</f>
        <v/>
      </c>
    </row>
    <row r="1512" ht="42.75" customHeight="1" s="99">
      <c r="A1512" s="92" t="inlineStr">
        <is>
          <t>PDF_Tiếng trung Full BỘ BCT.pdf</t>
        </is>
      </c>
      <c r="B1512" s="93" t="inlineStr">
        <is>
          <t>663</t>
        </is>
      </c>
      <c r="C1512" s="92" t="inlineStr">
        <is>
          <t>供应链风险防范策略</t>
        </is>
      </c>
      <c r="D1512" s="92" t="inlineStr">
        <is>
          <t>Gōngyìngliàn Fēngxiǎn Fángfàn Cèlüè) - Strategies for Risk Prevention in the Supply Chain - Chiến lược Phòng ngừa Rủi ro trong Chuỗi cung ứng</t>
        </is>
      </c>
      <c r="E1512" s="92" t="inlineStr">
        <is>
          <t>663. 供应链风险防范策略 (Gōngyìngliàn Fēngxiǎn Fángfàn Cèlüè) - Strategies for Risk Prevention in the Supply Chain - Chiến lược Phòng ngừa Rủi ro trong Chuỗi cung ứng</t>
        </is>
      </c>
      <c r="F1512" s="114">
        <f>HYPERLINK("https://youglish.com/pronounce/供应链风险防范策略/chinese","🔍")</f>
        <v/>
      </c>
    </row>
    <row r="1513" ht="42.75" customHeight="1" s="99">
      <c r="A1513" s="94" t="inlineStr">
        <is>
          <t>PDF_Tiếng trung Full BỘ BCT.pdf</t>
        </is>
      </c>
      <c r="B1513" s="95" t="inlineStr">
        <is>
          <t>664</t>
        </is>
      </c>
      <c r="C1513" s="94" t="inlineStr">
        <is>
          <t>物料供应链协同创新</t>
        </is>
      </c>
      <c r="D1513" s="94" t="inlineStr">
        <is>
          <t>Wùliào Gōngyìngliàn Xiétiáo Chuàngxīn) - Collaborative Innovation in Material Supply Chains - Đổi mới Hợp tác trong Chuỗi cung ứng Vật liệu</t>
        </is>
      </c>
      <c r="E1513" s="94" t="inlineStr">
        <is>
          <t>664. 物料供应链协同创新 (Wùliào Gōngyìngliàn Xiétiáo Chuàngxīn) - Collaborative Innovation in Material Supply Chains - Đổi mới Hợp tác trong Chuỗi cung ứng Vật liệu</t>
        </is>
      </c>
      <c r="F1513" s="115">
        <f>HYPERLINK("https://youglish.com/pronounce/物料供应链协同创新/chinese","🔍")</f>
        <v/>
      </c>
    </row>
    <row r="1514" ht="42.75" customHeight="1" s="99">
      <c r="A1514" s="92" t="inlineStr">
        <is>
          <t>PDF_Tiếng trung Full BỘ BCT.pdf</t>
        </is>
      </c>
      <c r="B1514" s="93" t="inlineStr">
        <is>
          <t>665</t>
        </is>
      </c>
      <c r="C1514" s="92" t="inlineStr">
        <is>
          <t>供应商供应链合规性检查</t>
        </is>
      </c>
      <c r="D1514" s="92" t="inlineStr">
        <is>
          <t>Gōngyìngshāng Gòngyìngliàn Héguīxìng Jiǎnchá) - Compliance Checks in Vendor Supply Chains - Kiểm tra Tuân thủ trong Chuỗi cung ứng của Nhà cung cấp</t>
        </is>
      </c>
      <c r="E1514" s="92" t="inlineStr">
        <is>
          <t>665. 供应商供应链合规性检查 (Gōngyìngshāng Gòngyìngliàn Héguīxìng Jiǎnchá) - Compliance Checks in Vendor Supply Chains - Kiểm tra Tuân thủ trong Chuỗi cung ứng của Nhà cung cấp</t>
        </is>
      </c>
      <c r="F1514" s="114">
        <f>HYPERLINK("https://youglish.com/pronounce/供应商供应链合规性检查/chinese","🔍")</f>
        <v/>
      </c>
    </row>
    <row r="1515" ht="42.75" customHeight="1" s="99">
      <c r="A1515" s="94" t="inlineStr">
        <is>
          <t>PDF_Tiếng trung Full BỘ BCT.pdf</t>
        </is>
      </c>
      <c r="B1515" s="95" t="inlineStr">
        <is>
          <t>666</t>
        </is>
      </c>
      <c r="C1515" s="94" t="inlineStr">
        <is>
          <t>生产线质量溯源标准</t>
        </is>
      </c>
      <c r="D1515" s="94" t="inlineStr">
        <is>
          <t>Shēngchǎn Xiàn Zhìliàng Sùyuán Biāozhǔn) - Quality Tracing Standards in Production Lines - Tiêu chuẩn Theo dõi Chất lượng trong Dây chuyền Sản xuất</t>
        </is>
      </c>
      <c r="E1515" s="94" t="inlineStr">
        <is>
          <t>666. 生产线质量溯源标准 (Shēngchǎn Xiàn Zhìliàng Sùyuán Biāozhǔn) - Quality Tracing Standards in Production Lines - Tiêu chuẩn Theo dõi Chất lượng trong Dây chuyền Sản xuất</t>
        </is>
      </c>
      <c r="F1515" s="115">
        <f>HYPERLINK("https://youglish.com/pronounce/生产线质量溯源标准/chinese","🔍")</f>
        <v/>
      </c>
    </row>
    <row r="1516" ht="42.75" customHeight="1" s="99">
      <c r="A1516" s="92" t="inlineStr">
        <is>
          <t>PDF_Tiếng trung Full BỘ BCT.pdf</t>
        </is>
      </c>
      <c r="B1516" s="93" t="inlineStr">
        <is>
          <t>667</t>
        </is>
      </c>
      <c r="C1516" s="92" t="inlineStr">
        <is>
          <t>需求计划执行效能评估</t>
        </is>
      </c>
      <c r="D1516" s="92" t="inlineStr">
        <is>
          <t>Xūqiú Jìhuà Zhíxíng Xiàolǜ Pínggū) - Assessment of Efficiency in Demand Planning Execution - Đánh giá Hiệu suất trong Quy trình Thực hiện Kế hoạch Nhu cầu</t>
        </is>
      </c>
      <c r="E1516" s="92" t="inlineStr">
        <is>
          <t>667. 需求计划执行效能评估 (Xūqiú Jìhuà Zhíxíng Xiàolǜ Pínggū) - Assessment of Efficiency in Demand Planning Execution - Đánh giá Hiệu suất trong Quy trình Thực hiện Kế hoạch Nhu cầu</t>
        </is>
      </c>
      <c r="F1516" s="114">
        <f>HYPERLINK("https://youglish.com/pronounce/需求计划执行效能评估/chinese","🔍")</f>
        <v/>
      </c>
    </row>
    <row r="1517" ht="42.75" customHeight="1" s="99">
      <c r="A1517" s="94" t="inlineStr">
        <is>
          <t>PDF_Tiếng trung Full BỘ BCT.pdf</t>
        </is>
      </c>
      <c r="B1517" s="95" t="inlineStr">
        <is>
          <t>668</t>
        </is>
      </c>
      <c r="C1517" s="94" t="inlineStr">
        <is>
          <t>供应链数字化交付系统</t>
        </is>
      </c>
      <c r="D1517" s="94" t="inlineStr">
        <is>
          <t>Gōngyìngliàn Shùzìhuà Jiāofù Xìtǒng) - Digital Delivery Systems in the Supply Chain - Hệ thống Giao hàng Số hóa trong Chuỗi cung ứng</t>
        </is>
      </c>
      <c r="E1517" s="94" t="inlineStr">
        <is>
          <t>668. 供应链数字化交付系统 (Gōngyìngliàn Shùzìhuà Jiāofù Xìtǒng) - Digital Delivery Systems in the Supply Chain - Hệ thống Giao hàng Số hóa trong Chuỗi cung ứng</t>
        </is>
      </c>
      <c r="F1517" s="115">
        <f>HYPERLINK("https://youglish.com/pronounce/供应链数字化交付系统/chinese","🔍")</f>
        <v/>
      </c>
    </row>
    <row r="1518" ht="42.75" customHeight="1" s="99">
      <c r="A1518" s="92" t="inlineStr">
        <is>
          <t>PDF_Tiếng trung Full BỘ BCT.pdf</t>
        </is>
      </c>
      <c r="B1518" s="93" t="inlineStr">
        <is>
          <t>669</t>
        </is>
      </c>
      <c r="C1518" s="92" t="inlineStr">
        <is>
          <t>物流仓库安全巡检</t>
        </is>
      </c>
      <c r="D1518" s="92" t="inlineStr">
        <is>
          <t>Wùliú Cāngkù Ānquán Xúnjiǎn) - Security Inspections in Logistics Warehousing - Kiểm tra An ninh trong Kho vận Logistics</t>
        </is>
      </c>
      <c r="E1518" s="92" t="inlineStr">
        <is>
          <t>669. 物流仓库安全巡检 (Wùliú Cāngkù Ānquán Xúnjiǎn) - Security Inspections in Logistics Warehousing - Kiểm tra An ninh trong Kho vận Logistics</t>
        </is>
      </c>
      <c r="F1518" s="114">
        <f>HYPERLINK("https://youglish.com/pronounce/物流仓库安全巡检/chinese","🔍")</f>
        <v/>
      </c>
    </row>
    <row r="1519" ht="42.75" customHeight="1" s="99">
      <c r="A1519" s="94" t="inlineStr">
        <is>
          <t>PDF_Tiếng trung Full BỘ BCT.pdf</t>
        </is>
      </c>
      <c r="B1519" s="95" t="inlineStr">
        <is>
          <t>670</t>
        </is>
      </c>
      <c r="C1519" s="94" t="inlineStr">
        <is>
          <t>生产线人才培训计划</t>
        </is>
      </c>
      <c r="D1519" s="94" t="inlineStr">
        <is>
          <t>Shēngchǎn Xiàn Réncái Péixùn Jìhuà) - Talent Training Plans in Production Lines - Kế hoạch Đào tạo Tài năng trong Dây chuyền Sản xuất</t>
        </is>
      </c>
      <c r="E1519" s="94" t="inlineStr">
        <is>
          <t>670. 生产线人才培训计划 (Shēngchǎn Xiàn Réncái Péixùn Jìhuà) - Talent Training Plans in Production Lines - Kế hoạch Đào tạo Tài năng trong Dây chuyền Sản xuất</t>
        </is>
      </c>
      <c r="F1519" s="115">
        <f>HYPERLINK("https://youglish.com/pronounce/生产线人才培训计划/chinese","🔍")</f>
        <v/>
      </c>
    </row>
    <row r="1520" ht="42.75" customHeight="1" s="99">
      <c r="A1520" s="92" t="inlineStr">
        <is>
          <t>PDF_Tiếng trung Full BỘ BCT.pdf</t>
        </is>
      </c>
      <c r="B1520" s="93" t="inlineStr">
        <is>
          <t>671</t>
        </is>
      </c>
      <c r="C1520" s="92" t="inlineStr">
        <is>
          <t>货物追溯标准化措施</t>
        </is>
      </c>
      <c r="D1520" s="92" t="inlineStr">
        <is>
          <t>Huòwù Zhuīsù Biāozhǔnhuà Cuòshī) - Standardization Measures in Cargo Traceability - Biện pháp Tiêu chuẩn hóa trong Theo dõi Hàng hóa</t>
        </is>
      </c>
      <c r="E1520" s="92" t="inlineStr">
        <is>
          <t>671. 货物追溯标准化措施 (Huòwù Zhuīsù Biāozhǔnhuà Cuòshī) - Standardization Measures in Cargo Traceability - Biện pháp Tiêu chuẩn hóa trong Theo dõi Hàng hóa</t>
        </is>
      </c>
      <c r="F1520" s="114">
        <f>HYPERLINK("https://youglish.com/pronounce/货物追溯标准化措施/chinese","🔍")</f>
        <v/>
      </c>
    </row>
    <row r="1521" ht="42.75" customHeight="1" s="99">
      <c r="A1521" s="94" t="inlineStr">
        <is>
          <t>PDF_Tiếng trung Full BỘ BCT.pdf</t>
        </is>
      </c>
      <c r="B1521" s="95" t="inlineStr">
        <is>
          <t>672</t>
        </is>
      </c>
      <c r="C1521" s="94" t="inlineStr">
        <is>
          <t>供应商供应链协同计划</t>
        </is>
      </c>
      <c r="D1521" s="94" t="inlineStr">
        <is>
          <t>Gōngyìngshāng Gòngyìngliàn Xiétiáo Jìhuà) - Collaborative Planning in Vendor Supply Chains - Kế hoạch Hợp tác trong Chuỗi cung ứng của Nhà cung cấp</t>
        </is>
      </c>
      <c r="E1521" s="94" t="inlineStr">
        <is>
          <t>672. 供应商供应链协同计划 (Gōngyìngshāng Gòngyìngliàn Xiétiáo Jìhuà) - Collaborative Planning in Vendor Supply Chains - Kế hoạch Hợp tác trong Chuỗi cung ứng của Nhà cung cấp</t>
        </is>
      </c>
      <c r="F1521" s="115">
        <f>HYPERLINK("https://youglish.com/pronounce/供应商供应链协同计划/chinese","🔍")</f>
        <v/>
      </c>
    </row>
    <row r="1522" ht="42.75" customHeight="1" s="99">
      <c r="A1522" s="92" t="inlineStr">
        <is>
          <t>PDF_Tiếng trung Full BỘ BCT.pdf</t>
        </is>
      </c>
      <c r="B1522" s="93" t="inlineStr">
        <is>
          <t>673</t>
        </is>
      </c>
      <c r="C1522" s="92" t="inlineStr">
        <is>
          <t>物流仓库温湿度控制</t>
        </is>
      </c>
      <c r="D1522" s="92" t="inlineStr">
        <is>
          <t>Wùliú Cāngkù Wēn Shīdù Kòngzhì) - Temperature and Humidity Control in Logistics Warehousing - Kiểm soát Nhiệt độ và Độ ẩm trong Kho vận Logistics</t>
        </is>
      </c>
      <c r="E1522" s="92" t="inlineStr">
        <is>
          <t>673. 物流仓库温湿度控制 (Wùliú Cāngkù Wēn Shīdù Kòngzhì) - Temperature and Humidity Control in Logistics Warehousing - Kiểm soát Nhiệt độ và Độ ẩm trong Kho vận Logistics</t>
        </is>
      </c>
      <c r="F1522" s="114">
        <f>HYPERLINK("https://youglish.com/pronounce/物流仓库温湿度控制/chinese","🔍")</f>
        <v/>
      </c>
    </row>
    <row r="1523" ht="42.75" customHeight="1" s="99">
      <c r="A1523" s="94" t="inlineStr">
        <is>
          <t>PDF_Tiếng trung Full BỘ BCT.pdf</t>
        </is>
      </c>
      <c r="B1523" s="95" t="inlineStr">
        <is>
          <t>674</t>
        </is>
      </c>
      <c r="C1523" s="94" t="inlineStr">
        <is>
          <t>生产线持续改进方法</t>
        </is>
      </c>
      <c r="D1523" s="94" t="inlineStr">
        <is>
          <t>Shēngchǎn Xiàn Chíxù Gǎishàn Fāngfǎ) - Continuous Improvement Methods in Production Lines - Phương pháp Cải thiện Liên tục trong Dây chuyền Sản xuất</t>
        </is>
      </c>
      <c r="E1523" s="94" t="inlineStr">
        <is>
          <t>674. 生产线持续改进方法 (Shēngchǎn Xiàn Chíxù Gǎishàn Fāngfǎ) - Continuous Improvement Methods in Production Lines - Phương pháp Cải thiện Liên tục trong Dây chuyền Sản xuất</t>
        </is>
      </c>
      <c r="F1523" s="115">
        <f>HYPERLINK("https://youglish.com/pronounce/生产线持续改进方法/chinese","🔍")</f>
        <v/>
      </c>
    </row>
    <row r="1524" ht="42.75" customHeight="1" s="99">
      <c r="A1524" s="92" t="inlineStr">
        <is>
          <t>PDF_Tiếng trung Full BỘ BCT.pdf</t>
        </is>
      </c>
      <c r="B1524" s="93" t="inlineStr">
        <is>
          <t>675</t>
        </is>
      </c>
      <c r="C1524" s="92" t="inlineStr">
        <is>
          <t>需求计划执行监测指标</t>
        </is>
      </c>
      <c r="D1524" s="92" t="inlineStr">
        <is>
          <t>Xūqiú Jìhuà Zhíxíng Jiāncè Zhǐbiāo) - Monitoring Indicators in Demand Planning Execution - Chỉ số Giám sát trong Quy trình Thực hiện Kế hoạch Nhu cầu</t>
        </is>
      </c>
      <c r="E1524" s="92" t="inlineStr">
        <is>
          <t>675. 需求计划执行监测指标 (Xūqiú Jìhuà Zhíxíng Jiāncè Zhǐbiāo) - Monitoring Indicators in Demand Planning Execution - Chỉ số Giám sát trong Quy trình Thực hiện Kế hoạch Nhu cầu</t>
        </is>
      </c>
      <c r="F1524" s="114">
        <f>HYPERLINK("https://youglish.com/pronounce/需求计划执行监测指标/chinese","🔍")</f>
        <v/>
      </c>
    </row>
    <row r="1525" ht="28.5" customHeight="1" s="99">
      <c r="A1525" s="94" t="inlineStr">
        <is>
          <t>PDF_Tiếng trung Full BỘ BCT.pdf</t>
        </is>
      </c>
      <c r="B1525" s="95" t="inlineStr">
        <is>
          <t>676</t>
        </is>
      </c>
      <c r="C1525" s="94" t="inlineStr">
        <is>
          <t>供应链协作平台</t>
        </is>
      </c>
      <c r="D1525" s="94" t="inlineStr">
        <is>
          <t>Gōngyìngliàn Xiézuò Píngtái) - Collaboration Platform in the Supply Chain - Nền tảng Hợp tác trong Chuỗi cung ứng</t>
        </is>
      </c>
      <c r="E1525" s="94" t="inlineStr">
        <is>
          <t>676. 供应链协作平台 (Gōngyìngliàn Xiézuò Píngtái) - Collaboration Platform in the Supply Chain - Nền tảng Hợp tác trong Chuỗi cung ứng</t>
        </is>
      </c>
      <c r="F1525" s="115">
        <f>HYPERLINK("https://youglish.com/pronounce/供应链协作平台/chinese","🔍")</f>
        <v/>
      </c>
    </row>
    <row r="1526" ht="42.75" customHeight="1" s="99">
      <c r="A1526" s="92" t="inlineStr">
        <is>
          <t>PDF_Tiếng trung Full BỘ BCT.pdf</t>
        </is>
      </c>
      <c r="B1526" s="93" t="inlineStr">
        <is>
          <t>677</t>
        </is>
      </c>
      <c r="C1526" s="92" t="inlineStr">
        <is>
          <t>生产线可持续性评估</t>
        </is>
      </c>
      <c r="D1526" s="92" t="inlineStr">
        <is>
          <t>Shēngchǎn Xiàn Kěchíxù Xìng Pínggū) - Sustainability Assessment in Production Lines - Đánh giá Bền vững trong Dây chuyền Sản xuất</t>
        </is>
      </c>
      <c r="E1526" s="92" t="inlineStr">
        <is>
          <t>677. 生产线可持续性评估 (Shēngchǎn Xiàn Kěchíxù Xìng Pínggū) - Sustainability Assessment in Production Lines - Đánh giá Bền vững trong Dây chuyền Sản xuất</t>
        </is>
      </c>
      <c r="F1526" s="114">
        <f>HYPERLINK("https://youglish.com/pronounce/生产线可持续性评估/chinese","🔍")</f>
        <v/>
      </c>
    </row>
    <row r="1527" ht="42.75" customHeight="1" s="99">
      <c r="A1527" s="94" t="inlineStr">
        <is>
          <t>PDF_Tiếng trung Full BỘ BCT.pdf</t>
        </is>
      </c>
      <c r="B1527" s="95" t="inlineStr">
        <is>
          <t>678</t>
        </is>
      </c>
      <c r="C1527" s="94" t="inlineStr">
        <is>
          <t>货物追溯流程优化</t>
        </is>
      </c>
      <c r="D1527" s="94" t="inlineStr">
        <is>
          <t>Huòwù Zhuīsù Liúchéng Yōuhuà) - Process Optimization in Cargo Traceability - Tối ưu hóa Quy trình trong Theo dõi Hàng hóa</t>
        </is>
      </c>
      <c r="E1527" s="94" t="inlineStr">
        <is>
          <t>678. 货物追溯流程优化 (Huòwù Zhuīsù Liúchéng Yōuhuà) - Process Optimization in Cargo Traceability - Tối ưu hóa Quy trình trong Theo dõi Hàng hóa</t>
        </is>
      </c>
      <c r="F1527" s="115">
        <f>HYPERLINK("https://youglish.com/pronounce/货物追溯流程优化/chinese","🔍")</f>
        <v/>
      </c>
    </row>
    <row r="1528" ht="28.5" customHeight="1" s="99">
      <c r="A1528" s="92" t="inlineStr">
        <is>
          <t>PDF_Tiếng trung Full BỘ BCT.pdf</t>
        </is>
      </c>
      <c r="B1528" s="93" t="inlineStr">
        <is>
          <t>679</t>
        </is>
      </c>
      <c r="C1528" s="92" t="inlineStr">
        <is>
          <t>供应商数字化战略</t>
        </is>
      </c>
      <c r="D1528" s="92" t="inlineStr">
        <is>
          <t>Gōngyìngshāng Shùzìhuà Zhànlüè) - Digitalization Strategies for Vendors - Chiến lược Số hóa cho Nhà cung cấp</t>
        </is>
      </c>
      <c r="E1528" s="92" t="inlineStr">
        <is>
          <t>679. 供应商数字化战略 (Gōngyìngshāng Shùzìhuà Zhànlüè) - Digitalization Strategies for Vendors - Chiến lược Số hóa cho Nhà cung cấp</t>
        </is>
      </c>
      <c r="F1528" s="114">
        <f>HYPERLINK("https://youglish.com/pronounce/供应商数字化战略/chinese","🔍")</f>
        <v/>
      </c>
    </row>
    <row r="1529" ht="42.75" customHeight="1" s="99">
      <c r="A1529" s="94" t="inlineStr">
        <is>
          <t>PDF_Tiếng trung Full BỘ BCT.pdf</t>
        </is>
      </c>
      <c r="B1529" s="95" t="inlineStr">
        <is>
          <t>680</t>
        </is>
      </c>
      <c r="C1529" s="94" t="inlineStr">
        <is>
          <t>物流仓库容量规划</t>
        </is>
      </c>
      <c r="D1529" s="94" t="inlineStr">
        <is>
          <t>Wùliú Cāngkù Róngliàng Guīhuà) - Capacity Planning in Logistics Warehousing - Lập kế hoạch Dung lượng trong Kho vận Logistics</t>
        </is>
      </c>
      <c r="E1529" s="94" t="inlineStr">
        <is>
          <t>680. 物流仓库容量规划 (Wùliú Cāngkù Róngliàng Guīhuà) - Capacity Planning in Logistics Warehousing - Lập kế hoạch Dung lượng trong Kho vận Logistics</t>
        </is>
      </c>
      <c r="F1529" s="115">
        <f>HYPERLINK("https://youglish.com/pronounce/物流仓库容量规划/chinese","🔍")</f>
        <v/>
      </c>
    </row>
    <row r="1530" ht="42.75" customHeight="1" s="99">
      <c r="A1530" s="92" t="inlineStr">
        <is>
          <t>PDF_Tiếng trung Full BỘ BCT.pdf</t>
        </is>
      </c>
      <c r="B1530" s="93" t="inlineStr">
        <is>
          <t>681</t>
        </is>
      </c>
      <c r="C1530" s="92" t="inlineStr">
        <is>
          <t>生产线信息安全标准</t>
        </is>
      </c>
      <c r="D1530" s="92" t="inlineStr">
        <is>
          <t>Shēngchǎn Xiàn Xìnxī Ānquán Biāozhǔn) - Information Security Standards in Production Lines - Tiêu chuẩn An ninh Thông tin trong Dây chuyền Sản xuất</t>
        </is>
      </c>
      <c r="E1530" s="92" t="inlineStr">
        <is>
          <t>681. 生产线信息安全标准 (Shēngchǎn Xiàn Xìnxī Ānquán Biāozhǔn) - Information Security Standards in Production Lines - Tiêu chuẩn An ninh Thông tin trong Dây chuyền Sản xuất</t>
        </is>
      </c>
      <c r="F1530" s="114">
        <f>HYPERLINK("https://youglish.com/pronounce/生产线信息安全标准/chinese","🔍")</f>
        <v/>
      </c>
    </row>
    <row r="1531" ht="42.75" customHeight="1" s="99">
      <c r="A1531" s="94" t="inlineStr">
        <is>
          <t>PDF_Tiếng trung Full BỘ BCT.pdf</t>
        </is>
      </c>
      <c r="B1531" s="95" t="inlineStr">
        <is>
          <t>682</t>
        </is>
      </c>
      <c r="C1531" s="94" t="inlineStr">
        <is>
          <t>需求计划变更通知程序</t>
        </is>
      </c>
      <c r="D1531" s="94" t="inlineStr">
        <is>
          <t>Xūqiú Jìhuà Biàngē Tōngzhī Chéngxù) - Procedures for Change Notification in Demand Planning - Quy trình Thông báo về Sự thay đổi trong Kế hoạch Nhu cầu</t>
        </is>
      </c>
      <c r="E1531" s="94" t="inlineStr">
        <is>
          <t>682. 需求计划变更通知程序 (Xūqiú Jìhuà Biàngē Tōngzhī Chéngxù) - Procedures for Change Notification in Demand Planning - Quy trình Thông báo về Sự thay đổi trong Kế hoạch Nhu cầu</t>
        </is>
      </c>
      <c r="F1531" s="115">
        <f>HYPERLINK("https://youglish.com/pronounce/需求计划变更通知程序/chinese","🔍")</f>
        <v/>
      </c>
    </row>
    <row r="1532" ht="42.75" customHeight="1" s="99">
      <c r="A1532" s="92" t="inlineStr">
        <is>
          <t>PDF_Tiếng trung Full BỘ BCT.pdf</t>
        </is>
      </c>
      <c r="B1532" s="93" t="inlineStr">
        <is>
          <t>683</t>
        </is>
      </c>
      <c r="C1532" s="92" t="inlineStr">
        <is>
          <t>供应链创新数字技术</t>
        </is>
      </c>
      <c r="D1532" s="92" t="inlineStr">
        <is>
          <t>Gōngyìngliàn Chuàngxīn Shùzì Jìshù) - Innovative Digital Technologies in the Supply Chain - Công nghệ Số Đổi mới trong Chuỗi cung ứng</t>
        </is>
      </c>
      <c r="E1532" s="92" t="inlineStr">
        <is>
          <t>683. 供应链创新数字技术 (Gōngyìngliàn Chuàngxīn Shùzì Jìshù) - Innovative Digital Technologies in the Supply Chain - Công nghệ Số Đổi mới trong Chuỗi cung ứng</t>
        </is>
      </c>
      <c r="F1532" s="114">
        <f>HYPERLINK("https://youglish.com/pronounce/供应链创新数字技术/chinese","🔍")</f>
        <v/>
      </c>
    </row>
    <row r="1533" ht="42.75" customHeight="1" s="99">
      <c r="A1533" s="94" t="inlineStr">
        <is>
          <t>PDF_Tiếng trung Full BỘ BCT.pdf</t>
        </is>
      </c>
      <c r="B1533" s="95" t="inlineStr">
        <is>
          <t>684</t>
        </is>
      </c>
      <c r="C1533" s="94" t="inlineStr">
        <is>
          <t>物料供应链可追溯性体系</t>
        </is>
      </c>
      <c r="D1533" s="94" t="inlineStr">
        <is>
          <t>Wùliào Gōngyìngliàn Kě Zhuīsù Xìng Tǐxì) - Traceability Systems in Material Supply Chains - Hệ thống Theo dõi trong Chuỗi cung ứng Vật liệu</t>
        </is>
      </c>
      <c r="E1533" s="94" t="inlineStr">
        <is>
          <t>684. 物料供应链可追溯性体系 (Wùliào Gōngyìngliàn Kě Zhuīsù Xìng Tǐxì) - Traceability Systems in Material Supply Chains - Hệ thống Theo dõi trong Chuỗi cung ứng Vật liệu</t>
        </is>
      </c>
      <c r="F1533" s="115">
        <f>HYPERLINK("https://youglish.com/pronounce/物料供应链可追溯性体系/chinese","🔍")</f>
        <v/>
      </c>
    </row>
    <row r="1534" ht="42.75" customHeight="1" s="99">
      <c r="A1534" s="92" t="inlineStr">
        <is>
          <t>PDF_Tiếng trung Full BỘ BCT.pdf</t>
        </is>
      </c>
      <c r="B1534" s="93" t="inlineStr">
        <is>
          <t>685</t>
        </is>
      </c>
      <c r="C1534" s="92" t="inlineStr">
        <is>
          <t>供应商质量改进计划</t>
        </is>
      </c>
      <c r="D1534" s="92" t="inlineStr">
        <is>
          <t>Gōngyìngshāng Zhìliàng Gǎishàn Jìhuà) - Quality Improvement Plans for Vendors - Kế hoạch Cải thiện Chất lượng cho Nhà cung cấp</t>
        </is>
      </c>
      <c r="E1534" s="92" t="inlineStr">
        <is>
          <t>685. 供应商质量改进计划 (Gōngyìngshāng Zhìliàng Gǎishàn Jìhuà) - Quality Improvement Plans for Vendors - Kế hoạch Cải thiện Chất lượng cho Nhà cung cấp</t>
        </is>
      </c>
      <c r="F1534" s="114">
        <f>HYPERLINK("https://youglish.com/pronounce/供应商质量改进计划/chinese","🔍")</f>
        <v/>
      </c>
    </row>
    <row r="1535" ht="42.75" customHeight="1" s="99">
      <c r="A1535" s="94" t="inlineStr">
        <is>
          <t>PDF_Tiếng trung Full BỘ BCT.pdf</t>
        </is>
      </c>
      <c r="B1535" s="95" t="inlineStr">
        <is>
          <t>686</t>
        </is>
      </c>
      <c r="C1535" s="94" t="inlineStr">
        <is>
          <t>生产线数字化监测系统</t>
        </is>
      </c>
      <c r="D1535" s="94" t="inlineStr">
        <is>
          <t>Shēngchǎn Xiàn Shùzìhuà Jiāncè Xìtǒng) - Digital Monitoring Systems in Production Lines - Hệ thống Giám sát Số hóa trong Dây chuyền Sản xuất</t>
        </is>
      </c>
      <c r="E1535" s="94" t="inlineStr">
        <is>
          <t>686. 生产线数字化监测系统 (Shēngchǎn Xiàn Shùzìhuà Jiāncè Xìtǒng) - Digital Monitoring Systems in Production Lines - Hệ thống Giám sát Số hóa trong Dây chuyền Sản xuất</t>
        </is>
      </c>
      <c r="F1535" s="115">
        <f>HYPERLINK("https://youglish.com/pronounce/生产线数字化监测系统/chinese","🔍")</f>
        <v/>
      </c>
    </row>
    <row r="1536" ht="42.75" customHeight="1" s="99">
      <c r="A1536" s="92" t="inlineStr">
        <is>
          <t>PDF_Tiếng trung Full BỘ BCT.pdf</t>
        </is>
      </c>
      <c r="B1536" s="93" t="inlineStr">
        <is>
          <t>687</t>
        </is>
      </c>
      <c r="C1536" s="92" t="inlineStr">
        <is>
          <t>需求计划执行风险评估</t>
        </is>
      </c>
      <c r="D1536" s="92" t="inlineStr">
        <is>
          <t>Xūqiú Jìhuà Zhíxíng Fēngxiǎn Pínggū) - Risk Assessment in Demand Planning Execution - Đánh giá Rủi ro trong Quy trình Thực hiện Kế hoạch Nhu cầu</t>
        </is>
      </c>
      <c r="E1536" s="92" t="inlineStr">
        <is>
          <t>687. 需求计划执行风险评估 (Xūqiú Jìhuà Zhíxíng Fēngxiǎn Pínggū) - Risk Assessment in Demand Planning Execution - Đánh giá Rủi ro trong Quy trình Thực hiện Kế hoạch Nhu cầu</t>
        </is>
      </c>
      <c r="F1536" s="114">
        <f>HYPERLINK("https://youglish.com/pronounce/需求计划执行风险评估/chinese","🔍")</f>
        <v/>
      </c>
    </row>
    <row r="1537" ht="42.75" customHeight="1" s="99">
      <c r="A1537" s="94" t="inlineStr">
        <is>
          <t>PDF_Tiếng trung Full BỘ BCT.pdf</t>
        </is>
      </c>
      <c r="B1537" s="95" t="inlineStr">
        <is>
          <t>688</t>
        </is>
      </c>
      <c r="C1537" s="94" t="inlineStr">
        <is>
          <t>供应链伙伴关系发展</t>
        </is>
      </c>
      <c r="D1537" s="94" t="inlineStr">
        <is>
          <t>Gōngyìngliàn Huǒbàn Guānxì Fāzhǎn) - Development of Partnerships in the Supply Chain - Phát triển Quan hệ Đối tác trong Chuỗi cung ứng</t>
        </is>
      </c>
      <c r="E1537" s="94" t="inlineStr">
        <is>
          <t>688. 供应链伙伴关系发展 (Gōngyìngliàn Huǒbàn Guānxì Fāzhǎn) - Development of Partnerships in the Supply Chain - Phát triển Quan hệ Đối tác trong Chuỗi cung ứng</t>
        </is>
      </c>
      <c r="F1537" s="115">
        <f>HYPERLINK("https://youglish.com/pronounce/供应链伙伴关系发展/chinese","🔍")</f>
        <v/>
      </c>
    </row>
    <row r="1538" ht="42.75" customHeight="1" s="99">
      <c r="A1538" s="92" t="inlineStr">
        <is>
          <t>PDF_Tiếng trung Full BỘ BCT.pdf</t>
        </is>
      </c>
      <c r="B1538" s="93" t="inlineStr">
        <is>
          <t>689</t>
        </is>
      </c>
      <c r="C1538" s="92" t="inlineStr">
        <is>
          <t>物流仓库可持续性措施</t>
        </is>
      </c>
      <c r="D1538" s="92" t="inlineStr">
        <is>
          <t>Wùliú Cāngkù Kěchíxù Xìng Cuòshī) - Sustainability Measures in Logistics Warehousing - Biện pháp Bền vững trong Kho vận Logistics</t>
        </is>
      </c>
      <c r="E1538" s="92" t="inlineStr">
        <is>
          <t>689. 物流仓库可持续性措施 (Wùliú Cāngkù Kěchíxù Xìng Cuòshī) - Sustainability Measures in Logistics Warehousing - Biện pháp Bền vững trong Kho vận Logistics</t>
        </is>
      </c>
      <c r="F1538" s="114">
        <f>HYPERLINK("https://youglish.com/pronounce/物流仓库可持续性措施/chinese","🔍")</f>
        <v/>
      </c>
    </row>
    <row r="1539" ht="42.75" customHeight="1" s="99">
      <c r="A1539" s="94" t="inlineStr">
        <is>
          <t>PDF_Tiếng trung Full BỘ BCT.pdf</t>
        </is>
      </c>
      <c r="B1539" s="95" t="inlineStr">
        <is>
          <t>690</t>
        </is>
      </c>
      <c r="C1539" s="94" t="inlineStr">
        <is>
          <t>生产线自动化生产模式</t>
        </is>
      </c>
      <c r="D1539" s="94" t="inlineStr">
        <is>
          <t>Shēngchǎn Xiàn Zìdòng Huà Shēngchǎn Móshì) - Automation Production Models in Production Lines - Mô hình Sản xuất Tự động hóa trong Dây chuyền Sản xuất</t>
        </is>
      </c>
      <c r="E1539" s="94" t="inlineStr">
        <is>
          <t>690. 生产线自动化生产模式 (Shēngchǎn Xiàn Zìdòng Huà Shēngchǎn Móshì) - Automation Production Models in Production Lines - Mô hình Sản xuất Tự động hóa trong Dây chuyền Sản xuất</t>
        </is>
      </c>
      <c r="F1539" s="115">
        <f>HYPERLINK("https://youglish.com/pronounce/生产线自动化生产模式/chinese","🔍")</f>
        <v/>
      </c>
    </row>
    <row r="1540" ht="57" customHeight="1" s="99">
      <c r="A1540" s="92" t="inlineStr">
        <is>
          <t>PDF_Tiếng trung Full BỘ BCT.pdf</t>
        </is>
      </c>
      <c r="B1540" s="93" t="inlineStr">
        <is>
          <t>691</t>
        </is>
      </c>
      <c r="C1540" s="92" t="inlineStr">
        <is>
          <t>货物追溯防伪技术解决方案</t>
        </is>
      </c>
      <c r="D1540" s="92" t="inlineStr">
        <is>
          <t>Huòwù Zhuīsù Fángwěi Jìshù Jiějué Fāng'àn) - Solutions for Anti-counterfeiting Technologies in Cargo Traceability - Giải pháp Công nghệ Chống giả mạo trong Theo dõi Hàng hóa</t>
        </is>
      </c>
      <c r="E1540" s="92" t="inlineStr">
        <is>
          <t>691. 货物追溯防伪技术解决方案 (Huòwù Zhuīsù Fángwěi Jìshù Jiějué Fāng'àn) - Solutions for Anti-counterfeiting Technologies in Cargo Traceability - Giải pháp Công nghệ Chống giả mạo trong Theo dõi Hàng hóa</t>
        </is>
      </c>
      <c r="F1540" s="114">
        <f>HYPERLINK("https://youglish.com/pronounce/货物追溯防伪技术解决方案/chinese","🔍")</f>
        <v/>
      </c>
    </row>
    <row r="1541" ht="42.75" customHeight="1" s="99">
      <c r="A1541" s="94" t="inlineStr">
        <is>
          <t>PDF_Tiếng trung Full BỘ BCT.pdf</t>
        </is>
      </c>
      <c r="B1541" s="95" t="inlineStr">
        <is>
          <t>692</t>
        </is>
      </c>
      <c r="C1541" s="94" t="inlineStr">
        <is>
          <t>供应商采购计划优化</t>
        </is>
      </c>
      <c r="D1541" s="94" t="inlineStr">
        <is>
          <t>Gōngyìngshāng Cǎigòu Jìhuà Yōuhuà) - Optimization of Procurement Plans for Vendors - Tối ưu hóa Kế hoạch Mua hàng cho Nhà cung cấp</t>
        </is>
      </c>
      <c r="E1541" s="94" t="inlineStr">
        <is>
          <t>692. 供应商采购计划优化 (Gōngyìngshāng Cǎigòu Jìhuà Yōuhuà) - Optimization of Procurement Plans for Vendors - Tối ưu hóa Kế hoạch Mua hàng cho Nhà cung cấp</t>
        </is>
      </c>
      <c r="F1541" s="115">
        <f>HYPERLINK("https://youglish.com/pronounce/供应商采购计划优化/chinese","🔍")</f>
        <v/>
      </c>
    </row>
    <row r="1542" ht="42.75" customHeight="1" s="99">
      <c r="A1542" s="92" t="inlineStr">
        <is>
          <t>PDF_Tiếng trung Full BỘ BCT.pdf</t>
        </is>
      </c>
      <c r="B1542" s="93" t="inlineStr">
        <is>
          <t>693</t>
        </is>
      </c>
      <c r="C1542" s="92" t="inlineStr">
        <is>
          <t>物流仓储作业效率提升</t>
        </is>
      </c>
      <c r="D1542" s="92" t="inlineStr">
        <is>
          <t>Wùliú Cāngchǔ Zuòyè Xiàolǜ Tíshēng) - Improvement of Operational Efficiency in Logistics Warehousing - Nâng cao Hiệu suất Hoạt động trong Kho vận Logistics</t>
        </is>
      </c>
      <c r="E1542" s="92" t="inlineStr">
        <is>
          <t>693. 物流仓储作业效率提升 (Wùliú Cāngchǔ Zuòyè Xiàolǜ Tíshēng) - Improvement of Operational Efficiency in Logistics Warehousing - Nâng cao Hiệu suất Hoạt động trong Kho vận Logistics</t>
        </is>
      </c>
      <c r="F1542" s="114">
        <f>HYPERLINK("https://youglish.com/pronounce/物流仓储作业效率提升/chinese","🔍")</f>
        <v/>
      </c>
    </row>
    <row r="1543" ht="42.75" customHeight="1" s="99">
      <c r="A1543" s="94" t="inlineStr">
        <is>
          <t>PDF_Tiếng trung Full BỘ BCT.pdf</t>
        </is>
      </c>
      <c r="B1543" s="95" t="inlineStr">
        <is>
          <t>694</t>
        </is>
      </c>
      <c r="C1543" s="94" t="inlineStr">
        <is>
          <t>生产线数字化技术应用</t>
        </is>
      </c>
      <c r="D1543" s="94" t="inlineStr">
        <is>
          <t>Shēngchǎn Xiàn Shùzìhuà Jìshù Yìngyòng) - Application of Digital Technologies in Production Lines - Ứng dụng Công nghệ Số hóa trong Dây chuyền Sản xuất</t>
        </is>
      </c>
      <c r="E1543" s="94" t="inlineStr">
        <is>
          <t>694. 生产线数字化技术应用 (Shēngchǎn Xiàn Shùzìhuà Jìshù Yìngyòng) - Application of Digital Technologies in Production Lines - Ứng dụng Công nghệ Số hóa trong Dây chuyền Sản xuất</t>
        </is>
      </c>
      <c r="F1543" s="115">
        <f>HYPERLINK("https://youglish.com/pronounce/生产线数字化技术应用/chinese","🔍")</f>
        <v/>
      </c>
    </row>
    <row r="1544" ht="28.5" customHeight="1" s="99">
      <c r="A1544" s="92" t="inlineStr">
        <is>
          <t>PDF_Tiếng trung Full BỘ BCT.pdf</t>
        </is>
      </c>
      <c r="B1544" s="93" t="inlineStr">
        <is>
          <t>695</t>
        </is>
      </c>
      <c r="C1544" s="92" t="inlineStr">
        <is>
          <t>供应链数据集成</t>
        </is>
      </c>
      <c r="D1544" s="92" t="inlineStr">
        <is>
          <t>Gōngyìngliàn Shùjù Jíchéng) - Data Integration in the Supply Chain - Tích hợp Dữ liệu trong Chuỗi cung ứng</t>
        </is>
      </c>
      <c r="E1544" s="92" t="inlineStr">
        <is>
          <t>695. 供应链数据集成 (Gōngyìngliàn Shùjù Jíchéng) - Data Integration in the Supply Chain - Tích hợp Dữ liệu trong Chuỗi cung ứng</t>
        </is>
      </c>
      <c r="F1544" s="114">
        <f>HYPERLINK("https://youglish.com/pronounce/供应链数据集成/chinese","🔍")</f>
        <v/>
      </c>
    </row>
    <row r="1545" ht="42.75" customHeight="1" s="99">
      <c r="A1545" s="94" t="inlineStr">
        <is>
          <t>PDF_Tiếng trung Full BỘ BCT.pdf</t>
        </is>
      </c>
      <c r="B1545" s="95" t="inlineStr">
        <is>
          <t>696</t>
        </is>
      </c>
      <c r="C1545" s="94" t="inlineStr">
        <is>
          <t>生产线资源规划优化</t>
        </is>
      </c>
      <c r="D1545" s="94" t="inlineStr">
        <is>
          <t>Shēngchǎn Xiàn Zīyuán Guīhuà Yōuhuà) - Optimization of Resource Planning in Production Lines - Tối ưu hóa Kế hoạch Tài nguyên trong Dây chuyền Sản xuất</t>
        </is>
      </c>
      <c r="E1545" s="94" t="inlineStr">
        <is>
          <t>696. 生产线资源规划优化 (Shēngchǎn Xiàn Zīyuán Guīhuà Yōuhuà) - Optimization of Resource Planning in Production Lines - Tối ưu hóa Kế hoạch Tài nguyên trong Dây chuyền Sản xuất</t>
        </is>
      </c>
      <c r="F1545" s="115">
        <f>HYPERLINK("https://youglish.com/pronounce/生产线资源规划优化/chinese","🔍")</f>
        <v/>
      </c>
    </row>
    <row r="1546" ht="42.75" customHeight="1" s="99">
      <c r="A1546" s="92" t="inlineStr">
        <is>
          <t>PDF_Tiếng trung Full BỘ BCT.pdf</t>
        </is>
      </c>
      <c r="B1546" s="93" t="inlineStr">
        <is>
          <t>697</t>
        </is>
      </c>
      <c r="C1546" s="92" t="inlineStr">
        <is>
          <t>货物追溯可视化分析</t>
        </is>
      </c>
      <c r="D1546" s="92" t="inlineStr">
        <is>
          <t>Huòwù Zhuīsù Kěshìhuà Fēnxi) - Visual Analysis in Cargo Traceability - Phân tích Hình ảnh trong Theo dõi Hàng hóa</t>
        </is>
      </c>
      <c r="E1546" s="92" t="inlineStr">
        <is>
          <t>697. 货物追溯可视化分析 (Huòwù Zhuīsù Kěshìhuà Fēnxi) - Visual Analysis in Cargo Traceability - Phân tích Hình ảnh trong Theo dõi Hàng hóa</t>
        </is>
      </c>
      <c r="F1546" s="114">
        <f>HYPERLINK("https://youglish.com/pronounce/货物追溯可视化分析/chinese","🔍")</f>
        <v/>
      </c>
    </row>
    <row r="1547" ht="42.75" customHeight="1" s="99">
      <c r="A1547" s="94" t="inlineStr">
        <is>
          <t>PDF_Tiếng trung Full BỘ BCT.pdf</t>
        </is>
      </c>
      <c r="B1547" s="95" t="inlineStr">
        <is>
          <t>698</t>
        </is>
      </c>
      <c r="C1547" s="94" t="inlineStr">
        <is>
          <t>供应商社会责任报告</t>
        </is>
      </c>
      <c r="D1547" s="94" t="inlineStr">
        <is>
          <t>Gōngyìngshāng Shèhuì Zérèn Bàogào) - Corporate Social Responsibility Reports for Vendors - Báo cáo Trách nhiệm Xã hội do Nhà cung cấp đảm nhiệm</t>
        </is>
      </c>
      <c r="E1547" s="94" t="inlineStr">
        <is>
          <t>698. 供应商社会责任报告 (Gōngyìngshāng Shèhuì Zérèn Bàogào) - Corporate Social Responsibility Reports for Vendors - Báo cáo Trách nhiệm Xã hội do Nhà cung cấp đảm nhiệm</t>
        </is>
      </c>
      <c r="F1547" s="115">
        <f>HYPERLINK("https://youglish.com/pronounce/供应商社会责任报告/chinese","🔍")</f>
        <v/>
      </c>
    </row>
    <row r="1548" ht="42.75" customHeight="1" s="99">
      <c r="A1548" s="92" t="inlineStr">
        <is>
          <t>PDF_Tiếng trung Full BỘ BCT.pdf</t>
        </is>
      </c>
      <c r="B1548" s="93" t="inlineStr">
        <is>
          <t>699</t>
        </is>
      </c>
      <c r="C1548" s="92" t="inlineStr">
        <is>
          <t>物流仓库运营模式</t>
        </is>
      </c>
      <c r="D1548" s="92" t="inlineStr">
        <is>
          <t>Wùliú Cāngkù Yùnyíng Móshì) - Operational Models in Logistics Warehousing - Mô hình Vận hành trong Kho vận Logistics</t>
        </is>
      </c>
      <c r="E1548" s="92" t="inlineStr">
        <is>
          <t>699. 物流仓库运营模式 (Wùliú Cāngkù Yùnyíng Móshì) - Operational Models in Logistics Warehousing - Mô hình Vận hành trong Kho vận Logistics</t>
        </is>
      </c>
      <c r="F1548" s="114">
        <f>HYPERLINK("https://youglish.com/pronounce/物流仓库运营模式/chinese","🔍")</f>
        <v/>
      </c>
    </row>
    <row r="1549" ht="42.75" customHeight="1" s="99">
      <c r="A1549" s="94" t="inlineStr">
        <is>
          <t>PDF_Tiếng trung Full BỘ BCT.pdf</t>
        </is>
      </c>
      <c r="B1549" s="95" t="inlineStr">
        <is>
          <t>700</t>
        </is>
      </c>
      <c r="C1549" s="94" t="inlineStr">
        <is>
          <t>生产线绿色生产标准</t>
        </is>
      </c>
      <c r="D1549" s="94" t="inlineStr">
        <is>
          <t>Shēngchǎn Xiàn Lǜsè Shēngchǎn Biāozhǔn) - Green Production Standards in Production Lines - Tiêu chuẩn Sản xuất Xanh trong Dây chuyền Sản xuất</t>
        </is>
      </c>
      <c r="E1549" s="94" t="inlineStr">
        <is>
          <t>700. 生产线绿色生产标准 (Shēngchǎn Xiàn Lǜsè Shēngchǎn Biāozhǔn) - Green Production Standards in Production Lines - Tiêu chuẩn Sản xuất Xanh trong Dây chuyền Sản xuất</t>
        </is>
      </c>
      <c r="F1549" s="115">
        <f>HYPERLINK("https://youglish.com/pronounce/生产线绿色生产标准/chinese","🔍")</f>
        <v/>
      </c>
    </row>
    <row r="1550" ht="28.5" customHeight="1" s="99">
      <c r="A1550" s="92" t="inlineStr">
        <is>
          <t>PDF_Tiếng trung Full BỘ BCT.pdf</t>
        </is>
      </c>
      <c r="B1550" s="93" t="inlineStr">
        <is>
          <t>701</t>
        </is>
      </c>
      <c r="C1550" s="92" t="inlineStr">
        <is>
          <t>需求计划技术支持</t>
        </is>
      </c>
      <c r="D1550" s="92" t="inlineStr">
        <is>
          <t>Xūqiú Jìhuà Jìshù Zhīchí) - Technical Support in Demand Planning - Hỗ trợ Kỹ thuật trong Kế hoạch Nhu cầu</t>
        </is>
      </c>
      <c r="E1550" s="92" t="inlineStr">
        <is>
          <t>701. 需求计划技术支持 (Xūqiú Jìhuà Jìshù Zhīchí) - Technical Support in Demand Planning - Hỗ trợ Kỹ thuật trong Kế hoạch Nhu cầu</t>
        </is>
      </c>
      <c r="F1550" s="114">
        <f>HYPERLINK("https://youglish.com/pronounce/需求计划技术支持/chinese","🔍")</f>
        <v/>
      </c>
    </row>
    <row r="1551" ht="42.75" customHeight="1" s="99">
      <c r="A1551" s="94" t="inlineStr">
        <is>
          <t>PDF_Tiếng trung Full BỘ BCT.pdf</t>
        </is>
      </c>
      <c r="B1551" s="95" t="inlineStr">
        <is>
          <t>702</t>
        </is>
      </c>
      <c r="C1551" s="94" t="inlineStr">
        <is>
          <t>供应链创新战略规划</t>
        </is>
      </c>
      <c r="D1551" s="94" t="inlineStr">
        <is>
          <t>Gōngyìngliàn Chuàngxīn Zhànlüè Guīhuà) - Strategic Planning for Innovative Practices in the Supply Chain - Lập kế hoạch Chiến lược cho các Thực hành Đổi mới trong Chuỗi cung ứng</t>
        </is>
      </c>
      <c r="E1551" s="94" t="inlineStr">
        <is>
          <t>702. 供应链创新战略规划 (Gōngyìngliàn Chuàngxīn Zhànlüè Guīhuà) - Strategic Planning for Innovative Practices in the Supply Chain - Lập kế hoạch Chiến lược cho các Thực hành Đổi mới trong Chuỗi cung ứng</t>
        </is>
      </c>
      <c r="F1551" s="115">
        <f>HYPERLINK("https://youglish.com/pronounce/供应链创新战略规划/chinese","🔍")</f>
        <v/>
      </c>
    </row>
    <row r="1552" ht="42.75" customHeight="1" s="99">
      <c r="A1552" s="92" t="inlineStr">
        <is>
          <t>PDF_Tiếng trung Full BỘ BCT.pdf</t>
        </is>
      </c>
      <c r="B1552" s="93" t="inlineStr">
        <is>
          <t>703</t>
        </is>
      </c>
      <c r="C1552" s="92" t="inlineStr">
        <is>
          <t>物料供应链数字化转型</t>
        </is>
      </c>
      <c r="D1552" s="92" t="inlineStr">
        <is>
          <t>Wùliào Gōngyìngliàn Shùzìhuà Zhuǎnxíng) - Digital Transformation in Material Supply Chains - Chuyển đổi Số hóa trong Chuỗi cung ứng Vật liệu</t>
        </is>
      </c>
      <c r="E1552" s="92" t="inlineStr">
        <is>
          <t>703. 物料供应链数字化转型 (Wùliào Gōngyìngliàn Shùzìhuà Zhuǎnxíng) - Digital Transformation in Material Supply Chains - Chuyển đổi Số hóa trong Chuỗi cung ứng Vật liệu</t>
        </is>
      </c>
      <c r="F1552" s="114">
        <f>HYPERLINK("https://youglish.com/pronounce/物料供应链数字化转型/chinese","🔍")</f>
        <v/>
      </c>
    </row>
    <row r="1553" ht="42.75" customHeight="1" s="99">
      <c r="A1553" s="94" t="inlineStr">
        <is>
          <t>PDF_Tiếng trung Full BỘ BCT.pdf</t>
        </is>
      </c>
      <c r="B1553" s="95" t="inlineStr">
        <is>
          <t>704</t>
        </is>
      </c>
      <c r="C1553" s="94" t="inlineStr">
        <is>
          <t>供应商供应链质量认证</t>
        </is>
      </c>
      <c r="D1553" s="94" t="inlineStr">
        <is>
          <t>Gōngyìngshāng Gòngyìngliàn Zhìliàng Rènzhèng) - Quality Certification in Vendor Supply Chains - Chứng nhận Chất lượng trong Chuỗi cung ứng của Nhà cung cấp</t>
        </is>
      </c>
      <c r="E1553" s="94" t="inlineStr">
        <is>
          <t>704. 供应商供应链质量认证 (Gōngyìngshāng Gòngyìngliàn Zhìliàng Rènzhèng) - Quality Certification in Vendor Supply Chains - Chứng nhận Chất lượng trong Chuỗi cung ứng của Nhà cung cấp</t>
        </is>
      </c>
      <c r="F1553" s="115">
        <f>HYPERLINK("https://youglish.com/pronounce/供应商供应链质量认证/chinese","🔍")</f>
        <v/>
      </c>
    </row>
    <row r="1554" ht="42.75" customHeight="1" s="99">
      <c r="A1554" s="92" t="inlineStr">
        <is>
          <t>PDF_Tiếng trung Full BỘ BCT.pdf</t>
        </is>
      </c>
      <c r="B1554" s="93" t="inlineStr">
        <is>
          <t>705</t>
        </is>
      </c>
      <c r="C1554" s="92" t="inlineStr">
        <is>
          <t>生产线紧急响应计划</t>
        </is>
      </c>
      <c r="D1554" s="92" t="inlineStr">
        <is>
          <t>Shēngchǎn Xiàn Jǐnjí Xiǎngyìng Jìhuà) - Emergency Response Plans in Production Lines - Kế hoạch Ứng phó Khẩn cấp trong Dây chuyền Sản xuất</t>
        </is>
      </c>
      <c r="E1554" s="92" t="inlineStr">
        <is>
          <t>705. 生产线紧急响应计划 (Shēngchǎn Xiàn Jǐnjí Xiǎngyìng Jìhuà) - Emergency Response Plans in Production Lines - Kế hoạch Ứng phó Khẩn cấp trong Dây chuyền Sản xuất</t>
        </is>
      </c>
      <c r="F1554" s="114">
        <f>HYPERLINK("https://youglish.com/pronounce/生产线紧急响应计划/chinese","🔍")</f>
        <v/>
      </c>
    </row>
    <row r="1555" ht="42.75" customHeight="1" s="99">
      <c r="A1555" s="94" t="inlineStr">
        <is>
          <t>PDF_Tiếng trung Full BỘ BCT.pdf</t>
        </is>
      </c>
      <c r="B1555" s="95" t="inlineStr">
        <is>
          <t>706</t>
        </is>
      </c>
      <c r="C1555" s="94" t="inlineStr">
        <is>
          <t>需求计划信息透明度</t>
        </is>
      </c>
      <c r="D1555" s="94" t="inlineStr">
        <is>
          <t>Xūqiú Jìhuà Xìnxī Tòumíngdù) - Transparency of Information in Demand Planning - Tính minh bạch của Thông tin trong Kế hoạch Nhu cầu</t>
        </is>
      </c>
      <c r="E1555" s="94" t="inlineStr">
        <is>
          <t>706. 需求计划信息透明度 (Xūqiú Jìhuà Xìnxī Tòumíngdù) - Transparency of Information in Demand Planning - Tính minh bạch của Thông tin trong Kế hoạch Nhu cầu</t>
        </is>
      </c>
      <c r="F1555" s="115">
        <f>HYPERLINK("https://youglish.com/pronounce/需求计划信息透明度/chinese","🔍")</f>
        <v/>
      </c>
    </row>
    <row r="1556" ht="42.75" customHeight="1" s="99">
      <c r="A1556" s="92" t="inlineStr">
        <is>
          <t>PDF_Tiếng trung Full BỘ BCT.pdf</t>
        </is>
      </c>
      <c r="B1556" s="93" t="inlineStr">
        <is>
          <t>707</t>
        </is>
      </c>
      <c r="C1556" s="92" t="inlineStr">
        <is>
          <t>供应链风险管理策略</t>
        </is>
      </c>
      <c r="D1556" s="92" t="inlineStr">
        <is>
          <t>Gōngyìngliàn Fēngxiǎn Guǎnlǐ Cèlüè) - Risk Management Strategies in the Supply Chain - Chiến lược Quản lý Rủi ro trong Chuỗi cung ứng</t>
        </is>
      </c>
      <c r="E1556" s="92" t="inlineStr">
        <is>
          <t>707. 供应链风险管理策略 (Gōngyìngliàn Fēngxiǎn Guǎnlǐ Cèlüè) - Risk Management Strategies in the Supply Chain - Chiến lược Quản lý Rủi ro trong Chuỗi cung ứng</t>
        </is>
      </c>
      <c r="F1556" s="114">
        <f>HYPERLINK("https://youglish.com/pronounce/供应链风险管理策略/chinese","🔍")</f>
        <v/>
      </c>
    </row>
    <row r="1557" ht="42.75" customHeight="1" s="99">
      <c r="A1557" s="94" t="inlineStr">
        <is>
          <t>PDF_Tiếng trung Full BỘ BCT.pdf</t>
        </is>
      </c>
      <c r="B1557" s="95" t="inlineStr">
        <is>
          <t>708</t>
        </is>
      </c>
      <c r="C1557" s="94" t="inlineStr">
        <is>
          <t>物流仓库防火安全措施</t>
        </is>
      </c>
      <c r="D1557" s="94" t="inlineStr">
        <is>
          <t>Wùliú Cāngkù Fánghuǒ Ānquán Cuòshī) - Fire Safety Measures in Logistics Warehousing - Biện pháp An toàn chống Cháy trong Kho vận Logistics</t>
        </is>
      </c>
      <c r="E1557" s="94" t="inlineStr">
        <is>
          <t>708. 物流仓库防火安全措施 (Wùliú Cāngkù Fánghuǒ Ānquán Cuòshī) - Fire Safety Measures in Logistics Warehousing - Biện pháp An toàn chống Cháy trong Kho vận Logistics</t>
        </is>
      </c>
      <c r="F1557" s="115">
        <f>HYPERLINK("https://youglish.com/pronounce/物流仓库防火安全措施/chinese","🔍")</f>
        <v/>
      </c>
    </row>
    <row r="1558" ht="42.75" customHeight="1" s="99">
      <c r="A1558" s="92" t="inlineStr">
        <is>
          <t>PDF_Tiếng trung Full BỘ BCT.pdf</t>
        </is>
      </c>
      <c r="B1558" s="93" t="inlineStr">
        <is>
          <t>709</t>
        </is>
      </c>
      <c r="C1558" s="92" t="inlineStr">
        <is>
          <t>生产线智能制造应用</t>
        </is>
      </c>
      <c r="D1558" s="92" t="inlineStr">
        <is>
          <t>Shēngchǎn Xiàn Zhìnéng Zhìzào Yìngyòng) - Application of Intelligent Manufacturing in Production Lines - Ứng dụng Chế tạo Thông minh trong Dây chuyền Sản xuất</t>
        </is>
      </c>
      <c r="E1558" s="92" t="inlineStr">
        <is>
          <t>709. 生产线智能制造应用 (Shēngchǎn Xiàn Zhìnéng Zhìzào Yìngyòng) - Application of Intelligent Manufacturing in Production Lines - Ứng dụng Chế tạo Thông minh trong Dây chuyền Sản xuất</t>
        </is>
      </c>
      <c r="F1558" s="114">
        <f>HYPERLINK("https://youglish.com/pronounce/生产线智能制造应用/chinese","🔍")</f>
        <v/>
      </c>
    </row>
    <row r="1559" ht="42.75" customHeight="1" s="99">
      <c r="A1559" s="94" t="inlineStr">
        <is>
          <t>PDF_Tiếng trung Full BỘ BCT.pdf</t>
        </is>
      </c>
      <c r="B1559" s="95" t="inlineStr">
        <is>
          <t>710</t>
        </is>
      </c>
      <c r="C1559" s="94" t="inlineStr">
        <is>
          <t>货物追溯防伪溯源技术</t>
        </is>
      </c>
      <c r="D1559" s="94" t="inlineStr">
        <is>
          <t>Huòwù Zhuīsù Fángwěi Sùyuán Jìshù) - Anti-counterfeiting and Traceability Technologies in Cargo Traceability - Công nghệ Chống giả mạo và Theo dõi nguồn gốc trong Theo dõi Hàng hóa</t>
        </is>
      </c>
      <c r="E1559" s="94" t="inlineStr">
        <is>
          <t>710. 货物追溯防伪溯源技术 (Huòwù Zhuīsù Fángwěi Sùyuán Jìshù) - Anti-counterfeiting and Traceability Technologies in Cargo Traceability - Công nghệ Chống giả mạo và Theo dõi nguồn gốc trong Theo dõi Hàng hóa</t>
        </is>
      </c>
      <c r="F1559" s="115">
        <f>HYPERLINK("https://youglish.com/pronounce/货物追溯防伪溯源技术/chinese","🔍")</f>
        <v/>
      </c>
    </row>
    <row r="1560" ht="42.75" customHeight="1" s="99">
      <c r="A1560" s="92" t="inlineStr">
        <is>
          <t>PDF_Tiếng trung Full BỘ BCT.pdf</t>
        </is>
      </c>
      <c r="B1560" s="93" t="inlineStr">
        <is>
          <t>711</t>
        </is>
      </c>
      <c r="C1560" s="92" t="inlineStr">
        <is>
          <t>供应商供应链战略伙伴</t>
        </is>
      </c>
      <c r="D1560" s="92" t="inlineStr">
        <is>
          <t>Gōngyìngshāng Gòngyìngliàn Zhànlüè Huǒbàn) - Strategic Partnerships in Vendor Supply Chains - Đối tác Chiến lược trong Chuỗi cung ứng của Nhà cung cấp</t>
        </is>
      </c>
      <c r="E1560" s="92" t="inlineStr">
        <is>
          <t>711. 供应商供应链战略伙伴 (Gōngyìngshāng Gòngyìngliàn Zhànlüè Huǒbàn) - Strategic Partnerships in Vendor Supply Chains - Đối tác Chiến lược trong Chuỗi cung ứng của Nhà cung cấp</t>
        </is>
      </c>
      <c r="F1560" s="114">
        <f>HYPERLINK("https://youglish.com/pronounce/供应商供应链战略伙伴/chinese","🔍")</f>
        <v/>
      </c>
    </row>
    <row r="1561" ht="57" customHeight="1" s="99">
      <c r="A1561" s="94" t="inlineStr">
        <is>
          <t>PDF_Tiếng trung Full BỘ BCT.pdf</t>
        </is>
      </c>
      <c r="B1561" s="95" t="inlineStr">
        <is>
          <t>712</t>
        </is>
      </c>
      <c r="C1561" s="94" t="inlineStr">
        <is>
          <t>物流仓储节能环保方案</t>
        </is>
      </c>
      <c r="D1561" s="94" t="inlineStr">
        <is>
          <t>Wùliú Cāngchǔ Jié néng Huánbǎo Fāng'àn) - Energy-saving and Environmental Protection Solutions in Logistics Warehousing - Giải pháp Tiết kiệm Năng lượng và Bảo vệ Môi trường trong Kho vận Logistics</t>
        </is>
      </c>
      <c r="E1561" s="94" t="inlineStr">
        <is>
          <t>712. 物流仓储节能环保方案 (Wùliú Cāngchǔ Jié néng Huánbǎo Fāng'àn) - Energy-saving and Environmental Protection Solutions in Logistics Warehousing - Giải pháp Tiết kiệm Năng lượng và Bảo vệ Môi trường trong Kho vận Logistics</t>
        </is>
      </c>
      <c r="F1561" s="115">
        <f>HYPERLINK("https://youglish.com/pronounce/物流仓储节能环保方案/chinese","🔍")</f>
        <v/>
      </c>
    </row>
    <row r="1562" ht="42.75" customHeight="1" s="99">
      <c r="A1562" s="92" t="inlineStr">
        <is>
          <t>PDF_Tiếng trung Full BỘ BCT.pdf</t>
        </is>
      </c>
      <c r="B1562" s="93" t="inlineStr">
        <is>
          <t>713</t>
        </is>
      </c>
      <c r="C1562" s="92" t="inlineStr">
        <is>
          <t>生产线制度培训计划</t>
        </is>
      </c>
      <c r="D1562" s="92" t="inlineStr">
        <is>
          <t>Shēngchǎn Xiàn Zhìdù Péixùn Jìhuà) - Training Plans for System Procedures in Production Lines - Kế hoạch Đào tạo về Quy trình Hệ thống trong Dây chuyền Sản xuất</t>
        </is>
      </c>
      <c r="E1562" s="92" t="inlineStr">
        <is>
          <t>713. 生产线制度培训计划 (Shēngchǎn Xiàn Zhìdù Péixùn Jìhuà) - Training Plans for System Procedures in Production Lines - Kế hoạch Đào tạo về Quy trình Hệ thống trong Dây chuyền Sản xuất</t>
        </is>
      </c>
      <c r="F1562" s="114">
        <f>HYPERLINK("https://youglish.com/pronounce/生产线制度培训计划/chinese","🔍")</f>
        <v/>
      </c>
    </row>
    <row r="1563" ht="42.75" customHeight="1" s="99">
      <c r="A1563" s="94" t="inlineStr">
        <is>
          <t>PDF_Tiếng trung Full BỘ BCT.pdf</t>
        </is>
      </c>
      <c r="B1563" s="95" t="inlineStr">
        <is>
          <t>714</t>
        </is>
      </c>
      <c r="C1563" s="94" t="inlineStr">
        <is>
          <t>需求计划执行监控系统</t>
        </is>
      </c>
      <c r="D1563" s="94" t="inlineStr">
        <is>
          <t>Xūqiú Jìhuà Zhíxíng Jiānzhù Xìtǒng) - Monitoring Systems for Demand Planning Execution - Hệ thống Giám sát cho Quy trình Thực hiện Kế hoạch Nhu cầu</t>
        </is>
      </c>
      <c r="E1563" s="94" t="inlineStr">
        <is>
          <t>714. 需求计划执行监控系统 (Xūqiú Jìhuà Zhíxíng Jiānzhù Xìtǒng) - Monitoring Systems for Demand Planning Execution - Hệ thống Giám sát cho Quy trình Thực hiện Kế hoạch Nhu cầu</t>
        </is>
      </c>
      <c r="F1563" s="115">
        <f>HYPERLINK("https://youglish.com/pronounce/需求计划执行监控系统/chinese","🔍")</f>
        <v/>
      </c>
    </row>
    <row r="1564" ht="28.5" customHeight="1" s="99">
      <c r="A1564" s="92" t="inlineStr">
        <is>
          <t>PDF_Tiếng trung Full BỘ BCT.pdf</t>
        </is>
      </c>
      <c r="B1564" s="93" t="inlineStr">
        <is>
          <t>715</t>
        </is>
      </c>
      <c r="C1564" s="92" t="inlineStr">
        <is>
          <t>供应链数字化战略</t>
        </is>
      </c>
      <c r="D1564" s="92" t="inlineStr">
        <is>
          <t>Gōngyìngliàn Shùzìhuà Zhànlüè) - Digitalization Strategies in the Supply Chain - Chiến lược Số hóa trong Chuỗi cung ứng</t>
        </is>
      </c>
      <c r="E1564" s="92" t="inlineStr">
        <is>
          <t>715. 供应链数字化战略 (Gōngyìngliàn Shùzìhuà Zhànlüè) - Digitalization Strategies in the Supply Chain - Chiến lược Số hóa trong Chuỗi cung ứng</t>
        </is>
      </c>
      <c r="F1564" s="114">
        <f>HYPERLINK("https://youglish.com/pronounce/供应链数字化战略/chinese","🔍")</f>
        <v/>
      </c>
    </row>
    <row r="1565" ht="42.75" customHeight="1" s="99">
      <c r="A1565" s="94" t="inlineStr">
        <is>
          <t>PDF_Tiếng trung Full BỘ BCT.pdf</t>
        </is>
      </c>
      <c r="B1565" s="95" t="inlineStr">
        <is>
          <t>716</t>
        </is>
      </c>
      <c r="C1565" s="94" t="inlineStr">
        <is>
          <t>生产线质量认证标准</t>
        </is>
      </c>
      <c r="D1565" s="94" t="inlineStr">
        <is>
          <t>Shēngchǎn Xiàn Zhìliàng Rènzhèng Biāozhǔn) - Quality Certification Standards in Production Lines - Tiêu chuẩn Chứng nhận Chất lượng trong Dây chuyền Sản xuất</t>
        </is>
      </c>
      <c r="E1565" s="94" t="inlineStr">
        <is>
          <t>716. 生产线质量认证标准 (Shēngchǎn Xiàn Zhìliàng Rènzhèng Biāozhǔn) - Quality Certification Standards in Production Lines - Tiêu chuẩn Chứng nhận Chất lượng trong Dây chuyền Sản xuất</t>
        </is>
      </c>
      <c r="F1565" s="115">
        <f>HYPERLINK("https://youglish.com/pronounce/生产线质量认证标准/chinese","🔍")</f>
        <v/>
      </c>
    </row>
    <row r="1566" ht="42.75" customHeight="1" s="99">
      <c r="A1566" s="92" t="inlineStr">
        <is>
          <t>PDF_Tiếng trung Full BỘ BCT.pdf</t>
        </is>
      </c>
      <c r="B1566" s="93" t="inlineStr">
        <is>
          <t>717</t>
        </is>
      </c>
      <c r="C1566" s="92" t="inlineStr">
        <is>
          <t>货物追溯物联网应用</t>
        </is>
      </c>
      <c r="D1566" s="92" t="inlineStr">
        <is>
          <t>Huòwù Zhuīsù Wùliánwǎng Yìngyòng) - Internet of Things (IoT) Applications in Cargo Traceability - Ứng dụng Internet of Things (IoT) trong Theo dõi Hàng hóa</t>
        </is>
      </c>
      <c r="E1566" s="92" t="inlineStr">
        <is>
          <t>717. 货物追溯物联网应用 (Huòwù Zhuīsù Wùliánwǎng Yìngyòng) - Internet of Things (IoT) Applications in Cargo Traceability - Ứng dụng Internet of Things (IoT) trong Theo dõi Hàng hóa</t>
        </is>
      </c>
      <c r="F1566" s="114">
        <f>HYPERLINK("https://youglish.com/pronounce/货物追溯物联网应用/chinese","🔍")</f>
        <v/>
      </c>
    </row>
    <row r="1567" ht="28.5" customHeight="1" s="99">
      <c r="A1567" s="94" t="inlineStr">
        <is>
          <t>PDF_Tiếng trung Full BỘ BCT.pdf</t>
        </is>
      </c>
      <c r="B1567" s="95" t="inlineStr">
        <is>
          <t>718</t>
        </is>
      </c>
      <c r="C1567" s="94" t="inlineStr">
        <is>
          <t>供应商合规性审核</t>
        </is>
      </c>
      <c r="D1567" s="94" t="inlineStr">
        <is>
          <t>Gōngyìngshāng Héguīxìng Shěnzhèng) - Compliance Audits for Vendors - Kiểm định Tuân thủ cho Nhà cung cấp</t>
        </is>
      </c>
      <c r="E1567" s="94" t="inlineStr">
        <is>
          <t>718. 供应商合规性审核 (Gōngyìngshāng Héguīxìng Shěnzhèng) - Compliance Audits for Vendors - Kiểm định Tuân thủ cho Nhà cung cấp</t>
        </is>
      </c>
      <c r="F1567" s="115">
        <f>HYPERLINK("https://youglish.com/pronounce/供应商合规性审核/chinese","🔍")</f>
        <v/>
      </c>
    </row>
    <row r="1568" ht="42.75" customHeight="1" s="99">
      <c r="A1568" s="92" t="inlineStr">
        <is>
          <t>PDF_Tiếng trung Full BỘ BCT.pdf</t>
        </is>
      </c>
      <c r="B1568" s="93" t="inlineStr">
        <is>
          <t>719</t>
        </is>
      </c>
      <c r="C1568" s="92" t="inlineStr">
        <is>
          <t>物流仓库自动化设备</t>
        </is>
      </c>
      <c r="D1568" s="92" t="inlineStr">
        <is>
          <t>Wùliú Cāngkù Zìdòng Huà Shèbèi) - Automation Equipment in Logistics Warehousing - Thiết bị Tự động hóa trong Kho vận Logistics</t>
        </is>
      </c>
      <c r="E1568" s="92" t="inlineStr">
        <is>
          <t>719. 物流仓库自动化设备 (Wùliú Cāngkù Zìdòng Huà Shèbèi) - Automation Equipment in Logistics Warehousing - Thiết bị Tự động hóa trong Kho vận Logistics</t>
        </is>
      </c>
      <c r="F1568" s="114">
        <f>HYPERLINK("https://youglish.com/pronounce/物流仓库自动化设备/chinese","🔍")</f>
        <v/>
      </c>
    </row>
    <row r="1569" ht="42.75" customHeight="1" s="99">
      <c r="A1569" s="94" t="inlineStr">
        <is>
          <t>PDF_Tiếng trung Full BỘ BCT.pdf</t>
        </is>
      </c>
      <c r="B1569" s="95" t="inlineStr">
        <is>
          <t>720</t>
        </is>
      </c>
      <c r="C1569" s="94" t="inlineStr">
        <is>
          <t>生产线可追溯性体系</t>
        </is>
      </c>
      <c r="D1569" s="94" t="inlineStr">
        <is>
          <t>Shēngchǎn Xiàn Kě Zhuīsù Xìng Tǐxì) - Traceability Systems in Production Lines - Hệ thống Theo dõi trong Dây chuyền Sản xuất</t>
        </is>
      </c>
      <c r="E1569" s="94" t="inlineStr">
        <is>
          <t>720. 生产线可追溯性体系 (Shēngchǎn Xiàn Kě Zhuīsù Xìng Tǐxì) - Traceability Systems in Production Lines - Hệ thống Theo dõi trong Dây chuyền Sản xuất</t>
        </is>
      </c>
      <c r="F1569" s="115">
        <f>HYPERLINK("https://youglish.com/pronounce/生产线可追溯性体系/chinese","🔍")</f>
        <v/>
      </c>
    </row>
    <row r="1570" ht="42.75" customHeight="1" s="99">
      <c r="A1570" s="92" t="inlineStr">
        <is>
          <t>PDF_Tiếng trung Full BỘ BCT.pdf</t>
        </is>
      </c>
      <c r="B1570" s="93" t="inlineStr">
        <is>
          <t>721</t>
        </is>
      </c>
      <c r="C1570" s="92" t="inlineStr">
        <is>
          <t>需求计划变更通知策略</t>
        </is>
      </c>
      <c r="D1570" s="92" t="inlineStr">
        <is>
          <t>Xūqiú Jìhuà Biàngē Tōngzhī Cèlüè) - Strategies for Change Notification in Demand Planning - Chiến lược Thông báo về Sự thay đổi trong Kế hoạch Nhu cầu</t>
        </is>
      </c>
      <c r="E1570" s="92" t="inlineStr">
        <is>
          <t>721. 需求计划变更通知策略 (Xūqiú Jìhuà Biàngē Tōngzhī Cèlüè) - Strategies for Change Notification in Demand Planning - Chiến lược Thông báo về Sự thay đổi trong Kế hoạch Nhu cầu</t>
        </is>
      </c>
      <c r="F1570" s="114">
        <f>HYPERLINK("https://youglish.com/pronounce/需求计划变更通知策略/chinese","🔍")</f>
        <v/>
      </c>
    </row>
    <row r="1571" ht="42.75" customHeight="1" s="99">
      <c r="A1571" s="94" t="inlineStr">
        <is>
          <t>PDF_Tiếng trung Full BỘ BCT.pdf</t>
        </is>
      </c>
      <c r="B1571" s="95" t="inlineStr">
        <is>
          <t>722</t>
        </is>
      </c>
      <c r="C1571" s="94" t="inlineStr">
        <is>
          <t>供应链风险应急计划</t>
        </is>
      </c>
      <c r="D1571" s="94" t="inlineStr">
        <is>
          <t>Gōngyìngliàn Fēngxiǎn Yìngjí Jìhuà) - Emergency Plans for Risk Management in the Supply Chain - Kế hoạch Khẩn cấp cho Quản lý Rủi ro trong Chuỗi cung ứng</t>
        </is>
      </c>
      <c r="E1571" s="94" t="inlineStr">
        <is>
          <t>722. 供应链风险应急计划 (Gōngyìngliàn Fēngxiǎn Yìngjí Jìhuà) - Emergency Plans for Risk Management in the Supply Chain - Kế hoạch Khẩn cấp cho Quản lý Rủi ro trong Chuỗi cung ứng</t>
        </is>
      </c>
      <c r="F1571" s="115">
        <f>HYPERLINK("https://youglish.com/pronounce/供应链风险应急计划/chinese","🔍")</f>
        <v/>
      </c>
    </row>
    <row r="1572" ht="42.75" customHeight="1" s="99">
      <c r="A1572" s="92" t="inlineStr">
        <is>
          <t>PDF_Tiếng trung Full BỘ BCT.pdf</t>
        </is>
      </c>
      <c r="B1572" s="93" t="inlineStr">
        <is>
          <t>723</t>
        </is>
      </c>
      <c r="C1572" s="92" t="inlineStr">
        <is>
          <t>物料供应链效能评估</t>
        </is>
      </c>
      <c r="D1572" s="92" t="inlineStr">
        <is>
          <t>Wùliào Gōngyìngliàn Xiàolǜ Pínggū) - Assessment of Efficiency in Material Supply Chains - Đánh giá Hiệu suất trong Chuỗi cung ứng Vật liệu</t>
        </is>
      </c>
      <c r="E1572" s="92" t="inlineStr">
        <is>
          <t>723. 物料供应链效能评估 (Wùliào Gōngyìngliàn Xiàolǜ Pínggū) - Assessment of Efficiency in Material Supply Chains - Đánh giá Hiệu suất trong Chuỗi cung ứng Vật liệu</t>
        </is>
      </c>
      <c r="F1572" s="114">
        <f>HYPERLINK("https://youglish.com/pronounce/物料供应链效能评估/chinese","🔍")</f>
        <v/>
      </c>
    </row>
    <row r="1573" ht="42.75" customHeight="1" s="99">
      <c r="A1573" s="94" t="inlineStr">
        <is>
          <t>PDF_Tiếng trung Full BỘ BCT.pdf</t>
        </is>
      </c>
      <c r="B1573" s="95" t="inlineStr">
        <is>
          <t>724</t>
        </is>
      </c>
      <c r="C1573" s="94" t="inlineStr">
        <is>
          <t>供应商危机管理计划</t>
        </is>
      </c>
      <c r="D1573" s="94" t="inlineStr">
        <is>
          <t>Gōngyìngshāng Wēijī Guǎnlǐ Jìhuà) - Crisis Management Plans for Vendors - Kế hoạch Quản lý Khủng hoảng cho Nhà cung cấp</t>
        </is>
      </c>
      <c r="E1573" s="94" t="inlineStr">
        <is>
          <t>724. 供应商危机管理计划 (Gōngyìngshāng Wēijī Guǎnlǐ Jìhuà) - Crisis Management Plans for Vendors - Kế hoạch Quản lý Khủng hoảng cho Nhà cung cấp</t>
        </is>
      </c>
      <c r="F1573" s="115">
        <f>HYPERLINK("https://youglish.com/pronounce/供应商危机管理计划/chinese","🔍")</f>
        <v/>
      </c>
    </row>
    <row r="1574" ht="42.75" customHeight="1" s="99">
      <c r="A1574" s="92" t="inlineStr">
        <is>
          <t>PDF_Tiếng trung Full BỘ BCT.pdf</t>
        </is>
      </c>
      <c r="B1574" s="93" t="inlineStr">
        <is>
          <t>725</t>
        </is>
      </c>
      <c r="C1574" s="92" t="inlineStr">
        <is>
          <t>生产线数字化运维</t>
        </is>
      </c>
      <c r="D1574" s="92" t="inlineStr">
        <is>
          <t>Shēngchǎn Xiàn Shùzìhuà Yùnwéi) - Digital Operations in Production Lines - Quản lý Hoạt động Số hóa trong Dây chuyền Sản xuất</t>
        </is>
      </c>
      <c r="E1574" s="92" t="inlineStr">
        <is>
          <t>725. 生产线数字化运维 (Shēngchǎn Xiàn Shùzìhuà Yùnwéi) - Digital Operations in Production Lines - Quản lý Hoạt động Số hóa trong Dây chuyền Sản xuất</t>
        </is>
      </c>
      <c r="F1574" s="114">
        <f>HYPERLINK("https://youglish.com/pronounce/生产线数字化运维/chinese","🔍")</f>
        <v/>
      </c>
    </row>
    <row r="1575" ht="42.75" customHeight="1" s="99">
      <c r="A1575" s="94" t="inlineStr">
        <is>
          <t>PDF_Tiếng trung Full BỘ BCT.pdf</t>
        </is>
      </c>
      <c r="B1575" s="95" t="inlineStr">
        <is>
          <t>726</t>
        </is>
      </c>
      <c r="C1575" s="94" t="inlineStr">
        <is>
          <t>供应链合作伙伴关系</t>
        </is>
      </c>
      <c r="D1575" s="94" t="inlineStr">
        <is>
          <t>Gōngyìngliàn Hézuò Huǒbàn Guānxì) - Collaboration Partnerships in the Supply Chain - Đối tác Hợp tác trong Chuỗi cung ứng</t>
        </is>
      </c>
      <c r="E1575" s="94" t="inlineStr">
        <is>
          <t>726. 供应链合作伙伴关系 (Gōngyìngliàn Hézuò Huǒbàn Guānxì) - Collaboration Partnerships in the Supply Chain - Đối tác Hợp tác trong Chuỗi cung ứng</t>
        </is>
      </c>
      <c r="F1575" s="115">
        <f>HYPERLINK("https://youglish.com/pronounce/供应链合作伙伴关系/chinese","🔍")</f>
        <v/>
      </c>
    </row>
    <row r="1576" ht="42.75" customHeight="1" s="99">
      <c r="A1576" s="92" t="inlineStr">
        <is>
          <t>PDF_Tiếng trung Full BỘ BCT.pdf</t>
        </is>
      </c>
      <c r="B1576" s="93" t="inlineStr">
        <is>
          <t>727</t>
        </is>
      </c>
      <c r="C1576" s="92" t="inlineStr">
        <is>
          <t>物流仓库温湿度监测</t>
        </is>
      </c>
      <c r="D1576" s="92" t="inlineStr">
        <is>
          <t>Wùliú Cāngkù Wēn Shīdù Jiāncè) - Monitoring Temperature and Humidity in Logistics Warehousing - Giám sát Nhiệt độ và Độ ẩm trong Kho vận Logistics</t>
        </is>
      </c>
      <c r="E1576" s="92" t="inlineStr">
        <is>
          <t>727. 物流仓库温湿度监测 (Wùliú Cāngkù Wēn Shīdù Jiāncè) - Monitoring Temperature and Humidity in Logistics Warehousing - Giám sát Nhiệt độ và Độ ẩm trong Kho vận Logistics</t>
        </is>
      </c>
      <c r="F1576" s="114">
        <f>HYPERLINK("https://youglish.com/pronounce/物流仓库温湿度监测/chinese","🔍")</f>
        <v/>
      </c>
    </row>
    <row r="1577" ht="42.75" customHeight="1" s="99">
      <c r="A1577" s="94" t="inlineStr">
        <is>
          <t>PDF_Tiếng trung Full BỘ BCT.pdf</t>
        </is>
      </c>
      <c r="B1577" s="95" t="inlineStr">
        <is>
          <t>728</t>
        </is>
      </c>
      <c r="C1577" s="94" t="inlineStr">
        <is>
          <t>货物追溯标准合规</t>
        </is>
      </c>
      <c r="D1577" s="94" t="inlineStr">
        <is>
          <t>Huòwù Zhuīsù Biāozhǔn Héguī) - Compliance with Standardization in Cargo Traceability - Tuân thủ Tiêu chuẩn hóa trong Theo dõi Hàng hóa</t>
        </is>
      </c>
      <c r="E1577" s="94" t="inlineStr">
        <is>
          <t>728. 货物追溯标准合规 (Huòwù Zhuīsù Biāozhǔn Héguī) - Compliance with Standardization in Cargo Traceability - Tuân thủ Tiêu chuẩn hóa trong Theo dõi Hàng hóa</t>
        </is>
      </c>
      <c r="F1577" s="115">
        <f>HYPERLINK("https://youglish.com/pronounce/货物追溯标准合规/chinese","🔍")</f>
        <v/>
      </c>
    </row>
    <row r="1578" ht="42.75" customHeight="1" s="99">
      <c r="A1578" s="92" t="inlineStr">
        <is>
          <t>PDF_Tiếng trung Full BỘ BCT.pdf</t>
        </is>
      </c>
      <c r="B1578" s="93" t="inlineStr">
        <is>
          <t>729</t>
        </is>
      </c>
      <c r="C1578" s="92" t="inlineStr">
        <is>
          <t>物流仓储安全管理</t>
        </is>
      </c>
      <c r="D1578" s="92" t="inlineStr">
        <is>
          <t>Wùliú Cāngchǔ Ānquán Guǎnlǐ) - Security Management in Logistics Warehousing - Quản lý An toàn trong Kho vận Logistics</t>
        </is>
      </c>
      <c r="E1578" s="92" t="inlineStr">
        <is>
          <t>729. 物流仓储安全管理 (Wùliú Cāngchǔ Ānquán Guǎnlǐ) - Security Management in Logistics Warehousing - Quản lý An toàn trong Kho vận Logistics</t>
        </is>
      </c>
      <c r="F1578" s="114">
        <f>HYPERLINK("https://youglish.com/pronounce/物流仓储安全管理/chinese","🔍")</f>
        <v/>
      </c>
    </row>
    <row r="1579" ht="42.75" customHeight="1" s="99">
      <c r="A1579" s="94" t="inlineStr">
        <is>
          <t>PDF_Tiếng trung Full BỘ BCT.pdf</t>
        </is>
      </c>
      <c r="B1579" s="95" t="inlineStr">
        <is>
          <t>730</t>
        </is>
      </c>
      <c r="C1579" s="94" t="inlineStr">
        <is>
          <t>生产线过程优化方法</t>
        </is>
      </c>
      <c r="D1579" s="94" t="inlineStr">
        <is>
          <t>Shēngchǎn Xiàn Guòchéng Yōuhuà Fāngfǎ) - Methods for Process Optimization in Production Lines - Phương pháp Tối ưu hóa Quy trình trong Dây chuyền Sản xuất</t>
        </is>
      </c>
      <c r="E1579" s="94" t="inlineStr">
        <is>
          <t>730. 生产线过程优化方法 (Shēngchǎn Xiàn Guòchéng Yōuhuà Fāngfǎ) - Methods for Process Optimization in Production Lines - Phương pháp Tối ưu hóa Quy trình trong Dây chuyền Sản xuất</t>
        </is>
      </c>
      <c r="F1579" s="115">
        <f>HYPERLINK("https://youglish.com/pronounce/生产线过程优化方法/chinese","🔍")</f>
        <v/>
      </c>
    </row>
    <row r="1580" ht="42.75" customHeight="1" s="99">
      <c r="A1580" s="92" t="inlineStr">
        <is>
          <t>PDF_Tiếng trung Full BỘ BCT.pdf</t>
        </is>
      </c>
      <c r="B1580" s="93" t="inlineStr">
        <is>
          <t>731</t>
        </is>
      </c>
      <c r="C1580" s="92" t="inlineStr">
        <is>
          <t>供应链可持续发展计划</t>
        </is>
      </c>
      <c r="D1580" s="92" t="inlineStr">
        <is>
          <t>Gōngyìngliàn Kěchíxù Fāzhǎn Jìhuà) - Sustainable Development Plans in the Supply Chain - Kế hoạch Phát triển Bền vững trong Chuỗi cung ứng</t>
        </is>
      </c>
      <c r="E1580" s="92" t="inlineStr">
        <is>
          <t>731. 供应链可持续发展计划 (Gōngyìngliàn Kěchíxù Fāzhǎn Jìhuà) - Sustainable Development Plans in the Supply Chain - Kế hoạch Phát triển Bền vững trong Chuỗi cung ứng</t>
        </is>
      </c>
      <c r="F1580" s="114">
        <f>HYPERLINK("https://youglish.com/pronounce/供应链可持续发展计划/chinese","🔍")</f>
        <v/>
      </c>
    </row>
    <row r="1581" ht="42.75" customHeight="1" s="99">
      <c r="A1581" s="94" t="inlineStr">
        <is>
          <t>PDF_Tiếng trung Full BỘ BCT.pdf</t>
        </is>
      </c>
      <c r="B1581" s="95" t="inlineStr">
        <is>
          <t>732</t>
        </is>
      </c>
      <c r="C1581" s="94" t="inlineStr">
        <is>
          <t>生产线卫生与安全规定</t>
        </is>
      </c>
      <c r="D1581" s="94" t="inlineStr">
        <is>
          <t>Shēngchǎn Xiàn Wèishēng Yǔ Ānquán Guīdìng) - Health and Safety Regulations in Production Lines - Quy định An toàn và Sức khỏe trong Dây chuyền Sản xuất</t>
        </is>
      </c>
      <c r="E1581" s="94" t="inlineStr">
        <is>
          <t>732. 生产线卫生与安全规定 (Shēngchǎn Xiàn Wèishēng Yǔ Ānquán Guīdìng) - Health and Safety Regulations in Production Lines - Quy định An toàn và Sức khỏe trong Dây chuyền Sản xuất</t>
        </is>
      </c>
      <c r="F1581" s="115">
        <f>HYPERLINK("https://youglish.com/pronounce/生产线卫生与安全规定/chinese","🔍")</f>
        <v/>
      </c>
    </row>
    <row r="1582" ht="42.75" customHeight="1" s="99">
      <c r="A1582" s="92" t="inlineStr">
        <is>
          <t>PDF_Tiếng trung Full BỘ BCT.pdf</t>
        </is>
      </c>
      <c r="B1582" s="93" t="inlineStr">
        <is>
          <t>733</t>
        </is>
      </c>
      <c r="C1582" s="92" t="inlineStr">
        <is>
          <t>货物追溯质量检测</t>
        </is>
      </c>
      <c r="D1582" s="92" t="inlineStr">
        <is>
          <t>Huòwù Zhuīsù Zhìliàng Jiǎncè) - Quality Inspection in Cargo Traceability - Kiểm tra Chất lượng trong Theo dõi Hàng hóa</t>
        </is>
      </c>
      <c r="E1582" s="92" t="inlineStr">
        <is>
          <t>733. 货物追溯质量检测 (Huòwù Zhuīsù Zhìliàng Jiǎncè) - Quality Inspection in Cargo Traceability - Kiểm tra Chất lượng trong Theo dõi Hàng hóa</t>
        </is>
      </c>
      <c r="F1582" s="114">
        <f>HYPERLINK("https://youglish.com/pronounce/货物追溯质量检测/chinese","🔍")</f>
        <v/>
      </c>
    </row>
    <row r="1583" ht="42.75" customHeight="1" s="99">
      <c r="A1583" s="94" t="inlineStr">
        <is>
          <t>PDF_Tiếng trung Full BỘ BCT.pdf</t>
        </is>
      </c>
      <c r="B1583" s="95" t="inlineStr">
        <is>
          <t>734</t>
        </is>
      </c>
      <c r="C1583" s="94" t="inlineStr">
        <is>
          <t>供应商供应链可视化</t>
        </is>
      </c>
      <c r="D1583" s="94" t="inlineStr">
        <is>
          <t>Gōngyìngshāng Gòngyìngliàn Kěshìhuà) - Visualization in Vendor Supply Chains - Hiển thị Hóa trong Chuỗi cung ứng của Nhà cung cấp</t>
        </is>
      </c>
      <c r="E1583" s="94" t="inlineStr">
        <is>
          <t>734. 供应商供应链可视化 (Gōngyìngshāng Gòngyìngliàn Kěshìhuà) - Visualization in Vendor Supply Chains - Hiển thị Hóa trong Chuỗi cung ứng của Nhà cung cấp</t>
        </is>
      </c>
      <c r="F1583" s="115">
        <f>HYPERLINK("https://youglish.com/pronounce/供应商供应链可视化/chinese","🔍")</f>
        <v/>
      </c>
    </row>
    <row r="1584" ht="42.75" customHeight="1" s="99">
      <c r="A1584" s="92" t="inlineStr">
        <is>
          <t>PDF_Tiếng trung Full BỘ BCT.pdf</t>
        </is>
      </c>
      <c r="B1584" s="93" t="inlineStr">
        <is>
          <t>735</t>
        </is>
      </c>
      <c r="C1584" s="92" t="inlineStr">
        <is>
          <t>物流仓储智能仓库系统</t>
        </is>
      </c>
      <c r="D1584" s="92" t="inlineStr">
        <is>
          <t>Wùliú Cāngchǔ Zhìnéng Cāngkù Xìtǒng) - Smart Warehouse Systems in Logistics Warehousing - Hệ thống Kho thông minh trong Kho vận Logistics</t>
        </is>
      </c>
      <c r="E1584" s="92" t="inlineStr">
        <is>
          <t>735. 物流仓储智能仓库系统 (Wùliú Cāngchǔ Zhìnéng Cāngkù Xìtǒng) - Smart Warehouse Systems in Logistics Warehousing - Hệ thống Kho thông minh trong Kho vận Logistics</t>
        </is>
      </c>
      <c r="F1584" s="114">
        <f>HYPERLINK("https://youglish.com/pronounce/物流仓储智能仓库系统/chinese","🔍")</f>
        <v/>
      </c>
    </row>
    <row r="1585" ht="42.75" customHeight="1" s="99">
      <c r="A1585" s="94" t="inlineStr">
        <is>
          <t>PDF_Tiếng trung Full BỘ BCT.pdf</t>
        </is>
      </c>
      <c r="B1585" s="95" t="inlineStr">
        <is>
          <t>736</t>
        </is>
      </c>
      <c r="C1585" s="94" t="inlineStr">
        <is>
          <t>生产线协同作业流程</t>
        </is>
      </c>
      <c r="D1585" s="94" t="inlineStr">
        <is>
          <t>Shēngchǎn Xiàn Xiétóng Zuòyè Liúchéng) - Collaborative Workflow in Production Lines - Quy trình Làm việc Hợp tác trong Dây chuyền Sản xuất</t>
        </is>
      </c>
      <c r="E1585" s="94" t="inlineStr">
        <is>
          <t>736. 生产线协同作业流程 (Shēngchǎn Xiàn Xiétóng Zuòyè Liúchéng) - Collaborative Workflow in Production Lines - Quy trình Làm việc Hợp tác trong Dây chuyền Sản xuất</t>
        </is>
      </c>
      <c r="F1585" s="115">
        <f>HYPERLINK("https://youglish.com/pronounce/生产线协同作业流程/chinese","🔍")</f>
        <v/>
      </c>
    </row>
    <row r="1586" ht="42.75" customHeight="1" s="99">
      <c r="A1586" s="92" t="inlineStr">
        <is>
          <t>PDF_Tiếng trung Full BỘ BCT.pdf</t>
        </is>
      </c>
      <c r="B1586" s="93" t="inlineStr">
        <is>
          <t>737</t>
        </is>
      </c>
      <c r="C1586" s="92" t="inlineStr">
        <is>
          <t>需求计划执行监控工具</t>
        </is>
      </c>
      <c r="D1586" s="92" t="inlineStr">
        <is>
          <t>Xūqiú Jìhuà Zhíxíng Jiānzhù Gōngjù) - Monitoring Tools for Demand Planning Execution - Công cụ Giám sát cho Quy trình Thực hiện Kế hoạch Nhu cầu</t>
        </is>
      </c>
      <c r="E1586" s="92" t="inlineStr">
        <is>
          <t>737. 需求计划执行监控工具 (Xūqiú Jìhuà Zhíxíng Jiānzhù Gōngjù) - Monitoring Tools for Demand Planning Execution - Công cụ Giám sát cho Quy trình Thực hiện Kế hoạch Nhu cầu</t>
        </is>
      </c>
      <c r="F1586" s="114">
        <f>HYPERLINK("https://youglish.com/pronounce/需求计划执行监控工具/chinese","🔍")</f>
        <v/>
      </c>
    </row>
    <row r="1587" ht="42.75" customHeight="1" s="99">
      <c r="A1587" s="94" t="inlineStr">
        <is>
          <t>PDF_Tiếng trung Full BỘ BCT.pdf</t>
        </is>
      </c>
      <c r="B1587" s="95" t="inlineStr">
        <is>
          <t>738</t>
        </is>
      </c>
      <c r="C1587" s="94" t="inlineStr">
        <is>
          <t>供应链风险评估模型</t>
        </is>
      </c>
      <c r="D1587" s="94" t="inlineStr">
        <is>
          <t>Gōngyìngliàn Fēngxiǎn Pínggū Móxíng) - Risk Assessment Models in the Supply Chain - Mô hình Đánh giá Rủi ro trong Chuỗi cung ứng</t>
        </is>
      </c>
      <c r="E1587" s="94" t="inlineStr">
        <is>
          <t>738. 供应链风险评估模型 (Gōngyìngliàn Fēngxiǎn Pínggū Móxíng) - Risk Assessment Models in the Supply Chain - Mô hình Đánh giá Rủi ro trong Chuỗi cung ứng</t>
        </is>
      </c>
      <c r="F1587" s="115">
        <f>HYPERLINK("https://youglish.com/pronounce/供应链风险评估模型/chinese","🔍")</f>
        <v/>
      </c>
    </row>
    <row r="1588" ht="42.75" customHeight="1" s="99">
      <c r="A1588" s="92" t="inlineStr">
        <is>
          <t>PDF_Tiếng trung Full BỘ BCT.pdf</t>
        </is>
      </c>
      <c r="B1588" s="93" t="inlineStr">
        <is>
          <t>739</t>
        </is>
      </c>
      <c r="C1588" s="92" t="inlineStr">
        <is>
          <t>物料供应链数字双轨制度</t>
        </is>
      </c>
      <c r="D1588" s="92" t="inlineStr">
        <is>
          <t>Wùliào Gōngyìngliàn Shùzì Shuāng Guǐ Zhìdù) - Dual Digital Systems in Material Supply Chains - Hệ thống Số hóa Đối song trong Chuỗi cung ứng Vật liệu</t>
        </is>
      </c>
      <c r="E1588" s="92" t="inlineStr">
        <is>
          <t>739. 物料供应链数字双轨制度 (Wùliào Gōngyìngliàn Shùzì Shuāng Guǐ Zhìdù) - Dual Digital Systems in Material Supply Chains - Hệ thống Số hóa Đối song trong Chuỗi cung ứng Vật liệu</t>
        </is>
      </c>
      <c r="F1588" s="114">
        <f>HYPERLINK("https://youglish.com/pronounce/物料供应链数字双轨制度/chinese","🔍")</f>
        <v/>
      </c>
    </row>
    <row r="1589" ht="42.75" customHeight="1" s="99">
      <c r="A1589" s="94" t="inlineStr">
        <is>
          <t>PDF_Tiếng trung Full BỘ BCT.pdf</t>
        </is>
      </c>
      <c r="B1589" s="95" t="inlineStr">
        <is>
          <t>740</t>
        </is>
      </c>
      <c r="C1589" s="94" t="inlineStr">
        <is>
          <t>供应商业务连续性计划</t>
        </is>
      </c>
      <c r="D1589" s="94" t="inlineStr">
        <is>
          <t>Gōngyìngshāng Yèwù Liánxùxìng Jìhuà) - Business Continuity Plans for Vendors - Kế hoạch Liên tục Kinh doanh cho Nhà cung cấp</t>
        </is>
      </c>
      <c r="E1589" s="94" t="inlineStr">
        <is>
          <t>740. 供应商业务连续性计划 (Gōngyìngshāng Yèwù Liánxùxìng Jìhuà) - Business Continuity Plans for Vendors - Kế hoạch Liên tục Kinh doanh cho Nhà cung cấp</t>
        </is>
      </c>
      <c r="F1589" s="115">
        <f>HYPERLINK("https://youglish.com/pronounce/供应商业务连续性计划/chinese","🔍")</f>
        <v/>
      </c>
    </row>
    <row r="1590" ht="42.75" customHeight="1" s="99">
      <c r="A1590" s="92" t="inlineStr">
        <is>
          <t>PDF_Tiếng trung Full BỘ BCT.pdf</t>
        </is>
      </c>
      <c r="B1590" s="93" t="inlineStr">
        <is>
          <t>741</t>
        </is>
      </c>
      <c r="C1590" s="92" t="inlineStr">
        <is>
          <t>生产线能源效益改进</t>
        </is>
      </c>
      <c r="D1590" s="92" t="inlineStr">
        <is>
          <t>Shēngchǎn Xiàn Néngyuán Xiàoyì Gǎishàn) - Improvement in Energy Efficiency in Production Lines - Cải thiện Hiệu suất Năng lượng trong Dây chuyền Sản xuất</t>
        </is>
      </c>
      <c r="E1590" s="92" t="inlineStr">
        <is>
          <t>741. 生产线能源效益改进 (Shēngchǎn Xiàn Néngyuán Xiàoyì Gǎishàn) - Improvement in Energy Efficiency in Production Lines - Cải thiện Hiệu suất Năng lượng trong Dây chuyền Sản xuất</t>
        </is>
      </c>
      <c r="F1590" s="114">
        <f>HYPERLINK("https://youglish.com/pronounce/生产线能源效益改进/chinese","🔍")</f>
        <v/>
      </c>
    </row>
    <row r="1591" ht="42.75" customHeight="1" s="99">
      <c r="A1591" s="94" t="inlineStr">
        <is>
          <t>PDF_Tiếng trung Full BỘ BCT.pdf</t>
        </is>
      </c>
      <c r="B1591" s="95" t="inlineStr">
        <is>
          <t>742</t>
        </is>
      </c>
      <c r="C1591" s="94" t="inlineStr">
        <is>
          <t>需求计划执行监督流程</t>
        </is>
      </c>
      <c r="D1591" s="94" t="inlineStr">
        <is>
          <t>Xūqiú Jìhuà Zhíxíng Jiāndū Liúchéng) - Supervision Process in Demand Planning Execution - Quy trình Giám sát trong Quy trình Thực hiện Kế hoạch Nhu cầu</t>
        </is>
      </c>
      <c r="E1591" s="94" t="inlineStr">
        <is>
          <t>742. 需求计划执行监督流程 (Xūqiú Jìhuà Zhíxíng Jiāndū Liúchéng) - Supervision Process in Demand Planning Execution - Quy trình Giám sát trong Quy trình Thực hiện Kế hoạch Nhu cầu</t>
        </is>
      </c>
      <c r="F1591" s="115">
        <f>HYPERLINK("https://youglish.com/pronounce/需求计划执行监督流程/chinese","🔍")</f>
        <v/>
      </c>
    </row>
    <row r="1592" ht="42.75" customHeight="1" s="99">
      <c r="A1592" s="92" t="inlineStr">
        <is>
          <t>PDF_Tiếng trung Full BỘ BCT.pdf</t>
        </is>
      </c>
      <c r="B1592" s="93" t="inlineStr">
        <is>
          <t>743</t>
        </is>
      </c>
      <c r="C1592" s="92" t="inlineStr">
        <is>
          <t>供应链数字化交互模式</t>
        </is>
      </c>
      <c r="D1592" s="92" t="inlineStr">
        <is>
          <t>Gōngyìngliàn Shùzìhuà Jiāohù Móshì) - Interactive Digital Modes in the Supply Chain - Chế độ Tương tác Số hóa trong Chuỗi cung ứng</t>
        </is>
      </c>
      <c r="E1592" s="92" t="inlineStr">
        <is>
          <t>743. 供应链数字化交互模式 (Gōngyìngliàn Shùzìhuà Jiāohù Móshì) - Interactive Digital Modes in the Supply Chain - Chế độ Tương tác Số hóa trong Chuỗi cung ứng</t>
        </is>
      </c>
      <c r="F1592" s="114">
        <f>HYPERLINK("https://youglish.com/pronounce/供应链数字化交互模式/chinese","🔍")</f>
        <v/>
      </c>
    </row>
    <row r="1593" ht="42.75" customHeight="1" s="99">
      <c r="A1593" s="94" t="inlineStr">
        <is>
          <t>PDF_Tiếng trung Full BỘ BCT.pdf</t>
        </is>
      </c>
      <c r="B1593" s="95" t="inlineStr">
        <is>
          <t>744</t>
        </is>
      </c>
      <c r="C1593" s="94" t="inlineStr">
        <is>
          <t>物流仓储安全检查</t>
        </is>
      </c>
      <c r="D1593" s="94" t="inlineStr">
        <is>
          <t>Wùliú Cāngchǔ Ānquán Jiǎnchá) - Safety Inspections in Logistics Warehousing - Kiểm tra An toàn trong Kho vận Logistics</t>
        </is>
      </c>
      <c r="E1593" s="94" t="inlineStr">
        <is>
          <t>744. 物流仓储安全检查 (Wùliú Cāngchǔ Ānquán Jiǎnchá) - Safety Inspections in Logistics Warehousing - Kiểm tra An toàn trong Kho vận Logistics</t>
        </is>
      </c>
      <c r="F1593" s="115">
        <f>HYPERLINK("https://youglish.com/pronounce/物流仓储安全检查/chinese","🔍")</f>
        <v/>
      </c>
    </row>
    <row r="1594" ht="42.75" customHeight="1" s="99">
      <c r="A1594" s="92" t="inlineStr">
        <is>
          <t>PDF_Tiếng trung Full BỘ BCT.pdf</t>
        </is>
      </c>
      <c r="B1594" s="93" t="inlineStr">
        <is>
          <t>745</t>
        </is>
      </c>
      <c r="C1594" s="92" t="inlineStr">
        <is>
          <t>生产线智能制造技术</t>
        </is>
      </c>
      <c r="D1594" s="92" t="inlineStr">
        <is>
          <t>Shēngchǎn Xiàn Zhìnéng Zhìzào Jìshù) - Intelligent Manufacturing Technologies in Production Lines - Công nghệ Chế tạo Thông minh trong Dây chuyền Sản xuất</t>
        </is>
      </c>
      <c r="E1594" s="92" t="inlineStr">
        <is>
          <t>745. 生产线智能制造技术 (Shēngchǎn Xiàn Zhìnéng Zhìzào Jìshù) - Intelligent Manufacturing Technologies in Production Lines - Công nghệ Chế tạo Thông minh trong Dây chuyền Sản xuất</t>
        </is>
      </c>
      <c r="F1594" s="114">
        <f>HYPERLINK("https://youglish.com/pronounce/生产线智能制造技术/chinese","🔍")</f>
        <v/>
      </c>
    </row>
    <row r="1595" ht="42.75" customHeight="1" s="99">
      <c r="A1595" s="94" t="inlineStr">
        <is>
          <t>PDF_Tiếng trung Full BỘ BCT.pdf</t>
        </is>
      </c>
      <c r="B1595" s="95" t="inlineStr">
        <is>
          <t>746</t>
        </is>
      </c>
      <c r="C1595" s="94" t="inlineStr">
        <is>
          <t>货物追溯可持续性策略</t>
        </is>
      </c>
      <c r="D1595" s="94" t="inlineStr">
        <is>
          <t>Huòwù Zhuīsù Kěchíxù Xìng Cèlüè) - Strategies for Sustainable Traceability in Cargo - Chiến lược Bền vững trong Theo dõi Hàng hóa</t>
        </is>
      </c>
      <c r="E1595" s="94" t="inlineStr">
        <is>
          <t>746. 货物追溯可持续性策略 (Huòwù Zhuīsù Kěchíxù Xìng Cèlüè) - Strategies for Sustainable Traceability in Cargo - Chiến lược Bền vững trong Theo dõi Hàng hóa</t>
        </is>
      </c>
      <c r="F1595" s="115">
        <f>HYPERLINK("https://youglish.com/pronounce/货物追溯可持续性策略/chinese","🔍")</f>
        <v/>
      </c>
    </row>
    <row r="1596" ht="42.75" customHeight="1" s="99">
      <c r="A1596" s="92" t="inlineStr">
        <is>
          <t>PDF_Tiếng trung Full BỘ BCT.pdf</t>
        </is>
      </c>
      <c r="B1596" s="93" t="inlineStr">
        <is>
          <t>747</t>
        </is>
      </c>
      <c r="C1596" s="92" t="inlineStr">
        <is>
          <t>供应商供应链战略合作</t>
        </is>
      </c>
      <c r="D1596" s="92" t="inlineStr">
        <is>
          <t>Gōngyìngshāng Gòngyìngliàn Zhànlüè Hézuò) - Strategic Cooperation in Vendor Supply Chains - Hợp tác Chiến lược trong Chuỗi cung ứng của Nhà cung cấp</t>
        </is>
      </c>
      <c r="E1596" s="92" t="inlineStr">
        <is>
          <t>747. 供应商供应链战略合作 (Gōngyìngshāng Gòngyìngliàn Zhànlüè Hézuò) - Strategic Cooperation in Vendor Supply Chains - Hợp tác Chiến lược trong Chuỗi cung ứng của Nhà cung cấp</t>
        </is>
      </c>
      <c r="F1596" s="114">
        <f>HYPERLINK("https://youglish.com/pronounce/供应商供应链战略合作/chinese","🔍")</f>
        <v/>
      </c>
    </row>
    <row r="1597" ht="42.75" customHeight="1" s="99">
      <c r="A1597" s="94" t="inlineStr">
        <is>
          <t>PDF_Tiếng trung Full BỘ BCT.pdf</t>
        </is>
      </c>
      <c r="B1597" s="95" t="inlineStr">
        <is>
          <t>748</t>
        </is>
      </c>
      <c r="C1597" s="94" t="inlineStr">
        <is>
          <t>物流仓储节约能源方法</t>
        </is>
      </c>
      <c r="D1597" s="94" t="inlineStr">
        <is>
          <t>Wùliú Cāngchǔ Jiéyuē Néngyuán Fāngfǎ) - Energy Conservation Methods in Logistics Warehousing - Phương pháp Tiết kiệm Năng lượng trong Kho vận Logistics</t>
        </is>
      </c>
      <c r="E1597" s="94" t="inlineStr">
        <is>
          <t>748. 物流仓储节约能源方法 (Wùliú Cāngchǔ Jiéyuē Néngyuán Fāngfǎ) - Energy Conservation Methods in Logistics Warehousing - Phương pháp Tiết kiệm Năng lượng trong Kho vận Logistics</t>
        </is>
      </c>
      <c r="F1597" s="115">
        <f>HYPERLINK("https://youglish.com/pronounce/物流仓储节约能源方法/chinese","🔍")</f>
        <v/>
      </c>
    </row>
    <row r="1598" ht="42.75" customHeight="1" s="99">
      <c r="A1598" s="92" t="inlineStr">
        <is>
          <t>PDF_Tiếng trung Full BỘ BCT.pdf</t>
        </is>
      </c>
      <c r="B1598" s="93" t="inlineStr">
        <is>
          <t>749</t>
        </is>
      </c>
      <c r="C1598" s="92" t="inlineStr">
        <is>
          <t>生产线效益评估模型</t>
        </is>
      </c>
      <c r="D1598" s="92" t="inlineStr">
        <is>
          <t>Shēngchǎn Xiàn Xiàolǜ Pínggū Móxíng) - Evaluation Models for Efficiency in Production Lines - Mô hình Đánh giá Hiệu suất trong Dây chuyền Sản xuất</t>
        </is>
      </c>
      <c r="E1598" s="92" t="inlineStr">
        <is>
          <t>749. 生产线效益评估模型 (Shēngchǎn Xiàn Xiàolǜ Pínggū Móxíng) - Evaluation Models for Efficiency in Production Lines - Mô hình Đánh giá Hiệu suất trong Dây chuyền Sản xuất</t>
        </is>
      </c>
      <c r="F1598" s="114">
        <f>HYPERLINK("https://youglish.com/pronounce/生产线效益评估模型/chinese","🔍")</f>
        <v/>
      </c>
    </row>
    <row r="1599" ht="42.75" customHeight="1" s="99">
      <c r="A1599" s="94" t="inlineStr">
        <is>
          <t>PDF_Tiếng trung Full BỘ BCT.pdf</t>
        </is>
      </c>
      <c r="B1599" s="95" t="inlineStr">
        <is>
          <t>750</t>
        </is>
      </c>
      <c r="C1599" s="94" t="inlineStr">
        <is>
          <t>需求计划执行效果监测</t>
        </is>
      </c>
      <c r="D1599" s="94" t="inlineStr">
        <is>
          <t>Xūqiú Jìhuà Zhíxíng Xiàoguǒ Jiāncè) - Monitoring the Effectiveness in Demand Planning Execution - Giám sát Hiệu suất trong Quy trình Thực hiện Kế hoạch Nhu cầu</t>
        </is>
      </c>
      <c r="E1599" s="94" t="inlineStr">
        <is>
          <t>750. 需求计划执行效果监测 (Xūqiú Jìhuà Zhíxíng Xiàoguǒ Jiāncè) - Monitoring the Effectiveness in Demand Planning Execution - Giám sát Hiệu suất trong Quy trình Thực hiện Kế hoạch Nhu cầu</t>
        </is>
      </c>
      <c r="F1599" s="115">
        <f>HYPERLINK("https://youglish.com/pronounce/需求计划执行效果监测/chinese","🔍")</f>
        <v/>
      </c>
    </row>
    <row r="1600" ht="42.75" customHeight="1" s="99">
      <c r="A1600" s="92" t="inlineStr">
        <is>
          <t>PDF_Tiếng trung Full BỘ BCT.pdf</t>
        </is>
      </c>
      <c r="B1600" s="93" t="inlineStr">
        <is>
          <t>751</t>
        </is>
      </c>
      <c r="C1600" s="92" t="inlineStr">
        <is>
          <t>供应链协同规划模式</t>
        </is>
      </c>
      <c r="D1600" s="92" t="inlineStr">
        <is>
          <t>Gōngyìngliàn Xiétóng Guīhuà Móshì) - Collaborative Planning Models in the Supply Chain - Mô hình Kế hoạch Hợp tác trong Chuỗi cung ứng</t>
        </is>
      </c>
      <c r="E1600" s="92" t="inlineStr">
        <is>
          <t>751. 供应链协同规划模式 (Gōngyìngliàn Xiétóng Guīhuà Móshì) - Collaborative Planning Models in the Supply Chain - Mô hình Kế hoạch Hợp tác trong Chuỗi cung ứng</t>
        </is>
      </c>
      <c r="F1600" s="114">
        <f>HYPERLINK("https://youglish.com/pronounce/供应链协同规划模式/chinese","🔍")</f>
        <v/>
      </c>
    </row>
    <row r="1601" ht="42.75" customHeight="1" s="99">
      <c r="A1601" s="94" t="inlineStr">
        <is>
          <t>PDF_Tiếng trung Full BỘ BCT.pdf</t>
        </is>
      </c>
      <c r="B1601" s="95" t="inlineStr">
        <is>
          <t>752</t>
        </is>
      </c>
      <c r="C1601" s="94" t="inlineStr">
        <is>
          <t>生产线质量控制流程</t>
        </is>
      </c>
      <c r="D1601" s="94" t="inlineStr">
        <is>
          <t>Shēngchǎn Xiàn Zhìliàng Kòngzhì Liúchéng) - Quality Control Processes in Production Lines - Quy trình Kiểm soát Chất lượng trong Dây chuyền Sản xuất</t>
        </is>
      </c>
      <c r="E1601" s="94" t="inlineStr">
        <is>
          <t>752. 生产线质量控制流程 (Shēngchǎn Xiàn Zhìliàng Kòngzhì Liúchéng) - Quality Control Processes in Production Lines - Quy trình Kiểm soát Chất lượng trong Dây chuyền Sản xuất</t>
        </is>
      </c>
      <c r="F1601" s="115">
        <f>HYPERLINK("https://youglish.com/pronounce/生产线质量控制流程/chinese","🔍")</f>
        <v/>
      </c>
    </row>
    <row r="1602" ht="28.5" customHeight="1" s="99">
      <c r="A1602" s="92" t="inlineStr">
        <is>
          <t>PDF_Tiếng trung Full BỘ BCT.pdf</t>
        </is>
      </c>
      <c r="B1602" s="93" t="inlineStr">
        <is>
          <t>753</t>
        </is>
      </c>
      <c r="C1602" s="92" t="inlineStr">
        <is>
          <t>货物追溯电子标签</t>
        </is>
      </c>
      <c r="D1602" s="92" t="inlineStr">
        <is>
          <t>Huòwù Zhuīsù Diànzǐ Biāoqiān) - Electronic Tags in Cargo Traceability - Nhãn Điện tử trong Theo dõi Hàng hóa</t>
        </is>
      </c>
      <c r="E1602" s="92" t="inlineStr">
        <is>
          <t>753. 货物追溯电子标签 (Huòwù Zhuīsù Diànzǐ Biāoqiān) - Electronic Tags in Cargo Traceability - Nhãn Điện tử trong Theo dõi Hàng hóa</t>
        </is>
      </c>
      <c r="F1602" s="114">
        <f>HYPERLINK("https://youglish.com/pronounce/货物追溯电子标签/chinese","🔍")</f>
        <v/>
      </c>
    </row>
    <row r="1603" ht="42.75" customHeight="1" s="99">
      <c r="A1603" s="94" t="inlineStr">
        <is>
          <t>PDF_Tiếng trung Full BỘ BCT.pdf</t>
        </is>
      </c>
      <c r="B1603" s="95" t="inlineStr">
        <is>
          <t>754</t>
        </is>
      </c>
      <c r="C1603" s="94" t="inlineStr">
        <is>
          <t>供应商供应链信息共享</t>
        </is>
      </c>
      <c r="D1603" s="94" t="inlineStr">
        <is>
          <t>Gōngyìngshāng Gòngyìngliàn Xìnxī Gòngxiǎng) - Information Sharing in Vendor Supply Chains - Chia sẻ Thông tin trong Chuỗi cung ứng của Nhà cung cấp</t>
        </is>
      </c>
      <c r="E1603" s="94" t="inlineStr">
        <is>
          <t>754. 供应商供应链信息共享 (Gōngyìngshāng Gòngyìngliàn Xìnxī Gòngxiǎng) - Information Sharing in Vendor Supply Chains - Chia sẻ Thông tin trong Chuỗi cung ứng của Nhà cung cấp</t>
        </is>
      </c>
      <c r="F1603" s="115">
        <f>HYPERLINK("https://youglish.com/pronounce/供应商供应链信息共享/chinese","🔍")</f>
        <v/>
      </c>
    </row>
    <row r="1604" ht="42.75" customHeight="1" s="99">
      <c r="A1604" s="92" t="inlineStr">
        <is>
          <t>PDF_Tiếng trung Full BỘ BCT.pdf</t>
        </is>
      </c>
      <c r="B1604" s="93" t="inlineStr">
        <is>
          <t>755</t>
        </is>
      </c>
      <c r="C1604" s="92" t="inlineStr">
        <is>
          <t>物流仓储自动化流水线</t>
        </is>
      </c>
      <c r="D1604" s="92" t="inlineStr">
        <is>
          <t>Wùliú Cāngchǔ Zìdòng Huà Liúshuǐxiàn) - Automated Conveyor Belts in Logistics Warehousing - Dây chuyền Tự động hóa trong Kho vận Logistics</t>
        </is>
      </c>
      <c r="E1604" s="92" t="inlineStr">
        <is>
          <t>755. 物流仓储自动化流水线 (Wùliú Cāngchǔ Zìdòng Huà Liúshuǐxiàn) - Automated Conveyor Belts in Logistics Warehousing - Dây chuyền Tự động hóa trong Kho vận Logistics</t>
        </is>
      </c>
      <c r="F1604" s="114">
        <f>HYPERLINK("https://youglish.com/pronounce/物流仓储自动化流水线/chinese","🔍")</f>
        <v/>
      </c>
    </row>
    <row r="1605" ht="42.75" customHeight="1" s="99">
      <c r="A1605" s="94" t="inlineStr">
        <is>
          <t>PDF_Tiếng trung Full BỘ BCT.pdf</t>
        </is>
      </c>
      <c r="B1605" s="95" t="inlineStr">
        <is>
          <t>756</t>
        </is>
      </c>
      <c r="C1605" s="94" t="inlineStr">
        <is>
          <t>生产线质量审查标准</t>
        </is>
      </c>
      <c r="D1605" s="94" t="inlineStr">
        <is>
          <t>Shēngchǎn Xiàn Zhìliàng Shěnchá Biāozhǔn) - Quality Inspection Standards in Production Lines - Tiêu chuẩn Kiểm tra Chất lượng trong Dây chuyền Sản xuất</t>
        </is>
      </c>
      <c r="E1605" s="94" t="inlineStr">
        <is>
          <t>756. 生产线质量审查标准 (Shēngchǎn Xiàn Zhìliàng Shěnchá Biāozhǔn) - Quality Inspection Standards in Production Lines - Tiêu chuẩn Kiểm tra Chất lượng trong Dây chuyền Sản xuất</t>
        </is>
      </c>
      <c r="F1605" s="115">
        <f>HYPERLINK("https://youglish.com/pronounce/生产线质量审查标准/chinese","🔍")</f>
        <v/>
      </c>
    </row>
    <row r="1606" ht="28.5" customHeight="1" s="99">
      <c r="A1606" s="92" t="inlineStr">
        <is>
          <t>PDF_Tiếng trung Full BỘ BCT.pdf</t>
        </is>
      </c>
      <c r="B1606" s="93" t="inlineStr">
        <is>
          <t>757</t>
        </is>
      </c>
      <c r="C1606" s="92" t="inlineStr">
        <is>
          <t>需求计划执行报告</t>
        </is>
      </c>
      <c r="D1606" s="92" t="inlineStr">
        <is>
          <t>Xūqiú Jìhuà Zhíxíng Bàogào) - Execution Reports in Demand Planning - Báo cáo Thực hiện Kế hoạch Nhu cầu</t>
        </is>
      </c>
      <c r="E1606" s="92" t="inlineStr">
        <is>
          <t>757. 需求计划执行报告 (Xūqiú Jìhuà Zhíxíng Bàogào) - Execution Reports in Demand Planning - Báo cáo Thực hiện Kế hoạch Nhu cầu</t>
        </is>
      </c>
      <c r="F1606" s="114">
        <f>HYPERLINK("https://youglish.com/pronounce/需求计划执行报告/chinese","🔍")</f>
        <v/>
      </c>
    </row>
    <row r="1607" ht="42.75" customHeight="1" s="99">
      <c r="A1607" s="94" t="inlineStr">
        <is>
          <t>PDF_Tiếng trung Full BỘ BCT.pdf</t>
        </is>
      </c>
      <c r="B1607" s="95" t="inlineStr">
        <is>
          <t>758</t>
        </is>
      </c>
      <c r="C1607" s="94" t="inlineStr">
        <is>
          <t>供应链危机响应计划</t>
        </is>
      </c>
      <c r="D1607" s="94" t="inlineStr">
        <is>
          <t>Gōngyìngliàn Wēijī Xiǎngyìng Jìhuà) - Crisis Response Plans in the Supply Chain - Kế hoạch Ứng phó Khủng hoảng trong Chuỗi cung ứng</t>
        </is>
      </c>
      <c r="E1607" s="94" t="inlineStr">
        <is>
          <t>758. 供应链危机响应计划 (Gōngyìngliàn Wēijī Xiǎngyìng Jìhuà) - Crisis Response Plans in the Supply Chain - Kế hoạch Ứng phó Khủng hoảng trong Chuỗi cung ứng</t>
        </is>
      </c>
      <c r="F1607" s="115">
        <f>HYPERLINK("https://youglish.com/pronounce/供应链危机响应计划/chinese","🔍")</f>
        <v/>
      </c>
    </row>
    <row r="1608" ht="42.75" customHeight="1" s="99">
      <c r="A1608" s="92" t="inlineStr">
        <is>
          <t>PDF_Tiếng trung Full BỘ BCT.pdf</t>
        </is>
      </c>
      <c r="B1608" s="93" t="inlineStr">
        <is>
          <t>759</t>
        </is>
      </c>
      <c r="C1608" s="92" t="inlineStr">
        <is>
          <t>物料供应链品牌合规性</t>
        </is>
      </c>
      <c r="D1608" s="92" t="inlineStr">
        <is>
          <t>Wùliào Gōngyìngliàn Pǐnpái Héguīxìng) - Brand Compliance in Material Supply Chains - Tuân thủ Thương hiệu trong Chuỗi cung ứng Vật liệu</t>
        </is>
      </c>
      <c r="E1608" s="92" t="inlineStr">
        <is>
          <t>759. 物料供应链品牌合规性 (Wùliào Gōngyìngliàn Pǐnpái Héguīxìng) - Brand Compliance in Material Supply Chains - Tuân thủ Thương hiệu trong Chuỗi cung ứng Vật liệu</t>
        </is>
      </c>
      <c r="F1608" s="114">
        <f>HYPERLINK("https://youglish.com/pronounce/物料供应链品牌合规性/chinese","🔍")</f>
        <v/>
      </c>
    </row>
    <row r="1609" ht="42.75" customHeight="1" s="99">
      <c r="A1609" s="94" t="inlineStr">
        <is>
          <t>PDF_Tiếng trung Full BỘ BCT.pdf</t>
        </is>
      </c>
      <c r="B1609" s="95" t="inlineStr">
        <is>
          <t>760</t>
        </is>
      </c>
      <c r="C1609" s="94" t="inlineStr">
        <is>
          <t>供应商供应链数字化平台</t>
        </is>
      </c>
      <c r="D1609" s="94" t="inlineStr">
        <is>
          <t>Gōngyìngshāng Gòngyìngliàn Shùzìhuà Píngtái) - Digital Platforms in Vendor Supply Chains - Nền tảng Số hóa trong Chuỗi cung ứng của Nhà cung cấp</t>
        </is>
      </c>
      <c r="E1609" s="94" t="inlineStr">
        <is>
          <t>760. 供应商供应链数字化平台 (Gōngyìngshāng Gòngyìngliàn Shùzìhuà Píngtái) - Digital Platforms in Vendor Supply Chains - Nền tảng Số hóa trong Chuỗi cung ứng của Nhà cung cấp</t>
        </is>
      </c>
      <c r="F1609" s="115">
        <f>HYPERLINK("https://youglish.com/pronounce/供应商供应链数字化平台/chinese","🔍")</f>
        <v/>
      </c>
    </row>
    <row r="1610" ht="42.75" customHeight="1" s="99">
      <c r="A1610" s="92" t="inlineStr">
        <is>
          <t>PDF_Tiếng trung Full BỘ BCT.pdf</t>
        </is>
      </c>
      <c r="B1610" s="93" t="inlineStr">
        <is>
          <t>761</t>
        </is>
      </c>
      <c r="C1610" s="92" t="inlineStr">
        <is>
          <t>生产线智能工厂系统</t>
        </is>
      </c>
      <c r="D1610" s="92" t="inlineStr">
        <is>
          <t>Shēngchǎn Xiàn Zhìnéng Gōngchǎng Xìtǒng) - Smart Factory Systems in Production Lines - Hệ thống Nhà máy Thông minh trong Dây chuyền Sản xuất</t>
        </is>
      </c>
      <c r="E1610" s="92" t="inlineStr">
        <is>
          <t>761. 生产线智能工厂系统 (Shēngchǎn Xiàn Zhìnéng Gōngchǎng Xìtǒng) - Smart Factory Systems in Production Lines - Hệ thống Nhà máy Thông minh trong Dây chuyền Sản xuất</t>
        </is>
      </c>
      <c r="F1610" s="114">
        <f>HYPERLINK("https://youglish.com/pronounce/生产线智能工厂系统/chinese","🔍")</f>
        <v/>
      </c>
    </row>
    <row r="1611" ht="42.75" customHeight="1" s="99">
      <c r="A1611" s="94" t="inlineStr">
        <is>
          <t>PDF_Tiếng trung Full BỘ BCT.pdf</t>
        </is>
      </c>
      <c r="B1611" s="95" t="inlineStr">
        <is>
          <t>762</t>
        </is>
      </c>
      <c r="C1611" s="94" t="inlineStr">
        <is>
          <t>需求计划执行调整策略</t>
        </is>
      </c>
      <c r="D1611" s="94" t="inlineStr">
        <is>
          <t>Xūqiú Jìhuà Zhíxíng Tiáozhěng Cèlüè) - Adjustment Strategies in Demand Planning Execution - Chiến lược Điều chỉnh trong Quy trình Thực hiện Kế hoạch Nhu cầu</t>
        </is>
      </c>
      <c r="E1611" s="94" t="inlineStr">
        <is>
          <t>762. 需求计划执行调整策略 (Xūqiú Jìhuà Zhíxíng Tiáozhěng Cèlüè) - Adjustment Strategies in Demand Planning Execution - Chiến lược Điều chỉnh trong Quy trình Thực hiện Kế hoạch Nhu cầu</t>
        </is>
      </c>
      <c r="F1611" s="115">
        <f>HYPERLINK("https://youglish.com/pronounce/需求计划执行调整策略/chinese","🔍")</f>
        <v/>
      </c>
    </row>
    <row r="1612" ht="28.5" customHeight="1" s="99">
      <c r="A1612" s="92" t="inlineStr">
        <is>
          <t>PDF_Tiếng trung Full BỘ BCT.pdf</t>
        </is>
      </c>
      <c r="B1612" s="93" t="inlineStr">
        <is>
          <t>763</t>
        </is>
      </c>
      <c r="C1612" s="92" t="inlineStr">
        <is>
          <t>供应链数字化跟踪</t>
        </is>
      </c>
      <c r="D1612" s="92" t="inlineStr">
        <is>
          <t>Gōngyìngliàn Shùzìhuà Gēnzōng) - Digital Tracking in the Supply Chain - Theo dõi Số hóa trong Chuỗi cung ứng</t>
        </is>
      </c>
      <c r="E1612" s="92" t="inlineStr">
        <is>
          <t>763. 供应链数字化跟踪 (Gōngyìngliàn Shùzìhuà Gēnzōng) - Digital Tracking in the Supply Chain - Theo dõi Số hóa trong Chuỗi cung ứng</t>
        </is>
      </c>
      <c r="F1612" s="114">
        <f>HYPERLINK("https://youglish.com/pronounce/供应链数字化跟踪/chinese","🔍")</f>
        <v/>
      </c>
    </row>
    <row r="1613" ht="42.75" customHeight="1" s="99">
      <c r="A1613" s="94" t="inlineStr">
        <is>
          <t>PDF_Tiếng trung Full BỘ BCT.pdf</t>
        </is>
      </c>
      <c r="B1613" s="95" t="inlineStr">
        <is>
          <t>764</t>
        </is>
      </c>
      <c r="C1613" s="94" t="inlineStr">
        <is>
          <t>物流仓储可持续能源采用</t>
        </is>
      </c>
      <c r="D1613" s="94" t="inlineStr">
        <is>
          <t>Wùliú Cāngchǔ Kěchíxù Néngyuán Cǎiyòng) - Sustainable Energy Adoption in Logistics Warehousing - Sự áp dụng Năng lượng Bền vững trong Kho vận Logistics</t>
        </is>
      </c>
      <c r="E1613" s="94" t="inlineStr">
        <is>
          <t>764. 物流仓储可持续能源采用 (Wùliú Cāngchǔ Kěchíxù Néngyuán Cǎiyòng) - Sustainable Energy Adoption in Logistics Warehousing - Sự áp dụng Năng lượng Bền vững trong Kho vận Logistics</t>
        </is>
      </c>
      <c r="F1613" s="115">
        <f>HYPERLINK("https://youglish.com/pronounce/物流仓储可持续能源采用/chinese","🔍")</f>
        <v/>
      </c>
    </row>
    <row r="1614" ht="42.75" customHeight="1" s="99">
      <c r="A1614" s="92" t="inlineStr">
        <is>
          <t>PDF_Tiếng trung Full BỘ BCT.pdf</t>
        </is>
      </c>
      <c r="B1614" s="93" t="inlineStr">
        <is>
          <t>765</t>
        </is>
      </c>
      <c r="C1614" s="92" t="inlineStr">
        <is>
          <t>生产线生产效率提升</t>
        </is>
      </c>
      <c r="D1614" s="92" t="inlineStr">
        <is>
          <t>Shēngchǎn Xiàn Shēngchǎn Xiàolǜ Tíshēng) - Improvement in Production Efficiency in Production Lines - Cải thiện Hiệu suất Sản xuất trong Dây chuyền Sản xuất</t>
        </is>
      </c>
      <c r="E1614" s="92" t="inlineStr">
        <is>
          <t>765. 生产线生产效率提升 (Shēngchǎn Xiàn Shēngchǎn Xiàolǜ Tíshēng) - Improvement in Production Efficiency in Production Lines - Cải thiện Hiệu suất Sản xuất trong Dây chuyền Sản xuất</t>
        </is>
      </c>
      <c r="F1614" s="114">
        <f>HYPERLINK("https://youglish.com/pronounce/生产线生产效率提升/chinese","🔍")</f>
        <v/>
      </c>
    </row>
    <row r="1615" ht="42.75" customHeight="1" s="99">
      <c r="A1615" s="94" t="inlineStr">
        <is>
          <t>PDF_Tiếng trung Full BỘ BCT.pdf</t>
        </is>
      </c>
      <c r="B1615" s="95" t="inlineStr">
        <is>
          <t>766</t>
        </is>
      </c>
      <c r="C1615" s="94" t="inlineStr">
        <is>
          <t>货物追溯防伪溯源标准</t>
        </is>
      </c>
      <c r="D1615" s="94" t="inlineStr">
        <is>
          <t>Huòwù Zhuīsù Fángwěi Sùyuán Biāozhǔn) - Standards for Anti-counterfeiting and Traceability in Cargo - Tiêu chuẩn Chống giả mạo và Theo dõi nguồn gốc trong Theo dõi Hàng hóa</t>
        </is>
      </c>
      <c r="E1615" s="94" t="inlineStr">
        <is>
          <t>766. 货物追溯防伪溯源标准 (Huòwù Zhuīsù Fángwěi Sùyuán Biāozhǔn) - Standards for Anti-counterfeiting and Traceability in Cargo - Tiêu chuẩn Chống giả mạo và Theo dõi nguồn gốc trong Theo dõi Hàng hóa</t>
        </is>
      </c>
      <c r="F1615" s="115">
        <f>HYPERLINK("https://youglish.com/pronounce/货物追溯防伪溯源标准/chinese","🔍")</f>
        <v/>
      </c>
    </row>
    <row r="1616" ht="42.75" customHeight="1" s="99">
      <c r="A1616" s="92" t="inlineStr">
        <is>
          <t>PDF_Tiếng trung Full BỘ BCT.pdf</t>
        </is>
      </c>
      <c r="B1616" s="93" t="inlineStr">
        <is>
          <t>767</t>
        </is>
      </c>
      <c r="C1616" s="92" t="inlineStr">
        <is>
          <t>供应商供应链质量管理</t>
        </is>
      </c>
      <c r="D1616" s="92" t="inlineStr">
        <is>
          <t>Gōngyìngshāng Gòngyìngliàn Zhìliàng Guǎnlǐ) - Quality Management in Vendor Supply Chains - Quản lý Chất lượng trong Chuỗi cung ứng của Nhà cung cấp</t>
        </is>
      </c>
      <c r="E1616" s="92" t="inlineStr">
        <is>
          <t>767. 供应商供应链质量管理 (Gōngyìngshāng Gòngyìngliàn Zhìliàng Guǎnlǐ) - Quality Management in Vendor Supply Chains - Quản lý Chất lượng trong Chuỗi cung ứng của Nhà cung cấp</t>
        </is>
      </c>
      <c r="F1616" s="114">
        <f>HYPERLINK("https://youglish.com/pronounce/供应商供应链质量管理/chinese","🔍")</f>
        <v/>
      </c>
    </row>
    <row r="1617" ht="42.75" customHeight="1" s="99">
      <c r="A1617" s="94" t="inlineStr">
        <is>
          <t>PDF_Tiếng trung Full BỘ BCT.pdf</t>
        </is>
      </c>
      <c r="B1617" s="95" t="inlineStr">
        <is>
          <t>768</t>
        </is>
      </c>
      <c r="C1617" s="94" t="inlineStr">
        <is>
          <t>物流仓储数据分析工具</t>
        </is>
      </c>
      <c r="D1617" s="94" t="inlineStr">
        <is>
          <t>Wùliú Cāngchǔ Shùjù Fēnxī Gōngjù) - Data Analysis Tools in Logistics Warehousing - Công cụ Phân tích Dữ liệu trong Kho vận Logistics</t>
        </is>
      </c>
      <c r="E1617" s="94" t="inlineStr">
        <is>
          <t>768. 物流仓储数据分析工具 (Wùliú Cāngchǔ Shùjù Fēnxī Gōngjù) - Data Analysis Tools in Logistics Warehousing - Công cụ Phân tích Dữ liệu trong Kho vận Logistics</t>
        </is>
      </c>
      <c r="F1617" s="115">
        <f>HYPERLINK("https://youglish.com/pronounce/物流仓储数据分析工具/chinese","🔍")</f>
        <v/>
      </c>
    </row>
    <row r="1618" ht="42.75" customHeight="1" s="99">
      <c r="A1618" s="92" t="inlineStr">
        <is>
          <t>PDF_Tiếng trung Full BỘ BCT.pdf</t>
        </is>
      </c>
      <c r="B1618" s="93" t="inlineStr">
        <is>
          <t>769</t>
        </is>
      </c>
      <c r="C1618" s="92" t="inlineStr">
        <is>
          <t>生产线智能制造创新</t>
        </is>
      </c>
      <c r="D1618" s="92" t="inlineStr">
        <is>
          <t>Shēngchǎn Xiàn Zhìnéng Zhìzào Chuàngxīn) - Innovation in Intelligent Manufacturing in Production Lines - Đổi mới trong Chế tạo Thông minh trong Dây chuyền Sản xuất</t>
        </is>
      </c>
      <c r="E1618" s="92" t="inlineStr">
        <is>
          <t>769. 生产线智能制造创新 (Shēngchǎn Xiàn Zhìnéng Zhìzào Chuàngxīn) - Innovation in Intelligent Manufacturing in Production Lines - Đổi mới trong Chế tạo Thông minh trong Dây chuyền Sản xuất</t>
        </is>
      </c>
      <c r="F1618" s="114">
        <f>HYPERLINK("https://youglish.com/pronounce/生产线智能制造创新/chinese","🔍")</f>
        <v/>
      </c>
    </row>
    <row r="1619" ht="42.75" customHeight="1" s="99">
      <c r="A1619" s="94" t="inlineStr">
        <is>
          <t>PDF_Tiếng trung Full BỘ BCT.pdf</t>
        </is>
      </c>
      <c r="B1619" s="95" t="inlineStr">
        <is>
          <t>770</t>
        </is>
      </c>
      <c r="C1619" s="94" t="inlineStr">
        <is>
          <t>需求计划执行结果评估</t>
        </is>
      </c>
      <c r="D1619" s="94" t="inlineStr">
        <is>
          <t>Xūqiú Jìhuà Zhíxíng Jiéguǒ Pínggū) - Evaluation of Results in Demand Planning Execution - Đánh giá Kết quả trong Quy trình Thực hiện Kế hoạch Nhu cầu</t>
        </is>
      </c>
      <c r="E1619" s="94" t="inlineStr">
        <is>
          <t>770. 需求计划执行结果评估 (Xūqiú Jìhuà Zhíxíng Jiéguǒ Pínggū) - Evaluation of Results in Demand Planning Execution - Đánh giá Kết quả trong Quy trình Thực hiện Kế hoạch Nhu cầu</t>
        </is>
      </c>
      <c r="F1619" s="115">
        <f>HYPERLINK("https://youglish.com/pronounce/需求计划执行结果评估/chinese","🔍")</f>
        <v/>
      </c>
    </row>
    <row r="1620" ht="42.75" customHeight="1" s="99">
      <c r="A1620" s="92" t="inlineStr">
        <is>
          <t>PDF_Tiếng trung Full BỘ BCT.pdf</t>
        </is>
      </c>
      <c r="B1620" s="93" t="inlineStr">
        <is>
          <t>771</t>
        </is>
      </c>
      <c r="C1620" s="92" t="inlineStr">
        <is>
          <t>供应链数字化质量管理</t>
        </is>
      </c>
      <c r="D1620" s="92" t="inlineStr">
        <is>
          <t>Gōngyìngliàn Shùzìhuà Zhìliàng Guǎnlǐ) - Digital Quality Management in the Supply Chain - Quản lý Chất lượng Số hóa trong Chuỗi cung ứng</t>
        </is>
      </c>
      <c r="E1620" s="92" t="inlineStr">
        <is>
          <t>771. 供应链数字化质量管理 (Gōngyìngliàn Shùzìhuà Zhìliàng Guǎnlǐ) - Digital Quality Management in the Supply Chain - Quản lý Chất lượng Số hóa trong Chuỗi cung ứng</t>
        </is>
      </c>
      <c r="F1620" s="114">
        <f>HYPERLINK("https://youglish.com/pronounce/供应链数字化质量管理/chinese","🔍")</f>
        <v/>
      </c>
    </row>
    <row r="1621" ht="42.75" customHeight="1" s="99">
      <c r="A1621" s="94" t="inlineStr">
        <is>
          <t>PDF_Tiếng trung Full BỘ BCT.pdf</t>
        </is>
      </c>
      <c r="B1621" s="95" t="inlineStr">
        <is>
          <t>772</t>
        </is>
      </c>
      <c r="C1621" s="94" t="inlineStr">
        <is>
          <t>生产线机器学习应用</t>
        </is>
      </c>
      <c r="D1621" s="94" t="inlineStr">
        <is>
          <t>Shēngchǎn Xiàn Jīqì Xuéxí Yìngyòng) - Applications of Machine Learning in Production Lines - Ứng dụng Học máy trong Dây chuyền Sản xuất</t>
        </is>
      </c>
      <c r="E1621" s="94" t="inlineStr">
        <is>
          <t>772. 生产线机器学习应用 (Shēngchǎn Xiàn Jīqì Xuéxí Yìngyòng) - Applications of Machine Learning in Production Lines - Ứng dụng Học máy trong Dây chuyền Sản xuất</t>
        </is>
      </c>
      <c r="F1621" s="115">
        <f>HYPERLINK("https://youglish.com/pronounce/生产线机器学习应用/chinese","🔍")</f>
        <v/>
      </c>
    </row>
    <row r="1622" ht="42.75" customHeight="1" s="99">
      <c r="A1622" s="92" t="inlineStr">
        <is>
          <t>PDF_Tiếng trung Full BỘ BCT.pdf</t>
        </is>
      </c>
      <c r="B1622" s="93" t="inlineStr">
        <is>
          <t>773</t>
        </is>
      </c>
      <c r="C1622" s="92" t="inlineStr">
        <is>
          <t>货物追溯透明化标准</t>
        </is>
      </c>
      <c r="D1622" s="92" t="inlineStr">
        <is>
          <t>Huòwù Zhuīsù Tòumíng Huà Biāozhǔn) - Standards for Transparency in Cargo Traceability - Tiêu chuẩn Minh bạch trong Theo dõi Hàng hóa</t>
        </is>
      </c>
      <c r="E1622" s="92" t="inlineStr">
        <is>
          <t>773. 货物追溯透明化标准 (Huòwù Zhuīsù Tòumíng Huà Biāozhǔn) - Standards for Transparency in Cargo Traceability - Tiêu chuẩn Minh bạch trong Theo dõi Hàng hóa</t>
        </is>
      </c>
      <c r="F1622" s="114">
        <f>HYPERLINK("https://youglish.com/pronounce/货物追溯透明化标准/chinese","🔍")</f>
        <v/>
      </c>
    </row>
    <row r="1623" ht="42.75" customHeight="1" s="99">
      <c r="A1623" s="94" t="inlineStr">
        <is>
          <t>PDF_Tiếng trung Full BỘ BCT.pdf</t>
        </is>
      </c>
      <c r="B1623" s="95" t="inlineStr">
        <is>
          <t>774</t>
        </is>
      </c>
      <c r="C1623" s="94" t="inlineStr">
        <is>
          <t>供应商供应链协同创新</t>
        </is>
      </c>
      <c r="D1623" s="94" t="inlineStr">
        <is>
          <t>Gōngyìngshāng Gòngyìngliàn Xiétóng Chuàngxīn) - Collaborative Innovation in Vendor Supply Chains - Đổi mới Hợp tác trong Chuỗi cung ứng của Nhà cung cấp</t>
        </is>
      </c>
      <c r="E1623" s="94" t="inlineStr">
        <is>
          <t>774. 供应商供应链协同创新 (Gōngyìngshāng Gòngyìngliàn Xiétóng Chuàngxīn) - Collaborative Innovation in Vendor Supply Chains - Đổi mới Hợp tác trong Chuỗi cung ứng của Nhà cung cấp</t>
        </is>
      </c>
      <c r="F1623" s="115">
        <f>HYPERLINK("https://youglish.com/pronounce/供应商供应链协同创新/chinese","🔍")</f>
        <v/>
      </c>
    </row>
    <row r="1624" ht="42.75" customHeight="1" s="99">
      <c r="A1624" s="92" t="inlineStr">
        <is>
          <t>PDF_Tiếng trung Full BỘ BCT.pdf</t>
        </is>
      </c>
      <c r="B1624" s="93" t="inlineStr">
        <is>
          <t>775</t>
        </is>
      </c>
      <c r="C1624" s="92" t="inlineStr">
        <is>
          <t>物流仓储健康与安全标准</t>
        </is>
      </c>
      <c r="D1624" s="92" t="inlineStr">
        <is>
          <t>Wùliú Cāngchǔ Jiànkāng Yǔ Ānquán Biāozhǔn) - Health and Safety Standards in Logistics Warehousing - Tiêu chuẩn An toàn và Sức khỏe trong Kho vận Logistics</t>
        </is>
      </c>
      <c r="E1624" s="92" t="inlineStr">
        <is>
          <t>775. 物流仓储健康与安全标准 (Wùliú Cāngchǔ Jiànkāng Yǔ Ānquán Biāozhǔn) - Health and Safety Standards in Logistics Warehousing - Tiêu chuẩn An toàn và Sức khỏe trong Kho vận Logistics</t>
        </is>
      </c>
      <c r="F1624" s="114">
        <f>HYPERLINK("https://youglish.com/pronounce/物流仓储健康与安全标准/chinese","🔍")</f>
        <v/>
      </c>
    </row>
    <row r="1625" ht="42.75" customHeight="1" s="99">
      <c r="A1625" s="94" t="inlineStr">
        <is>
          <t>PDF_Tiếng trung Full BỘ BCT.pdf</t>
        </is>
      </c>
      <c r="B1625" s="95" t="inlineStr">
        <is>
          <t>776</t>
        </is>
      </c>
      <c r="C1625" s="94" t="inlineStr">
        <is>
          <t>生产线生产计划优化</t>
        </is>
      </c>
      <c r="D1625" s="94" t="inlineStr">
        <is>
          <t>Shēngchǎn Xiàn Shēngchǎn Jìhuà Yōuhuà) - Optimization of Production Plans in Production Lines - Tối ưu hóa Kế hoạch Sản xuất trong Dây chuyền Sản xuất</t>
        </is>
      </c>
      <c r="E1625" s="94" t="inlineStr">
        <is>
          <t>776. 生产线生产计划优化 (Shēngchǎn Xiàn Shēngchǎn Jìhuà Yōuhuà) - Optimization of Production Plans in Production Lines - Tối ưu hóa Kế hoạch Sản xuất trong Dây chuyền Sản xuất</t>
        </is>
      </c>
      <c r="F1625" s="115">
        <f>HYPERLINK("https://youglish.com/pronounce/生产线生产计划优化/chinese","🔍")</f>
        <v/>
      </c>
    </row>
    <row r="1626" ht="42.75" customHeight="1" s="99">
      <c r="A1626" s="92" t="inlineStr">
        <is>
          <t>PDF_Tiếng trung Full BỘ BCT.pdf</t>
        </is>
      </c>
      <c r="B1626" s="93" t="inlineStr">
        <is>
          <t>777</t>
        </is>
      </c>
      <c r="C1626" s="92" t="inlineStr">
        <is>
          <t>需求计划执行日志记录</t>
        </is>
      </c>
      <c r="D1626" s="92" t="inlineStr">
        <is>
          <t>Xūqiú Jìhuà Zhíxíng Rìzhì Jìlù) - Logging Execution Activities in Demand Planning - Ghi chép Hành động Thực hiện Kế hoạch Nhu cầu</t>
        </is>
      </c>
      <c r="E1626" s="92" t="inlineStr">
        <is>
          <t>777. 需求计划执行日志记录 (Xūqiú Jìhuà Zhíxíng Rìzhì Jìlù) - Logging Execution Activities in Demand Planning - Ghi chép Hành động Thực hiện Kế hoạch Nhu cầu</t>
        </is>
      </c>
      <c r="F1626" s="114">
        <f>HYPERLINK("https://youglish.com/pronounce/需求计划执行日志记录/chinese","🔍")</f>
        <v/>
      </c>
    </row>
    <row r="1627" ht="42.75" customHeight="1" s="99">
      <c r="A1627" s="94" t="inlineStr">
        <is>
          <t>PDF_Tiếng trung Full BỘ BCT.pdf</t>
        </is>
      </c>
      <c r="B1627" s="95" t="inlineStr">
        <is>
          <t>778</t>
        </is>
      </c>
      <c r="C1627" s="94" t="inlineStr">
        <is>
          <t>供应链危机应急响应</t>
        </is>
      </c>
      <c r="D1627" s="94" t="inlineStr">
        <is>
          <t>Gōngyìngliàn Wēijī Yìngjí Xiǎngyìng) - Emergency Response to Crises in the Supply Chain - Ứng phó Khẩn cấp với Tình hình khẩn cấp trong Chuỗi cung ứng</t>
        </is>
      </c>
      <c r="E1627" s="94" t="inlineStr">
        <is>
          <t>778. 供应链危机应急响应 (Gōngyìngliàn Wēijī Yìngjí Xiǎngyìng) - Emergency Response to Crises in the Supply Chain - Ứng phó Khẩn cấp với Tình hình khẩn cấp trong Chuỗi cung ứng</t>
        </is>
      </c>
      <c r="F1627" s="115">
        <f>HYPERLINK("https://youglish.com/pronounce/供应链危机应急响应/chinese","🔍")</f>
        <v/>
      </c>
    </row>
    <row r="1628" ht="42.75" customHeight="1" s="99">
      <c r="A1628" s="92" t="inlineStr">
        <is>
          <t>PDF_Tiếng trung Full BỘ BCT.pdf</t>
        </is>
      </c>
      <c r="B1628" s="93" t="inlineStr">
        <is>
          <t>779</t>
        </is>
      </c>
      <c r="C1628" s="92" t="inlineStr">
        <is>
          <t>供应商供应链可持续发展</t>
        </is>
      </c>
      <c r="D1628" s="92" t="inlineStr">
        <is>
          <t>Gōngyìngshāng Gòngyìngliàn Kěchíxù Fāzhǎn) - Sustainable Development in Vendor Supply Chains - Phát triển Bền vững trong Chuỗi cung ứng của Nhà cung cấp</t>
        </is>
      </c>
      <c r="E1628" s="92" t="inlineStr">
        <is>
          <t>779. 供应商供应链可持续发展 (Gōngyìngshāng Gòngyìngliàn Kěchíxù Fāzhǎn) - Sustainable Development in Vendor Supply Chains - Phát triển Bền vững trong Chuỗi cung ứng của Nhà cung cấp</t>
        </is>
      </c>
      <c r="F1628" s="114">
        <f>HYPERLINK("https://youglish.com/pronounce/供应商供应链可持续发展/chinese","🔍")</f>
        <v/>
      </c>
    </row>
    <row r="1629" ht="42.75" customHeight="1" s="99">
      <c r="A1629" s="94" t="inlineStr">
        <is>
          <t>PDF_Tiếng trung Full BỘ BCT.pdf</t>
        </is>
      </c>
      <c r="B1629" s="95" t="inlineStr">
        <is>
          <t>780</t>
        </is>
      </c>
      <c r="C1629" s="94" t="inlineStr">
        <is>
          <t>生产线智能机器人应用</t>
        </is>
      </c>
      <c r="D1629" s="94" t="inlineStr">
        <is>
          <t>Shēngchǎn Xiàn Zhìnéng Jīqìrén Yìngyòng) - Applications of Smart Robots in Production Lines - Ứng dụng Robot Thông minh trong Dây chuyền Sản xuất</t>
        </is>
      </c>
      <c r="E1629" s="94" t="inlineStr">
        <is>
          <t>780. 生产线智能机器人应用 (Shēngchǎn Xiàn Zhìnéng Jīqìrén Yìngyòng) - Applications of Smart Robots in Production Lines - Ứng dụng Robot Thông minh trong Dây chuyền Sản xuất</t>
        </is>
      </c>
      <c r="F1629" s="115">
        <f>HYPERLINK("https://youglish.com/pronounce/生产线智能机器人应用/chinese","🔍")</f>
        <v/>
      </c>
    </row>
    <row r="1630" ht="42.75" customHeight="1" s="99">
      <c r="A1630" s="92" t="inlineStr">
        <is>
          <t>PDF_Tiếng trung Full BỘ BCT.pdf</t>
        </is>
      </c>
      <c r="B1630" s="93" t="inlineStr">
        <is>
          <t>781</t>
        </is>
      </c>
      <c r="C1630" s="92" t="inlineStr">
        <is>
          <t>需求计划执行效果调查</t>
        </is>
      </c>
      <c r="D1630" s="92" t="inlineStr">
        <is>
          <t>Xūqiú Jìhuà Zhíxíng Xiàoguǒ Diàochá) - Investigation of Effectiveness in Demand Planning Execution - Điều tra về Hiệu suất trong Quy trình Thực hiện Kế hoạch Nhu cầu</t>
        </is>
      </c>
      <c r="E1630" s="92" t="inlineStr">
        <is>
          <t>781. 需求计划执行效果调查 (Xūqiú Jìhuà Zhíxíng Xiàoguǒ Diàochá) - Investigation of Effectiveness in Demand Planning Execution - Điều tra về Hiệu suất trong Quy trình Thực hiện Kế hoạch Nhu cầu</t>
        </is>
      </c>
      <c r="F1630" s="114">
        <f>HYPERLINK("https://youglish.com/pronounce/需求计划执行效果调查/chinese","🔍")</f>
        <v/>
      </c>
    </row>
    <row r="1631" ht="42.75" customHeight="1" s="99">
      <c r="A1631" s="94" t="inlineStr">
        <is>
          <t>PDF_Tiếng trung Full BỘ BCT.pdf</t>
        </is>
      </c>
      <c r="B1631" s="95" t="inlineStr">
        <is>
          <t>782</t>
        </is>
      </c>
      <c r="C1631" s="94" t="inlineStr">
        <is>
          <t>供应链数字化协同创新</t>
        </is>
      </c>
      <c r="D1631" s="94" t="inlineStr">
        <is>
          <t>Gōngyìngliàn Shùzìhuà Xiétóng Chuàngxīn) - Digital Collaborative Innovation in the Supply Chain - Đổi mới Hợp tác Số hóa trong Chuỗi cung ứng</t>
        </is>
      </c>
      <c r="E1631" s="94" t="inlineStr">
        <is>
          <t>782. 供应链数字化协同创新 (Gōngyìngliàn Shùzìhuà Xiétóng Chuàngxīn) - Digital Collaborative Innovation in the Supply Chain - Đổi mới Hợp tác Số hóa trong Chuỗi cung ứng</t>
        </is>
      </c>
      <c r="F1631" s="115">
        <f>HYPERLINK("https://youglish.com/pronounce/供应链数字化协同创新/chinese","🔍")</f>
        <v/>
      </c>
    </row>
    <row r="1632" ht="42.75" customHeight="1" s="99">
      <c r="A1632" s="92" t="inlineStr">
        <is>
          <t>PDF_Tiếng trung Full BỘ BCT.pdf</t>
        </is>
      </c>
      <c r="B1632" s="93" t="inlineStr">
        <is>
          <t>783</t>
        </is>
      </c>
      <c r="C1632" s="92" t="inlineStr">
        <is>
          <t>物流仓储绿色包装方案</t>
        </is>
      </c>
      <c r="D1632" s="92" t="inlineStr">
        <is>
          <t>Wùliú Cāngchǔ Lǜsè Bāozhuāng Fāng'àn) - Green Packaging Solutions in Logistics Warehousing - Giải pháp Đóng gói Xanh trong Kho vận Logistics</t>
        </is>
      </c>
      <c r="E1632" s="92" t="inlineStr">
        <is>
          <t>783. 物流仓储绿色包装方案 (Wùliú Cāngchǔ Lǜsè Bāozhuāng Fāng'àn) - Green Packaging Solutions in Logistics Warehousing - Giải pháp Đóng gói Xanh trong Kho vận Logistics</t>
        </is>
      </c>
      <c r="F1632" s="114">
        <f>HYPERLINK("https://youglish.com/pronounce/物流仓储绿色包装方案/chinese","🔍")</f>
        <v/>
      </c>
    </row>
    <row r="1633" ht="42.75" customHeight="1" s="99">
      <c r="A1633" s="94" t="inlineStr">
        <is>
          <t>PDF_Tiếng trung Full BỘ BCT.pdf</t>
        </is>
      </c>
      <c r="B1633" s="95" t="inlineStr">
        <is>
          <t>784</t>
        </is>
      </c>
      <c r="C1633" s="94" t="inlineStr">
        <is>
          <t>生产线工艺流程优化</t>
        </is>
      </c>
      <c r="D1633" s="94" t="inlineStr">
        <is>
          <t>Shēngchǎn Xiàn Gōngyì Liúchéng Yōuhuà) - Optimization of Manufacturing Processes in Production Lines - Tối ưu hóa Quy trình Sản xuất trong Dây chuyền Sản xuất</t>
        </is>
      </c>
      <c r="E1633" s="94" t="inlineStr">
        <is>
          <t>784. 生产线工艺流程优化 (Shēngchǎn Xiàn Gōngyì Liúchéng Yōuhuà) - Optimization of Manufacturing Processes in Production Lines - Tối ưu hóa Quy trình Sản xuất trong Dây chuyền Sản xuất</t>
        </is>
      </c>
      <c r="F1633" s="115">
        <f>HYPERLINK("https://youglish.com/pronounce/生产线工艺流程优化/chinese","🔍")</f>
        <v/>
      </c>
    </row>
    <row r="1634" ht="42.75" customHeight="1" s="99">
      <c r="A1634" s="92" t="inlineStr">
        <is>
          <t>PDF_Tiếng trung Full BỘ BCT.pdf</t>
        </is>
      </c>
      <c r="B1634" s="93" t="inlineStr">
        <is>
          <t>785</t>
        </is>
      </c>
      <c r="C1634" s="92" t="inlineStr">
        <is>
          <t>货物追溯数据分析工具</t>
        </is>
      </c>
      <c r="D1634" s="92" t="inlineStr">
        <is>
          <t>Huòwù Zhuīsù Shùjù Fēnxī Gōngjù) - Data Analysis Tools in Cargo Traceability - Công cụ Phân tích Dữ liệu trong Theo dõi Hàng hóa</t>
        </is>
      </c>
      <c r="E1634" s="92" t="inlineStr">
        <is>
          <t>785. 货物追溯数据分析工具 (Huòwù Zhuīsù Shùjù Fēnxī Gōngjù) - Data Analysis Tools in Cargo Traceability - Công cụ Phân tích Dữ liệu trong Theo dõi Hàng hóa</t>
        </is>
      </c>
      <c r="F1634" s="114">
        <f>HYPERLINK("https://youglish.com/pronounce/货物追溯数据分析工具/chinese","🔍")</f>
        <v/>
      </c>
    </row>
    <row r="1635" ht="42.75" customHeight="1" s="99">
      <c r="A1635" s="94" t="inlineStr">
        <is>
          <t>PDF_Tiếng trung Full BỘ BCT.pdf</t>
        </is>
      </c>
      <c r="B1635" s="95" t="inlineStr">
        <is>
          <t>786</t>
        </is>
      </c>
      <c r="C1635" s="94" t="inlineStr">
        <is>
          <t>供应商供应链数字化战略</t>
        </is>
      </c>
      <c r="D1635" s="94" t="inlineStr">
        <is>
          <t>Gōngyìngshāng Gòngyìngliàn Shùzìhuà Zhànlüè) - Digitalization Strategies in Vendor Supply Chains - Chiến lược Số hóa trong Chuỗi cung ứng của Nhà cung cấp</t>
        </is>
      </c>
      <c r="E1635" s="94" t="inlineStr">
        <is>
          <t>786. 供应商供应链数字化战略 (Gōngyìngshāng Gòngyìngliàn Shùzìhuà Zhànlüè) - Digitalization Strategies in Vendor Supply Chains - Chiến lược Số hóa trong Chuỗi cung ứng của Nhà cung cấp</t>
        </is>
      </c>
      <c r="F1635" s="115">
        <f>HYPERLINK("https://youglish.com/pronounce/供应商供应链数字化战略/chinese","🔍")</f>
        <v/>
      </c>
    </row>
    <row r="1636" ht="42.75" customHeight="1" s="99">
      <c r="A1636" s="92" t="inlineStr">
        <is>
          <t>PDF_Tiếng trung Full BỘ BCT.pdf</t>
        </is>
      </c>
      <c r="B1636" s="93" t="inlineStr">
        <is>
          <t>787</t>
        </is>
      </c>
      <c r="C1636" s="92" t="inlineStr">
        <is>
          <t>物流仓储运输管理系统</t>
        </is>
      </c>
      <c r="D1636" s="92" t="inlineStr">
        <is>
          <t>Wùliú Cāngchǔ Yùnshū Guǎnlǐ Xìtǒng) - Transportation Management Systems in Logistics Warehousing - Hệ thống Quản lý Vận chuyển trong Kho vận Logistics</t>
        </is>
      </c>
      <c r="E1636" s="92" t="inlineStr">
        <is>
          <t>787. 物流仓储运输管理系统 (Wùliú Cāngchǔ Yùnshū Guǎnlǐ Xìtǒng) - Transportation Management Systems in Logistics Warehousing - Hệ thống Quản lý Vận chuyển trong Kho vận Logistics</t>
        </is>
      </c>
      <c r="F1636" s="114">
        <f>HYPERLINK("https://youglish.com/pronounce/物流仓储运输管理系统/chinese","🔍")</f>
        <v/>
      </c>
    </row>
    <row r="1637" ht="42.75" customHeight="1" s="99">
      <c r="A1637" s="94" t="inlineStr">
        <is>
          <t>PDF_Tiếng trung Full BỘ BCT.pdf</t>
        </is>
      </c>
      <c r="B1637" s="95" t="inlineStr">
        <is>
          <t>788</t>
        </is>
      </c>
      <c r="C1637" s="94" t="inlineStr">
        <is>
          <t>生产线智能监控设备</t>
        </is>
      </c>
      <c r="D1637" s="94" t="inlineStr">
        <is>
          <t>Shēngchǎn Xiàn Zhìnéng Jiānzhù Shèbèi) - Smart Monitoring Devices in Production Lines - Thiết bị Giám sát Thông minh trong Dây chuyền Sản xuất</t>
        </is>
      </c>
      <c r="E1637" s="94" t="inlineStr">
        <is>
          <t>788. 生产线智能监控设备 (Shēngchǎn Xiàn Zhìnéng Jiānzhù Shèbèi) - Smart Monitoring Devices in Production Lines - Thiết bị Giám sát Thông minh trong Dây chuyền Sản xuất</t>
        </is>
      </c>
      <c r="F1637" s="115">
        <f>HYPERLINK("https://youglish.com/pronounce/生产线智能监控设备/chinese","🔍")</f>
        <v/>
      </c>
    </row>
    <row r="1638" ht="42.75" customHeight="1" s="99">
      <c r="A1638" s="92" t="inlineStr">
        <is>
          <t>PDF_Tiếng trung Full BỘ BCT.pdf</t>
        </is>
      </c>
      <c r="B1638" s="93" t="inlineStr">
        <is>
          <t>789</t>
        </is>
      </c>
      <c r="C1638" s="92" t="inlineStr">
        <is>
          <t>需求计划执行趋势分析</t>
        </is>
      </c>
      <c r="D1638" s="92" t="inlineStr">
        <is>
          <t>Xūqiú Jìhuà Zhíxíng Qūshì Fēnxī) - Trend Analysis in Demand Planning Execution - Phân tích Xu hướng trong Quy trình Thực hiện Kế hoạch Nhu cầu</t>
        </is>
      </c>
      <c r="E1638" s="92" t="inlineStr">
        <is>
          <t>789. 需求计划执行趋势分析 (Xūqiú Jìhuà Zhíxíng Qūshì Fēnxī) - Trend Analysis in Demand Planning Execution - Phân tích Xu hướng trong Quy trình Thực hiện Kế hoạch Nhu cầu</t>
        </is>
      </c>
      <c r="F1638" s="114">
        <f>HYPERLINK("https://youglish.com/pronounce/需求计划执行趋势分析/chinese","🔍")</f>
        <v/>
      </c>
    </row>
    <row r="1639" ht="42.75" customHeight="1" s="99">
      <c r="A1639" s="94" t="inlineStr">
        <is>
          <t>PDF_Tiếng trung Full BỘ BCT.pdf</t>
        </is>
      </c>
      <c r="B1639" s="95" t="inlineStr">
        <is>
          <t>790</t>
        </is>
      </c>
      <c r="C1639" s="94" t="inlineStr">
        <is>
          <t>供应链数字支付解决方案</t>
        </is>
      </c>
      <c r="D1639" s="94" t="inlineStr">
        <is>
          <t>Gōngyìngliàn Shùzì Zhīfù Jiějué Fāng'àn) - Digital Payment Solutions in the Supply Chain - Giải pháp Thanh toán Số hóa trong Chuỗi cung ứng</t>
        </is>
      </c>
      <c r="E1639" s="94" t="inlineStr">
        <is>
          <t>790. 供应链数字支付解决方案 (Gōngyìngliàn Shùzì Zhīfù Jiějué Fāng'àn) - Digital Payment Solutions in the Supply Chain - Giải pháp Thanh toán Số hóa trong Chuỗi cung ứng</t>
        </is>
      </c>
      <c r="F1639" s="115">
        <f>HYPERLINK("https://youglish.com/pronounce/供应链数字支付解决方案/chinese","🔍")</f>
        <v/>
      </c>
    </row>
    <row r="1640" ht="42.75" customHeight="1" s="99">
      <c r="A1640" s="92" t="inlineStr">
        <is>
          <t>PDF_Tiếng trung Full BỘ BCT.pdf</t>
        </is>
      </c>
      <c r="B1640" s="93" t="inlineStr">
        <is>
          <t>791</t>
        </is>
      </c>
      <c r="C1640" s="92" t="inlineStr">
        <is>
          <t>生产线灵活生产策略</t>
        </is>
      </c>
      <c r="D1640" s="92" t="inlineStr">
        <is>
          <t>Shēngchǎn Xiàn Línghuó Shēngchǎn Cèlüè) - Flexible Production Strategies in Production Lines - Chiến lược Sản xuất Linh hoạt trong Dây chuyền Sản xuất</t>
        </is>
      </c>
      <c r="E1640" s="92" t="inlineStr">
        <is>
          <t>791. 生产线灵活生产策略 (Shēngchǎn Xiàn Línghuó Shēngchǎn Cèlüè) - Flexible Production Strategies in Production Lines - Chiến lược Sản xuất Linh hoạt trong Dây chuyền Sản xuất</t>
        </is>
      </c>
      <c r="F1640" s="114">
        <f>HYPERLINK("https://youglish.com/pronounce/生产线灵活生产策略/chinese","🔍")</f>
        <v/>
      </c>
    </row>
    <row r="1641" ht="42.75" customHeight="1" s="99">
      <c r="A1641" s="94" t="inlineStr">
        <is>
          <t>PDF_Tiếng trung Full BỘ BCT.pdf</t>
        </is>
      </c>
      <c r="B1641" s="95" t="inlineStr">
        <is>
          <t>792</t>
        </is>
      </c>
      <c r="C1641" s="94" t="inlineStr">
        <is>
          <t>货物追溯区块链技术</t>
        </is>
      </c>
      <c r="D1641" s="94" t="inlineStr">
        <is>
          <t>Huòwù Zhuīsù Qūkuài Liàn Jìshù) - Blockchain Technology in Cargo Traceability - Công nghệ Blockchain trong Theo dõi Hàng hóa</t>
        </is>
      </c>
      <c r="E1641" s="94" t="inlineStr">
        <is>
          <t>792. 货物追溯区块链技术 (Huòwù Zhuīsù Qūkuài Liàn Jìshù) - Blockchain Technology in Cargo Traceability - Công nghệ Blockchain trong Theo dõi Hàng hóa</t>
        </is>
      </c>
      <c r="F1641" s="115">
        <f>HYPERLINK("https://youglish.com/pronounce/货物追溯区块链技术/chinese","🔍")</f>
        <v/>
      </c>
    </row>
    <row r="1642" ht="42.75" customHeight="1" s="99">
      <c r="A1642" s="92" t="inlineStr">
        <is>
          <t>PDF_Tiếng trung Full BỘ BCT.pdf</t>
        </is>
      </c>
      <c r="B1642" s="93" t="inlineStr">
        <is>
          <t>793</t>
        </is>
      </c>
      <c r="C1642" s="92" t="inlineStr">
        <is>
          <t>供应商供应链卓越执行</t>
        </is>
      </c>
      <c r="D1642" s="92" t="inlineStr">
        <is>
          <t>Gōngyìngshāng Gòngyìngliàn Zhuóyuè Zhíxíng) - Excellence in Execution in Vendor Supply Chains - Xuất sắc trong Thực hiện Chuỗi cung ứng của Nhà cung cấp</t>
        </is>
      </c>
      <c r="E1642" s="92" t="inlineStr">
        <is>
          <t>793. 供应商供应链卓越执行 (Gōngyìngshāng Gòngyìngliàn Zhuóyuè Zhíxíng) - Excellence in Execution in Vendor Supply Chains - Xuất sắc trong Thực hiện Chuỗi cung ứng của Nhà cung cấp</t>
        </is>
      </c>
      <c r="F1642" s="114">
        <f>HYPERLINK("https://youglish.com/pronounce/供应商供应链卓越执行/chinese","🔍")</f>
        <v/>
      </c>
    </row>
    <row r="1643" ht="42.75" customHeight="1" s="99">
      <c r="A1643" s="94" t="inlineStr">
        <is>
          <t>PDF_Tiếng trung Full BỘ BCT.pdf</t>
        </is>
      </c>
      <c r="B1643" s="95" t="inlineStr">
        <is>
          <t>794</t>
        </is>
      </c>
      <c r="C1643" s="94" t="inlineStr">
        <is>
          <t>物流仓储智能温控系统</t>
        </is>
      </c>
      <c r="D1643" s="94" t="inlineStr">
        <is>
          <t>Wùliú Cāngchǔ Zhìnéng Wēnkòng Xìtǒng) - Smart Temperature Control Systems in Logistics Warehousing - Hệ thống Kiểm soát Nhiệt độ Thông minh trong Kho vận Logistics</t>
        </is>
      </c>
      <c r="E1643" s="94" t="inlineStr">
        <is>
          <t>794. 物流仓储智能温控系统 (Wùliú Cāngchǔ Zhìnéng Wēnkòng Xìtǒng) - Smart Temperature Control Systems in Logistics Warehousing - Hệ thống Kiểm soát Nhiệt độ Thông minh trong Kho vận Logistics</t>
        </is>
      </c>
      <c r="F1643" s="115">
        <f>HYPERLINK("https://youglish.com/pronounce/物流仓储智能温控系统/chinese","🔍")</f>
        <v/>
      </c>
    </row>
    <row r="1644" ht="42.75" customHeight="1" s="99">
      <c r="A1644" s="92" t="inlineStr">
        <is>
          <t>PDF_Tiếng trung Full BỘ BCT.pdf</t>
        </is>
      </c>
      <c r="B1644" s="93" t="inlineStr">
        <is>
          <t>795</t>
        </is>
      </c>
      <c r="C1644" s="92" t="inlineStr">
        <is>
          <t>生产线可持续能源采用</t>
        </is>
      </c>
      <c r="D1644" s="92" t="inlineStr">
        <is>
          <t>Shēngchǎn Xiàn Kěchíxù Néngyuán Cǎiyòng) - Adoption of Sustainable Energy in Production Lines - Sự áp dụng Năng lượng Bền vững trong Dây chuyền Sản xuất</t>
        </is>
      </c>
      <c r="E1644" s="92" t="inlineStr">
        <is>
          <t>795. 生产线可持续能源采用 (Shēngchǎn Xiàn Kěchíxù Néngyuán Cǎiyòng) - Adoption of Sustainable Energy in Production Lines - Sự áp dụng Năng lượng Bền vững trong Dây chuyền Sản xuất</t>
        </is>
      </c>
      <c r="F1644" s="114">
        <f>HYPERLINK("https://youglish.com/pronounce/生产线可持续能源采用/chinese","🔍")</f>
        <v/>
      </c>
    </row>
    <row r="1645" ht="42.75" customHeight="1" s="99">
      <c r="A1645" s="94" t="inlineStr">
        <is>
          <t>PDF_Tiếng trung Full BỘ BCT.pdf</t>
        </is>
      </c>
      <c r="B1645" s="95" t="inlineStr">
        <is>
          <t>796</t>
        </is>
      </c>
      <c r="C1645" s="94" t="inlineStr">
        <is>
          <t>需求计划执行人员培训</t>
        </is>
      </c>
      <c r="D1645" s="94" t="inlineStr">
        <is>
          <t>Xūqiú Jìhuà Zhíxíng Rényuán Péixùn) - Training of Personnel in Demand Planning Execution - Đào tạo Nhân viên trong Quy trình Thực hiện Kế hoạch Nhu cầu</t>
        </is>
      </c>
      <c r="E1645" s="94" t="inlineStr">
        <is>
          <t>796. 需求计划执行人员培训 (Xūqiú Jìhuà Zhíxíng Rényuán Péixùn) - Training of Personnel in Demand Planning Execution - Đào tạo Nhân viên trong Quy trình Thực hiện Kế hoạch Nhu cầu</t>
        </is>
      </c>
      <c r="F1645" s="115">
        <f>HYPERLINK("https://youglish.com/pronounce/需求计划执行人员培训/chinese","🔍")</f>
        <v/>
      </c>
    </row>
    <row r="1646" ht="42.75" customHeight="1" s="99">
      <c r="A1646" s="92" t="inlineStr">
        <is>
          <t>PDF_Tiếng trung Full BỘ BCT.pdf</t>
        </is>
      </c>
      <c r="B1646" s="93" t="inlineStr">
        <is>
          <t>797</t>
        </is>
      </c>
      <c r="C1646" s="92" t="inlineStr">
        <is>
          <t>供应链数字智能监控</t>
        </is>
      </c>
      <c r="D1646" s="92" t="inlineStr">
        <is>
          <t>Gōngyìngliàn Shùzì Zhìnéng Jiānzhù) - Digital Intelligent Monitoring in the Supply Chain - Giám sát Thông minh Số hóa trong Chuỗi cung ứng</t>
        </is>
      </c>
      <c r="E1646" s="92" t="inlineStr">
        <is>
          <t>797. 供应链数字智能监控 (Gōngyìngliàn Shùzì Zhìnéng Jiānzhù) - Digital Intelligent Monitoring in the Supply Chain - Giám sát Thông minh Số hóa trong Chuỗi cung ứng</t>
        </is>
      </c>
      <c r="F1646" s="114">
        <f>HYPERLINK("https://youglish.com/pronounce/供应链数字智能监控/chinese","🔍")</f>
        <v/>
      </c>
    </row>
    <row r="1647" ht="42.75" customHeight="1" s="99">
      <c r="A1647" s="94" t="inlineStr">
        <is>
          <t>PDF_Tiếng trung Full BỘ BCT.pdf</t>
        </is>
      </c>
      <c r="B1647" s="95" t="inlineStr">
        <is>
          <t>798</t>
        </is>
      </c>
      <c r="C1647" s="94" t="inlineStr">
        <is>
          <t>物料供应链透明度</t>
        </is>
      </c>
      <c r="D1647" s="94" t="inlineStr">
        <is>
          <t>Wùliào Gōngyìngliàn Tòumíngdù) - Transparency in Material Supply Chains - Tính Minh bạch trong Chuỗi cung ứng Vật liệu</t>
        </is>
      </c>
      <c r="E1647" s="94" t="inlineStr">
        <is>
          <t>798. 物料供应链透明度 (Wùliào Gōngyìngliàn Tòumíngdù) - Transparency in Material Supply Chains - Tính Minh bạch trong Chuỗi cung ứng Vật liệu</t>
        </is>
      </c>
      <c r="F1647" s="115">
        <f>HYPERLINK("https://youglish.com/pronounce/物料供应链透明度/chinese","🔍")</f>
        <v/>
      </c>
    </row>
    <row r="1648" ht="42.75" customHeight="1" s="99">
      <c r="A1648" s="92" t="inlineStr">
        <is>
          <t>PDF_Tiếng trung Full BỘ BCT.pdf</t>
        </is>
      </c>
      <c r="B1648" s="93" t="inlineStr">
        <is>
          <t>799</t>
        </is>
      </c>
      <c r="C1648" s="92" t="inlineStr">
        <is>
          <t>供应商供应链战略采购</t>
        </is>
      </c>
      <c r="D1648" s="92" t="inlineStr">
        <is>
          <t>Gōngyìngshāng Gòngyìngliàn Zhànlüè Cǎigòu) - Strategic Procurement in Vendor Supply Chains - Mua sắm Chiến lược trong Chuỗi cung ứng của Nhà cung cấp</t>
        </is>
      </c>
      <c r="E1648" s="92" t="inlineStr">
        <is>
          <t>799. 供应商供应链战略采购 (Gōngyìngshāng Gòngyìngliàn Zhànlüè Cǎigòu) - Strategic Procurement in Vendor Supply Chains - Mua sắm Chiến lược trong Chuỗi cung ứng của Nhà cung cấp</t>
        </is>
      </c>
      <c r="F1648" s="114">
        <f>HYPERLINK("https://youglish.com/pronounce/供应商供应链战略采购/chinese","🔍")</f>
        <v/>
      </c>
    </row>
    <row r="1649" ht="42.75" customHeight="1" s="99">
      <c r="A1649" s="94" t="inlineStr">
        <is>
          <t>PDF_Tiếng trung Full BỘ BCT.pdf</t>
        </is>
      </c>
      <c r="B1649" s="95" t="inlineStr">
        <is>
          <t>800</t>
        </is>
      </c>
      <c r="C1649" s="94" t="inlineStr">
        <is>
          <t>生产线数字化生产计划</t>
        </is>
      </c>
      <c r="D1649" s="94" t="inlineStr">
        <is>
          <t>Shēngchǎn Xiàn Shùzìhuà Shēngchǎn Jìhuà) - Digital Production Planning in Production Lines - Kế hoạch Sản xuất Số hóa trong Dây chuyền Sản xuất</t>
        </is>
      </c>
      <c r="E1649" s="94" t="inlineStr">
        <is>
          <t>800. 生产线数字化生产计划 (Shēngchǎn Xiàn Shùzìhuà Shēngchǎn Jìhuà) - Digital Production Planning in Production Lines - Kế hoạch Sản xuất Số hóa trong Dây chuyền Sản xuất</t>
        </is>
      </c>
      <c r="F1649" s="115">
        <f>HYPERLINK("https://youglish.com/pronounce/生产线数字化生产计划/chinese","🔍")</f>
        <v/>
      </c>
    </row>
    <row r="1650" ht="42.75" customHeight="1" s="99">
      <c r="A1650" s="92" t="inlineStr">
        <is>
          <t>PDF_Tiếng trung Full BỘ BCT.pdf</t>
        </is>
      </c>
      <c r="B1650" s="93" t="inlineStr">
        <is>
          <t>801</t>
        </is>
      </c>
      <c r="C1650" s="92" t="inlineStr">
        <is>
          <t>需求计划执行决策支持</t>
        </is>
      </c>
      <c r="D1650" s="92" t="inlineStr">
        <is>
          <t>Xūqiú Jìhuà Zhíxíng Juécè Zhīchí) - Decision Support in Demand Planning Execution - Hỗ trợ Quyết định trong Quy trình Thực hiện Kế hoạch Nhu cầu</t>
        </is>
      </c>
      <c r="E1650" s="92" t="inlineStr">
        <is>
          <t>801. 需求计划执行决策支持 (Xūqiú Jìhuà Zhíxíng Juécè Zhīchí) - Decision Support in Demand Planning Execution - Hỗ trợ Quyết định trong Quy trình Thực hiện Kế hoạch Nhu cầu</t>
        </is>
      </c>
      <c r="F1650" s="114">
        <f>HYPERLINK("https://youglish.com/pronounce/需求计划执行决策支持/chinese","🔍")</f>
        <v/>
      </c>
    </row>
    <row r="1651" ht="42.75" customHeight="1" s="99">
      <c r="A1651" s="94" t="inlineStr">
        <is>
          <t>PDF_Tiếng trung Full BỘ BCT.pdf</t>
        </is>
      </c>
      <c r="B1651" s="95" t="inlineStr">
        <is>
          <t>802</t>
        </is>
      </c>
      <c r="C1651" s="94" t="inlineStr">
        <is>
          <t>供应链数字化数据安全</t>
        </is>
      </c>
      <c r="D1651" s="94" t="inlineStr">
        <is>
          <t>Gōngyìngliàn Shùzìhuà Shùjù Ānquán) - Data Security in Digitalization of the Supply Chain - Bảo mật Dữ liệu trong Số hóa của Chuỗi cung ứng</t>
        </is>
      </c>
      <c r="E1651" s="94" t="inlineStr">
        <is>
          <t>802. 供应链数字化数据安全 (Gōngyìngliàn Shùzìhuà Shùjù Ānquán) - Data Security in Digitalization of the Supply Chain - Bảo mật Dữ liệu trong Số hóa của Chuỗi cung ứng</t>
        </is>
      </c>
      <c r="F1651" s="115">
        <f>HYPERLINK("https://youglish.com/pronounce/供应链数字化数据安全/chinese","🔍")</f>
        <v/>
      </c>
    </row>
    <row r="1652" ht="42.75" customHeight="1" s="99">
      <c r="A1652" s="92" t="inlineStr">
        <is>
          <t>PDF_Tiếng trung Full BỘ BCT.pdf</t>
        </is>
      </c>
      <c r="B1652" s="93" t="inlineStr">
        <is>
          <t>803</t>
        </is>
      </c>
      <c r="C1652" s="92" t="inlineStr">
        <is>
          <t>物流仓储可持续性评估</t>
        </is>
      </c>
      <c r="D1652" s="92" t="inlineStr">
        <is>
          <t>Wùliú Cāngchǔ Kěchíxù Xìng Pínggū) - Sustainability Assessment in Logistics Warehousing - Đánh giá Bền vững trong Kho vận Logistics</t>
        </is>
      </c>
      <c r="E1652" s="92" t="inlineStr">
        <is>
          <t>803. 物流仓储可持续性评估 (Wùliú Cāngchǔ Kěchíxù Xìng Pínggū) - Sustainability Assessment in Logistics Warehousing - Đánh giá Bền vững trong Kho vận Logistics</t>
        </is>
      </c>
      <c r="F1652" s="114">
        <f>HYPERLINK("https://youglish.com/pronounce/物流仓储可持续性评估/chinese","🔍")</f>
        <v/>
      </c>
    </row>
    <row r="1653" ht="42.75" customHeight="1" s="99">
      <c r="A1653" s="94" t="inlineStr">
        <is>
          <t>PDF_Tiếng trung Full BỘ BCT.pdf</t>
        </is>
      </c>
      <c r="B1653" s="95" t="inlineStr">
        <is>
          <t>804</t>
        </is>
      </c>
      <c r="C1653" s="94" t="inlineStr">
        <is>
          <t>生产线精益生产原则</t>
        </is>
      </c>
      <c r="D1653" s="94" t="inlineStr">
        <is>
          <t>Shēngchǎn Xiàn Jīngyì Shēngchǎn Yuánzé) - Lean Production Principles in Production Lines - Nguyên tắc Sản xuất Tinh gọn trong Dây chuyền Sản xuất</t>
        </is>
      </c>
      <c r="E1653" s="94" t="inlineStr">
        <is>
          <t>804. 生产线精益生产原则 (Shēngchǎn Xiàn Jīngyì Shēngchǎn Yuánzé) - Lean Production Principles in Production Lines - Nguyên tắc Sản xuất Tinh gọn trong Dây chuyền Sản xuất</t>
        </is>
      </c>
      <c r="F1653" s="115">
        <f>HYPERLINK("https://youglish.com/pronounce/生产线精益生产原则/chinese","🔍")</f>
        <v/>
      </c>
    </row>
    <row r="1654" ht="42.75" customHeight="1" s="99">
      <c r="A1654" s="92" t="inlineStr">
        <is>
          <t>PDF_Tiếng trung Full BỘ BCT.pdf</t>
        </is>
      </c>
      <c r="B1654" s="93" t="inlineStr">
        <is>
          <t>805</t>
        </is>
      </c>
      <c r="C1654" s="92" t="inlineStr">
        <is>
          <t>货物追溯消费者参与</t>
        </is>
      </c>
      <c r="D1654" s="92" t="inlineStr">
        <is>
          <t>Huòwù Zhuīsù Xiāofèi Zhě Cānyù) - Consumer Participation in Cargo Traceability - Sự Tham gia của Người tiêu dùng trong Theo dõi Hàng hóa</t>
        </is>
      </c>
      <c r="E1654" s="92" t="inlineStr">
        <is>
          <t>805. 货物追溯消费者参与 (Huòwù Zhuīsù Xiāofèi Zhě Cānyù) - Consumer Participation in Cargo Traceability - Sự Tham gia của Người tiêu dùng trong Theo dõi Hàng hóa</t>
        </is>
      </c>
      <c r="F1654" s="114">
        <f>HYPERLINK("https://youglish.com/pronounce/货物追溯消费者参与/chinese","🔍")</f>
        <v/>
      </c>
    </row>
    <row r="1655" ht="42.75" customHeight="1" s="99">
      <c r="A1655" s="94" t="inlineStr">
        <is>
          <t>PDF_Tiếng trung Full BỘ BCT.pdf</t>
        </is>
      </c>
      <c r="B1655" s="95" t="inlineStr">
        <is>
          <t>806</t>
        </is>
      </c>
      <c r="C1655" s="94" t="inlineStr">
        <is>
          <t>供应商供应链危机应对</t>
        </is>
      </c>
      <c r="D1655" s="94" t="inlineStr">
        <is>
          <t>Gōngyìngshāng Gòngyìngliàn Wēijī Yìngduì) - Crisis Response in Vendor Supply Chains - Ứng phó với Tình hình khẩn cấp trong Chuỗi cung ứng của Nhà cung cấp</t>
        </is>
      </c>
      <c r="E1655" s="94" t="inlineStr">
        <is>
          <t>806. 供应商供应链危机应对 (Gōngyìngshāng Gòngyìngliàn Wēijī Yìngduì) - Crisis Response in Vendor Supply Chains - Ứng phó với Tình hình khẩn cấp trong Chuỗi cung ứng của Nhà cung cấp</t>
        </is>
      </c>
      <c r="F1655" s="115">
        <f>HYPERLINK("https://youglish.com/pronounce/供应商供应链危机应对/chinese","🔍")</f>
        <v/>
      </c>
    </row>
    <row r="1656" ht="42.75" customHeight="1" s="99">
      <c r="A1656" s="92" t="inlineStr">
        <is>
          <t>PDF_Tiếng trung Full BỘ BCT.pdf</t>
        </is>
      </c>
      <c r="B1656" s="93" t="inlineStr">
        <is>
          <t>807</t>
        </is>
      </c>
      <c r="C1656" s="92" t="inlineStr">
        <is>
          <t>物流仓储订单处理系统</t>
        </is>
      </c>
      <c r="D1656" s="92" t="inlineStr">
        <is>
          <t>Wùliú Cāngchǔ Dìngdān Chǔlǐ Xìtǒng) - Order Processing Systems in Logistics Warehousing - Hệ thống Xử lý Đơn đặt hàng trong Kho vận Logistics</t>
        </is>
      </c>
      <c r="E1656" s="92" t="inlineStr">
        <is>
          <t>807. 物流仓储订单处理系统 (Wùliú Cāngchǔ Dìngdān Chǔlǐ Xìtǒng) - Order Processing Systems in Logistics Warehousing - Hệ thống Xử lý Đơn đặt hàng trong Kho vận Logistics</t>
        </is>
      </c>
      <c r="F1656" s="114">
        <f>HYPERLINK("https://youglish.com/pronounce/物流仓储订单处理系统/chinese","🔍")</f>
        <v/>
      </c>
    </row>
    <row r="1657" ht="42.75" customHeight="1" s="99">
      <c r="A1657" s="94" t="inlineStr">
        <is>
          <t>PDF_Tiếng trung Full BỘ BCT.pdf</t>
        </is>
      </c>
      <c r="B1657" s="95" t="inlineStr">
        <is>
          <t>808</t>
        </is>
      </c>
      <c r="C1657" s="94" t="inlineStr">
        <is>
          <t>生产线人工智能应用</t>
        </is>
      </c>
      <c r="D1657" s="94" t="inlineStr">
        <is>
          <t>Shēngchǎn Xiàn Réngōng Zhìnéng Yìngyòng) - Applications of Artificial Intelligence in Production Lines - Ứng dụng Trí tuệ Nhân tạo trong Dây chuyền Sản xuất</t>
        </is>
      </c>
      <c r="E1657" s="94" t="inlineStr">
        <is>
          <t>808. 生产线人工智能应用 (Shēngchǎn Xiàn Réngōng Zhìnéng Yìngyòng) - Applications of Artificial Intelligence in Production Lines - Ứng dụng Trí tuệ Nhân tạo trong Dây chuyền Sản xuất</t>
        </is>
      </c>
      <c r="F1657" s="115">
        <f>HYPERLINK("https://youglish.com/pronounce/生产线人工智能应用/chinese","🔍")</f>
        <v/>
      </c>
    </row>
    <row r="1658" ht="99.75" customHeight="1" s="99">
      <c r="A1658" s="92" t="inlineStr">
        <is>
          <t>PDF_Tiếng trung Full BỘ BCT.pdf</t>
        </is>
      </c>
      <c r="B1658" s="93" t="inlineStr">
        <is>
          <t>809</t>
        </is>
      </c>
      <c r="C1658" s="92" t="inlineStr">
        <is>
          <t>需求计划执行效率提升</t>
        </is>
      </c>
      <c r="D1658" s="92" t="inlineStr">
        <is>
          <t>Xūqiú Jìhuà Zhíxíng Xiàolǜ Tíshēng) - Improvement of Efficiency in Demand Planning Execution - Cải thiện Hiệu suất trong Quy trình Thực hiện Kế hoạch Nhu cầu → Từ vựng tiếng Trung theo chủ đề Vận hành phòng PMC Công xưởng là một nguồn thông tin quan trọng để nâng cao vốn từ vựng tiếng Trung trong lĩnh vực quản lý sản xuất và vận hành công xưởng. TỔNG HỢP TRỌN BỘ TỪ VỰNG TIẾNG TRUNG CÔNG XƯỞNG Chủ đề: Vận hành phòng PMC Công xưởng (phần 2)</t>
        </is>
      </c>
      <c r="E1658" s="92" t="inlineStr">
        <is>
          <t>809. 需求计划执行效率提升 (Xūqiú Jìhuà Zhíxíng Xiàolǜ Tíshēng) - Improvement of Efficiency in Demand Planning Execution - Cải thiện Hiệu suất trong Quy trình Thực hiện Kế hoạch Nhu cầu → Từ vựng tiếng Trung theo chủ đề Vận hành phòng PMC Công xưởng là một nguồn thông tin quan trọng để nâng cao vốn từ vựng tiếng Trung trong lĩnh vực quản lý sản xuất và vận hành công xưởng. TỔNG HỢP TRỌN BỘ TỪ VỰNG TIẾNG TRUNG CÔNG XƯỞNG Chủ đề: Vận hành phòng PMC Công xưởng (phần 2)</t>
        </is>
      </c>
      <c r="F1658" s="114">
        <f>HYPERLINK("https://youglish.com/pronounce/需求计划执行效率提升/chinese","🔍")</f>
        <v/>
      </c>
    </row>
    <row r="1659" ht="28.5" customHeight="1" s="99">
      <c r="A1659" s="94" t="inlineStr">
        <is>
          <t>PDF_Tiếng trung Full BỘ BCT.pdf</t>
        </is>
      </c>
      <c r="B1659" s="95" t="inlineStr">
        <is>
          <t>810</t>
        </is>
      </c>
      <c r="C1659" s="94" t="inlineStr">
        <is>
          <t>生产物料控制</t>
        </is>
      </c>
      <c r="D1659" s="94" t="inlineStr">
        <is>
          <t>Shēngchǎn wùliào kòngzhì) - Quản lý Vật liệu Sản xuất</t>
        </is>
      </c>
      <c r="E1659" s="94" t="inlineStr">
        <is>
          <t>810. 生产物料控制 (Shēngchǎn wùliào kòngzhì) - Quản lý Vật liệu Sản xuất</t>
        </is>
      </c>
      <c r="F1659" s="115">
        <f>HYPERLINK("https://youglish.com/pronounce/生产物料控制/chinese","🔍")</f>
        <v/>
      </c>
    </row>
    <row r="1660">
      <c r="A1660" s="92" t="inlineStr">
        <is>
          <t>PDF_Tiếng trung Full BỘ BCT.pdf</t>
        </is>
      </c>
      <c r="B1660" s="93" t="inlineStr">
        <is>
          <t>811</t>
        </is>
      </c>
      <c r="C1660" s="92" t="inlineStr">
        <is>
          <t>物料需求计划</t>
        </is>
      </c>
      <c r="D1660" s="92" t="inlineStr">
        <is>
          <t>Wùliào xūqiú jìhuà) - Kế hoạch Yêu cầu Vật liệu</t>
        </is>
      </c>
      <c r="E1660" s="92" t="inlineStr">
        <is>
          <t>811. 物料需求计划 (Wùliào xūqiú jìhuà) - Kế hoạch Yêu cầu Vật liệu</t>
        </is>
      </c>
      <c r="F1660" s="114">
        <f>HYPERLINK("https://youglish.com/pronounce/物料需求计划/chinese","🔍")</f>
        <v/>
      </c>
    </row>
    <row r="1661">
      <c r="A1661" s="94" t="inlineStr">
        <is>
          <t>PDF_Tiếng trung Full BỘ BCT.pdf</t>
        </is>
      </c>
      <c r="B1661" s="95" t="inlineStr">
        <is>
          <t>812</t>
        </is>
      </c>
      <c r="C1661" s="94" t="inlineStr">
        <is>
          <t>供应链管理</t>
        </is>
      </c>
      <c r="D1661" s="94" t="inlineStr">
        <is>
          <t>Gōngyìng liàn guǎnlǐ) - Quản lý Chuỗi Cung ứng</t>
        </is>
      </c>
      <c r="E1661" s="94" t="inlineStr">
        <is>
          <t>812. 供应链管理 (Gōngyìng liàn guǎnlǐ) - Quản lý Chuỗi Cung ứng</t>
        </is>
      </c>
      <c r="F1661" s="115">
        <f>HYPERLINK("https://youglish.com/pronounce/供应链管理/chinese","🔍")</f>
        <v/>
      </c>
    </row>
    <row r="1662">
      <c r="A1662" s="92" t="inlineStr">
        <is>
          <t>PDF_Tiếng trung Full BỘ BCT.pdf</t>
        </is>
      </c>
      <c r="B1662" s="93" t="inlineStr">
        <is>
          <t>813</t>
        </is>
      </c>
      <c r="C1662" s="92" t="inlineStr">
        <is>
          <t>货物进出</t>
        </is>
      </c>
      <c r="D1662" s="92" t="inlineStr">
        <is>
          <t>Huòwù jìnchū) - Xuất Nhập Hàng</t>
        </is>
      </c>
      <c r="E1662" s="92" t="inlineStr">
        <is>
          <t>813. 货物进出 (Huòwù jìnchū) - Xuất Nhập Hàng</t>
        </is>
      </c>
      <c r="F1662" s="114">
        <f>HYPERLINK("https://youglish.com/pronounce/货物进出/chinese","🔍")</f>
        <v/>
      </c>
    </row>
    <row r="1663">
      <c r="A1663" s="94" t="inlineStr">
        <is>
          <t>PDF_Tiếng trung Full BỘ BCT.pdf</t>
        </is>
      </c>
      <c r="B1663" s="95" t="inlineStr">
        <is>
          <t>814</t>
        </is>
      </c>
      <c r="C1663" s="94" t="inlineStr">
        <is>
          <t>库存管理</t>
        </is>
      </c>
      <c r="D1663" s="94" t="inlineStr">
        <is>
          <t>Kùcún guǎnlǐ) - Quản lý Kho</t>
        </is>
      </c>
      <c r="E1663" s="94" t="inlineStr">
        <is>
          <t>814. 库存管理 (Kùcún guǎnlǐ) - Quản lý Kho</t>
        </is>
      </c>
      <c r="F1663" s="115">
        <f>HYPERLINK("https://youglish.com/pronounce/库存管理/chinese","🔍")</f>
        <v/>
      </c>
    </row>
    <row r="1664">
      <c r="A1664" s="92" t="inlineStr">
        <is>
          <t>PDF_Tiếng trung Full BỘ BCT.pdf</t>
        </is>
      </c>
      <c r="B1664" s="93" t="inlineStr">
        <is>
          <t>815</t>
        </is>
      </c>
      <c r="C1664" s="92" t="inlineStr">
        <is>
          <t>订单处理</t>
        </is>
      </c>
      <c r="D1664" s="92" t="inlineStr">
        <is>
          <t>Dìngdān chǔlǐ) - Xử lý Đơn hàng</t>
        </is>
      </c>
      <c r="E1664" s="92" t="inlineStr">
        <is>
          <t>815. 订单处理 (Dìngdān chǔlǐ) - Xử lý Đơn hàng</t>
        </is>
      </c>
      <c r="F1664" s="114">
        <f>HYPERLINK("https://youglish.com/pronounce/订单处理/chinese","🔍")</f>
        <v/>
      </c>
    </row>
    <row r="1665">
      <c r="A1665" s="94" t="inlineStr">
        <is>
          <t>PDF_Tiếng trung Full BỘ BCT.pdf</t>
        </is>
      </c>
      <c r="B1665" s="95" t="inlineStr">
        <is>
          <t>816</t>
        </is>
      </c>
      <c r="C1665" s="94" t="inlineStr">
        <is>
          <t>供应商管理</t>
        </is>
      </c>
      <c r="D1665" s="94" t="inlineStr">
        <is>
          <t>Gōngyìngshāng guǎnlǐ) - Quản lý Nhà cung cấp</t>
        </is>
      </c>
      <c r="E1665" s="94" t="inlineStr">
        <is>
          <t>816. 供应商管理 (Gōngyìngshāng guǎnlǐ) - Quản lý Nhà cung cấp</t>
        </is>
      </c>
      <c r="F1665" s="115">
        <f>HYPERLINK("https://youglish.com/pronounce/供应商管理/chinese","🔍")</f>
        <v/>
      </c>
    </row>
    <row r="1666">
      <c r="A1666" s="92" t="inlineStr">
        <is>
          <t>PDF_Tiếng trung Full BỘ BCT.pdf</t>
        </is>
      </c>
      <c r="B1666" s="93" t="inlineStr">
        <is>
          <t>817</t>
        </is>
      </c>
      <c r="C1666" s="92" t="inlineStr">
        <is>
          <t>采购控制</t>
        </is>
      </c>
      <c r="D1666" s="92" t="inlineStr">
        <is>
          <t>Cǎigòu kòngzhì) - Kiểm soát Mua hàng</t>
        </is>
      </c>
      <c r="E1666" s="92" t="inlineStr">
        <is>
          <t>817. 采购控制 (Cǎigòu kòngzhì) - Kiểm soát Mua hàng</t>
        </is>
      </c>
      <c r="F1666" s="114">
        <f>HYPERLINK("https://youglish.com/pronounce/采购控制/chinese","🔍")</f>
        <v/>
      </c>
    </row>
    <row r="1667">
      <c r="A1667" s="94" t="inlineStr">
        <is>
          <t>PDF_Tiếng trung Full BỘ BCT.pdf</t>
        </is>
      </c>
      <c r="B1667" s="95" t="inlineStr">
        <is>
          <t>818</t>
        </is>
      </c>
      <c r="C1667" s="94" t="inlineStr">
        <is>
          <t>物料跟踪</t>
        </is>
      </c>
      <c r="D1667" s="94" t="inlineStr">
        <is>
          <t>Wùliào gēnzōng) - Theo dõi Vật liệu</t>
        </is>
      </c>
      <c r="E1667" s="94" t="inlineStr">
        <is>
          <t>818. 物料跟踪 (Wùliào gēnzōng) - Theo dõi Vật liệu</t>
        </is>
      </c>
      <c r="F1667" s="115">
        <f>HYPERLINK("https://youglish.com/pronounce/物料跟踪/chinese","🔍")</f>
        <v/>
      </c>
    </row>
    <row r="1668">
      <c r="A1668" s="92" t="inlineStr">
        <is>
          <t>PDF_Tiếng trung Full BỘ BCT.pdf</t>
        </is>
      </c>
      <c r="B1668" s="93" t="inlineStr">
        <is>
          <t>819</t>
        </is>
      </c>
      <c r="C1668" s="92" t="inlineStr">
        <is>
          <t>物料检验</t>
        </is>
      </c>
      <c r="D1668" s="92" t="inlineStr">
        <is>
          <t>Wùliào jiǎnyàn) - Kiểm tra Vật liệu</t>
        </is>
      </c>
      <c r="E1668" s="92" t="inlineStr">
        <is>
          <t>819. 物料检验 (Wùliào jiǎnyàn) - Kiểm tra Vật liệu</t>
        </is>
      </c>
      <c r="F1668" s="114">
        <f>HYPERLINK("https://youglish.com/pronounce/物料检验/chinese","🔍")</f>
        <v/>
      </c>
    </row>
    <row r="1669">
      <c r="A1669" s="94" t="inlineStr">
        <is>
          <t>PDF_Tiếng trung Full BỘ BCT.pdf</t>
        </is>
      </c>
      <c r="B1669" s="95" t="inlineStr">
        <is>
          <t>820</t>
        </is>
      </c>
      <c r="C1669" s="94" t="inlineStr">
        <is>
          <t>供应计划</t>
        </is>
      </c>
      <c r="D1669" s="94" t="inlineStr">
        <is>
          <t>Gōngyìng jìhuà) - Kế hoạch Cung ứng</t>
        </is>
      </c>
      <c r="E1669" s="94" t="inlineStr">
        <is>
          <t>820. 供应计划 (Gōngyìng jìhuà) - Kế hoạch Cung ứng</t>
        </is>
      </c>
      <c r="F1669" s="115">
        <f>HYPERLINK("https://youglish.com/pronounce/供应计划/chinese","🔍")</f>
        <v/>
      </c>
    </row>
    <row r="1670">
      <c r="A1670" s="92" t="inlineStr">
        <is>
          <t>PDF_Tiếng trung Full BỘ BCT.pdf</t>
        </is>
      </c>
      <c r="B1670" s="93" t="inlineStr">
        <is>
          <t>821</t>
        </is>
      </c>
      <c r="C1670" s="92" t="inlineStr">
        <is>
          <t>物料配送</t>
        </is>
      </c>
      <c r="D1670" s="92" t="inlineStr">
        <is>
          <t>Wùliào pèisòng) - Phân phối Vật liệu</t>
        </is>
      </c>
      <c r="E1670" s="92" t="inlineStr">
        <is>
          <t>821. 物料配送 (Wùliào pèisòng) - Phân phối Vật liệu</t>
        </is>
      </c>
      <c r="F1670" s="114">
        <f>HYPERLINK("https://youglish.com/pronounce/物料配送/chinese","🔍")</f>
        <v/>
      </c>
    </row>
    <row r="1671">
      <c r="A1671" s="94" t="inlineStr">
        <is>
          <t>PDF_Tiếng trung Full BỘ BCT.pdf</t>
        </is>
      </c>
      <c r="B1671" s="95" t="inlineStr">
        <is>
          <t>822</t>
        </is>
      </c>
      <c r="C1671" s="94" t="inlineStr">
        <is>
          <t>仓库管理</t>
        </is>
      </c>
      <c r="D1671" s="94" t="inlineStr">
        <is>
          <t>Cāngkù guǎnlǐ) - Quản lý Kho hàng</t>
        </is>
      </c>
      <c r="E1671" s="94" t="inlineStr">
        <is>
          <t>822. 仓库管理 (Cāngkù guǎnlǐ) - Quản lý Kho hàng</t>
        </is>
      </c>
      <c r="F1671" s="115">
        <f>HYPERLINK("https://youglish.com/pronounce/仓库管理/chinese","🔍")</f>
        <v/>
      </c>
    </row>
    <row r="1672">
      <c r="A1672" s="92" t="inlineStr">
        <is>
          <t>PDF_Tiếng trung Full BỘ BCT.pdf</t>
        </is>
      </c>
      <c r="B1672" s="93" t="inlineStr">
        <is>
          <t>823</t>
        </is>
      </c>
      <c r="C1672" s="92" t="inlineStr">
        <is>
          <t>供应商协调</t>
        </is>
      </c>
      <c r="D1672" s="92" t="inlineStr">
        <is>
          <t>Gōngyìngshāng xiétiáo) - Phối hợp với Nhà cung cấp</t>
        </is>
      </c>
      <c r="E1672" s="92" t="inlineStr">
        <is>
          <t>823. 供应商协调 (Gōngyìngshāng xiétiáo) - Phối hợp với Nhà cung cấp</t>
        </is>
      </c>
      <c r="F1672" s="114">
        <f>HYPERLINK("https://youglish.com/pronounce/供应商协调/chinese","🔍")</f>
        <v/>
      </c>
    </row>
    <row r="1673">
      <c r="A1673" s="94" t="inlineStr">
        <is>
          <t>PDF_Tiếng trung Full BỘ BCT.pdf</t>
        </is>
      </c>
      <c r="B1673" s="95" t="inlineStr">
        <is>
          <t>824</t>
        </is>
      </c>
      <c r="C1673" s="94" t="inlineStr">
        <is>
          <t>成本控制</t>
        </is>
      </c>
      <c r="D1673" s="94" t="inlineStr">
        <is>
          <t>Chéngběn kòngzhì) - Kiểm soát Chi phí</t>
        </is>
      </c>
      <c r="E1673" s="94" t="inlineStr">
        <is>
          <t>824. 成本控制 (Chéngběn kòngzhì) - Kiểm soát Chi phí</t>
        </is>
      </c>
      <c r="F1673" s="115">
        <f>HYPERLINK("https://youglish.com/pronounce/成本控制/chinese","🔍")</f>
        <v/>
      </c>
    </row>
    <row r="1674">
      <c r="A1674" s="92" t="inlineStr">
        <is>
          <t>PDF_Tiếng trung Full BỘ BCT.pdf</t>
        </is>
      </c>
      <c r="B1674" s="93" t="inlineStr">
        <is>
          <t>825</t>
        </is>
      </c>
      <c r="C1674" s="92" t="inlineStr">
        <is>
          <t>资源规划</t>
        </is>
      </c>
      <c r="D1674" s="92" t="inlineStr">
        <is>
          <t>Zīyuán guīhuà) - Lập kế hoạch Tài nguyên</t>
        </is>
      </c>
      <c r="E1674" s="92" t="inlineStr">
        <is>
          <t>825. 资源规划 (Zīyuán guīhuà) - Lập kế hoạch Tài nguyên</t>
        </is>
      </c>
      <c r="F1674" s="114">
        <f>HYPERLINK("https://youglish.com/pronounce/资源规划/chinese","🔍")</f>
        <v/>
      </c>
    </row>
    <row r="1675">
      <c r="A1675" s="94" t="inlineStr">
        <is>
          <t>PDF_Tiếng trung Full BỘ BCT.pdf</t>
        </is>
      </c>
      <c r="B1675" s="95" t="inlineStr">
        <is>
          <t>826</t>
        </is>
      </c>
      <c r="C1675" s="94" t="inlineStr">
        <is>
          <t>物流管理</t>
        </is>
      </c>
      <c r="D1675" s="94" t="inlineStr">
        <is>
          <t>Wùliú guǎnlǐ) - Quản lý Vận chuyển</t>
        </is>
      </c>
      <c r="E1675" s="94" t="inlineStr">
        <is>
          <t>826. 物流管理 (Wùliú guǎnlǐ) - Quản lý Vận chuyển</t>
        </is>
      </c>
      <c r="F1675" s="115">
        <f>HYPERLINK("https://youglish.com/pronounce/物流管理/chinese","🔍")</f>
        <v/>
      </c>
    </row>
    <row r="1676">
      <c r="A1676" s="92" t="inlineStr">
        <is>
          <t>PDF_Tiếng trung Full BỘ BCT.pdf</t>
        </is>
      </c>
      <c r="B1676" s="93" t="inlineStr">
        <is>
          <t>827</t>
        </is>
      </c>
      <c r="C1676" s="92" t="inlineStr">
        <is>
          <t>生产排程</t>
        </is>
      </c>
      <c r="D1676" s="92" t="inlineStr">
        <is>
          <t>Shēngchǎn páichéng) - Lập lịch Sản xuất</t>
        </is>
      </c>
      <c r="E1676" s="92" t="inlineStr">
        <is>
          <t>827. 生产排程 (Shēngchǎn páichéng) - Lập lịch Sản xuất</t>
        </is>
      </c>
      <c r="F1676" s="114">
        <f>HYPERLINK("https://youglish.com/pronounce/生产排程/chinese","🔍")</f>
        <v/>
      </c>
    </row>
    <row r="1677">
      <c r="A1677" s="94" t="inlineStr">
        <is>
          <t>PDF_Tiếng trung Full BỘ BCT.pdf</t>
        </is>
      </c>
      <c r="B1677" s="95" t="inlineStr">
        <is>
          <t>828</t>
        </is>
      </c>
      <c r="C1677" s="94" t="inlineStr">
        <is>
          <t>库存优化</t>
        </is>
      </c>
      <c r="D1677" s="94" t="inlineStr">
        <is>
          <t>Kùcún yōuhuà) - Tối ưu hóa Kho hàng</t>
        </is>
      </c>
      <c r="E1677" s="94" t="inlineStr">
        <is>
          <t>828. 库存优化 (Kùcún yōuhuà) - Tối ưu hóa Kho hàng</t>
        </is>
      </c>
      <c r="F1677" s="115">
        <f>HYPERLINK("https://youglish.com/pronounce/库存优化/chinese","🔍")</f>
        <v/>
      </c>
    </row>
    <row r="1678">
      <c r="A1678" s="92" t="inlineStr">
        <is>
          <t>PDF_Tiếng trung Full BỘ BCT.pdf</t>
        </is>
      </c>
      <c r="B1678" s="93" t="inlineStr">
        <is>
          <t>829</t>
        </is>
      </c>
      <c r="C1678" s="92" t="inlineStr">
        <is>
          <t>预测需求</t>
        </is>
      </c>
      <c r="D1678" s="92" t="inlineStr">
        <is>
          <t>Yùcè xūqiú) - Dự đoán Nhu cầu</t>
        </is>
      </c>
      <c r="E1678" s="92" t="inlineStr">
        <is>
          <t>829. 预测需求 (Yùcè xūqiú) - Dự đoán Nhu cầu</t>
        </is>
      </c>
      <c r="F1678" s="114">
        <f>HYPERLINK("https://youglish.com/pronounce/预测需求/chinese","🔍")</f>
        <v/>
      </c>
    </row>
    <row r="1679">
      <c r="A1679" s="94" t="inlineStr">
        <is>
          <t>PDF_Tiếng trung Full BỘ BCT.pdf</t>
        </is>
      </c>
      <c r="B1679" s="95" t="inlineStr">
        <is>
          <t>830</t>
        </is>
      </c>
      <c r="C1679" s="94" t="inlineStr">
        <is>
          <t>质量控制</t>
        </is>
      </c>
      <c r="D1679" s="94" t="inlineStr">
        <is>
          <t>Zhìliàng kòngzhì) - Kiểm soát Chất lượng</t>
        </is>
      </c>
      <c r="E1679" s="94" t="inlineStr">
        <is>
          <t>830. 质量控制 (Zhìliàng kòngzhì) - Kiểm soát Chất lượng</t>
        </is>
      </c>
      <c r="F1679" s="115">
        <f>HYPERLINK("https://youglish.com/pronounce/质量控制/chinese","🔍")</f>
        <v/>
      </c>
    </row>
    <row r="1680">
      <c r="A1680" s="92" t="inlineStr">
        <is>
          <t>PDF_Tiếng trung Full BỘ BCT.pdf</t>
        </is>
      </c>
      <c r="B1680" s="93" t="inlineStr">
        <is>
          <t>831</t>
        </is>
      </c>
      <c r="C1680" s="92" t="inlineStr">
        <is>
          <t>生产效率</t>
        </is>
      </c>
      <c r="D1680" s="92" t="inlineStr">
        <is>
          <t>Shēngchǎn xiàolǜ) - Hiệu suất Sản xuất</t>
        </is>
      </c>
      <c r="E1680" s="92" t="inlineStr">
        <is>
          <t>831. 生产效率 (Shēngchǎn xiàolǜ) - Hiệu suất Sản xuất</t>
        </is>
      </c>
      <c r="F1680" s="114">
        <f>HYPERLINK("https://youglish.com/pronounce/生产效率/chinese","🔍")</f>
        <v/>
      </c>
    </row>
    <row r="1681">
      <c r="A1681" s="94" t="inlineStr">
        <is>
          <t>PDF_Tiếng trung Full BỘ BCT.pdf</t>
        </is>
      </c>
      <c r="B1681" s="95" t="inlineStr">
        <is>
          <t>832</t>
        </is>
      </c>
      <c r="C1681" s="94" t="inlineStr">
        <is>
          <t>数据分析</t>
        </is>
      </c>
      <c r="D1681" s="94" t="inlineStr">
        <is>
          <t>Shùjù fēnxī) - Phân tích Dữ liệu</t>
        </is>
      </c>
      <c r="E1681" s="94" t="inlineStr">
        <is>
          <t>832. 数据分析 (Shùjù fēnxī) - Phân tích Dữ liệu</t>
        </is>
      </c>
      <c r="F1681" s="115">
        <f>HYPERLINK("https://youglish.com/pronounce/数据分析/chinese","🔍")</f>
        <v/>
      </c>
    </row>
    <row r="1682">
      <c r="A1682" s="92" t="inlineStr">
        <is>
          <t>PDF_Tiếng trung Full BỘ BCT.pdf</t>
        </is>
      </c>
      <c r="B1682" s="93" t="inlineStr">
        <is>
          <t>833</t>
        </is>
      </c>
      <c r="C1682" s="92" t="inlineStr">
        <is>
          <t>进度跟踪</t>
        </is>
      </c>
      <c r="D1682" s="92" t="inlineStr">
        <is>
          <t>Jìndù gēnzōng) - Theo dõi Tiến độ</t>
        </is>
      </c>
      <c r="E1682" s="92" t="inlineStr">
        <is>
          <t>833. 进度跟踪 (Jìndù gēnzōng) - Theo dõi Tiến độ</t>
        </is>
      </c>
      <c r="F1682" s="114">
        <f>HYPERLINK("https://youglish.com/pronounce/进度跟踪/chinese","🔍")</f>
        <v/>
      </c>
    </row>
    <row r="1683">
      <c r="A1683" s="94" t="inlineStr">
        <is>
          <t>PDF_Tiếng trung Full BỘ BCT.pdf</t>
        </is>
      </c>
      <c r="B1683" s="95" t="inlineStr">
        <is>
          <t>834</t>
        </is>
      </c>
      <c r="C1683" s="94" t="inlineStr">
        <is>
          <t>风险管理</t>
        </is>
      </c>
      <c r="D1683" s="94" t="inlineStr">
        <is>
          <t>Fēngxiǎn guǎnlǐ) - Quản lý Rủi ro</t>
        </is>
      </c>
      <c r="E1683" s="94" t="inlineStr">
        <is>
          <t>834. 风险管理 (Fēngxiǎn guǎnlǐ) - Quản lý Rủi ro</t>
        </is>
      </c>
      <c r="F1683" s="115">
        <f>HYPERLINK("https://youglish.com/pronounce/风险管理/chinese","🔍")</f>
        <v/>
      </c>
    </row>
    <row r="1684">
      <c r="A1684" s="92" t="inlineStr">
        <is>
          <t>PDF_Tiếng trung Full BỘ BCT.pdf</t>
        </is>
      </c>
      <c r="B1684" s="93" t="inlineStr">
        <is>
          <t>835</t>
        </is>
      </c>
      <c r="C1684" s="92" t="inlineStr">
        <is>
          <t>运输管理</t>
        </is>
      </c>
      <c r="D1684" s="92" t="inlineStr">
        <is>
          <t>Yùnshū guǎnlǐ) - Quản lý Vận chuyển</t>
        </is>
      </c>
      <c r="E1684" s="92" t="inlineStr">
        <is>
          <t>835. 运输管理 (Yùnshū guǎnlǐ) - Quản lý Vận chuyển</t>
        </is>
      </c>
      <c r="F1684" s="114">
        <f>HYPERLINK("https://youglish.com/pronounce/运输管理/chinese","🔍")</f>
        <v/>
      </c>
    </row>
    <row r="1685">
      <c r="A1685" s="94" t="inlineStr">
        <is>
          <t>PDF_Tiếng trung Full BỘ BCT.pdf</t>
        </is>
      </c>
      <c r="B1685" s="95" t="inlineStr">
        <is>
          <t>836</t>
        </is>
      </c>
      <c r="C1685" s="94" t="inlineStr">
        <is>
          <t>供应链协调</t>
        </is>
      </c>
      <c r="D1685" s="94" t="inlineStr">
        <is>
          <t>Gōngyìng liàn xiétiáo) - Phối hợp Chuỗi cung ứng</t>
        </is>
      </c>
      <c r="E1685" s="94" t="inlineStr">
        <is>
          <t>836. 供应链协调 (Gōngyìng liàn xiétiáo) - Phối hợp Chuỗi cung ứng</t>
        </is>
      </c>
      <c r="F1685" s="115">
        <f>HYPERLINK("https://youglish.com/pronounce/供应链协调/chinese","🔍")</f>
        <v/>
      </c>
    </row>
    <row r="1686">
      <c r="A1686" s="92" t="inlineStr">
        <is>
          <t>PDF_Tiếng trung Full BỘ BCT.pdf</t>
        </is>
      </c>
      <c r="B1686" s="93" t="inlineStr">
        <is>
          <t>837</t>
        </is>
      </c>
      <c r="C1686" s="92" t="inlineStr">
        <is>
          <t>订购流程</t>
        </is>
      </c>
      <c r="D1686" s="92" t="inlineStr">
        <is>
          <t>Dìnggòu liúchéng) - Quy trình Đặt hàng</t>
        </is>
      </c>
      <c r="E1686" s="92" t="inlineStr">
        <is>
          <t>837. 订购流程 (Dìnggòu liúchéng) - Quy trình Đặt hàng</t>
        </is>
      </c>
      <c r="F1686" s="114">
        <f>HYPERLINK("https://youglish.com/pronounce/订购流程/chinese","🔍")</f>
        <v/>
      </c>
    </row>
    <row r="1687">
      <c r="A1687" s="94" t="inlineStr">
        <is>
          <t>PDF_Tiếng trung Full BỘ BCT.pdf</t>
        </is>
      </c>
      <c r="B1687" s="95" t="inlineStr">
        <is>
          <t>838</t>
        </is>
      </c>
      <c r="C1687" s="94" t="inlineStr">
        <is>
          <t>质量保证</t>
        </is>
      </c>
      <c r="D1687" s="94" t="inlineStr">
        <is>
          <t>Zhìliàng bǎozhèng) - Bảo đảm Chất lượng</t>
        </is>
      </c>
      <c r="E1687" s="94" t="inlineStr">
        <is>
          <t>838. 质量保证 (Zhìliàng bǎozhèng) - Bảo đảm Chất lượng</t>
        </is>
      </c>
      <c r="F1687" s="115">
        <f>HYPERLINK("https://youglish.com/pronounce/质量保证/chinese","🔍")</f>
        <v/>
      </c>
    </row>
    <row r="1688" ht="28.5" customHeight="1" s="99">
      <c r="A1688" s="92" t="inlineStr">
        <is>
          <t>PDF_Tiếng trung Full BỘ BCT.pdf</t>
        </is>
      </c>
      <c r="B1688" s="93" t="inlineStr">
        <is>
          <t>839</t>
        </is>
      </c>
      <c r="C1688" s="92" t="inlineStr">
        <is>
          <t>生产计划排程</t>
        </is>
      </c>
      <c r="D1688" s="92" t="inlineStr">
        <is>
          <t>Shēngchǎn jìhuà páichéng) - Lập lịch Kế hoạch Sản xuất</t>
        </is>
      </c>
      <c r="E1688" s="92" t="inlineStr">
        <is>
          <t>839. 生产计划排程 (Shēngchǎn jìhuà páichéng) - Lập lịch Kế hoạch Sản xuất</t>
        </is>
      </c>
      <c r="F1688" s="114">
        <f>HYPERLINK("https://youglish.com/pronounce/生产计划排程/chinese","🔍")</f>
        <v/>
      </c>
    </row>
    <row r="1689">
      <c r="A1689" s="94" t="inlineStr">
        <is>
          <t>PDF_Tiếng trung Full BỘ BCT.pdf</t>
        </is>
      </c>
      <c r="B1689" s="95" t="inlineStr">
        <is>
          <t>840</t>
        </is>
      </c>
      <c r="C1689" s="94" t="inlineStr">
        <is>
          <t>物料供应计划</t>
        </is>
      </c>
      <c r="D1689" s="94" t="inlineStr">
        <is>
          <t>Wùliào gōngyìng jìhuà) - Kế hoạch Cung ứng Vật liệu</t>
        </is>
      </c>
      <c r="E1689" s="94" t="inlineStr">
        <is>
          <t>840. 物料供应计划 (Wùliào gōngyìng jìhuà) - Kế hoạch Cung ứng Vật liệu</t>
        </is>
      </c>
      <c r="F1689" s="115">
        <f>HYPERLINK("https://youglish.com/pronounce/物料供应计划/chinese","🔍")</f>
        <v/>
      </c>
    </row>
    <row r="1690">
      <c r="A1690" s="92" t="inlineStr">
        <is>
          <t>PDF_Tiếng trung Full BỘ BCT.pdf</t>
        </is>
      </c>
      <c r="B1690" s="93" t="inlineStr">
        <is>
          <t>841</t>
        </is>
      </c>
      <c r="C1690" s="92" t="inlineStr">
        <is>
          <t>供应商评估</t>
        </is>
      </c>
      <c r="D1690" s="92" t="inlineStr">
        <is>
          <t>Gōngyìngshāng pínggū) - Đánh giá Nhà cung cấp</t>
        </is>
      </c>
      <c r="E1690" s="92" t="inlineStr">
        <is>
          <t>841. 供应商评估 (Gōngyìngshāng pínggū) - Đánh giá Nhà cung cấp</t>
        </is>
      </c>
      <c r="F1690" s="114">
        <f>HYPERLINK("https://youglish.com/pronounce/供应商评估/chinese","🔍")</f>
        <v/>
      </c>
    </row>
    <row r="1691">
      <c r="A1691" s="94" t="inlineStr">
        <is>
          <t>PDF_Tiếng trung Full BỘ BCT.pdf</t>
        </is>
      </c>
      <c r="B1691" s="95" t="inlineStr">
        <is>
          <t>842</t>
        </is>
      </c>
      <c r="C1691" s="94" t="inlineStr">
        <is>
          <t>定期盘点</t>
        </is>
      </c>
      <c r="D1691" s="94" t="inlineStr">
        <is>
          <t>Dìngqī pándiǎn) - Kiểm kê Định kỳ</t>
        </is>
      </c>
      <c r="E1691" s="94" t="inlineStr">
        <is>
          <t>842. 定期盘点 (Dìngqī pándiǎn) - Kiểm kê Định kỳ</t>
        </is>
      </c>
      <c r="F1691" s="115">
        <f>HYPERLINK("https://youglish.com/pronounce/定期盘点/chinese","🔍")</f>
        <v/>
      </c>
    </row>
    <row r="1692">
      <c r="A1692" s="92" t="inlineStr">
        <is>
          <t>PDF_Tiếng trung Full BỘ BCT.pdf</t>
        </is>
      </c>
      <c r="B1692" s="93" t="inlineStr">
        <is>
          <t>843</t>
        </is>
      </c>
      <c r="C1692" s="92" t="inlineStr">
        <is>
          <t>供应商合作</t>
        </is>
      </c>
      <c r="D1692" s="92" t="inlineStr">
        <is>
          <t>Gōngyìngshāng hézuò) - Hợp tác với Nhà cung cấp</t>
        </is>
      </c>
      <c r="E1692" s="92" t="inlineStr">
        <is>
          <t>843. 供应商合作 (Gōngyìngshāng hézuò) - Hợp tác với Nhà cung cấp</t>
        </is>
      </c>
      <c r="F1692" s="114">
        <f>HYPERLINK("https://youglish.com/pronounce/供应商合作/chinese","🔍")</f>
        <v/>
      </c>
    </row>
    <row r="1693">
      <c r="A1693" s="94" t="inlineStr">
        <is>
          <t>PDF_Tiếng trung Full BỘ BCT.pdf</t>
        </is>
      </c>
      <c r="B1693" s="95" t="inlineStr">
        <is>
          <t>844</t>
        </is>
      </c>
      <c r="C1693" s="94" t="inlineStr">
        <is>
          <t>物料需求预测</t>
        </is>
      </c>
      <c r="D1693" s="94" t="inlineStr">
        <is>
          <t>Wùliào xūqiú yùcè) - Dự đoán Nhu cầu Vật liệu</t>
        </is>
      </c>
      <c r="E1693" s="94" t="inlineStr">
        <is>
          <t>844. 物料需求预测 (Wùliào xūqiú yùcè) - Dự đoán Nhu cầu Vật liệu</t>
        </is>
      </c>
      <c r="F1693" s="115">
        <f>HYPERLINK("https://youglish.com/pronounce/物料需求预测/chinese","🔍")</f>
        <v/>
      </c>
    </row>
    <row r="1694" ht="28.5" customHeight="1" s="99">
      <c r="A1694" s="92" t="inlineStr">
        <is>
          <t>PDF_Tiếng trung Full BỘ BCT.pdf</t>
        </is>
      </c>
      <c r="B1694" s="93" t="inlineStr">
        <is>
          <t>845</t>
        </is>
      </c>
      <c r="C1694" s="92" t="inlineStr">
        <is>
          <t>质量控制</t>
        </is>
      </c>
      <c r="D1694" s="92" t="inlineStr">
        <is>
          <t>Zhìliàng kòngzhì) - Kiểm soát Chất lượng, Khống chế chất lượng</t>
        </is>
      </c>
      <c r="E1694" s="92" t="inlineStr">
        <is>
          <t>845. 质量控制 (Zhìliàng kòngzhì) - Kiểm soát Chất lượng, Khống chế chất lượng</t>
        </is>
      </c>
      <c r="F1694" s="114">
        <f>HYPERLINK("https://youglish.com/pronounce/质量控制/chinese","🔍")</f>
        <v/>
      </c>
    </row>
    <row r="1695" ht="28.5" customHeight="1" s="99">
      <c r="A1695" s="94" t="inlineStr">
        <is>
          <t>PDF_Tiếng trung Full BỘ BCT.pdf</t>
        </is>
      </c>
      <c r="B1695" s="95" t="inlineStr">
        <is>
          <t>846</t>
        </is>
      </c>
      <c r="C1695" s="94" t="inlineStr">
        <is>
          <t>供应商协商</t>
        </is>
      </c>
      <c r="D1695" s="94" t="inlineStr">
        <is>
          <t>Gōngyìngshāng xiéshāng) - Thương lượng với nhà cung cấp</t>
        </is>
      </c>
      <c r="E1695" s="94" t="inlineStr">
        <is>
          <t>846. 供应商协商 (Gōngyìngshāng xiéshāng) - Thương lượng với nhà cung cấp</t>
        </is>
      </c>
      <c r="F1695" s="115">
        <f>HYPERLINK("https://youglish.com/pronounce/供应商协商/chinese","🔍")</f>
        <v/>
      </c>
    </row>
    <row r="1696">
      <c r="A1696" s="92" t="inlineStr">
        <is>
          <t>PDF_Tiếng trung Full BỘ BCT.pdf</t>
        </is>
      </c>
      <c r="B1696" s="93" t="inlineStr">
        <is>
          <t>847</t>
        </is>
      </c>
      <c r="C1696" s="92" t="inlineStr">
        <is>
          <t>资源分配</t>
        </is>
      </c>
      <c r="D1696" s="92" t="inlineStr">
        <is>
          <t>Zīyuán fēnpèi) - Phân bổ tài nguyên</t>
        </is>
      </c>
      <c r="E1696" s="92" t="inlineStr">
        <is>
          <t>847. 资源分配 (Zīyuán fēnpèi) - Phân bổ tài nguyên</t>
        </is>
      </c>
      <c r="F1696" s="114">
        <f>HYPERLINK("https://youglish.com/pronounce/资源分配/chinese","🔍")</f>
        <v/>
      </c>
    </row>
    <row r="1697">
      <c r="A1697" s="94" t="inlineStr">
        <is>
          <t>PDF_Tiếng trung Full BỘ BCT.pdf</t>
        </is>
      </c>
      <c r="B1697" s="95" t="inlineStr">
        <is>
          <t>848</t>
        </is>
      </c>
      <c r="C1697" s="94" t="inlineStr">
        <is>
          <t>供应商审批</t>
        </is>
      </c>
      <c r="D1697" s="94" t="inlineStr">
        <is>
          <t>Gōngyìngshāng shěnpī) - Phê duyệt nhà cung cấp</t>
        </is>
      </c>
      <c r="E1697" s="94" t="inlineStr">
        <is>
          <t>848. 供应商审批 (Gōngyìngshāng shěnpī) - Phê duyệt nhà cung cấp</t>
        </is>
      </c>
      <c r="F1697" s="115">
        <f>HYPERLINK("https://youglish.com/pronounce/供应商审批/chinese","🔍")</f>
        <v/>
      </c>
    </row>
    <row r="1698">
      <c r="A1698" s="92" t="inlineStr">
        <is>
          <t>PDF_Tiếng trung Full BỘ BCT.pdf</t>
        </is>
      </c>
      <c r="B1698" s="93" t="inlineStr">
        <is>
          <t>849</t>
        </is>
      </c>
      <c r="C1698" s="92" t="inlineStr">
        <is>
          <t>物料供应链</t>
        </is>
      </c>
      <c r="D1698" s="92" t="inlineStr">
        <is>
          <t>Wùliào gōngyìng liàn) - Chuỗi cung ứng vật liệu</t>
        </is>
      </c>
      <c r="E1698" s="92" t="inlineStr">
        <is>
          <t>849. 物料供应链 (Wùliào gōngyìng liàn) - Chuỗi cung ứng vật liệu</t>
        </is>
      </c>
      <c r="F1698" s="114">
        <f>HYPERLINK("https://youglish.com/pronounce/物料供应链/chinese","🔍")</f>
        <v/>
      </c>
    </row>
    <row r="1699">
      <c r="A1699" s="94" t="inlineStr">
        <is>
          <t>PDF_Tiếng trung Full BỘ BCT.pdf</t>
        </is>
      </c>
      <c r="B1699" s="95" t="inlineStr">
        <is>
          <t>850</t>
        </is>
      </c>
      <c r="C1699" s="94" t="inlineStr">
        <is>
          <t>需求规划</t>
        </is>
      </c>
      <c r="D1699" s="94" t="inlineStr">
        <is>
          <t>Xūqiú guīhuà) - Lập kế hoạch nhu cầu</t>
        </is>
      </c>
      <c r="E1699" s="94" t="inlineStr">
        <is>
          <t>850. 需求规划 (Xūqiú guīhuà) - Lập kế hoạch nhu cầu</t>
        </is>
      </c>
      <c r="F1699" s="115">
        <f>HYPERLINK("https://youglish.com/pronounce/需求规划/chinese","🔍")</f>
        <v/>
      </c>
    </row>
    <row r="1700">
      <c r="A1700" s="92" t="inlineStr">
        <is>
          <t>PDF_Tiếng trung Full BỘ BCT.pdf</t>
        </is>
      </c>
      <c r="B1700" s="93" t="inlineStr">
        <is>
          <t>851</t>
        </is>
      </c>
      <c r="C1700" s="92" t="inlineStr">
        <is>
          <t>货物装载</t>
        </is>
      </c>
      <c r="D1700" s="92" t="inlineStr">
        <is>
          <t>Huòwù zhuāngzài) - Lắp đặt hàng hóa</t>
        </is>
      </c>
      <c r="E1700" s="92" t="inlineStr">
        <is>
          <t>851. 货物装载 (Huòwù zhuāngzài) - Lắp đặt hàng hóa</t>
        </is>
      </c>
      <c r="F1700" s="114">
        <f>HYPERLINK("https://youglish.com/pronounce/货物装载/chinese","🔍")</f>
        <v/>
      </c>
    </row>
    <row r="1701">
      <c r="A1701" s="94" t="inlineStr">
        <is>
          <t>PDF_Tiếng trung Full BỘ BCT.pdf</t>
        </is>
      </c>
      <c r="B1701" s="95" t="inlineStr">
        <is>
          <t>852</t>
        </is>
      </c>
      <c r="C1701" s="94" t="inlineStr">
        <is>
          <t>材料清单</t>
        </is>
      </c>
      <c r="D1701" s="94" t="inlineStr">
        <is>
          <t>Cáiliào qīngdān) - Danh sách vật liệu</t>
        </is>
      </c>
      <c r="E1701" s="94" t="inlineStr">
        <is>
          <t>852. 材料清单 (Cáiliào qīngdān) - Danh sách vật liệu</t>
        </is>
      </c>
      <c r="F1701" s="115">
        <f>HYPERLINK("https://youglish.com/pronounce/材料清单/chinese","🔍")</f>
        <v/>
      </c>
    </row>
    <row r="1702">
      <c r="A1702" s="92" t="inlineStr">
        <is>
          <t>PDF_Tiếng trung Full BỘ BCT.pdf</t>
        </is>
      </c>
      <c r="B1702" s="93" t="inlineStr">
        <is>
          <t>853</t>
        </is>
      </c>
      <c r="C1702" s="92" t="inlineStr">
        <is>
          <t>定时交付</t>
        </is>
      </c>
      <c r="D1702" s="92" t="inlineStr">
        <is>
          <t>Dìngshí jiāofù) - Giao hàng định kỳ</t>
        </is>
      </c>
      <c r="E1702" s="92" t="inlineStr">
        <is>
          <t>853. 定时交付 (Dìngshí jiāofù) - Giao hàng định kỳ</t>
        </is>
      </c>
      <c r="F1702" s="114">
        <f>HYPERLINK("https://youglish.com/pronounce/定时交付/chinese","🔍")</f>
        <v/>
      </c>
    </row>
    <row r="1703">
      <c r="A1703" s="94" t="inlineStr">
        <is>
          <t>PDF_Tiếng trung Full BỘ BCT.pdf</t>
        </is>
      </c>
      <c r="B1703" s="95" t="inlineStr">
        <is>
          <t>854</t>
        </is>
      </c>
      <c r="C1703" s="94" t="inlineStr">
        <is>
          <t>损耗监控</t>
        </is>
      </c>
      <c r="D1703" s="94" t="inlineStr">
        <is>
          <t>Sǔnhào jiān kòng) - Giám sát tổn thất</t>
        </is>
      </c>
      <c r="E1703" s="94" t="inlineStr">
        <is>
          <t>854. 损耗监控 (Sǔnhào jiān kòng) - Giám sát tổn thất</t>
        </is>
      </c>
      <c r="F1703" s="115">
        <f>HYPERLINK("https://youglish.com/pronounce/损耗监控/chinese","🔍")</f>
        <v/>
      </c>
    </row>
    <row r="1704">
      <c r="A1704" s="92" t="inlineStr">
        <is>
          <t>PDF_Tiếng trung Full BỘ BCT.pdf</t>
        </is>
      </c>
      <c r="B1704" s="93" t="inlineStr">
        <is>
          <t>855</t>
        </is>
      </c>
      <c r="C1704" s="92" t="inlineStr">
        <is>
          <t>供应商网络</t>
        </is>
      </c>
      <c r="D1704" s="92" t="inlineStr">
        <is>
          <t>Gōngyìngshāng wǎngluò) - Mạng lưới nhà cung cấp</t>
        </is>
      </c>
      <c r="E1704" s="92" t="inlineStr">
        <is>
          <t>855. 供应商网络 (Gōngyìngshāng wǎngluò) - Mạng lưới nhà cung cấp</t>
        </is>
      </c>
      <c r="F1704" s="114">
        <f>HYPERLINK("https://youglish.com/pronounce/供应商网络/chinese","🔍")</f>
        <v/>
      </c>
    </row>
    <row r="1705">
      <c r="A1705" s="94" t="inlineStr">
        <is>
          <t>PDF_Tiếng trung Full BỘ BCT.pdf</t>
        </is>
      </c>
      <c r="B1705" s="95" t="inlineStr">
        <is>
          <t>856</t>
        </is>
      </c>
      <c r="C1705" s="94" t="inlineStr">
        <is>
          <t>物料管理系统</t>
        </is>
      </c>
      <c r="D1705" s="94" t="inlineStr">
        <is>
          <t>Wùliào guǎnlǐ xìtǒng) - Hệ thống quản lý vật liệu</t>
        </is>
      </c>
      <c r="E1705" s="94" t="inlineStr">
        <is>
          <t>856. 物料管理系统 (Wùliào guǎnlǐ xìtǒng) - Hệ thống quản lý vật liệu</t>
        </is>
      </c>
      <c r="F1705" s="115">
        <f>HYPERLINK("https://youglish.com/pronounce/物料管理系统/chinese","🔍")</f>
        <v/>
      </c>
    </row>
    <row r="1706" ht="28.5" customHeight="1" s="99">
      <c r="A1706" s="92" t="inlineStr">
        <is>
          <t>PDF_Tiếng trung Full BỘ BCT.pdf</t>
        </is>
      </c>
      <c r="B1706" s="93" t="inlineStr">
        <is>
          <t>857</t>
        </is>
      </c>
      <c r="C1706" s="92" t="inlineStr">
        <is>
          <t>产品质量检查</t>
        </is>
      </c>
      <c r="D1706" s="92" t="inlineStr">
        <is>
          <t>Chǎnpǐn zhìliàng jiǎnchá) - Kiểm tra chất lượng sản phẩm</t>
        </is>
      </c>
      <c r="E1706" s="92" t="inlineStr">
        <is>
          <t>857. 产品质量检查 (Chǎnpǐn zhìliàng jiǎnchá) - Kiểm tra chất lượng sản phẩm</t>
        </is>
      </c>
      <c r="F1706" s="114">
        <f>HYPERLINK("https://youglish.com/pronounce/产品质量检查/chinese","🔍")</f>
        <v/>
      </c>
    </row>
    <row r="1707" ht="28.5" customHeight="1" s="99">
      <c r="A1707" s="94" t="inlineStr">
        <is>
          <t>PDF_Tiếng trung Full BỘ BCT.pdf</t>
        </is>
      </c>
      <c r="B1707" s="95" t="inlineStr">
        <is>
          <t>858</t>
        </is>
      </c>
      <c r="C1707" s="94" t="inlineStr">
        <is>
          <t>进货审批流程</t>
        </is>
      </c>
      <c r="D1707" s="94" t="inlineStr">
        <is>
          <t>Jìnhuò shěnpī liúchéng) - Quy trình phê duyệt nhập hàng</t>
        </is>
      </c>
      <c r="E1707" s="94" t="inlineStr">
        <is>
          <t>858. 进货审批流程 (Jìnhuò shěnpī liúchéng) - Quy trình phê duyệt nhập hàng</t>
        </is>
      </c>
      <c r="F1707" s="115">
        <f>HYPERLINK("https://youglish.com/pronounce/进货审批流程/chinese","🔍")</f>
        <v/>
      </c>
    </row>
    <row r="1708" ht="28.5" customHeight="1" s="99">
      <c r="A1708" s="92" t="inlineStr">
        <is>
          <t>PDF_Tiếng trung Full BỘ BCT.pdf</t>
        </is>
      </c>
      <c r="B1708" s="93" t="inlineStr">
        <is>
          <t>859</t>
        </is>
      </c>
      <c r="C1708" s="92" t="inlineStr">
        <is>
          <t>物料供应商评价</t>
        </is>
      </c>
      <c r="D1708" s="92" t="inlineStr">
        <is>
          <t>Wùliào gōngyìngshāng píngjià) - Đánh giá nhà cung cấp vật liệu</t>
        </is>
      </c>
      <c r="E1708" s="92" t="inlineStr">
        <is>
          <t>859. 物料供应商评价 (Wùliào gōngyìngshāng píngjià) - Đánh giá nhà cung cấp vật liệu</t>
        </is>
      </c>
      <c r="F1708" s="114">
        <f>HYPERLINK("https://youglish.com/pronounce/物料供应商评价/chinese","🔍")</f>
        <v/>
      </c>
    </row>
    <row r="1709">
      <c r="A1709" s="94" t="inlineStr">
        <is>
          <t>PDF_Tiếng trung Full BỘ BCT.pdf</t>
        </is>
      </c>
      <c r="B1709" s="95" t="inlineStr">
        <is>
          <t>860</t>
        </is>
      </c>
      <c r="C1709" s="94" t="inlineStr">
        <is>
          <t>质量标准</t>
        </is>
      </c>
      <c r="D1709" s="94" t="inlineStr">
        <is>
          <t>Zhìliàng biāozhǔn) - Tiêu chuẩn chất lượng</t>
        </is>
      </c>
      <c r="E1709" s="94" t="inlineStr">
        <is>
          <t>860. 质量标准 (Zhìliàng biāozhǔn) - Tiêu chuẩn chất lượng</t>
        </is>
      </c>
      <c r="F1709" s="115">
        <f>HYPERLINK("https://youglish.com/pronounce/质量标准/chinese","🔍")</f>
        <v/>
      </c>
    </row>
    <row r="1710">
      <c r="A1710" s="92" t="inlineStr">
        <is>
          <t>PDF_Tiếng trung Full BỘ BCT.pdf</t>
        </is>
      </c>
      <c r="B1710" s="93" t="inlineStr">
        <is>
          <t>861</t>
        </is>
      </c>
      <c r="C1710" s="92" t="inlineStr">
        <is>
          <t>技术支持</t>
        </is>
      </c>
      <c r="D1710" s="92" t="inlineStr">
        <is>
          <t>Jìshù zhīchí) - Hỗ trợ kỹ thuật</t>
        </is>
      </c>
      <c r="E1710" s="92" t="inlineStr">
        <is>
          <t>861. 技术支持 (Jìshù zhīchí) - Hỗ trợ kỹ thuật</t>
        </is>
      </c>
      <c r="F1710" s="114">
        <f>HYPERLINK("https://youglish.com/pronounce/技术支持/chinese","🔍")</f>
        <v/>
      </c>
    </row>
    <row r="1711" ht="28.5" customHeight="1" s="99">
      <c r="A1711" s="94" t="inlineStr">
        <is>
          <t>PDF_Tiếng trung Full BỘ BCT.pdf</t>
        </is>
      </c>
      <c r="B1711" s="95" t="inlineStr">
        <is>
          <t>862</t>
        </is>
      </c>
      <c r="C1711" s="94" t="inlineStr">
        <is>
          <t>供应链可见性</t>
        </is>
      </c>
      <c r="D1711" s="94" t="inlineStr">
        <is>
          <t>Gōngyìng liàn kějiàn xìng) - Tính nhìn thấy của chuỗi cung ứng</t>
        </is>
      </c>
      <c r="E1711" s="94" t="inlineStr">
        <is>
          <t>862. 供应链可见性 (Gōngyìng liàn kějiàn xìng) - Tính nhìn thấy của chuỗi cung ứng</t>
        </is>
      </c>
      <c r="F1711" s="115">
        <f>HYPERLINK("https://youglish.com/pronounce/供应链可见性/chinese","🔍")</f>
        <v/>
      </c>
    </row>
    <row r="1712">
      <c r="A1712" s="92" t="inlineStr">
        <is>
          <t>PDF_Tiếng trung Full BỘ BCT.pdf</t>
        </is>
      </c>
      <c r="B1712" s="93" t="inlineStr">
        <is>
          <t>863</t>
        </is>
      </c>
      <c r="C1712" s="92" t="inlineStr">
        <is>
          <t>物流效率</t>
        </is>
      </c>
      <c r="D1712" s="92" t="inlineStr">
        <is>
          <t>Wùliú xiàolǜ) - Hiệu quả vận chuyển</t>
        </is>
      </c>
      <c r="E1712" s="92" t="inlineStr">
        <is>
          <t>863. 物流效率 (Wùliú xiàolǜ) - Hiệu quả vận chuyển</t>
        </is>
      </c>
      <c r="F1712" s="114">
        <f>HYPERLINK("https://youglish.com/pronounce/物流效率/chinese","🔍")</f>
        <v/>
      </c>
    </row>
    <row r="1713">
      <c r="A1713" s="94" t="inlineStr">
        <is>
          <t>PDF_Tiếng trung Full BỘ BCT.pdf</t>
        </is>
      </c>
      <c r="B1713" s="95" t="inlineStr">
        <is>
          <t>864</t>
        </is>
      </c>
      <c r="C1713" s="94" t="inlineStr">
        <is>
          <t>库存滚动计划</t>
        </is>
      </c>
      <c r="D1713" s="94" t="inlineStr">
        <is>
          <t>Kùcún gǔndòng jìhuà) - Kế hoạch lăn sóng tồn kho</t>
        </is>
      </c>
      <c r="E1713" s="94" t="inlineStr">
        <is>
          <t>864. 库存滚动计划 (Kùcún gǔndòng jìhuà) - Kế hoạch lăn sóng tồn kho</t>
        </is>
      </c>
      <c r="F1713" s="115">
        <f>HYPERLINK("https://youglish.com/pronounce/库存滚动计划/chinese","🔍")</f>
        <v/>
      </c>
    </row>
    <row r="1714">
      <c r="A1714" s="92" t="inlineStr">
        <is>
          <t>PDF_Tiếng trung Full BỘ BCT.pdf</t>
        </is>
      </c>
      <c r="B1714" s="93" t="inlineStr">
        <is>
          <t>865</t>
        </is>
      </c>
      <c r="C1714" s="92" t="inlineStr">
        <is>
          <t>订单变更处理</t>
        </is>
      </c>
      <c r="D1714" s="92" t="inlineStr">
        <is>
          <t>Dìngdān biàngēng chǔlǐ) - Xử lý thay đổi đơn hàng</t>
        </is>
      </c>
      <c r="E1714" s="92" t="inlineStr">
        <is>
          <t>865. 订单变更处理 (Dìngdān biàngēng chǔlǐ) - Xử lý thay đổi đơn hàng</t>
        </is>
      </c>
      <c r="F1714" s="114">
        <f>HYPERLINK("https://youglish.com/pronounce/订单变更处理/chinese","🔍")</f>
        <v/>
      </c>
    </row>
    <row r="1715" ht="28.5" customHeight="1" s="99">
      <c r="A1715" s="94" t="inlineStr">
        <is>
          <t>PDF_Tiếng trung Full BỘ BCT.pdf</t>
        </is>
      </c>
      <c r="B1715" s="95" t="inlineStr">
        <is>
          <t>866</t>
        </is>
      </c>
      <c r="C1715" s="94" t="inlineStr">
        <is>
          <t>供应商绩效评估</t>
        </is>
      </c>
      <c r="D1715" s="94" t="inlineStr">
        <is>
          <t>Gōngyìngshāng jìxiào pínggu) - Đánh giá hiệu suất của nhà cung cấp</t>
        </is>
      </c>
      <c r="E1715" s="94" t="inlineStr">
        <is>
          <t>866. 供应商绩效评估 (Gōngyìngshāng jìxiào pínggu) - Đánh giá hiệu suất của nhà cung cấp</t>
        </is>
      </c>
      <c r="F1715" s="115">
        <f>HYPERLINK("https://youglish.com/pronounce/供应商绩效评估/chinese","🔍")</f>
        <v/>
      </c>
    </row>
    <row r="1716">
      <c r="A1716" s="92" t="inlineStr">
        <is>
          <t>PDF_Tiếng trung Full BỘ BCT.pdf</t>
        </is>
      </c>
      <c r="B1716" s="93" t="inlineStr">
        <is>
          <t>867</t>
        </is>
      </c>
      <c r="C1716" s="92" t="inlineStr">
        <is>
          <t>报废物料处理</t>
        </is>
      </c>
      <c r="D1716" s="92" t="inlineStr">
        <is>
          <t>Bàofèi wùliào chǔlǐ) - Xử lý vật liệu hỏng</t>
        </is>
      </c>
      <c r="E1716" s="92" t="inlineStr">
        <is>
          <t>867. 报废物料处理 (Bàofèi wùliào chǔlǐ) - Xử lý vật liệu hỏng</t>
        </is>
      </c>
      <c r="F1716" s="114">
        <f>HYPERLINK("https://youglish.com/pronounce/报废物料处理/chinese","🔍")</f>
        <v/>
      </c>
    </row>
    <row r="1717">
      <c r="A1717" s="94" t="inlineStr">
        <is>
          <t>PDF_Tiếng trung Full BỘ BCT.pdf</t>
        </is>
      </c>
      <c r="B1717" s="95" t="inlineStr">
        <is>
          <t>868</t>
        </is>
      </c>
      <c r="C1717" s="94" t="inlineStr">
        <is>
          <t>生产线协调</t>
        </is>
      </c>
      <c r="D1717" s="94" t="inlineStr">
        <is>
          <t>Shēngchǎn xiàn xiétiáo) - Phối hợp dây chuyền sản xuất</t>
        </is>
      </c>
      <c r="E1717" s="94" t="inlineStr">
        <is>
          <t>868. 生产线协调 (Shēngchǎn xiàn xiétiáo) - Phối hợp dây chuyền sản xuất</t>
        </is>
      </c>
      <c r="F1717" s="115">
        <f>HYPERLINK("https://youglish.com/pronounce/生产线协调/chinese","🔍")</f>
        <v/>
      </c>
    </row>
    <row r="1718" ht="28.5" customHeight="1" s="99">
      <c r="A1718" s="92" t="inlineStr">
        <is>
          <t>PDF_Tiếng trung Full BỘ BCT.pdf</t>
        </is>
      </c>
      <c r="B1718" s="93" t="inlineStr">
        <is>
          <t>869</t>
        </is>
      </c>
      <c r="C1718" s="92" t="inlineStr">
        <is>
          <t>采购计划优化</t>
        </is>
      </c>
      <c r="D1718" s="92" t="inlineStr">
        <is>
          <t>Cǎigòu jìhuà yōuhuà) - Tối ưu hóa kế hoạch mua hàng</t>
        </is>
      </c>
      <c r="E1718" s="92" t="inlineStr">
        <is>
          <t>869. 采购计划优化 (Cǎigòu jìhuà yōuhuà) - Tối ưu hóa kế hoạch mua hàng</t>
        </is>
      </c>
      <c r="F1718" s="114">
        <f>HYPERLINK("https://youglish.com/pronounce/采购计划优化/chinese","🔍")</f>
        <v/>
      </c>
    </row>
    <row r="1719" ht="28.5" customHeight="1" s="99">
      <c r="A1719" s="94" t="inlineStr">
        <is>
          <t>PDF_Tiếng trung Full BỘ BCT.pdf</t>
        </is>
      </c>
      <c r="B1719" s="95" t="inlineStr">
        <is>
          <t>870</t>
        </is>
      </c>
      <c r="C1719" s="94" t="inlineStr">
        <is>
          <t>供应商协议签订</t>
        </is>
      </c>
      <c r="D1719" s="94" t="inlineStr">
        <is>
          <t>Gōngyìngshāng xiéyì qiāndìng) - Ký kết thỏa thuận với nhà cung cấp</t>
        </is>
      </c>
      <c r="E1719" s="94" t="inlineStr">
        <is>
          <t>870. 供应商协议签订 (Gōngyìngshāng xiéyì qiāndìng) - Ký kết thỏa thuận với nhà cung cấp</t>
        </is>
      </c>
      <c r="F1719" s="115">
        <f>HYPERLINK("https://youglish.com/pronounce/供应商协议签订/chinese","🔍")</f>
        <v/>
      </c>
    </row>
    <row r="1720">
      <c r="A1720" s="92" t="inlineStr">
        <is>
          <t>PDF_Tiếng trung Full BỘ BCT.pdf</t>
        </is>
      </c>
      <c r="B1720" s="93" t="inlineStr">
        <is>
          <t>871</t>
        </is>
      </c>
      <c r="C1720" s="92" t="inlineStr">
        <is>
          <t>物流配送</t>
        </is>
      </c>
      <c r="D1720" s="92" t="inlineStr">
        <is>
          <t>Wùliú pèisòng) - Phân phối vận chuyển</t>
        </is>
      </c>
      <c r="E1720" s="92" t="inlineStr">
        <is>
          <t>871. 物流配送 (Wùliú pèisòng) - Phân phối vận chuyển</t>
        </is>
      </c>
      <c r="F1720" s="114">
        <f>HYPERLINK("https://youglish.com/pronounce/物流配送/chinese","🔍")</f>
        <v/>
      </c>
    </row>
    <row r="1721">
      <c r="A1721" s="94" t="inlineStr">
        <is>
          <t>PDF_Tiếng trung Full BỘ BCT.pdf</t>
        </is>
      </c>
      <c r="B1721" s="95" t="inlineStr">
        <is>
          <t>872</t>
        </is>
      </c>
      <c r="C1721" s="94" t="inlineStr">
        <is>
          <t>运输成本</t>
        </is>
      </c>
      <c r="D1721" s="94" t="inlineStr">
        <is>
          <t>Yùnshū chéngběn) - Chi phí vận chuyển</t>
        </is>
      </c>
      <c r="E1721" s="94" t="inlineStr">
        <is>
          <t>872. 运输成本 (Yùnshū chéngběn) - Chi phí vận chuyển</t>
        </is>
      </c>
      <c r="F1721" s="115">
        <f>HYPERLINK("https://youglish.com/pronounce/运输成本/chinese","🔍")</f>
        <v/>
      </c>
    </row>
    <row r="1722">
      <c r="A1722" s="92" t="inlineStr">
        <is>
          <t>PDF_Tiếng trung Full BỘ BCT.pdf</t>
        </is>
      </c>
      <c r="B1722" s="93" t="inlineStr">
        <is>
          <t>873</t>
        </is>
      </c>
      <c r="C1722" s="92" t="inlineStr">
        <is>
          <t>库存周转率</t>
        </is>
      </c>
      <c r="D1722" s="92" t="inlineStr">
        <is>
          <t>Kùcún zhōuzuǎn lǜ) - Tỷ lệ quay vòng hàng tồn kho</t>
        </is>
      </c>
      <c r="E1722" s="92" t="inlineStr">
        <is>
          <t>873. 库存周转率 (Kùcún zhōuzuǎn lǜ) - Tỷ lệ quay vòng hàng tồn kho</t>
        </is>
      </c>
      <c r="F1722" s="114">
        <f>HYPERLINK("https://youglish.com/pronounce/库存周转率/chinese","🔍")</f>
        <v/>
      </c>
    </row>
    <row r="1723">
      <c r="A1723" s="94" t="inlineStr">
        <is>
          <t>PDF_Tiếng trung Full BỘ BCT.pdf</t>
        </is>
      </c>
      <c r="B1723" s="95" t="inlineStr">
        <is>
          <t>874</t>
        </is>
      </c>
      <c r="C1723" s="94" t="inlineStr">
        <is>
          <t>采购需求预测</t>
        </is>
      </c>
      <c r="D1723" s="94" t="inlineStr">
        <is>
          <t>Cǎigòu xūqiú yùcè) - Dự đoán nhu cầu mua hàng</t>
        </is>
      </c>
      <c r="E1723" s="94" t="inlineStr">
        <is>
          <t>874. 采购需求预测 (Cǎigòu xūqiú yùcè) - Dự đoán nhu cầu mua hàng</t>
        </is>
      </c>
      <c r="F1723" s="115">
        <f>HYPERLINK("https://youglish.com/pronounce/采购需求预测/chinese","🔍")</f>
        <v/>
      </c>
    </row>
    <row r="1724">
      <c r="A1724" s="92" t="inlineStr">
        <is>
          <t>PDF_Tiếng trung Full BỘ BCT.pdf</t>
        </is>
      </c>
      <c r="B1724" s="93" t="inlineStr">
        <is>
          <t>875</t>
        </is>
      </c>
      <c r="C1724" s="92" t="inlineStr">
        <is>
          <t>物料配送计划</t>
        </is>
      </c>
      <c r="D1724" s="92" t="inlineStr">
        <is>
          <t>Wùliào pèisòng jìhuà) - Kế hoạch phân phối vật liệu</t>
        </is>
      </c>
      <c r="E1724" s="92" t="inlineStr">
        <is>
          <t>875. 物料配送计划 (Wùliào pèisòng jìhuà) - Kế hoạch phân phối vật liệu</t>
        </is>
      </c>
      <c r="F1724" s="114">
        <f>HYPERLINK("https://youglish.com/pronounce/物料配送计划/chinese","🔍")</f>
        <v/>
      </c>
    </row>
    <row r="1725">
      <c r="A1725" s="94" t="inlineStr">
        <is>
          <t>PDF_Tiếng trung Full BỘ BCT.pdf</t>
        </is>
      </c>
      <c r="B1725" s="95" t="inlineStr">
        <is>
          <t>876</t>
        </is>
      </c>
      <c r="C1725" s="94" t="inlineStr">
        <is>
          <t>供应链整合</t>
        </is>
      </c>
      <c r="D1725" s="94" t="inlineStr">
        <is>
          <t>Gōngyìng liàn zhěnghé) - Tích hợp chuỗi cung ứng</t>
        </is>
      </c>
      <c r="E1725" s="94" t="inlineStr">
        <is>
          <t>876. 供应链整合 (Gōngyìng liàn zhěnghé) - Tích hợp chuỗi cung ứng</t>
        </is>
      </c>
      <c r="F1725" s="115">
        <f>HYPERLINK("https://youglish.com/pronounce/供应链整合/chinese","🔍")</f>
        <v/>
      </c>
    </row>
    <row r="1726">
      <c r="A1726" s="92" t="inlineStr">
        <is>
          <t>PDF_Tiếng trung Full BỘ BCT.pdf</t>
        </is>
      </c>
      <c r="B1726" s="93" t="inlineStr">
        <is>
          <t>877</t>
        </is>
      </c>
      <c r="C1726" s="92" t="inlineStr">
        <is>
          <t>仓储管理系统</t>
        </is>
      </c>
      <c r="D1726" s="92" t="inlineStr">
        <is>
          <t>Cāngchǔ guǎnlǐ xìtǒng) - Hệ thống quản lý kho</t>
        </is>
      </c>
      <c r="E1726" s="92" t="inlineStr">
        <is>
          <t>877. 仓储管理系统 (Cāngchǔ guǎnlǐ xìtǒng) - Hệ thống quản lý kho</t>
        </is>
      </c>
      <c r="F1726" s="114">
        <f>HYPERLINK("https://youglish.com/pronounce/仓储管理系统/chinese","🔍")</f>
        <v/>
      </c>
    </row>
    <row r="1727">
      <c r="A1727" s="94" t="inlineStr">
        <is>
          <t>PDF_Tiếng trung Full BỘ BCT.pdf</t>
        </is>
      </c>
      <c r="B1727" s="95" t="inlineStr">
        <is>
          <t>878</t>
        </is>
      </c>
      <c r="C1727" s="94" t="inlineStr">
        <is>
          <t>货物追踪</t>
        </is>
      </c>
      <c r="D1727" s="94" t="inlineStr">
        <is>
          <t>Huòwù zhuīzōng) - Theo dõi hàng hóa</t>
        </is>
      </c>
      <c r="E1727" s="94" t="inlineStr">
        <is>
          <t>878. 货物追踪 (Huòwù zhuīzōng) - Theo dõi hàng hóa</t>
        </is>
      </c>
      <c r="F1727" s="115">
        <f>HYPERLINK("https://youglish.com/pronounce/货物追踪/chinese","🔍")</f>
        <v/>
      </c>
    </row>
    <row r="1728">
      <c r="A1728" s="92" t="inlineStr">
        <is>
          <t>PDF_Tiếng trung Full BỘ BCT.pdf</t>
        </is>
      </c>
      <c r="B1728" s="93" t="inlineStr">
        <is>
          <t>879</t>
        </is>
      </c>
      <c r="C1728" s="92" t="inlineStr">
        <is>
          <t>供应商合约</t>
        </is>
      </c>
      <c r="D1728" s="92" t="inlineStr">
        <is>
          <t>Gōngyìngshāng héyuē) - Hợp đồng với nhà cung cấp</t>
        </is>
      </c>
      <c r="E1728" s="92" t="inlineStr">
        <is>
          <t>879. 供应商合约 (Gōngyìngshāng héyuē) - Hợp đồng với nhà cung cấp</t>
        </is>
      </c>
      <c r="F1728" s="114">
        <f>HYPERLINK("https://youglish.com/pronounce/供应商合约/chinese","🔍")</f>
        <v/>
      </c>
    </row>
    <row r="1729">
      <c r="A1729" s="94" t="inlineStr">
        <is>
          <t>PDF_Tiếng trung Full BỘ BCT.pdf</t>
        </is>
      </c>
      <c r="B1729" s="95" t="inlineStr">
        <is>
          <t>880</t>
        </is>
      </c>
      <c r="C1729" s="94" t="inlineStr">
        <is>
          <t>物料库存优化</t>
        </is>
      </c>
      <c r="D1729" s="94" t="inlineStr">
        <is>
          <t>Wùliào kùcún yōuhuà) - Tối ưu hóa tồn kho vật liệu</t>
        </is>
      </c>
      <c r="E1729" s="94" t="inlineStr">
        <is>
          <t>880. 物料库存优化 (Wùliào kùcún yōuhuà) - Tối ưu hóa tồn kho vật liệu</t>
        </is>
      </c>
      <c r="F1729" s="115">
        <f>HYPERLINK("https://youglish.com/pronounce/物料库存优化/chinese","🔍")</f>
        <v/>
      </c>
    </row>
    <row r="1730">
      <c r="A1730" s="92" t="inlineStr">
        <is>
          <t>PDF_Tiếng trung Full BỘ BCT.pdf</t>
        </is>
      </c>
      <c r="B1730" s="93" t="inlineStr">
        <is>
          <t>881</t>
        </is>
      </c>
      <c r="C1730" s="92" t="inlineStr">
        <is>
          <t>定时供货</t>
        </is>
      </c>
      <c r="D1730" s="92" t="inlineStr">
        <is>
          <t>Dìngshí gōnghuò) - Cung cấp hàng hóa định kỳ</t>
        </is>
      </c>
      <c r="E1730" s="92" t="inlineStr">
        <is>
          <t>881. 定时供货 (Dìngshí gōnghuò) - Cung cấp hàng hóa định kỳ</t>
        </is>
      </c>
      <c r="F1730" s="114">
        <f>HYPERLINK("https://youglish.com/pronounce/定时供货/chinese","🔍")</f>
        <v/>
      </c>
    </row>
    <row r="1731" ht="28.5" customHeight="1" s="99">
      <c r="A1731" s="94" t="inlineStr">
        <is>
          <t>PDF_Tiếng trung Full BỘ BCT.pdf</t>
        </is>
      </c>
      <c r="B1731" s="95" t="inlineStr">
        <is>
          <t>882</t>
        </is>
      </c>
      <c r="C1731" s="94" t="inlineStr">
        <is>
          <t>采购流程优化</t>
        </is>
      </c>
      <c r="D1731" s="94" t="inlineStr">
        <is>
          <t>Cǎigòu liúchéng yōuhuà) - Tối ưu hóa quy trình mua hàng</t>
        </is>
      </c>
      <c r="E1731" s="94" t="inlineStr">
        <is>
          <t>882. 采购流程优化 (Cǎigòu liúchéng yōuhuà) - Tối ưu hóa quy trình mua hàng</t>
        </is>
      </c>
      <c r="F1731" s="115">
        <f>HYPERLINK("https://youglish.com/pronounce/采购流程优化/chinese","🔍")</f>
        <v/>
      </c>
    </row>
    <row r="1732" ht="28.5" customHeight="1" s="99">
      <c r="A1732" s="92" t="inlineStr">
        <is>
          <t>PDF_Tiếng trung Full BỘ BCT.pdf</t>
        </is>
      </c>
      <c r="B1732" s="93" t="inlineStr">
        <is>
          <t>883</t>
        </is>
      </c>
      <c r="C1732" s="92" t="inlineStr">
        <is>
          <t>供应商服务水平</t>
        </is>
      </c>
      <c r="D1732" s="92" t="inlineStr">
        <is>
          <t>Gōngyìngshāng fúwù shuǐpíng) - Mức độ dịch vụ của nhà cung cấp</t>
        </is>
      </c>
      <c r="E1732" s="92" t="inlineStr">
        <is>
          <t>883. 供应商服务水平 (Gōngyìngshāng fúwù shuǐpíng) - Mức độ dịch vụ của nhà cung cấp</t>
        </is>
      </c>
      <c r="F1732" s="114">
        <f>HYPERLINK("https://youglish.com/pronounce/供应商服务水平/chinese","🔍")</f>
        <v/>
      </c>
    </row>
    <row r="1733">
      <c r="A1733" s="94" t="inlineStr">
        <is>
          <t>PDF_Tiếng trung Full BỘ BCT.pdf</t>
        </is>
      </c>
      <c r="B1733" s="95" t="inlineStr">
        <is>
          <t>884</t>
        </is>
      </c>
      <c r="C1733" s="94" t="inlineStr">
        <is>
          <t>物料接收检查</t>
        </is>
      </c>
      <c r="D1733" s="94" t="inlineStr">
        <is>
          <t>Wùliào jiēshōu jiǎnchá) - Kiểm tra nhận hàng</t>
        </is>
      </c>
      <c r="E1733" s="94" t="inlineStr">
        <is>
          <t>884. 物料接收检查 (Wùliào jiēshōu jiǎnchá) - Kiểm tra nhận hàng</t>
        </is>
      </c>
      <c r="F1733" s="115">
        <f>HYPERLINK("https://youglish.com/pronounce/物料接收检查/chinese","🔍")</f>
        <v/>
      </c>
    </row>
    <row r="1734" ht="28.5" customHeight="1" s="99">
      <c r="A1734" s="92" t="inlineStr">
        <is>
          <t>PDF_Tiếng trung Full BỘ BCT.pdf</t>
        </is>
      </c>
      <c r="B1734" s="93" t="inlineStr">
        <is>
          <t>885</t>
        </is>
      </c>
      <c r="C1734" s="92" t="inlineStr">
        <is>
          <t>生产排程调整</t>
        </is>
      </c>
      <c r="D1734" s="92" t="inlineStr">
        <is>
          <t>Shēngchǎn páichéng tiáozhěng) - Điều chỉnh lịch trình sản xuất</t>
        </is>
      </c>
      <c r="E1734" s="92" t="inlineStr">
        <is>
          <t>885. 生产排程调整 (Shēngchǎn páichéng tiáozhěng) - Điều chỉnh lịch trình sản xuất</t>
        </is>
      </c>
      <c r="F1734" s="114">
        <f>HYPERLINK("https://youglish.com/pronounce/生产排程调整/chinese","🔍")</f>
        <v/>
      </c>
    </row>
    <row r="1735">
      <c r="A1735" s="94" t="inlineStr">
        <is>
          <t>PDF_Tiếng trung Full BỘ BCT.pdf</t>
        </is>
      </c>
      <c r="B1735" s="95" t="inlineStr">
        <is>
          <t>886</t>
        </is>
      </c>
      <c r="C1735" s="94" t="inlineStr">
        <is>
          <t>库存报告</t>
        </is>
      </c>
      <c r="D1735" s="94" t="inlineStr">
        <is>
          <t>Kùcún bàogào) - Báo cáo tồn kho</t>
        </is>
      </c>
      <c r="E1735" s="94" t="inlineStr">
        <is>
          <t>886. 库存报告 (Kùcún bàogào) - Báo cáo tồn kho</t>
        </is>
      </c>
      <c r="F1735" s="115">
        <f>HYPERLINK("https://youglish.com/pronounce/库存报告/chinese","🔍")</f>
        <v/>
      </c>
    </row>
    <row r="1736">
      <c r="A1736" s="92" t="inlineStr">
        <is>
          <t>PDF_Tiếng trung Full BỘ BCT.pdf</t>
        </is>
      </c>
      <c r="B1736" s="93" t="inlineStr">
        <is>
          <t>887</t>
        </is>
      </c>
      <c r="C1736" s="92" t="inlineStr">
        <is>
          <t>物料调拨</t>
        </is>
      </c>
      <c r="D1736" s="92" t="inlineStr">
        <is>
          <t>Wùliào diàobō) - Chuyển vật liệu</t>
        </is>
      </c>
      <c r="E1736" s="92" t="inlineStr">
        <is>
          <t>887. 物料调拨 (Wùliào diàobō) - Chuyển vật liệu</t>
        </is>
      </c>
      <c r="F1736" s="114">
        <f>HYPERLINK("https://youglish.com/pronounce/物料调拨/chinese","🔍")</f>
        <v/>
      </c>
    </row>
    <row r="1737">
      <c r="A1737" s="94" t="inlineStr">
        <is>
          <t>PDF_Tiếng trung Full BỘ BCT.pdf</t>
        </is>
      </c>
      <c r="B1737" s="95" t="inlineStr">
        <is>
          <t>888</t>
        </is>
      </c>
      <c r="C1737" s="94" t="inlineStr">
        <is>
          <t>预防维护</t>
        </is>
      </c>
      <c r="D1737" s="94" t="inlineStr">
        <is>
          <t>Yùfáng wéihù) - Bảo dưỡng dự phòng</t>
        </is>
      </c>
      <c r="E1737" s="94" t="inlineStr">
        <is>
          <t>888. 预防维护 (Yùfáng wéihù) - Bảo dưỡng dự phòng</t>
        </is>
      </c>
      <c r="F1737" s="115">
        <f>HYPERLINK("https://youglish.com/pronounce/预防维护/chinese","🔍")</f>
        <v/>
      </c>
    </row>
    <row r="1738">
      <c r="A1738" s="92" t="inlineStr">
        <is>
          <t>PDF_Tiếng trung Full BỘ BCT.pdf</t>
        </is>
      </c>
      <c r="B1738" s="93" t="inlineStr">
        <is>
          <t>889</t>
        </is>
      </c>
      <c r="C1738" s="92" t="inlineStr">
        <is>
          <t>运输安排</t>
        </is>
      </c>
      <c r="D1738" s="92" t="inlineStr">
        <is>
          <t>Yùnshū ānpái) - Sắp xếp vận chuyển</t>
        </is>
      </c>
      <c r="E1738" s="92" t="inlineStr">
        <is>
          <t>889. 运输安排 (Yùnshū ānpái) - Sắp xếp vận chuyển</t>
        </is>
      </c>
      <c r="F1738" s="114">
        <f>HYPERLINK("https://youglish.com/pronounce/运输安排/chinese","🔍")</f>
        <v/>
      </c>
    </row>
    <row r="1739">
      <c r="A1739" s="94" t="inlineStr">
        <is>
          <t>PDF_Tiếng trung Full BỘ BCT.pdf</t>
        </is>
      </c>
      <c r="B1739" s="95" t="inlineStr">
        <is>
          <t>890</t>
        </is>
      </c>
      <c r="C1739" s="94" t="inlineStr">
        <is>
          <t>质量改进</t>
        </is>
      </c>
      <c r="D1739" s="94" t="inlineStr">
        <is>
          <t>Zhìliàng gǎijìn) - Cải tiến chất lượng</t>
        </is>
      </c>
      <c r="E1739" s="94" t="inlineStr">
        <is>
          <t>890. 质量改进 (Zhìliàng gǎijìn) - Cải tiến chất lượng</t>
        </is>
      </c>
      <c r="F1739" s="115">
        <f>HYPERLINK("https://youglish.com/pronounce/质量改进/chinese","🔍")</f>
        <v/>
      </c>
    </row>
    <row r="1740" ht="28.5" customHeight="1" s="99">
      <c r="A1740" s="92" t="inlineStr">
        <is>
          <t>PDF_Tiếng trung Full BỘ BCT.pdf</t>
        </is>
      </c>
      <c r="B1740" s="93" t="inlineStr">
        <is>
          <t>891</t>
        </is>
      </c>
      <c r="C1740" s="92" t="inlineStr">
        <is>
          <t>供应商信用评估</t>
        </is>
      </c>
      <c r="D1740" s="92" t="inlineStr">
        <is>
          <t>Gōngyìngshāng xìnyòng pínggū) - Đánh giá tín dụng của nhà cung cấp</t>
        </is>
      </c>
      <c r="E1740" s="92" t="inlineStr">
        <is>
          <t>891. 供应商信用评估 (Gōngyìngshāng xìnyòng pínggū) - Đánh giá tín dụng của nhà cung cấp</t>
        </is>
      </c>
      <c r="F1740" s="114">
        <f>HYPERLINK("https://youglish.com/pronounce/供应商信用评估/chinese","🔍")</f>
        <v/>
      </c>
    </row>
    <row r="1741">
      <c r="A1741" s="94" t="inlineStr">
        <is>
          <t>PDF_Tiếng trung Full BỘ BCT.pdf</t>
        </is>
      </c>
      <c r="B1741" s="95" t="inlineStr">
        <is>
          <t>892</t>
        </is>
      </c>
      <c r="C1741" s="94" t="inlineStr">
        <is>
          <t>退货处理</t>
        </is>
      </c>
      <c r="D1741" s="94" t="inlineStr">
        <is>
          <t>Tuìhuò chǔlǐ) - Xử lý hàng hóa trả lại</t>
        </is>
      </c>
      <c r="E1741" s="94" t="inlineStr">
        <is>
          <t>892. 退货处理 (Tuìhuò chǔlǐ) - Xử lý hàng hóa trả lại</t>
        </is>
      </c>
      <c r="F1741" s="115">
        <f>HYPERLINK("https://youglish.com/pronounce/退货处理/chinese","🔍")</f>
        <v/>
      </c>
    </row>
    <row r="1742">
      <c r="A1742" s="92" t="inlineStr">
        <is>
          <t>PDF_Tiếng trung Full BỘ BCT.pdf</t>
        </is>
      </c>
      <c r="B1742" s="93" t="inlineStr">
        <is>
          <t>893</t>
        </is>
      </c>
      <c r="C1742" s="92" t="inlineStr">
        <is>
          <t>供应商沟通</t>
        </is>
      </c>
      <c r="D1742" s="92" t="inlineStr">
        <is>
          <t>Gōngyìngshāng gōutōng) - Giao tiếp với nhà cung cấp</t>
        </is>
      </c>
      <c r="E1742" s="92" t="inlineStr">
        <is>
          <t>893. 供应商沟通 (Gōngyìngshāng gōutōng) - Giao tiếp với nhà cung cấp</t>
        </is>
      </c>
      <c r="F1742" s="114">
        <f>HYPERLINK("https://youglish.com/pronounce/供应商沟通/chinese","🔍")</f>
        <v/>
      </c>
    </row>
    <row r="1743">
      <c r="A1743" s="94" t="inlineStr">
        <is>
          <t>PDF_Tiếng trung Full BỘ BCT.pdf</t>
        </is>
      </c>
      <c r="B1743" s="95" t="inlineStr">
        <is>
          <t>894</t>
        </is>
      </c>
      <c r="C1743" s="94" t="inlineStr">
        <is>
          <t>质量审查</t>
        </is>
      </c>
      <c r="D1743" s="94" t="inlineStr">
        <is>
          <t>Zhìliàng shěnchá) - Đánh giá chất lượng</t>
        </is>
      </c>
      <c r="E1743" s="94" t="inlineStr">
        <is>
          <t>894. 质量审查 (Zhìliàng shěnchá) - Đánh giá chất lượng</t>
        </is>
      </c>
      <c r="F1743" s="115">
        <f>HYPERLINK("https://youglish.com/pronounce/质量审查/chinese","🔍")</f>
        <v/>
      </c>
    </row>
    <row r="1744">
      <c r="A1744" s="92" t="inlineStr">
        <is>
          <t>PDF_Tiếng trung Full BỘ BCT.pdf</t>
        </is>
      </c>
      <c r="B1744" s="93" t="inlineStr">
        <is>
          <t>895</t>
        </is>
      </c>
      <c r="C1744" s="92" t="inlineStr">
        <is>
          <t>供应商选择</t>
        </is>
      </c>
      <c r="D1744" s="92" t="inlineStr">
        <is>
          <t>Gōngyìngshāng xuǎnzé) - Lựa chọn nhà cung cấp</t>
        </is>
      </c>
      <c r="E1744" s="92" t="inlineStr">
        <is>
          <t>895. 供应商选择 (Gōngyìngshāng xuǎnzé) - Lựa chọn nhà cung cấp</t>
        </is>
      </c>
      <c r="F1744" s="114">
        <f>HYPERLINK("https://youglish.com/pronounce/供应商选择/chinese","🔍")</f>
        <v/>
      </c>
    </row>
    <row r="1745">
      <c r="A1745" s="94" t="inlineStr">
        <is>
          <t>PDF_Tiếng trung Full BỘ BCT.pdf</t>
        </is>
      </c>
      <c r="B1745" s="95" t="inlineStr">
        <is>
          <t>896</t>
        </is>
      </c>
      <c r="C1745" s="94" t="inlineStr">
        <is>
          <t>定期审查</t>
        </is>
      </c>
      <c r="D1745" s="94" t="inlineStr">
        <is>
          <t>Dìngqī shěnchá) - Kiểm tra định kỳ</t>
        </is>
      </c>
      <c r="E1745" s="94" t="inlineStr">
        <is>
          <t>896. 定期审查 (Dìngqī shěnchá) - Kiểm tra định kỳ</t>
        </is>
      </c>
      <c r="F1745" s="115">
        <f>HYPERLINK("https://youglish.com/pronounce/定期审查/chinese","🔍")</f>
        <v/>
      </c>
    </row>
    <row r="1746">
      <c r="A1746" s="92" t="inlineStr">
        <is>
          <t>PDF_Tiếng trung Full BỘ BCT.pdf</t>
        </is>
      </c>
      <c r="B1746" s="93" t="inlineStr">
        <is>
          <t>897</t>
        </is>
      </c>
      <c r="C1746" s="92" t="inlineStr">
        <is>
          <t>物料跟进</t>
        </is>
      </c>
      <c r="D1746" s="92" t="inlineStr">
        <is>
          <t>Wùliào gēnjìn) - Theo dõi vật liệu</t>
        </is>
      </c>
      <c r="E1746" s="92" t="inlineStr">
        <is>
          <t>897. 物料跟进 (Wùliào gēnjìn) - Theo dõi vật liệu</t>
        </is>
      </c>
      <c r="F1746" s="114">
        <f>HYPERLINK("https://youglish.com/pronounce/物料跟进/chinese","🔍")</f>
        <v/>
      </c>
    </row>
    <row r="1747" ht="28.5" customHeight="1" s="99">
      <c r="A1747" s="94" t="inlineStr">
        <is>
          <t>PDF_Tiếng trung Full BỘ BCT.pdf</t>
        </is>
      </c>
      <c r="B1747" s="95" t="inlineStr">
        <is>
          <t>898</t>
        </is>
      </c>
      <c r="C1747" s="94" t="inlineStr">
        <is>
          <t>生产工艺改进</t>
        </is>
      </c>
      <c r="D1747" s="94" t="inlineStr">
        <is>
          <t>Shēngchǎn gōngyì gǎijìn) - Cải tiến công nghệ sản xuất</t>
        </is>
      </c>
      <c r="E1747" s="94" t="inlineStr">
        <is>
          <t>898. 生产工艺改进 (Shēngchǎn gōngyì gǎijìn) - Cải tiến công nghệ sản xuất</t>
        </is>
      </c>
      <c r="F1747" s="115">
        <f>HYPERLINK("https://youglish.com/pronounce/生产工艺改进/chinese","🔍")</f>
        <v/>
      </c>
    </row>
    <row r="1748">
      <c r="A1748" s="92" t="inlineStr">
        <is>
          <t>PDF_Tiếng trung Full BỘ BCT.pdf</t>
        </is>
      </c>
      <c r="B1748" s="93" t="inlineStr">
        <is>
          <t>899</t>
        </is>
      </c>
      <c r="C1748" s="92" t="inlineStr">
        <is>
          <t>成本分析</t>
        </is>
      </c>
      <c r="D1748" s="92" t="inlineStr">
        <is>
          <t>Chéngběn fēnxī) - Phân tích chi phí</t>
        </is>
      </c>
      <c r="E1748" s="92" t="inlineStr">
        <is>
          <t>899. 成本分析 (Chéngběn fēnxī) - Phân tích chi phí</t>
        </is>
      </c>
      <c r="F1748" s="114">
        <f>HYPERLINK("https://youglish.com/pronounce/成本分析/chinese","🔍")</f>
        <v/>
      </c>
    </row>
    <row r="1749" ht="28.5" customHeight="1" s="99">
      <c r="A1749" s="94" t="inlineStr">
        <is>
          <t>PDF_Tiếng trung Full BỘ BCT.pdf</t>
        </is>
      </c>
      <c r="B1749" s="95" t="inlineStr">
        <is>
          <t>900</t>
        </is>
      </c>
      <c r="C1749" s="94" t="inlineStr">
        <is>
          <t>质量控制标准</t>
        </is>
      </c>
      <c r="D1749" s="94" t="inlineStr">
        <is>
          <t>Zhìliàng kòngzhì biāozhǔn) - Tiêu chuẩn kiểm soát chất lượng</t>
        </is>
      </c>
      <c r="E1749" s="94" t="inlineStr">
        <is>
          <t>900. 质量控制标准 (Zhìliàng kòngzhì biāozhǔn) - Tiêu chuẩn kiểm soát chất lượng</t>
        </is>
      </c>
      <c r="F1749" s="115">
        <f>HYPERLINK("https://youglish.com/pronounce/质量控制标准/chinese","🔍")</f>
        <v/>
      </c>
    </row>
    <row r="1750">
      <c r="A1750" s="92" t="inlineStr">
        <is>
          <t>PDF_Tiếng trung Full BỘ BCT.pdf</t>
        </is>
      </c>
      <c r="B1750" s="93" t="inlineStr">
        <is>
          <t>901</t>
        </is>
      </c>
      <c r="C1750" s="92" t="inlineStr">
        <is>
          <t>物料库存管理</t>
        </is>
      </c>
      <c r="D1750" s="92" t="inlineStr">
        <is>
          <t>Wùliào kùcún guǎnlǐ) - Quản lý tồn kho vật liệu</t>
        </is>
      </c>
      <c r="E1750" s="92" t="inlineStr">
        <is>
          <t>901. 物料库存管理 (Wùliào kùcún guǎnlǐ) - Quản lý tồn kho vật liệu</t>
        </is>
      </c>
      <c r="F1750" s="114">
        <f>HYPERLINK("https://youglish.com/pronounce/物料库存管理/chinese","🔍")</f>
        <v/>
      </c>
    </row>
    <row r="1751">
      <c r="A1751" s="94" t="inlineStr">
        <is>
          <t>PDF_Tiếng trung Full BỘ BCT.pdf</t>
        </is>
      </c>
      <c r="B1751" s="95" t="inlineStr">
        <is>
          <t>902</t>
        </is>
      </c>
      <c r="C1751" s="94" t="inlineStr">
        <is>
          <t>供应商调整</t>
        </is>
      </c>
      <c r="D1751" s="94" t="inlineStr">
        <is>
          <t>Gōngyìngshāng tiáozhěng) - Điều chỉnh nhà cung cấp</t>
        </is>
      </c>
      <c r="E1751" s="94" t="inlineStr">
        <is>
          <t>902. 供应商调整 (Gōngyìngshāng tiáozhěng) - Điều chỉnh nhà cung cấp</t>
        </is>
      </c>
      <c r="F1751" s="115">
        <f>HYPERLINK("https://youglish.com/pronounce/供应商调整/chinese","🔍")</f>
        <v/>
      </c>
    </row>
    <row r="1752" ht="28.5" customHeight="1" s="99">
      <c r="A1752" s="92" t="inlineStr">
        <is>
          <t>PDF_Tiếng trung Full BỘ BCT.pdf</t>
        </is>
      </c>
      <c r="B1752" s="93" t="inlineStr">
        <is>
          <t>903</t>
        </is>
      </c>
      <c r="C1752" s="92" t="inlineStr">
        <is>
          <t>生产计划调整</t>
        </is>
      </c>
      <c r="D1752" s="92" t="inlineStr">
        <is>
          <t>Shēngchǎn jìhuà tiáozhěng) - Điều chỉnh kế hoạch sản xuất</t>
        </is>
      </c>
      <c r="E1752" s="92" t="inlineStr">
        <is>
          <t>903. 生产计划调整 (Shēngchǎn jìhuà tiáozhěng) - Điều chỉnh kế hoạch sản xuất</t>
        </is>
      </c>
      <c r="F1752" s="114">
        <f>HYPERLINK("https://youglish.com/pronounce/生产计划调整/chinese","🔍")</f>
        <v/>
      </c>
    </row>
    <row r="1753">
      <c r="A1753" s="94" t="inlineStr">
        <is>
          <t>PDF_Tiếng trung Full BỘ BCT.pdf</t>
        </is>
      </c>
      <c r="B1753" s="95" t="inlineStr">
        <is>
          <t>904</t>
        </is>
      </c>
      <c r="C1753" s="94" t="inlineStr">
        <is>
          <t>采购合同管理</t>
        </is>
      </c>
      <c r="D1753" s="94" t="inlineStr">
        <is>
          <t>Cǎigòu hétóng guǎnlǐ) - Quản lý hợp đồng mua hàng</t>
        </is>
      </c>
      <c r="E1753" s="94" t="inlineStr">
        <is>
          <t>904. 采购合同管理 (Cǎigòu hétóng guǎnlǐ) - Quản lý hợp đồng mua hàng</t>
        </is>
      </c>
      <c r="F1753" s="115">
        <f>HYPERLINK("https://youglish.com/pronounce/采购合同管理/chinese","🔍")</f>
        <v/>
      </c>
    </row>
    <row r="1754">
      <c r="A1754" s="92" t="inlineStr">
        <is>
          <t>PDF_Tiếng trung Full BỘ BCT.pdf</t>
        </is>
      </c>
      <c r="B1754" s="93" t="inlineStr">
        <is>
          <t>905</t>
        </is>
      </c>
      <c r="C1754" s="92" t="inlineStr">
        <is>
          <t>质量改善计划</t>
        </is>
      </c>
      <c r="D1754" s="92" t="inlineStr">
        <is>
          <t>Zhìliàng gǎishàn jìhuà) - Kế hoạch cải tiến chất lượng</t>
        </is>
      </c>
      <c r="E1754" s="92" t="inlineStr">
        <is>
          <t>905. 质量改善计划 (Zhìliàng gǎishàn jìhuà) - Kế hoạch cải tiến chất lượng</t>
        </is>
      </c>
      <c r="F1754" s="114">
        <f>HYPERLINK("https://youglish.com/pronounce/质量改善计划/chinese","🔍")</f>
        <v/>
      </c>
    </row>
    <row r="1755" ht="28.5" customHeight="1" s="99">
      <c r="A1755" s="94" t="inlineStr">
        <is>
          <t>PDF_Tiếng trung Full BỘ BCT.pdf</t>
        </is>
      </c>
      <c r="B1755" s="95" t="inlineStr">
        <is>
          <t>906</t>
        </is>
      </c>
      <c r="C1755" s="94" t="inlineStr">
        <is>
          <t>供应商评价系统</t>
        </is>
      </c>
      <c r="D1755" s="94" t="inlineStr">
        <is>
          <t>Gōngyìngshāng píngjià xìtǒng) - Hệ thống đánh giá nhà cung cấp</t>
        </is>
      </c>
      <c r="E1755" s="94" t="inlineStr">
        <is>
          <t>906. 供应商评价系统 (Gōngyìngshāng píngjià xìtǒng) - Hệ thống đánh giá nhà cung cấp</t>
        </is>
      </c>
      <c r="F1755" s="115">
        <f>HYPERLINK("https://youglish.com/pronounce/供应商评价系统/chinese","🔍")</f>
        <v/>
      </c>
    </row>
    <row r="1756" ht="28.5" customHeight="1" s="99">
      <c r="A1756" s="92" t="inlineStr">
        <is>
          <t>PDF_Tiếng trung Full BỘ BCT.pdf</t>
        </is>
      </c>
      <c r="B1756" s="93" t="inlineStr">
        <is>
          <t>907</t>
        </is>
      </c>
      <c r="C1756" s="92" t="inlineStr">
        <is>
          <t>生产能力规划</t>
        </is>
      </c>
      <c r="D1756" s="92" t="inlineStr">
        <is>
          <t>Shēngchǎn nénglì guīhuà) - Kế hoạch năng lực sản xuất</t>
        </is>
      </c>
      <c r="E1756" s="92" t="inlineStr">
        <is>
          <t>907. 生产能力规划 (Shēngchǎn nénglì guīhuà) - Kế hoạch năng lực sản xuất</t>
        </is>
      </c>
      <c r="F1756" s="114">
        <f>HYPERLINK("https://youglish.com/pronounce/生产能力规划/chinese","🔍")</f>
        <v/>
      </c>
    </row>
    <row r="1757">
      <c r="A1757" s="94" t="inlineStr">
        <is>
          <t>PDF_Tiếng trung Full BỘ BCT.pdf</t>
        </is>
      </c>
      <c r="B1757" s="95" t="inlineStr">
        <is>
          <t>908</t>
        </is>
      </c>
      <c r="C1757" s="94" t="inlineStr">
        <is>
          <t>物料定价</t>
        </is>
      </c>
      <c r="D1757" s="94" t="inlineStr">
        <is>
          <t>Wùliào dìngjià) - Định giá vật liệu</t>
        </is>
      </c>
      <c r="E1757" s="94" t="inlineStr">
        <is>
          <t>908. 物料定价 (Wùliào dìngjià) - Định giá vật liệu</t>
        </is>
      </c>
      <c r="F1757" s="115">
        <f>HYPERLINK("https://youglish.com/pronounce/物料定价/chinese","🔍")</f>
        <v/>
      </c>
    </row>
    <row r="1758" ht="28.5" customHeight="1" s="99">
      <c r="A1758" s="92" t="inlineStr">
        <is>
          <t>PDF_Tiếng trung Full BỘ BCT.pdf</t>
        </is>
      </c>
      <c r="B1758" s="93" t="inlineStr">
        <is>
          <t>909</t>
        </is>
      </c>
      <c r="C1758" s="92" t="inlineStr">
        <is>
          <t>运输跟踪系统</t>
        </is>
      </c>
      <c r="D1758" s="92" t="inlineStr">
        <is>
          <t>Yùnshū gēnzōng xìtǒng) - Hệ thống theo dõi vận chuyển</t>
        </is>
      </c>
      <c r="E1758" s="92" t="inlineStr">
        <is>
          <t>909. 运输跟踪系统 (Yùnshū gēnzōng xìtǒng) - Hệ thống theo dõi vận chuyển</t>
        </is>
      </c>
      <c r="F1758" s="114">
        <f>HYPERLINK("https://youglish.com/pronounce/运输跟踪系统/chinese","🔍")</f>
        <v/>
      </c>
    </row>
    <row r="1759">
      <c r="A1759" s="94" t="inlineStr">
        <is>
          <t>PDF_Tiếng trung Full BỘ BCT.pdf</t>
        </is>
      </c>
      <c r="B1759" s="95" t="inlineStr">
        <is>
          <t>910</t>
        </is>
      </c>
      <c r="C1759" s="94" t="inlineStr">
        <is>
          <t>供应商监管</t>
        </is>
      </c>
      <c r="D1759" s="94" t="inlineStr">
        <is>
          <t>Gōngyìngshāng jiānguǎn) - Giám sát nhà cung cấp</t>
        </is>
      </c>
      <c r="E1759" s="94" t="inlineStr">
        <is>
          <t>910. 供应商监管 (Gōngyìngshāng jiānguǎn) - Giám sát nhà cung cấp</t>
        </is>
      </c>
      <c r="F1759" s="115">
        <f>HYPERLINK("https://youglish.com/pronounce/供应商监管/chinese","🔍")</f>
        <v/>
      </c>
    </row>
    <row r="1760" ht="28.5" customHeight="1" s="99">
      <c r="A1760" s="92" t="inlineStr">
        <is>
          <t>PDF_Tiếng trung Full BỘ BCT.pdf</t>
        </is>
      </c>
      <c r="B1760" s="93" t="inlineStr">
        <is>
          <t>911</t>
        </is>
      </c>
      <c r="C1760" s="92" t="inlineStr">
        <is>
          <t>生产计划执行</t>
        </is>
      </c>
      <c r="D1760" s="92" t="inlineStr">
        <is>
          <t>Shēngchǎn jìhuà zhíxíng) - Thực hiện kế hoạch sản xuất</t>
        </is>
      </c>
      <c r="E1760" s="92" t="inlineStr">
        <is>
          <t>911. 生产计划执行 (Shēngchǎn jìhuà zhíxíng) - Thực hiện kế hoạch sản xuất</t>
        </is>
      </c>
      <c r="F1760" s="114">
        <f>HYPERLINK("https://youglish.com/pronounce/生产计划执行/chinese","🔍")</f>
        <v/>
      </c>
    </row>
    <row r="1761">
      <c r="A1761" s="94" t="inlineStr">
        <is>
          <t>PDF_Tiếng trung Full BỘ BCT.pdf</t>
        </is>
      </c>
      <c r="B1761" s="95" t="inlineStr">
        <is>
          <t>912</t>
        </is>
      </c>
      <c r="C1761" s="94" t="inlineStr">
        <is>
          <t>库存优化策略</t>
        </is>
      </c>
      <c r="D1761" s="94" t="inlineStr">
        <is>
          <t>Kùcún yōuhuà cèlüè) - Chiến lược tối ưu hóa tồn kho</t>
        </is>
      </c>
      <c r="E1761" s="94" t="inlineStr">
        <is>
          <t>912. 库存优化策略 (Kùcún yōuhuà cèlüè) - Chiến lược tối ưu hóa tồn kho</t>
        </is>
      </c>
      <c r="F1761" s="115">
        <f>HYPERLINK("https://youglish.com/pronounce/库存优化策略/chinese","🔍")</f>
        <v/>
      </c>
    </row>
    <row r="1762" ht="28.5" customHeight="1" s="99">
      <c r="A1762" s="92" t="inlineStr">
        <is>
          <t>PDF_Tiếng trung Full BỘ BCT.pdf</t>
        </is>
      </c>
      <c r="B1762" s="93" t="inlineStr">
        <is>
          <t>913</t>
        </is>
      </c>
      <c r="C1762" s="92" t="inlineStr">
        <is>
          <t>物料成本控制</t>
        </is>
      </c>
      <c r="D1762" s="92" t="inlineStr">
        <is>
          <t>Wùliào chéngběn kòngzhì) - Kiểm soát chi phí vật liệu</t>
        </is>
      </c>
      <c r="E1762" s="92" t="inlineStr">
        <is>
          <t>913. 物料成本控制 (Wùliào chéngběn kòngzhì) - Kiểm soát chi phí vật liệu</t>
        </is>
      </c>
      <c r="F1762" s="114">
        <f>HYPERLINK("https://youglish.com/pronounce/物料成本控制/chinese","🔍")</f>
        <v/>
      </c>
    </row>
    <row r="1763" ht="28.5" customHeight="1" s="99">
      <c r="A1763" s="94" t="inlineStr">
        <is>
          <t>PDF_Tiếng trung Full BỘ BCT.pdf</t>
        </is>
      </c>
      <c r="B1763" s="95" t="inlineStr">
        <is>
          <t>914</t>
        </is>
      </c>
      <c r="C1763" s="94" t="inlineStr">
        <is>
          <t>质量检测流程</t>
        </is>
      </c>
      <c r="D1763" s="94" t="inlineStr">
        <is>
          <t>Zhìliàng jiǎncè liúchéng) - Quy trình kiểm tra chất lượng</t>
        </is>
      </c>
      <c r="E1763" s="94" t="inlineStr">
        <is>
          <t>914. 质量检测流程 (Zhìliàng jiǎncè liúchéng) - Quy trình kiểm tra chất lượng</t>
        </is>
      </c>
      <c r="F1763" s="115">
        <f>HYPERLINK("https://youglish.com/pronounce/质量检测流程/chinese","🔍")</f>
        <v/>
      </c>
    </row>
    <row r="1764">
      <c r="A1764" s="92" t="inlineStr">
        <is>
          <t>PDF_Tiếng trung Full BỘ BCT.pdf</t>
        </is>
      </c>
      <c r="B1764" s="93" t="inlineStr">
        <is>
          <t>915</t>
        </is>
      </c>
      <c r="C1764" s="92" t="inlineStr">
        <is>
          <t>供应商协作</t>
        </is>
      </c>
      <c r="D1764" s="92" t="inlineStr">
        <is>
          <t>Gōngyìngshāng xiézuò) - Hợp tác với nhà cung cấp</t>
        </is>
      </c>
      <c r="E1764" s="92" t="inlineStr">
        <is>
          <t>915. 供应商协作 (Gōngyìngshāng xiézuò) - Hợp tác với nhà cung cấp</t>
        </is>
      </c>
      <c r="F1764" s="114">
        <f>HYPERLINK("https://youglish.com/pronounce/供应商协作/chinese","🔍")</f>
        <v/>
      </c>
    </row>
    <row r="1765">
      <c r="A1765" s="94" t="inlineStr">
        <is>
          <t>PDF_Tiếng trung Full BỘ BCT.pdf</t>
        </is>
      </c>
      <c r="B1765" s="95" t="inlineStr">
        <is>
          <t>916</t>
        </is>
      </c>
      <c r="C1765" s="94" t="inlineStr">
        <is>
          <t>退货政策</t>
        </is>
      </c>
      <c r="D1765" s="94" t="inlineStr">
        <is>
          <t>Tuìhuò zhèngcè) - Chính sách trả hàng</t>
        </is>
      </c>
      <c r="E1765" s="94" t="inlineStr">
        <is>
          <t>916. 退货政策 (Tuìhuò zhèngcè) - Chính sách trả hàng</t>
        </is>
      </c>
      <c r="F1765" s="115">
        <f>HYPERLINK("https://youglish.com/pronounce/退货政策/chinese","🔍")</f>
        <v/>
      </c>
    </row>
    <row r="1766" ht="28.5" customHeight="1" s="99">
      <c r="A1766" s="92" t="inlineStr">
        <is>
          <t>PDF_Tiếng trung Full BỘ BCT.pdf</t>
        </is>
      </c>
      <c r="B1766" s="93" t="inlineStr">
        <is>
          <t>917</t>
        </is>
      </c>
      <c r="C1766" s="92" t="inlineStr">
        <is>
          <t>供应链透明度</t>
        </is>
      </c>
      <c r="D1766" s="92" t="inlineStr">
        <is>
          <t>Gōngyìng liàn tòumíngdù) - Tính minh bạch của chuỗi cung ứng</t>
        </is>
      </c>
      <c r="E1766" s="92" t="inlineStr">
        <is>
          <t>917. 供应链透明度 (Gōngyìng liàn tòumíngdù) - Tính minh bạch của chuỗi cung ứng</t>
        </is>
      </c>
      <c r="F1766" s="114">
        <f>HYPERLINK("https://youglish.com/pronounce/供应链透明度/chinese","🔍")</f>
        <v/>
      </c>
    </row>
    <row r="1767">
      <c r="A1767" s="94" t="inlineStr">
        <is>
          <t>PDF_Tiếng trung Full BỘ BCT.pdf</t>
        </is>
      </c>
      <c r="B1767" s="95" t="inlineStr">
        <is>
          <t>918</t>
        </is>
      </c>
      <c r="C1767" s="94" t="inlineStr">
        <is>
          <t>订单处理流程</t>
        </is>
      </c>
      <c r="D1767" s="94" t="inlineStr">
        <is>
          <t>Dìngdān chǔlǐ liúchéng) - Quy trình xử lý đơn hàng</t>
        </is>
      </c>
      <c r="E1767" s="94" t="inlineStr">
        <is>
          <t>918. 订单处理流程 (Dìngdān chǔlǐ liúchéng) - Quy trình xử lý đơn hàng</t>
        </is>
      </c>
      <c r="F1767" s="115">
        <f>HYPERLINK("https://youglish.com/pronounce/订单处理流程/chinese","🔍")</f>
        <v/>
      </c>
    </row>
    <row r="1768" ht="28.5" customHeight="1" s="99">
      <c r="A1768" s="92" t="inlineStr">
        <is>
          <t>PDF_Tiếng trung Full BỘ BCT.pdf</t>
        </is>
      </c>
      <c r="B1768" s="93" t="inlineStr">
        <is>
          <t>919</t>
        </is>
      </c>
      <c r="C1768" s="92" t="inlineStr">
        <is>
          <t>产品质量保证</t>
        </is>
      </c>
      <c r="D1768" s="92" t="inlineStr">
        <is>
          <t>Chǎnpǐn zhìliàng bǎozhèng) - Bảo đảm chất lượng sản phẩm</t>
        </is>
      </c>
      <c r="E1768" s="92" t="inlineStr">
        <is>
          <t>919. 产品质量保证 (Chǎnpǐn zhìliàng bǎozhèng) - Bảo đảm chất lượng sản phẩm</t>
        </is>
      </c>
      <c r="F1768" s="114">
        <f>HYPERLINK("https://youglish.com/pronounce/产品质量保证/chinese","🔍")</f>
        <v/>
      </c>
    </row>
    <row r="1769">
      <c r="A1769" s="94" t="inlineStr">
        <is>
          <t>PDF_Tiếng trung Full BỘ BCT.pdf</t>
        </is>
      </c>
      <c r="B1769" s="95" t="inlineStr">
        <is>
          <t>920</t>
        </is>
      </c>
      <c r="C1769" s="94" t="inlineStr">
        <is>
          <t>质量改进计划</t>
        </is>
      </c>
      <c r="D1769" s="94" t="inlineStr">
        <is>
          <t>Zhìliàng gǎijìn jìhuà) - Kế hoạch cải tiến chất lượng</t>
        </is>
      </c>
      <c r="E1769" s="94" t="inlineStr">
        <is>
          <t>920. 质量改进计划 (Zhìliàng gǎijìn jìhuà) - Kế hoạch cải tiến chất lượng</t>
        </is>
      </c>
      <c r="F1769" s="115">
        <f>HYPERLINK("https://youglish.com/pronounce/质量改进计划/chinese","🔍")</f>
        <v/>
      </c>
    </row>
    <row r="1770" ht="28.5" customHeight="1" s="99">
      <c r="A1770" s="92" t="inlineStr">
        <is>
          <t>PDF_Tiếng trung Full BỘ BCT.pdf</t>
        </is>
      </c>
      <c r="B1770" s="93" t="inlineStr">
        <is>
          <t>921</t>
        </is>
      </c>
      <c r="C1770" s="92" t="inlineStr">
        <is>
          <t>生产效率提升</t>
        </is>
      </c>
      <c r="D1770" s="92" t="inlineStr">
        <is>
          <t>Shēngchǎn xiàolǜ tíshēng) - Nâng cao hiệu suất sản xuất</t>
        </is>
      </c>
      <c r="E1770" s="92" t="inlineStr">
        <is>
          <t>921. 生产效率提升 (Shēngchǎn xiàolǜ tíshēng) - Nâng cao hiệu suất sản xuất</t>
        </is>
      </c>
      <c r="F1770" s="114">
        <f>HYPERLINK("https://youglish.com/pronounce/生产效率提升/chinese","🔍")</f>
        <v/>
      </c>
    </row>
    <row r="1771" ht="28.5" customHeight="1" s="99">
      <c r="A1771" s="94" t="inlineStr">
        <is>
          <t>PDF_Tiếng trung Full BỘ BCT.pdf</t>
        </is>
      </c>
      <c r="B1771" s="95" t="inlineStr">
        <is>
          <t>922</t>
        </is>
      </c>
      <c r="C1771" s="94" t="inlineStr">
        <is>
          <t>供应商合规性</t>
        </is>
      </c>
      <c r="D1771" s="94" t="inlineStr">
        <is>
          <t>Gōngyìngshāng héguīxìng) - Tuân thủ của nhà cung cấp</t>
        </is>
      </c>
      <c r="E1771" s="94" t="inlineStr">
        <is>
          <t>922. 供应商合规性 (Gōngyìngshāng héguīxìng) - Tuân thủ của nhà cung cấp</t>
        </is>
      </c>
      <c r="F1771" s="115">
        <f>HYPERLINK("https://youglish.com/pronounce/供应商合规性/chinese","🔍")</f>
        <v/>
      </c>
    </row>
    <row r="1772">
      <c r="A1772" s="92" t="inlineStr">
        <is>
          <t>PDF_Tiếng trung Full BỘ BCT.pdf</t>
        </is>
      </c>
      <c r="B1772" s="93" t="inlineStr">
        <is>
          <t>923</t>
        </is>
      </c>
      <c r="C1772" s="92" t="inlineStr">
        <is>
          <t>物料需求计算</t>
        </is>
      </c>
      <c r="D1772" s="92" t="inlineStr">
        <is>
          <t>Wùliào xūqiú jìsuàn) - Tính toán nhu cầu vật liệu</t>
        </is>
      </c>
      <c r="E1772" s="92" t="inlineStr">
        <is>
          <t>923. 物料需求计算 (Wùliào xūqiú jìsuàn) - Tính toán nhu cầu vật liệu</t>
        </is>
      </c>
      <c r="F1772" s="114">
        <f>HYPERLINK("https://youglish.com/pronounce/物料需求计算/chinese","🔍")</f>
        <v/>
      </c>
    </row>
    <row r="1773">
      <c r="A1773" s="94" t="inlineStr">
        <is>
          <t>PDF_Tiếng trung Full BỘ BCT.pdf</t>
        </is>
      </c>
      <c r="B1773" s="95" t="inlineStr">
        <is>
          <t>924</t>
        </is>
      </c>
      <c r="C1773" s="94" t="inlineStr">
        <is>
          <t>库存周转周期</t>
        </is>
      </c>
      <c r="D1773" s="94" t="inlineStr">
        <is>
          <t>Kùcún zhōuzuǎn zhōuqī) - Chu kỳ quay vòng tồn kho</t>
        </is>
      </c>
      <c r="E1773" s="94" t="inlineStr">
        <is>
          <t>924. 库存周转周期 (Kùcún zhōuzuǎn zhōuqī) - Chu kỳ quay vòng tồn kho</t>
        </is>
      </c>
      <c r="F1773" s="115">
        <f>HYPERLINK("https://youglish.com/pronounce/库存周转周期/chinese","🔍")</f>
        <v/>
      </c>
    </row>
    <row r="1774" ht="28.5" customHeight="1" s="99">
      <c r="A1774" s="92" t="inlineStr">
        <is>
          <t>PDF_Tiếng trung Full BỘ BCT.pdf</t>
        </is>
      </c>
      <c r="B1774" s="93" t="inlineStr">
        <is>
          <t>925</t>
        </is>
      </c>
      <c r="C1774" s="92" t="inlineStr">
        <is>
          <t>质量培训计划</t>
        </is>
      </c>
      <c r="D1774" s="92" t="inlineStr">
        <is>
          <t>Zhìliàng péixùn jìhuà) - Kế hoạch đào tạo về chất lượng</t>
        </is>
      </c>
      <c r="E1774" s="92" t="inlineStr">
        <is>
          <t>925. 质量培训计划 (Zhìliàng péixùn jìhuà) - Kế hoạch đào tạo về chất lượng</t>
        </is>
      </c>
      <c r="F1774" s="114">
        <f>HYPERLINK("https://youglish.com/pronounce/质量培训计划/chinese","🔍")</f>
        <v/>
      </c>
    </row>
    <row r="1775" ht="28.5" customHeight="1" s="99">
      <c r="A1775" s="94" t="inlineStr">
        <is>
          <t>PDF_Tiếng trung Full BỘ BCT.pdf</t>
        </is>
      </c>
      <c r="B1775" s="95" t="inlineStr">
        <is>
          <t>926</t>
        </is>
      </c>
      <c r="C1775" s="94" t="inlineStr">
        <is>
          <t>供应商评估标准</t>
        </is>
      </c>
      <c r="D1775" s="94" t="inlineStr">
        <is>
          <t>Gōngyìngshāng pínggū biāozhǔn) - Tiêu chuẩn đánh giá nhà cung cấp</t>
        </is>
      </c>
      <c r="E1775" s="94" t="inlineStr">
        <is>
          <t>926. 供应商评估标准 (Gōngyìngshāng pínggū biāozhǔn) - Tiêu chuẩn đánh giá nhà cung cấp</t>
        </is>
      </c>
      <c r="F1775" s="115">
        <f>HYPERLINK("https://youglish.com/pronounce/供应商评估标准/chinese","🔍")</f>
        <v/>
      </c>
    </row>
    <row r="1776" ht="28.5" customHeight="1" s="99">
      <c r="A1776" s="92" t="inlineStr">
        <is>
          <t>PDF_Tiếng trung Full BỘ BCT.pdf</t>
        </is>
      </c>
      <c r="B1776" s="93" t="inlineStr">
        <is>
          <t>927</t>
        </is>
      </c>
      <c r="C1776" s="92" t="inlineStr">
        <is>
          <t>物料供应链管理</t>
        </is>
      </c>
      <c r="D1776" s="92" t="inlineStr">
        <is>
          <t>Wùliào gōngyìng liàn guǎnlǐ) - Quản lý chuỗi cung ứng vật liệu</t>
        </is>
      </c>
      <c r="E1776" s="92" t="inlineStr">
        <is>
          <t>927. 物料供应链管理 (Wùliào gōngyìng liàn guǎnlǐ) - Quản lý chuỗi cung ứng vật liệu</t>
        </is>
      </c>
      <c r="F1776" s="114">
        <f>HYPERLINK("https://youglish.com/pronounce/物料供应链管理/chinese","🔍")</f>
        <v/>
      </c>
    </row>
    <row r="1777" ht="28.5" customHeight="1" s="99">
      <c r="A1777" s="94" t="inlineStr">
        <is>
          <t>PDF_Tiếng trung Full BỘ BCT.pdf</t>
        </is>
      </c>
      <c r="B1777" s="95" t="inlineStr">
        <is>
          <t>928</t>
        </is>
      </c>
      <c r="C1777" s="94" t="inlineStr">
        <is>
          <t>采购成本优化</t>
        </is>
      </c>
      <c r="D1777" s="94" t="inlineStr">
        <is>
          <t>Cǎigòu chéngběn yōuhuà) - Tối ưu hóa chi phí mua hàng</t>
        </is>
      </c>
      <c r="E1777" s="94" t="inlineStr">
        <is>
          <t>928. 采购成本优化 (Cǎigòu chéngběn yōuhuà) - Tối ưu hóa chi phí mua hàng</t>
        </is>
      </c>
      <c r="F1777" s="115">
        <f>HYPERLINK("https://youglish.com/pronounce/采购成本优化/chinese","🔍")</f>
        <v/>
      </c>
    </row>
    <row r="1778" ht="28.5" customHeight="1" s="99">
      <c r="A1778" s="92" t="inlineStr">
        <is>
          <t>PDF_Tiếng trung Full BỘ BCT.pdf</t>
        </is>
      </c>
      <c r="B1778" s="93" t="inlineStr">
        <is>
          <t>929</t>
        </is>
      </c>
      <c r="C1778" s="92" t="inlineStr">
        <is>
          <t>供应商关系管理</t>
        </is>
      </c>
      <c r="D1778" s="92" t="inlineStr">
        <is>
          <t>Gōngyìngshāng guānxì guǎnlǐ) - Quản lý mối quan hệ với nhà cung cấp</t>
        </is>
      </c>
      <c r="E1778" s="92" t="inlineStr">
        <is>
          <t>929. 供应商关系管理 (Gōngyìngshāng guānxì guǎnlǐ) - Quản lý mối quan hệ với nhà cung cấp</t>
        </is>
      </c>
      <c r="F1778" s="114">
        <f>HYPERLINK("https://youglish.com/pronounce/供应商关系管理/chinese","🔍")</f>
        <v/>
      </c>
    </row>
    <row r="1779" ht="28.5" customHeight="1" s="99">
      <c r="A1779" s="94" t="inlineStr">
        <is>
          <t>PDF_Tiếng trung Full BỘ BCT.pdf</t>
        </is>
      </c>
      <c r="B1779" s="95" t="inlineStr">
        <is>
          <t>930</t>
        </is>
      </c>
      <c r="C1779" s="94" t="inlineStr">
        <is>
          <t>生产进度追踪</t>
        </is>
      </c>
      <c r="D1779" s="94" t="inlineStr">
        <is>
          <t>Shēngchǎn jìndù zhuīzōng) - Theo dõi tiến độ sản xuất</t>
        </is>
      </c>
      <c r="E1779" s="94" t="inlineStr">
        <is>
          <t>930. 生产进度追踪 (Shēngchǎn jìndù zhuīzōng) - Theo dõi tiến độ sản xuất</t>
        </is>
      </c>
      <c r="F1779" s="115">
        <f>HYPERLINK("https://youglish.com/pronounce/生产进度追踪/chinese","🔍")</f>
        <v/>
      </c>
    </row>
    <row r="1780" ht="28.5" customHeight="1" s="99">
      <c r="A1780" s="92" t="inlineStr">
        <is>
          <t>PDF_Tiếng trung Full BỘ BCT.pdf</t>
        </is>
      </c>
      <c r="B1780" s="93" t="inlineStr">
        <is>
          <t>931</t>
        </is>
      </c>
      <c r="C1780" s="92" t="inlineStr">
        <is>
          <t>供应商绩效评估</t>
        </is>
      </c>
      <c r="D1780" s="92" t="inlineStr">
        <is>
          <t>Gōngyìngshāng jìxiào pínggū) - Đánh giá hiệu suất của nhà cung cấp</t>
        </is>
      </c>
      <c r="E1780" s="92" t="inlineStr">
        <is>
          <t>931. 供应商绩效评估 (Gōngyìngshāng jìxiào pínggū) - Đánh giá hiệu suất của nhà cung cấp</t>
        </is>
      </c>
      <c r="F1780" s="114">
        <f>HYPERLINK("https://youglish.com/pronounce/供应商绩效评估/chinese","🔍")</f>
        <v/>
      </c>
    </row>
    <row r="1781">
      <c r="A1781" s="94" t="inlineStr">
        <is>
          <t>PDF_Tiếng trung Full BỘ BCT.pdf</t>
        </is>
      </c>
      <c r="B1781" s="95" t="inlineStr">
        <is>
          <t>932</t>
        </is>
      </c>
      <c r="C1781" s="94" t="inlineStr">
        <is>
          <t>采购价格谈判</t>
        </is>
      </c>
      <c r="D1781" s="94" t="inlineStr">
        <is>
          <t>Cǎigòu jiàgé tánpàn) - Đàm phán giá mua hàng</t>
        </is>
      </c>
      <c r="E1781" s="94" t="inlineStr">
        <is>
          <t>932. 采购价格谈判 (Cǎigòu jiàgé tánpàn) - Đàm phán giá mua hàng</t>
        </is>
      </c>
      <c r="F1781" s="115">
        <f>HYPERLINK("https://youglish.com/pronounce/采购价格谈判/chinese","🔍")</f>
        <v/>
      </c>
    </row>
    <row r="1782">
      <c r="A1782" s="92" t="inlineStr">
        <is>
          <t>PDF_Tiếng trung Full BỘ BCT.pdf</t>
        </is>
      </c>
      <c r="B1782" s="93" t="inlineStr">
        <is>
          <t>933</t>
        </is>
      </c>
      <c r="C1782" s="92" t="inlineStr">
        <is>
          <t>库存管理系统</t>
        </is>
      </c>
      <c r="D1782" s="92" t="inlineStr">
        <is>
          <t>Kùcún guǎnlǐ xìtǒng) - Hệ thống quản lý tồn kho</t>
        </is>
      </c>
      <c r="E1782" s="92" t="inlineStr">
        <is>
          <t>933. 库存管理系统 (Kùcún guǎnlǐ xìtǒng) - Hệ thống quản lý tồn kho</t>
        </is>
      </c>
      <c r="F1782" s="114">
        <f>HYPERLINK("https://youglish.com/pronounce/库存管理系统/chinese","🔍")</f>
        <v/>
      </c>
    </row>
    <row r="1783" ht="28.5" customHeight="1" s="99">
      <c r="A1783" s="94" t="inlineStr">
        <is>
          <t>PDF_Tiếng trung Full BỘ BCT.pdf</t>
        </is>
      </c>
      <c r="B1783" s="95" t="inlineStr">
        <is>
          <t>934</t>
        </is>
      </c>
      <c r="C1783" s="94" t="inlineStr">
        <is>
          <t>物料供应可靠性</t>
        </is>
      </c>
      <c r="D1783" s="94" t="inlineStr">
        <is>
          <t>Wùliào gōngyìng kěkàoxìng) - Độ tin cậy của nguồn cung vật liệu</t>
        </is>
      </c>
      <c r="E1783" s="94" t="inlineStr">
        <is>
          <t>934. 物料供应可靠性 (Wùliào gōngyìng kěkàoxìng) - Độ tin cậy của nguồn cung vật liệu</t>
        </is>
      </c>
      <c r="F1783" s="115">
        <f>HYPERLINK("https://youglish.com/pronounce/物料供应可靠性/chinese","🔍")</f>
        <v/>
      </c>
    </row>
    <row r="1784" ht="28.5" customHeight="1" s="99">
      <c r="A1784" s="92" t="inlineStr">
        <is>
          <t>PDF_Tiếng trung Full BỘ BCT.pdf</t>
        </is>
      </c>
      <c r="B1784" s="93" t="inlineStr">
        <is>
          <t>935</t>
        </is>
      </c>
      <c r="C1784" s="92" t="inlineStr">
        <is>
          <t>供应商风险评估</t>
        </is>
      </c>
      <c r="D1784" s="92" t="inlineStr">
        <is>
          <t>Gōngyìngshāng fēngxiǎn pínggū) - Đánh giá rủi ro của nhà cung cấp</t>
        </is>
      </c>
      <c r="E1784" s="92" t="inlineStr">
        <is>
          <t>935. 供应商风险评估 (Gōngyìngshāng fēngxiǎn pínggū) - Đánh giá rủi ro của nhà cung cấp</t>
        </is>
      </c>
      <c r="F1784" s="114">
        <f>HYPERLINK("https://youglish.com/pronounce/供应商风险评估/chinese","🔍")</f>
        <v/>
      </c>
    </row>
    <row r="1785" ht="28.5" customHeight="1" s="99">
      <c r="A1785" s="94" t="inlineStr">
        <is>
          <t>PDF_Tiếng trung Full BỘ BCT.pdf</t>
        </is>
      </c>
      <c r="B1785" s="95" t="inlineStr">
        <is>
          <t>936</t>
        </is>
      </c>
      <c r="C1785" s="94" t="inlineStr">
        <is>
          <t>退货政策执行</t>
        </is>
      </c>
      <c r="D1785" s="94" t="inlineStr">
        <is>
          <t>Tuìhuò zhèngcè zhíxíng) - Thực thi chính sách trả hàng</t>
        </is>
      </c>
      <c r="E1785" s="94" t="inlineStr">
        <is>
          <t>936. 退货政策执行 (Tuìhuò zhèngcè zhíxíng) - Thực thi chính sách trả hàng</t>
        </is>
      </c>
      <c r="F1785" s="115">
        <f>HYPERLINK("https://youglish.com/pronounce/退货政策执行/chinese","🔍")</f>
        <v/>
      </c>
    </row>
    <row r="1786" ht="28.5" customHeight="1" s="99">
      <c r="A1786" s="92" t="inlineStr">
        <is>
          <t>PDF_Tiếng trung Full BỘ BCT.pdf</t>
        </is>
      </c>
      <c r="B1786" s="93" t="inlineStr">
        <is>
          <t>937</t>
        </is>
      </c>
      <c r="C1786" s="92" t="inlineStr">
        <is>
          <t>物流网络优化</t>
        </is>
      </c>
      <c r="D1786" s="92" t="inlineStr">
        <is>
          <t>Wùliú wǎngluò yōuhuà) - Tối ưu hóa mạng lưới vận chuyển</t>
        </is>
      </c>
      <c r="E1786" s="92" t="inlineStr">
        <is>
          <t>937. 物流网络优化 (Wùliú wǎngluò yōuhuà) - Tối ưu hóa mạng lưới vận chuyển</t>
        </is>
      </c>
      <c r="F1786" s="114">
        <f>HYPERLINK("https://youglish.com/pronounce/物流网络优化/chinese","🔍")</f>
        <v/>
      </c>
    </row>
    <row r="1787" ht="28.5" customHeight="1" s="99">
      <c r="A1787" s="94" t="inlineStr">
        <is>
          <t>PDF_Tiếng trung Full BỘ BCT.pdf</t>
        </is>
      </c>
      <c r="B1787" s="95" t="inlineStr">
        <is>
          <t>938</t>
        </is>
      </c>
      <c r="C1787" s="94" t="inlineStr">
        <is>
          <t>订购过程改进</t>
        </is>
      </c>
      <c r="D1787" s="94" t="inlineStr">
        <is>
          <t>Dìnggòu guòchéng gǎijìn) - Cải thiện quy trình đặt hàng</t>
        </is>
      </c>
      <c r="E1787" s="94" t="inlineStr">
        <is>
          <t>938. 订购过程改进 (Dìnggòu guòchéng gǎijìn) - Cải thiện quy trình đặt hàng</t>
        </is>
      </c>
      <c r="F1787" s="115">
        <f>HYPERLINK("https://youglish.com/pronounce/订购过程改进/chinese","🔍")</f>
        <v/>
      </c>
    </row>
    <row r="1788" ht="28.5" customHeight="1" s="99">
      <c r="A1788" s="92" t="inlineStr">
        <is>
          <t>PDF_Tiếng trung Full BỘ BCT.pdf</t>
        </is>
      </c>
      <c r="B1788" s="93" t="inlineStr">
        <is>
          <t>939</t>
        </is>
      </c>
      <c r="C1788" s="92" t="inlineStr">
        <is>
          <t>生产线效率提升</t>
        </is>
      </c>
      <c r="D1788" s="92" t="inlineStr">
        <is>
          <t>Shēngchǎn xiàn xiàolǜ tíshēng) - Nâng cao hiệu suất dây chuyền sản xuất</t>
        </is>
      </c>
      <c r="E1788" s="92" t="inlineStr">
        <is>
          <t>939. 生产线效率提升 (Shēngchǎn xiàn xiàolǜ tíshēng) - Nâng cao hiệu suất dây chuyền sản xuất</t>
        </is>
      </c>
      <c r="F1788" s="114">
        <f>HYPERLINK("https://youglish.com/pronounce/生产线效率提升/chinese","🔍")</f>
        <v/>
      </c>
    </row>
    <row r="1789">
      <c r="A1789" s="94" t="inlineStr">
        <is>
          <t>PDF_Tiếng trung Full BỘ BCT.pdf</t>
        </is>
      </c>
      <c r="B1789" s="95" t="inlineStr">
        <is>
          <t>940</t>
        </is>
      </c>
      <c r="C1789" s="94" t="inlineStr">
        <is>
          <t>质量问题分析</t>
        </is>
      </c>
      <c r="D1789" s="94" t="inlineStr">
        <is>
          <t>Zhìliàng wèntí fēnxī) - Phân tích vấn đề chất lượng</t>
        </is>
      </c>
      <c r="E1789" s="94" t="inlineStr">
        <is>
          <t>940. 质量问题分析 (Zhìliàng wèntí fēnxī) - Phân tích vấn đề chất lượng</t>
        </is>
      </c>
      <c r="F1789" s="115">
        <f>HYPERLINK("https://youglish.com/pronounce/质量问题分析/chinese","🔍")</f>
        <v/>
      </c>
    </row>
    <row r="1790" ht="28.5" customHeight="1" s="99">
      <c r="A1790" s="92" t="inlineStr">
        <is>
          <t>PDF_Tiếng trung Full BỘ BCT.pdf</t>
        </is>
      </c>
      <c r="B1790" s="93" t="inlineStr">
        <is>
          <t>941</t>
        </is>
      </c>
      <c r="C1790" s="92" t="inlineStr">
        <is>
          <t>供应商绩效奖励</t>
        </is>
      </c>
      <c r="D1790" s="92" t="inlineStr">
        <is>
          <t>Gōngyìngshāng jìxiào jiǎnglì) - Thưởng hiệu suất của nhà cung cấp</t>
        </is>
      </c>
      <c r="E1790" s="92" t="inlineStr">
        <is>
          <t>941. 供应商绩效奖励 (Gōngyìngshāng jìxiào jiǎnglì) - Thưởng hiệu suất của nhà cung cấp</t>
        </is>
      </c>
      <c r="F1790" s="114">
        <f>HYPERLINK("https://youglish.com/pronounce/供应商绩效奖励/chinese","🔍")</f>
        <v/>
      </c>
    </row>
    <row r="1791" ht="28.5" customHeight="1" s="99">
      <c r="A1791" s="94" t="inlineStr">
        <is>
          <t>PDF_Tiếng trung Full BỘ BCT.pdf</t>
        </is>
      </c>
      <c r="B1791" s="95" t="inlineStr">
        <is>
          <t>942</t>
        </is>
      </c>
      <c r="C1791" s="94" t="inlineStr">
        <is>
          <t>库存周转率优化</t>
        </is>
      </c>
      <c r="D1791" s="94" t="inlineStr">
        <is>
          <t>Kùcún zhōuzuǎn lǜ yōuhuà) - Tối ưu hóa tỷ lệ quay vòng hàng tồn kho</t>
        </is>
      </c>
      <c r="E1791" s="94" t="inlineStr">
        <is>
          <t>942. 库存周转率优化 (Kùcún zhōuzuǎn lǜ yōuhuà) - Tối ưu hóa tỷ lệ quay vòng hàng tồn kho</t>
        </is>
      </c>
      <c r="F1791" s="115">
        <f>HYPERLINK("https://youglish.com/pronounce/库存周转率优化/chinese","🔍")</f>
        <v/>
      </c>
    </row>
    <row r="1792" ht="28.5" customHeight="1" s="99">
      <c r="A1792" s="92" t="inlineStr">
        <is>
          <t>PDF_Tiếng trung Full BỘ BCT.pdf</t>
        </is>
      </c>
      <c r="B1792" s="93" t="inlineStr">
        <is>
          <t>943</t>
        </is>
      </c>
      <c r="C1792" s="92" t="inlineStr">
        <is>
          <t>生产工艺优化</t>
        </is>
      </c>
      <c r="D1792" s="92" t="inlineStr">
        <is>
          <t>Shēngchǎn gōngyì yōuhuà) - Tối ưu hóa công nghệ sản xuất</t>
        </is>
      </c>
      <c r="E1792" s="92" t="inlineStr">
        <is>
          <t>943. 生产工艺优化 (Shēngchǎn gōngyì yōuhuà) - Tối ưu hóa công nghệ sản xuất</t>
        </is>
      </c>
      <c r="F1792" s="114">
        <f>HYPERLINK("https://youglish.com/pronounce/生产工艺优化/chinese","🔍")</f>
        <v/>
      </c>
    </row>
    <row r="1793">
      <c r="A1793" s="94" t="inlineStr">
        <is>
          <t>PDF_Tiếng trung Full BỘ BCT.pdf</t>
        </is>
      </c>
      <c r="B1793" s="95" t="inlineStr">
        <is>
          <t>944</t>
        </is>
      </c>
      <c r="C1793" s="94" t="inlineStr">
        <is>
          <t>物料采购协议</t>
        </is>
      </c>
      <c r="D1793" s="94" t="inlineStr">
        <is>
          <t>Wùliào cǎigòu xiéyì) - Thỏa thuận mua vật liệu</t>
        </is>
      </c>
      <c r="E1793" s="94" t="inlineStr">
        <is>
          <t>944. 物料采购协议 (Wùliào cǎigòu xiéyì) - Thỏa thuận mua vật liệu</t>
        </is>
      </c>
      <c r="F1793" s="115">
        <f>HYPERLINK("https://youglish.com/pronounce/物料采购协议/chinese","🔍")</f>
        <v/>
      </c>
    </row>
    <row r="1794" ht="28.5" customHeight="1" s="99">
      <c r="A1794" s="92" t="inlineStr">
        <is>
          <t>PDF_Tiếng trung Full BỘ BCT.pdf</t>
        </is>
      </c>
      <c r="B1794" s="93" t="inlineStr">
        <is>
          <t>945</t>
        </is>
      </c>
      <c r="C1794" s="92" t="inlineStr">
        <is>
          <t>供应商交货时间</t>
        </is>
      </c>
      <c r="D1794" s="92" t="inlineStr">
        <is>
          <t>Gōngyìngshāng jiāohuò shíjiān) - Thời gian giao hàng của nhà cung cấp</t>
        </is>
      </c>
      <c r="E1794" s="92" t="inlineStr">
        <is>
          <t>945. 供应商交货时间 (Gōngyìngshāng jiāohuò shíjiān) - Thời gian giao hàng của nhà cung cấp</t>
        </is>
      </c>
      <c r="F1794" s="114">
        <f>HYPERLINK("https://youglish.com/pronounce/供应商交货时间/chinese","🔍")</f>
        <v/>
      </c>
    </row>
    <row r="1795">
      <c r="A1795" s="94" t="inlineStr">
        <is>
          <t>PDF_Tiếng trung Full BỘ BCT.pdf</t>
        </is>
      </c>
      <c r="B1795" s="95" t="inlineStr">
        <is>
          <t>946</t>
        </is>
      </c>
      <c r="C1795" s="94" t="inlineStr">
        <is>
          <t>物料库存报告</t>
        </is>
      </c>
      <c r="D1795" s="94" t="inlineStr">
        <is>
          <t>Wùliào kùcún bàogào) - Báo cáo tồn kho vật liệu</t>
        </is>
      </c>
      <c r="E1795" s="94" t="inlineStr">
        <is>
          <t>946. 物料库存报告 (Wùliào kùcún bàogào) - Báo cáo tồn kho vật liệu</t>
        </is>
      </c>
      <c r="F1795" s="115">
        <f>HYPERLINK("https://youglish.com/pronounce/物料库存报告/chinese","🔍")</f>
        <v/>
      </c>
    </row>
    <row r="1796">
      <c r="A1796" s="92" t="inlineStr">
        <is>
          <t>PDF_Tiếng trung Full BỘ BCT.pdf</t>
        </is>
      </c>
      <c r="B1796" s="93" t="inlineStr">
        <is>
          <t>947</t>
        </is>
      </c>
      <c r="C1796" s="92" t="inlineStr">
        <is>
          <t>质量管理体系</t>
        </is>
      </c>
      <c r="D1796" s="92" t="inlineStr">
        <is>
          <t>Zhìliàng guǎnlǐ tǐxì) - Hệ thống quản lý chất lượng</t>
        </is>
      </c>
      <c r="E1796" s="92" t="inlineStr">
        <is>
          <t>947. 质量管理体系 (Zhìliàng guǎnlǐ tǐxì) - Hệ thống quản lý chất lượng</t>
        </is>
      </c>
      <c r="F1796" s="114">
        <f>HYPERLINK("https://youglish.com/pronounce/质量管理体系/chinese","🔍")</f>
        <v/>
      </c>
    </row>
    <row r="1797" ht="28.5" customHeight="1" s="99">
      <c r="A1797" s="94" t="inlineStr">
        <is>
          <t>PDF_Tiếng trung Full BỘ BCT.pdf</t>
        </is>
      </c>
      <c r="B1797" s="95" t="inlineStr">
        <is>
          <t>948</t>
        </is>
      </c>
      <c r="C1797" s="94" t="inlineStr">
        <is>
          <t>生产效率改善</t>
        </is>
      </c>
      <c r="D1797" s="94" t="inlineStr">
        <is>
          <t>Shēngchǎn xiàolǜ gǎishàn) - Cải thiện hiệu suất sản xuất</t>
        </is>
      </c>
      <c r="E1797" s="94" t="inlineStr">
        <is>
          <t>948. 生产效率改善 (Shēngchǎn xiàolǜ gǎishàn) - Cải thiện hiệu suất sản xuất</t>
        </is>
      </c>
      <c r="F1797" s="115">
        <f>HYPERLINK("https://youglish.com/pronounce/生产效率改善/chinese","🔍")</f>
        <v/>
      </c>
    </row>
    <row r="1798" ht="28.5" customHeight="1" s="99">
      <c r="A1798" s="92" t="inlineStr">
        <is>
          <t>PDF_Tiếng trung Full BỘ BCT.pdf</t>
        </is>
      </c>
      <c r="B1798" s="93" t="inlineStr">
        <is>
          <t>949</t>
        </is>
      </c>
      <c r="C1798" s="92" t="inlineStr">
        <is>
          <t>供应商选择流程</t>
        </is>
      </c>
      <c r="D1798" s="92" t="inlineStr">
        <is>
          <t>Gōngyìngshāng xuǎnzé liúchéng) - Quy trình lựa chọn nhà cung cấp</t>
        </is>
      </c>
      <c r="E1798" s="92" t="inlineStr">
        <is>
          <t>949. 供应商选择流程 (Gōngyìngshāng xuǎnzé liúchéng) - Quy trình lựa chọn nhà cung cấp</t>
        </is>
      </c>
      <c r="F1798" s="114">
        <f>HYPERLINK("https://youglish.com/pronounce/供应商选择流程/chinese","🔍")</f>
        <v/>
      </c>
    </row>
    <row r="1799">
      <c r="A1799" s="94" t="inlineStr">
        <is>
          <t>PDF_Tiếng trung Full BỘ BCT.pdf</t>
        </is>
      </c>
      <c r="B1799" s="95" t="inlineStr">
        <is>
          <t>950</t>
        </is>
      </c>
      <c r="C1799" s="94" t="inlineStr">
        <is>
          <t>库存管理策略</t>
        </is>
      </c>
      <c r="D1799" s="94" t="inlineStr">
        <is>
          <t>Kùcún guǎnlǐ cèlüè) - Chiến lược quản lý tồn kho</t>
        </is>
      </c>
      <c r="E1799" s="94" t="inlineStr">
        <is>
          <t>950. 库存管理策略 (Kùcún guǎnlǐ cèlüè) - Chiến lược quản lý tồn kho</t>
        </is>
      </c>
      <c r="F1799" s="115">
        <f>HYPERLINK("https://youglish.com/pronounce/库存管理策略/chinese","🔍")</f>
        <v/>
      </c>
    </row>
    <row r="1800">
      <c r="A1800" s="92" t="inlineStr">
        <is>
          <t>PDF_Tiếng trung Full BỘ BCT.pdf</t>
        </is>
      </c>
      <c r="B1800" s="93" t="inlineStr">
        <is>
          <t>951</t>
        </is>
      </c>
      <c r="C1800" s="92" t="inlineStr">
        <is>
          <t>物料定价策略</t>
        </is>
      </c>
      <c r="D1800" s="92" t="inlineStr">
        <is>
          <t>Wùliào dìngjià cèlüè) - Chiến lược định giá vật liệu</t>
        </is>
      </c>
      <c r="E1800" s="92" t="inlineStr">
        <is>
          <t>951. 物料定价策略 (Wùliào dìngjià cèlüè) - Chiến lược định giá vật liệu</t>
        </is>
      </c>
      <c r="F1800" s="114">
        <f>HYPERLINK("https://youglish.com/pronounce/物料定价策略/chinese","🔍")</f>
        <v/>
      </c>
    </row>
    <row r="1801" ht="28.5" customHeight="1" s="99">
      <c r="A1801" s="94" t="inlineStr">
        <is>
          <t>PDF_Tiếng trung Full BỘ BCT.pdf</t>
        </is>
      </c>
      <c r="B1801" s="95" t="inlineStr">
        <is>
          <t>952</t>
        </is>
      </c>
      <c r="C1801" s="94" t="inlineStr">
        <is>
          <t>生产排程优化</t>
        </is>
      </c>
      <c r="D1801" s="94" t="inlineStr">
        <is>
          <t>Shēngchǎn páichéng yōuhuà) - Tối ưu hóa lịch trình sản xuất</t>
        </is>
      </c>
      <c r="E1801" s="94" t="inlineStr">
        <is>
          <t>952. 生产排程优化 (Shēngchǎn páichéng yōuhuà) - Tối ưu hóa lịch trình sản xuất</t>
        </is>
      </c>
      <c r="F1801" s="115">
        <f>HYPERLINK("https://youglish.com/pronounce/生产排程优化/chinese","🔍")</f>
        <v/>
      </c>
    </row>
    <row r="1802" ht="28.5" customHeight="1" s="99">
      <c r="A1802" s="92" t="inlineStr">
        <is>
          <t>PDF_Tiếng trung Full BỘ BCT.pdf</t>
        </is>
      </c>
      <c r="B1802" s="93" t="inlineStr">
        <is>
          <t>953</t>
        </is>
      </c>
      <c r="C1802" s="92" t="inlineStr">
        <is>
          <t>供应商供货能力</t>
        </is>
      </c>
      <c r="D1802" s="92" t="inlineStr">
        <is>
          <t>Gōngyìngshāng gōnghuò nénglì) - Khả năng cung cấp của nhà cung cấp</t>
        </is>
      </c>
      <c r="E1802" s="92" t="inlineStr">
        <is>
          <t>953. 供应商供货能力 (Gōngyìngshāng gōnghuò nénglì) - Khả năng cung cấp của nhà cung cấp</t>
        </is>
      </c>
      <c r="F1802" s="114">
        <f>HYPERLINK("https://youglish.com/pronounce/供应商供货能力/chinese","🔍")</f>
        <v/>
      </c>
    </row>
    <row r="1803">
      <c r="A1803" s="94" t="inlineStr">
        <is>
          <t>PDF_Tiếng trung Full BỘ BCT.pdf</t>
        </is>
      </c>
      <c r="B1803" s="95" t="inlineStr">
        <is>
          <t>954</t>
        </is>
      </c>
      <c r="C1803" s="94" t="inlineStr">
        <is>
          <t>物料交付时间</t>
        </is>
      </c>
      <c r="D1803" s="94" t="inlineStr">
        <is>
          <t>Wùliào jiāofù shíjiān) - Thời gian giao hàng vật liệu</t>
        </is>
      </c>
      <c r="E1803" s="94" t="inlineStr">
        <is>
          <t>954. 物料交付时间 (Wùliào jiāofù shíjiān) - Thời gian giao hàng vật liệu</t>
        </is>
      </c>
      <c r="F1803" s="115">
        <f>HYPERLINK("https://youglish.com/pronounce/物料交付时间/chinese","🔍")</f>
        <v/>
      </c>
    </row>
    <row r="1804" ht="28.5" customHeight="1" s="99">
      <c r="A1804" s="92" t="inlineStr">
        <is>
          <t>PDF_Tiếng trung Full BỘ BCT.pdf</t>
        </is>
      </c>
      <c r="B1804" s="93" t="inlineStr">
        <is>
          <t>955</t>
        </is>
      </c>
      <c r="C1804" s="92" t="inlineStr">
        <is>
          <t>生产设备维护</t>
        </is>
      </c>
      <c r="D1804" s="92" t="inlineStr">
        <is>
          <t>Shēngchǎn shèbèi wéihù) - Bảo dưỡng thiết bị sản xuất</t>
        </is>
      </c>
      <c r="E1804" s="92" t="inlineStr">
        <is>
          <t>955. 生产设备维护 (Shēngchǎn shèbèi wéihù) - Bảo dưỡng thiết bị sản xuất</t>
        </is>
      </c>
      <c r="F1804" s="114">
        <f>HYPERLINK("https://youglish.com/pronounce/生产设备维护/chinese","🔍")</f>
        <v/>
      </c>
    </row>
    <row r="1805">
      <c r="A1805" s="94" t="inlineStr">
        <is>
          <t>PDF_Tiếng trung Full BỘ BCT.pdf</t>
        </is>
      </c>
      <c r="B1805" s="95" t="inlineStr">
        <is>
          <t>956</t>
        </is>
      </c>
      <c r="C1805" s="94" t="inlineStr">
        <is>
          <t>质量监控体系</t>
        </is>
      </c>
      <c r="D1805" s="94" t="inlineStr">
        <is>
          <t>Zhìliàng jiānkòng tǐxì) - Hệ thống giám sát chất lượng</t>
        </is>
      </c>
      <c r="E1805" s="94" t="inlineStr">
        <is>
          <t>956. 质量监控体系 (Zhìliàng jiānkòng tǐxì) - Hệ thống giám sát chất lượng</t>
        </is>
      </c>
      <c r="F1805" s="115">
        <f>HYPERLINK("https://youglish.com/pronounce/质量监控体系/chinese","🔍")</f>
        <v/>
      </c>
    </row>
    <row r="1806" ht="28.5" customHeight="1" s="99">
      <c r="A1806" s="92" t="inlineStr">
        <is>
          <t>PDF_Tiếng trung Full BỘ BCT.pdf</t>
        </is>
      </c>
      <c r="B1806" s="93" t="inlineStr">
        <is>
          <t>957</t>
        </is>
      </c>
      <c r="C1806" s="92" t="inlineStr">
        <is>
          <t>供应商价格竞争</t>
        </is>
      </c>
      <c r="D1806" s="92" t="inlineStr">
        <is>
          <t>Gōngyìngshāng jiàgé jìngzhēng) - Cạnh tranh giá của nhà cung cấp</t>
        </is>
      </c>
      <c r="E1806" s="92" t="inlineStr">
        <is>
          <t>957. 供应商价格竞争 (Gōngyìngshāng jiàgé jìngzhēng) - Cạnh tranh giá của nhà cung cấp</t>
        </is>
      </c>
      <c r="F1806" s="114">
        <f>HYPERLINK("https://youglish.com/pronounce/供应商价格竞争/chinese","🔍")</f>
        <v/>
      </c>
    </row>
    <row r="1807" ht="28.5" customHeight="1" s="99">
      <c r="A1807" s="94" t="inlineStr">
        <is>
          <t>PDF_Tiếng trung Full BỘ BCT.pdf</t>
        </is>
      </c>
      <c r="B1807" s="95" t="inlineStr">
        <is>
          <t>958</t>
        </is>
      </c>
      <c r="C1807" s="94" t="inlineStr">
        <is>
          <t>物料供应链协调</t>
        </is>
      </c>
      <c r="D1807" s="94" t="inlineStr">
        <is>
          <t>Wùliào gōngyìng liàn xiétiáo) - Phối hợp chuỗi cung ứng vật liệu</t>
        </is>
      </c>
      <c r="E1807" s="94" t="inlineStr">
        <is>
          <t>958. 物料供应链协调 (Wùliào gōngyìng liàn xiétiáo) - Phối hợp chuỗi cung ứng vật liệu</t>
        </is>
      </c>
      <c r="F1807" s="115">
        <f>HYPERLINK("https://youglish.com/pronounce/物料供应链协调/chinese","🔍")</f>
        <v/>
      </c>
    </row>
    <row r="1808">
      <c r="A1808" s="92" t="inlineStr">
        <is>
          <t>PDF_Tiếng trung Full BỘ BCT.pdf</t>
        </is>
      </c>
      <c r="B1808" s="93" t="inlineStr">
        <is>
          <t>959</t>
        </is>
      </c>
      <c r="C1808" s="92" t="inlineStr">
        <is>
          <t>库存管理政策</t>
        </is>
      </c>
      <c r="D1808" s="92" t="inlineStr">
        <is>
          <t>Kùcún guǎnlǐ zhèngcè) - Chính sách quản lý tồn kho</t>
        </is>
      </c>
      <c r="E1808" s="92" t="inlineStr">
        <is>
          <t>959. 库存管理政策 (Kùcún guǎnlǐ zhèngcè) - Chính sách quản lý tồn kho</t>
        </is>
      </c>
      <c r="F1808" s="114">
        <f>HYPERLINK("https://youglish.com/pronounce/库存管理政策/chinese","🔍")</f>
        <v/>
      </c>
    </row>
    <row r="1809" ht="28.5" customHeight="1" s="99">
      <c r="A1809" s="94" t="inlineStr">
        <is>
          <t>PDF_Tiếng trung Full BỘ BCT.pdf</t>
        </is>
      </c>
      <c r="B1809" s="95" t="inlineStr">
        <is>
          <t>960</t>
        </is>
      </c>
      <c r="C1809" s="94" t="inlineStr">
        <is>
          <t>供应商关系建立</t>
        </is>
      </c>
      <c r="D1809" s="94" t="inlineStr">
        <is>
          <t>Gōngyìngshāng guānxì jiànlì) - Xây dựng mối quan hệ với nhà cung cấp</t>
        </is>
      </c>
      <c r="E1809" s="94" t="inlineStr">
        <is>
          <t>960. 供应商关系建立 (Gōngyìngshāng guānxì jiànlì) - Xây dựng mối quan hệ với nhà cung cấp</t>
        </is>
      </c>
      <c r="F1809" s="115">
        <f>HYPERLINK("https://youglish.com/pronounce/供应商关系建立/chinese","🔍")</f>
        <v/>
      </c>
    </row>
    <row r="1810" ht="28.5" customHeight="1" s="99">
      <c r="A1810" s="92" t="inlineStr">
        <is>
          <t>PDF_Tiếng trung Full BỘ BCT.pdf</t>
        </is>
      </c>
      <c r="B1810" s="93" t="inlineStr">
        <is>
          <t>961</t>
        </is>
      </c>
      <c r="C1810" s="92" t="inlineStr">
        <is>
          <t>生产过程优化</t>
        </is>
      </c>
      <c r="D1810" s="92" t="inlineStr">
        <is>
          <t>Shēngchǎn guòchéng yōuhuà) - Tối ưu hóa quy trình sản xuất</t>
        </is>
      </c>
      <c r="E1810" s="92" t="inlineStr">
        <is>
          <t>961. 生产过程优化 (Shēngchǎn guòchéng yōuhuà) - Tối ưu hóa quy trình sản xuất</t>
        </is>
      </c>
      <c r="F1810" s="114">
        <f>HYPERLINK("https://youglish.com/pronounce/生产过程优化/chinese","🔍")</f>
        <v/>
      </c>
    </row>
    <row r="1811">
      <c r="A1811" s="94" t="inlineStr">
        <is>
          <t>PDF_Tiếng trung Full BỘ BCT.pdf</t>
        </is>
      </c>
      <c r="B1811" s="95" t="inlineStr">
        <is>
          <t>962</t>
        </is>
      </c>
      <c r="C1811" s="94" t="inlineStr">
        <is>
          <t>物料调拨流程</t>
        </is>
      </c>
      <c r="D1811" s="94" t="inlineStr">
        <is>
          <t>Wùliào diàobō liúchéng) - Quy trình chuyển vật liệu</t>
        </is>
      </c>
      <c r="E1811" s="94" t="inlineStr">
        <is>
          <t>962. 物料调拨流程 (Wùliào diàobō liúchéng) - Quy trình chuyển vật liệu</t>
        </is>
      </c>
      <c r="F1811" s="115">
        <f>HYPERLINK("https://youglish.com/pronounce/物料调拨流程/chinese","🔍")</f>
        <v/>
      </c>
    </row>
    <row r="1812">
      <c r="A1812" s="92" t="inlineStr">
        <is>
          <t>PDF_Tiếng trung Full BỘ BCT.pdf</t>
        </is>
      </c>
      <c r="B1812" s="93" t="inlineStr">
        <is>
          <t>963</t>
        </is>
      </c>
      <c r="C1812" s="92" t="inlineStr">
        <is>
          <t>质量异常处理</t>
        </is>
      </c>
      <c r="D1812" s="92" t="inlineStr">
        <is>
          <t>Zhìliàng yìcháng chǔlǐ) - Xử lý ngoại lệ chất lượng</t>
        </is>
      </c>
      <c r="E1812" s="92" t="inlineStr">
        <is>
          <t>963. 质量异常处理 (Zhìliàng yìcháng chǔlǐ) - Xử lý ngoại lệ chất lượng</t>
        </is>
      </c>
      <c r="F1812" s="114">
        <f>HYPERLINK("https://youglish.com/pronounce/质量异常处理/chinese","🔍")</f>
        <v/>
      </c>
    </row>
    <row r="1813" ht="28.5" customHeight="1" s="99">
      <c r="A1813" s="94" t="inlineStr">
        <is>
          <t>PDF_Tiếng trung Full BỘ BCT.pdf</t>
        </is>
      </c>
      <c r="B1813" s="95" t="inlineStr">
        <is>
          <t>964</t>
        </is>
      </c>
      <c r="C1813" s="94" t="inlineStr">
        <is>
          <t>供应商配送服务</t>
        </is>
      </c>
      <c r="D1813" s="94" t="inlineStr">
        <is>
          <t>Gōngyìngshāng pèisòng fúwù) - Dịch vụ giao hàng từ nhà cung cấp</t>
        </is>
      </c>
      <c r="E1813" s="94" t="inlineStr">
        <is>
          <t>964. 供应商配送服务 (Gōngyìngshāng pèisòng fúwù) - Dịch vụ giao hàng từ nhà cung cấp</t>
        </is>
      </c>
      <c r="F1813" s="115">
        <f>HYPERLINK("https://youglish.com/pronounce/供应商配送服务/chinese","🔍")</f>
        <v/>
      </c>
    </row>
    <row r="1814" ht="28.5" customHeight="1" s="99">
      <c r="A1814" s="92" t="inlineStr">
        <is>
          <t>PDF_Tiếng trung Full BỘ BCT.pdf</t>
        </is>
      </c>
      <c r="B1814" s="93" t="inlineStr">
        <is>
          <t>965</t>
        </is>
      </c>
      <c r="C1814" s="92" t="inlineStr">
        <is>
          <t>生产资源规划</t>
        </is>
      </c>
      <c r="D1814" s="92" t="inlineStr">
        <is>
          <t>Shēngchǎn zīyuán guīhuà) - Lập kế hoạch tài nguyên sản xuất</t>
        </is>
      </c>
      <c r="E1814" s="92" t="inlineStr">
        <is>
          <t>965. 生产资源规划 (Shēngchǎn zīyuán guīhuà) - Lập kế hoạch tài nguyên sản xuất</t>
        </is>
      </c>
      <c r="F1814" s="114">
        <f>HYPERLINK("https://youglish.com/pronounce/生产资源规划/chinese","🔍")</f>
        <v/>
      </c>
    </row>
    <row r="1815" ht="28.5" customHeight="1" s="99">
      <c r="A1815" s="94" t="inlineStr">
        <is>
          <t>PDF_Tiếng trung Full BỘ BCT.pdf</t>
        </is>
      </c>
      <c r="B1815" s="95" t="inlineStr">
        <is>
          <t>966</t>
        </is>
      </c>
      <c r="C1815" s="94" t="inlineStr">
        <is>
          <t>物料供应调整</t>
        </is>
      </c>
      <c r="D1815" s="94" t="inlineStr">
        <is>
          <t>Wùliào gōngyìng tiáozhěng) - Điều chỉnh nguồn cung vật liệu</t>
        </is>
      </c>
      <c r="E1815" s="94" t="inlineStr">
        <is>
          <t>966. 物料供应调整 (Wùliào gōngyìng tiáozhěng) - Điều chỉnh nguồn cung vật liệu</t>
        </is>
      </c>
      <c r="F1815" s="115">
        <f>HYPERLINK("https://youglish.com/pronounce/物料供应调整/chinese","🔍")</f>
        <v/>
      </c>
    </row>
    <row r="1816">
      <c r="A1816" s="92" t="inlineStr">
        <is>
          <t>PDF_Tiếng trung Full BỘ BCT.pdf</t>
        </is>
      </c>
      <c r="B1816" s="93" t="inlineStr">
        <is>
          <t>967</t>
        </is>
      </c>
      <c r="C1816" s="92" t="inlineStr">
        <is>
          <t>物料供应风险</t>
        </is>
      </c>
      <c r="D1816" s="92" t="inlineStr">
        <is>
          <t>Wùliào gōngyìng fēngxiǎn) - Rủi ro cung cấp vật liệu</t>
        </is>
      </c>
      <c r="E1816" s="92" t="inlineStr">
        <is>
          <t>967. 物料供应风险 (Wùliào gōngyìng fēngxiǎn) - Rủi ro cung cấp vật liệu</t>
        </is>
      </c>
      <c r="F1816" s="114">
        <f>HYPERLINK("https://youglish.com/pronounce/物料供应风险/chinese","🔍")</f>
        <v/>
      </c>
    </row>
    <row r="1817" ht="28.5" customHeight="1" s="99">
      <c r="A1817" s="94" t="inlineStr">
        <is>
          <t>PDF_Tiếng trung Full BỘ BCT.pdf</t>
        </is>
      </c>
      <c r="B1817" s="95" t="inlineStr">
        <is>
          <t>968</t>
        </is>
      </c>
      <c r="C1817" s="94" t="inlineStr">
        <is>
          <t>供应商合作关系</t>
        </is>
      </c>
      <c r="D1817" s="94" t="inlineStr">
        <is>
          <t>Gōngyìngshāng hézuò guānxì) - Mối quan hệ hợp tác với nhà cung cấp</t>
        </is>
      </c>
      <c r="E1817" s="94" t="inlineStr">
        <is>
          <t>968. 供应商合作关系 (Gōngyìngshāng hézuò guānxì) - Mối quan hệ hợp tác với nhà cung cấp</t>
        </is>
      </c>
      <c r="F1817" s="115">
        <f>HYPERLINK("https://youglish.com/pronounce/供应商合作关系/chinese","🔍")</f>
        <v/>
      </c>
    </row>
    <row r="1818" ht="28.5" customHeight="1" s="99">
      <c r="A1818" s="92" t="inlineStr">
        <is>
          <t>PDF_Tiếng trung Full BỘ BCT.pdf</t>
        </is>
      </c>
      <c r="B1818" s="93" t="inlineStr">
        <is>
          <t>969</t>
        </is>
      </c>
      <c r="C1818" s="92" t="inlineStr">
        <is>
          <t>生产需求规划</t>
        </is>
      </c>
      <c r="D1818" s="92" t="inlineStr">
        <is>
          <t>Shēngchǎn xūqiú guīhuà) - Lập kế hoạch nhu cầu sản xuất</t>
        </is>
      </c>
      <c r="E1818" s="92" t="inlineStr">
        <is>
          <t>969. 生产需求规划 (Shēngchǎn xūqiú guīhuà) - Lập kế hoạch nhu cầu sản xuất</t>
        </is>
      </c>
      <c r="F1818" s="114">
        <f>HYPERLINK("https://youglish.com/pronounce/生产需求规划/chinese","🔍")</f>
        <v/>
      </c>
    </row>
    <row r="1819" ht="28.5" customHeight="1" s="99">
      <c r="A1819" s="94" t="inlineStr">
        <is>
          <t>PDF_Tiếng trung Full BỘ BCT.pdf</t>
        </is>
      </c>
      <c r="B1819" s="95" t="inlineStr">
        <is>
          <t>970</t>
        </is>
      </c>
      <c r="C1819" s="94" t="inlineStr">
        <is>
          <t>物料供应质量</t>
        </is>
      </c>
      <c r="D1819" s="94" t="inlineStr">
        <is>
          <t>Wùliào gōngyìng zhìliàng) - Chất lượng nguồn cung vật liệu</t>
        </is>
      </c>
      <c r="E1819" s="94" t="inlineStr">
        <is>
          <t>970. 物料供应质量 (Wùliào gōngyìng zhìliàng) - Chất lượng nguồn cung vật liệu</t>
        </is>
      </c>
      <c r="F1819" s="115">
        <f>HYPERLINK("https://youglish.com/pronounce/物料供应质量/chinese","🔍")</f>
        <v/>
      </c>
    </row>
    <row r="1820" ht="28.5" customHeight="1" s="99">
      <c r="A1820" s="92" t="inlineStr">
        <is>
          <t>PDF_Tiếng trung Full BỘ BCT.pdf</t>
        </is>
      </c>
      <c r="B1820" s="93" t="inlineStr">
        <is>
          <t>971</t>
        </is>
      </c>
      <c r="C1820" s="92" t="inlineStr">
        <is>
          <t>采购流程审批</t>
        </is>
      </c>
      <c r="D1820" s="92" t="inlineStr">
        <is>
          <t>Cǎigòu liúchéng shěnpī) - Phê duyệt quy trình mua hàng</t>
        </is>
      </c>
      <c r="E1820" s="92" t="inlineStr">
        <is>
          <t>971. 采购流程审批 (Cǎigòu liúchéng shěnpī) - Phê duyệt quy trình mua hàng</t>
        </is>
      </c>
      <c r="F1820" s="114">
        <f>HYPERLINK("https://youglish.com/pronounce/采购流程审批/chinese","🔍")</f>
        <v/>
      </c>
    </row>
    <row r="1821" ht="28.5" customHeight="1" s="99">
      <c r="A1821" s="94" t="inlineStr">
        <is>
          <t>PDF_Tiếng trung Full BỘ BCT.pdf</t>
        </is>
      </c>
      <c r="B1821" s="95" t="inlineStr">
        <is>
          <t>972</t>
        </is>
      </c>
      <c r="C1821" s="94" t="inlineStr">
        <is>
          <t>生产计划执行情况</t>
        </is>
      </c>
      <c r="D1821" s="94" t="inlineStr">
        <is>
          <t>Shēngchǎn jìhuà zhíxíng qíngkuàng) - Tình trạng thực hiện kế hoạch sản xuất</t>
        </is>
      </c>
      <c r="E1821" s="94" t="inlineStr">
        <is>
          <t>972. 生产计划执行情况 (Shēngchǎn jìhuà zhíxíng qíngkuàng) - Tình trạng thực hiện kế hoạch sản xuất</t>
        </is>
      </c>
      <c r="F1821" s="115">
        <f>HYPERLINK("https://youglish.com/pronounce/生产计划执行情况/chinese","🔍")</f>
        <v/>
      </c>
    </row>
    <row r="1822" ht="28.5" customHeight="1" s="99">
      <c r="A1822" s="92" t="inlineStr">
        <is>
          <t>PDF_Tiếng trung Full BỘ BCT.pdf</t>
        </is>
      </c>
      <c r="B1822" s="93" t="inlineStr">
        <is>
          <t>973</t>
        </is>
      </c>
      <c r="C1822" s="92" t="inlineStr">
        <is>
          <t>供应商配合度</t>
        </is>
      </c>
      <c r="D1822" s="92" t="inlineStr">
        <is>
          <t>Gōngyìngshāng pèihé dù) - Mức độ hợp tác của nhà cung cấp</t>
        </is>
      </c>
      <c r="E1822" s="92" t="inlineStr">
        <is>
          <t>973. 供应商配合度 (Gōngyìngshāng pèihé dù) - Mức độ hợp tác của nhà cung cấp</t>
        </is>
      </c>
      <c r="F1822" s="114">
        <f>HYPERLINK("https://youglish.com/pronounce/供应商配合度/chinese","🔍")</f>
        <v/>
      </c>
    </row>
    <row r="1823" ht="28.5" customHeight="1" s="99">
      <c r="A1823" s="94" t="inlineStr">
        <is>
          <t>PDF_Tiếng trung Full BỘ BCT.pdf</t>
        </is>
      </c>
      <c r="B1823" s="95" t="inlineStr">
        <is>
          <t>974</t>
        </is>
      </c>
      <c r="C1823" s="94" t="inlineStr">
        <is>
          <t>物料供应稳定性</t>
        </is>
      </c>
      <c r="D1823" s="94" t="inlineStr">
        <is>
          <t>Wùliào gōngyìng wěndìng xìng) - Ổn định nguồn cung vật liệu</t>
        </is>
      </c>
      <c r="E1823" s="94" t="inlineStr">
        <is>
          <t>974. 物料供应稳定性 (Wùliào gōngyìng wěndìng xìng) - Ổn định nguồn cung vật liệu</t>
        </is>
      </c>
      <c r="F1823" s="115">
        <f>HYPERLINK("https://youglish.com/pronounce/物料供应稳定性/chinese","🔍")</f>
        <v/>
      </c>
    </row>
    <row r="1824" ht="28.5" customHeight="1" s="99">
      <c r="A1824" s="92" t="inlineStr">
        <is>
          <t>PDF_Tiếng trung Full BỘ BCT.pdf</t>
        </is>
      </c>
      <c r="B1824" s="93" t="inlineStr">
        <is>
          <t>975</t>
        </is>
      </c>
      <c r="C1824" s="92" t="inlineStr">
        <is>
          <t>生产工艺流程</t>
        </is>
      </c>
      <c r="D1824" s="92" t="inlineStr">
        <is>
          <t>Shēngchǎn gōngyì liúchéng) - Quy trình công nghệ sản xuất</t>
        </is>
      </c>
      <c r="E1824" s="92" t="inlineStr">
        <is>
          <t>975. 生产工艺流程 (Shēngchǎn gōngyì liúchéng) - Quy trình công nghệ sản xuất</t>
        </is>
      </c>
      <c r="F1824" s="114">
        <f>HYPERLINK("https://youglish.com/pronounce/生产工艺流程/chinese","🔍")</f>
        <v/>
      </c>
    </row>
    <row r="1825">
      <c r="A1825" s="94" t="inlineStr">
        <is>
          <t>PDF_Tiếng trung Full BỘ BCT.pdf</t>
        </is>
      </c>
      <c r="B1825" s="95" t="inlineStr">
        <is>
          <t>976</t>
        </is>
      </c>
      <c r="C1825" s="94" t="inlineStr">
        <is>
          <t>质量问题解决</t>
        </is>
      </c>
      <c r="D1825" s="94" t="inlineStr">
        <is>
          <t>Zhìliàng wèntí jiějué) - Giải quyết vấn đề chất lượng</t>
        </is>
      </c>
      <c r="E1825" s="94" t="inlineStr">
        <is>
          <t>976. 质量问题解决 (Zhìliàng wèntí jiějué) - Giải quyết vấn đề chất lượng</t>
        </is>
      </c>
      <c r="F1825" s="115">
        <f>HYPERLINK("https://youglish.com/pronounce/质量问题解决/chinese","🔍")</f>
        <v/>
      </c>
    </row>
    <row r="1826" ht="28.5" customHeight="1" s="99">
      <c r="A1826" s="92" t="inlineStr">
        <is>
          <t>PDF_Tiếng trung Full BỘ BCT.pdf</t>
        </is>
      </c>
      <c r="B1826" s="93" t="inlineStr">
        <is>
          <t>977</t>
        </is>
      </c>
      <c r="C1826" s="92" t="inlineStr">
        <is>
          <t>供应商反馈意见</t>
        </is>
      </c>
      <c r="D1826" s="92" t="inlineStr">
        <is>
          <t>Gōngyìngshāng fǎnkuì yìjiàn) - Phản hồi ý kiến từ nhà cung cấp</t>
        </is>
      </c>
      <c r="E1826" s="92" t="inlineStr">
        <is>
          <t>977. 供应商反馈意见 (Gōngyìngshāng fǎnkuì yìjiàn) - Phản hồi ý kiến từ nhà cung cấp</t>
        </is>
      </c>
      <c r="F1826" s="114">
        <f>HYPERLINK("https://youglish.com/pronounce/供应商反馈意见/chinese","🔍")</f>
        <v/>
      </c>
    </row>
    <row r="1827">
      <c r="A1827" s="94" t="inlineStr">
        <is>
          <t>PDF_Tiếng trung Full BỘ BCT.pdf</t>
        </is>
      </c>
      <c r="B1827" s="95" t="inlineStr">
        <is>
          <t>978</t>
        </is>
      </c>
      <c r="C1827" s="94" t="inlineStr">
        <is>
          <t>物料需求计划</t>
        </is>
      </c>
      <c r="D1827" s="94" t="inlineStr">
        <is>
          <t>Wùliào xūqiú jìhuà) - Kế hoạch nhu cầu vật liệu</t>
        </is>
      </c>
      <c r="E1827" s="94" t="inlineStr">
        <is>
          <t>978. 物料需求计划 (Wùliào xūqiú jìhuà) - Kế hoạch nhu cầu vật liệu</t>
        </is>
      </c>
      <c r="F1827" s="115">
        <f>HYPERLINK("https://youglish.com/pronounce/物料需求计划/chinese","🔍")</f>
        <v/>
      </c>
    </row>
    <row r="1828" ht="28.5" customHeight="1" s="99">
      <c r="A1828" s="92" t="inlineStr">
        <is>
          <t>PDF_Tiếng trung Full BỘ BCT.pdf</t>
        </is>
      </c>
      <c r="B1828" s="93" t="inlineStr">
        <is>
          <t>979</t>
        </is>
      </c>
      <c r="C1828" s="92" t="inlineStr">
        <is>
          <t>生产线调度安排</t>
        </is>
      </c>
      <c r="D1828" s="92" t="inlineStr">
        <is>
          <t>Shēngchǎn xiàn diàodù ānpái) - Sắp xếp lịch trình dây chuyền sản xuất</t>
        </is>
      </c>
      <c r="E1828" s="92" t="inlineStr">
        <is>
          <t>979. 生产线调度安排 (Shēngchǎn xiàn diàodù ānpái) - Sắp xếp lịch trình dây chuyền sản xuất</t>
        </is>
      </c>
      <c r="F1828" s="114">
        <f>HYPERLINK("https://youglish.com/pronounce/生产线调度安排/chinese","🔍")</f>
        <v/>
      </c>
    </row>
    <row r="1829">
      <c r="A1829" s="94" t="inlineStr">
        <is>
          <t>PDF_Tiếng trung Full BỘ BCT.pdf</t>
        </is>
      </c>
      <c r="B1829" s="95" t="inlineStr">
        <is>
          <t>980</t>
        </is>
      </c>
      <c r="C1829" s="94" t="inlineStr">
        <is>
          <t>供应商信誉度</t>
        </is>
      </c>
      <c r="D1829" s="94" t="inlineStr">
        <is>
          <t>Gōngyìngshāng xìnyù dù) - Uy tín của nhà cung cấp</t>
        </is>
      </c>
      <c r="E1829" s="94" t="inlineStr">
        <is>
          <t>980. 供应商信誉度 (Gōngyìngshāng xìnyù dù) - Uy tín của nhà cung cấp</t>
        </is>
      </c>
      <c r="F1829" s="115">
        <f>HYPERLINK("https://youglish.com/pronounce/供应商信誉度/chinese","🔍")</f>
        <v/>
      </c>
    </row>
    <row r="1830" ht="28.5" customHeight="1" s="99">
      <c r="A1830" s="92" t="inlineStr">
        <is>
          <t>PDF_Tiếng trung Full BỘ BCT.pdf</t>
        </is>
      </c>
      <c r="B1830" s="93" t="inlineStr">
        <is>
          <t>981</t>
        </is>
      </c>
      <c r="C1830" s="92" t="inlineStr">
        <is>
          <t>库存周转效率</t>
        </is>
      </c>
      <c r="D1830" s="92" t="inlineStr">
        <is>
          <t>Kùcún zhōuzuǎn xiàolǜ) - Hiệu suất quay vòng tồn kho</t>
        </is>
      </c>
      <c r="E1830" s="92" t="inlineStr">
        <is>
          <t>981. 库存周转效率 (Kùcún zhōuzuǎn xiàolǜ) - Hiệu suất quay vòng tồn kho</t>
        </is>
      </c>
      <c r="F1830" s="114">
        <f>HYPERLINK("https://youglish.com/pronounce/库存周转效率/chinese","🔍")</f>
        <v/>
      </c>
    </row>
    <row r="1831">
      <c r="A1831" s="94" t="inlineStr">
        <is>
          <t>PDF_Tiếng trung Full BỘ BCT.pdf</t>
        </is>
      </c>
      <c r="B1831" s="95" t="inlineStr">
        <is>
          <t>982</t>
        </is>
      </c>
      <c r="C1831" s="94" t="inlineStr">
        <is>
          <t>物料运输安排</t>
        </is>
      </c>
      <c r="D1831" s="94" t="inlineStr">
        <is>
          <t>Wùliào yùnshū ānpái) - Sắp xếp vận chuyển vật liệu</t>
        </is>
      </c>
      <c r="E1831" s="94" t="inlineStr">
        <is>
          <t>982. 物料运输安排 (Wùliào yùnshū ānpái) - Sắp xếp vận chuyển vật liệu</t>
        </is>
      </c>
      <c r="F1831" s="115">
        <f>HYPERLINK("https://youglish.com/pronounce/物料运输安排/chinese","🔍")</f>
        <v/>
      </c>
    </row>
    <row r="1832" ht="28.5" customHeight="1" s="99">
      <c r="A1832" s="92" t="inlineStr">
        <is>
          <t>PDF_Tiếng trung Full BỘ BCT.pdf</t>
        </is>
      </c>
      <c r="B1832" s="93" t="inlineStr">
        <is>
          <t>983</t>
        </is>
      </c>
      <c r="C1832" s="92" t="inlineStr">
        <is>
          <t>生产任务分配</t>
        </is>
      </c>
      <c r="D1832" s="92" t="inlineStr">
        <is>
          <t>Shēngchǎn rènwu fēnpèi) - Phân công công việc sản xuất</t>
        </is>
      </c>
      <c r="E1832" s="92" t="inlineStr">
        <is>
          <t>983. 生产任务分配 (Shēngchǎn rènwu fēnpèi) - Phân công công việc sản xuất</t>
        </is>
      </c>
      <c r="F1832" s="114">
        <f>HYPERLINK("https://youglish.com/pronounce/生产任务分配/chinese","🔍")</f>
        <v/>
      </c>
    </row>
    <row r="1833" ht="28.5" customHeight="1" s="99">
      <c r="A1833" s="94" t="inlineStr">
        <is>
          <t>PDF_Tiếng trung Full BỘ BCT.pdf</t>
        </is>
      </c>
      <c r="B1833" s="95" t="inlineStr">
        <is>
          <t>984</t>
        </is>
      </c>
      <c r="C1833" s="94" t="inlineStr">
        <is>
          <t>质量问题追溯</t>
        </is>
      </c>
      <c r="D1833" s="94" t="inlineStr">
        <is>
          <t>Zhìliàng wèntí zhuīsù) - Theo dõi nguồn gốc vấn đề chất lượng</t>
        </is>
      </c>
      <c r="E1833" s="94" t="inlineStr">
        <is>
          <t>984. 质量问题追溯 (Zhìliàng wèntí zhuīsù) - Theo dõi nguồn gốc vấn đề chất lượng</t>
        </is>
      </c>
      <c r="F1833" s="115">
        <f>HYPERLINK("https://youglish.com/pronounce/质量问题追溯/chinese","🔍")</f>
        <v/>
      </c>
    </row>
    <row r="1834" ht="28.5" customHeight="1" s="99">
      <c r="A1834" s="92" t="inlineStr">
        <is>
          <t>PDF_Tiếng trung Full BỘ BCT.pdf</t>
        </is>
      </c>
      <c r="B1834" s="93" t="inlineStr">
        <is>
          <t>985</t>
        </is>
      </c>
      <c r="C1834" s="92" t="inlineStr">
        <is>
          <t>供应商合同签订</t>
        </is>
      </c>
      <c r="D1834" s="92" t="inlineStr">
        <is>
          <t>Gōngyìngshāng hétóng qiāndìng) - Ký kết hợp đồng với nhà cung cấp</t>
        </is>
      </c>
      <c r="E1834" s="92" t="inlineStr">
        <is>
          <t>985. 供应商合同签订 (Gōngyìngshāng hétóng qiāndìng) - Ký kết hợp đồng với nhà cung cấp</t>
        </is>
      </c>
      <c r="F1834" s="114">
        <f>HYPERLINK("https://youglish.com/pronounce/供应商合同签订/chinese","🔍")</f>
        <v/>
      </c>
    </row>
    <row r="1835">
      <c r="A1835" s="94" t="inlineStr">
        <is>
          <t>PDF_Tiếng trung Full BỘ BCT.pdf</t>
        </is>
      </c>
      <c r="B1835" s="95" t="inlineStr">
        <is>
          <t>986</t>
        </is>
      </c>
      <c r="C1835" s="94" t="inlineStr">
        <is>
          <t>物料库存盘点</t>
        </is>
      </c>
      <c r="D1835" s="94" t="inlineStr">
        <is>
          <t>Wùliào kùcún pándiǎn) - Kiểm kê tồn kho vật liệu</t>
        </is>
      </c>
      <c r="E1835" s="94" t="inlineStr">
        <is>
          <t>986. 物料库存盘点 (Wùliào kùcún pándiǎn) - Kiểm kê tồn kho vật liệu</t>
        </is>
      </c>
      <c r="F1835" s="115">
        <f>HYPERLINK("https://youglish.com/pronounce/物料库存盘点/chinese","🔍")</f>
        <v/>
      </c>
    </row>
    <row r="1836" ht="28.5" customHeight="1" s="99">
      <c r="A1836" s="92" t="inlineStr">
        <is>
          <t>PDF_Tiếng trung Full BỘ BCT.pdf</t>
        </is>
      </c>
      <c r="B1836" s="93" t="inlineStr">
        <is>
          <t>987</t>
        </is>
      </c>
      <c r="C1836" s="92" t="inlineStr">
        <is>
          <t>物料采购预算</t>
        </is>
      </c>
      <c r="D1836" s="92" t="inlineStr">
        <is>
          <t>Wùliào cǎigòu yùsuàn) - Ngân sách mua hàng vật liệu</t>
        </is>
      </c>
      <c r="E1836" s="92" t="inlineStr">
        <is>
          <t>987. 物料采购预算 (Wùliào cǎigòu yùsuàn) - Ngân sách mua hàng vật liệu</t>
        </is>
      </c>
      <c r="F1836" s="114">
        <f>HYPERLINK("https://youglish.com/pronounce/物料采购预算/chinese","🔍")</f>
        <v/>
      </c>
    </row>
    <row r="1837">
      <c r="A1837" s="94" t="inlineStr">
        <is>
          <t>PDF_Tiếng trung Full BỘ BCT.pdf</t>
        </is>
      </c>
      <c r="B1837" s="95" t="inlineStr">
        <is>
          <t>988</t>
        </is>
      </c>
      <c r="C1837" s="94" t="inlineStr">
        <is>
          <t>生产任务安排</t>
        </is>
      </c>
      <c r="D1837" s="94" t="inlineStr">
        <is>
          <t>Shēngchǎn rènwu ānpái) - Sắp xếp nhiệm vụ sản xuất</t>
        </is>
      </c>
      <c r="E1837" s="94" t="inlineStr">
        <is>
          <t>988. 生产任务安排 (Shēngchǎn rènwu ānpái) - Sắp xếp nhiệm vụ sản xuất</t>
        </is>
      </c>
      <c r="F1837" s="115">
        <f>HYPERLINK("https://youglish.com/pronounce/生产任务安排/chinese","🔍")</f>
        <v/>
      </c>
    </row>
    <row r="1838" ht="28.5" customHeight="1" s="99">
      <c r="A1838" s="92" t="inlineStr">
        <is>
          <t>PDF_Tiếng trung Full BỘ BCT.pdf</t>
        </is>
      </c>
      <c r="B1838" s="93" t="inlineStr">
        <is>
          <t>989</t>
        </is>
      </c>
      <c r="C1838" s="92" t="inlineStr">
        <is>
          <t>供应商稳定性评估</t>
        </is>
      </c>
      <c r="D1838" s="92" t="inlineStr">
        <is>
          <t>Gōngyìngshāng wěndìngxìng pínggū) - Đánh giá tính ổn định của nhà cung cấp</t>
        </is>
      </c>
      <c r="E1838" s="92" t="inlineStr">
        <is>
          <t>989. 供应商稳定性评估 (Gōngyìngshāng wěndìngxìng pínggū) - Đánh giá tính ổn định của nhà cung cấp</t>
        </is>
      </c>
      <c r="F1838" s="114">
        <f>HYPERLINK("https://youglish.com/pronounce/供应商稳定性评估/chinese","🔍")</f>
        <v/>
      </c>
    </row>
    <row r="1839" ht="28.5" customHeight="1" s="99">
      <c r="A1839" s="94" t="inlineStr">
        <is>
          <t>PDF_Tiếng trung Full BỘ BCT.pdf</t>
        </is>
      </c>
      <c r="B1839" s="95" t="inlineStr">
        <is>
          <t>990</t>
        </is>
      </c>
      <c r="C1839" s="94" t="inlineStr">
        <is>
          <t>物料库存管理软件</t>
        </is>
      </c>
      <c r="D1839" s="94" t="inlineStr">
        <is>
          <t>Wùliào kùcún guǎnlǐ ruǎnjiàn) - Phần mềm quản lý tồn kho vật liệu</t>
        </is>
      </c>
      <c r="E1839" s="94" t="inlineStr">
        <is>
          <t>990. 物料库存管理软件 (Wùliào kùcún guǎnlǐ ruǎnjiàn) - Phần mềm quản lý tồn kho vật liệu</t>
        </is>
      </c>
      <c r="F1839" s="115">
        <f>HYPERLINK("https://youglish.com/pronounce/物料库存管理软件/chinese","🔍")</f>
        <v/>
      </c>
    </row>
    <row r="1840" ht="28.5" customHeight="1" s="99">
      <c r="A1840" s="92" t="inlineStr">
        <is>
          <t>PDF_Tiếng trung Full BỘ BCT.pdf</t>
        </is>
      </c>
      <c r="B1840" s="93" t="inlineStr">
        <is>
          <t>991</t>
        </is>
      </c>
      <c r="C1840" s="92" t="inlineStr">
        <is>
          <t>生产过程监控</t>
        </is>
      </c>
      <c r="D1840" s="92" t="inlineStr">
        <is>
          <t>Shēngchǎn guòchéng jiānkòng) - Giám sát quy trình sản xuất</t>
        </is>
      </c>
      <c r="E1840" s="92" t="inlineStr">
        <is>
          <t>991. 生产过程监控 (Shēngchǎn guòchéng jiānkòng) - Giám sát quy trình sản xuất</t>
        </is>
      </c>
      <c r="F1840" s="114">
        <f>HYPERLINK("https://youglish.com/pronounce/生产过程监控/chinese","🔍")</f>
        <v/>
      </c>
    </row>
    <row r="1841" ht="28.5" customHeight="1" s="99">
      <c r="A1841" s="94" t="inlineStr">
        <is>
          <t>PDF_Tiếng trung Full BỘ BCT.pdf</t>
        </is>
      </c>
      <c r="B1841" s="95" t="inlineStr">
        <is>
          <t>992</t>
        </is>
      </c>
      <c r="C1841" s="94" t="inlineStr">
        <is>
          <t>供应商合作协议</t>
        </is>
      </c>
      <c r="D1841" s="94" t="inlineStr">
        <is>
          <t>Gōngyìngshāng hézuò xiéyì) - Thỏa thuận hợp tác với nhà cung cấp</t>
        </is>
      </c>
      <c r="E1841" s="94" t="inlineStr">
        <is>
          <t>992. 供应商合作协议 (Gōngyìngshāng hézuò xiéyì) - Thỏa thuận hợp tác với nhà cung cấp</t>
        </is>
      </c>
      <c r="F1841" s="115">
        <f>HYPERLINK("https://youglish.com/pronounce/供应商合作协议/chinese","🔍")</f>
        <v/>
      </c>
    </row>
    <row r="1842" ht="28.5" customHeight="1" s="99">
      <c r="A1842" s="92" t="inlineStr">
        <is>
          <t>PDF_Tiếng trung Full BỘ BCT.pdf</t>
        </is>
      </c>
      <c r="B1842" s="93" t="inlineStr">
        <is>
          <t>993</t>
        </is>
      </c>
      <c r="C1842" s="92" t="inlineStr">
        <is>
          <t>质量问题预防</t>
        </is>
      </c>
      <c r="D1842" s="92" t="inlineStr">
        <is>
          <t>Zhìliàng wèntí yùfáng) - Phòng tránh vấn đề chất lượng</t>
        </is>
      </c>
      <c r="E1842" s="92" t="inlineStr">
        <is>
          <t>993. 质量问题预防 (Zhìliàng wèntí yùfáng) - Phòng tránh vấn đề chất lượng</t>
        </is>
      </c>
      <c r="F1842" s="114">
        <f>HYPERLINK("https://youglish.com/pronounce/质量问题预防/chinese","🔍")</f>
        <v/>
      </c>
    </row>
    <row r="1843" ht="28.5" customHeight="1" s="99">
      <c r="A1843" s="94" t="inlineStr">
        <is>
          <t>PDF_Tiếng trung Full BỘ BCT.pdf</t>
        </is>
      </c>
      <c r="B1843" s="95" t="inlineStr">
        <is>
          <t>994</t>
        </is>
      </c>
      <c r="C1843" s="94" t="inlineStr">
        <is>
          <t>物料供应链透明度</t>
        </is>
      </c>
      <c r="D1843" s="94" t="inlineStr">
        <is>
          <t>Wùliào gōngyìng liàn tòumíngdù) - Tính minh bạch của chuỗi cung ứng vật liệu</t>
        </is>
      </c>
      <c r="E1843" s="94" t="inlineStr">
        <is>
          <t>994. 物料供应链透明度 (Wùliào gōngyìng liàn tòumíngdù) - Tính minh bạch của chuỗi cung ứng vật liệu</t>
        </is>
      </c>
      <c r="F1843" s="115">
        <f>HYPERLINK("https://youglish.com/pronounce/物料供应链透明度/chinese","🔍")</f>
        <v/>
      </c>
    </row>
    <row r="1844" ht="28.5" customHeight="1" s="99">
      <c r="A1844" s="92" t="inlineStr">
        <is>
          <t>PDF_Tiếng trung Full BỘ BCT.pdf</t>
        </is>
      </c>
      <c r="B1844" s="93" t="inlineStr">
        <is>
          <t>995</t>
        </is>
      </c>
      <c r="C1844" s="92" t="inlineStr">
        <is>
          <t>生产效率评估</t>
        </is>
      </c>
      <c r="D1844" s="92" t="inlineStr">
        <is>
          <t>Shēngchǎn xiàolǜ pínggū) - Đánh giá hiệu suất sản xuất</t>
        </is>
      </c>
      <c r="E1844" s="92" t="inlineStr">
        <is>
          <t>995. 生产效率评估 (Shēngchǎn xiàolǜ pínggū) - Đánh giá hiệu suất sản xuất</t>
        </is>
      </c>
      <c r="F1844" s="114">
        <f>HYPERLINK("https://youglish.com/pronounce/生产效率评估/chinese","🔍")</f>
        <v/>
      </c>
    </row>
    <row r="1845">
      <c r="A1845" s="94" t="inlineStr">
        <is>
          <t>PDF_Tiếng trung Full BỘ BCT.pdf</t>
        </is>
      </c>
      <c r="B1845" s="95" t="inlineStr">
        <is>
          <t>996</t>
        </is>
      </c>
      <c r="C1845" s="94" t="inlineStr">
        <is>
          <t>采购需求分析</t>
        </is>
      </c>
      <c r="D1845" s="94" t="inlineStr">
        <is>
          <t>Cǎigòu xūqiú fēnxī) - Phân tích nhu cầu mua hàng</t>
        </is>
      </c>
      <c r="E1845" s="94" t="inlineStr">
        <is>
          <t>996. 采购需求分析 (Cǎigòu xūqiú fēnxī) - Phân tích nhu cầu mua hàng</t>
        </is>
      </c>
      <c r="F1845" s="115">
        <f>HYPERLINK("https://youglish.com/pronounce/采购需求分析/chinese","🔍")</f>
        <v/>
      </c>
    </row>
    <row r="1846" ht="28.5" customHeight="1" s="99">
      <c r="A1846" s="92" t="inlineStr">
        <is>
          <t>PDF_Tiếng trung Full BỘ BCT.pdf</t>
        </is>
      </c>
      <c r="B1846" s="93" t="inlineStr">
        <is>
          <t>997</t>
        </is>
      </c>
      <c r="C1846" s="92" t="inlineStr">
        <is>
          <t>供应商配送速度</t>
        </is>
      </c>
      <c r="D1846" s="92" t="inlineStr">
        <is>
          <t>Gōngyìngshāng pèisòng sùdù) - Tốc độ giao hàng từ nhà cung cấp</t>
        </is>
      </c>
      <c r="E1846" s="92" t="inlineStr">
        <is>
          <t>997. 供应商配送速度 (Gōngyìngshāng pèisòng sùdù) - Tốc độ giao hàng từ nhà cung cấp</t>
        </is>
      </c>
      <c r="F1846" s="114">
        <f>HYPERLINK("https://youglish.com/pronounce/供应商配送速度/chinese","🔍")</f>
        <v/>
      </c>
    </row>
    <row r="1847" ht="28.5" customHeight="1" s="99">
      <c r="A1847" s="94" t="inlineStr">
        <is>
          <t>PDF_Tiếng trung Full BỘ BCT.pdf</t>
        </is>
      </c>
      <c r="B1847" s="95" t="inlineStr">
        <is>
          <t>998</t>
        </is>
      </c>
      <c r="C1847" s="94" t="inlineStr">
        <is>
          <t>物料供应链协同</t>
        </is>
      </c>
      <c r="D1847" s="94" t="inlineStr">
        <is>
          <t>Wùliào gōngyìng liàn xiétóng) - Hợp tác trong chuỗi cung ứng vật liệu</t>
        </is>
      </c>
      <c r="E1847" s="94" t="inlineStr">
        <is>
          <t>998. 物料供应链协同 (Wùliào gōngyìng liàn xiétóng) - Hợp tác trong chuỗi cung ứng vật liệu</t>
        </is>
      </c>
      <c r="F1847" s="115">
        <f>HYPERLINK("https://youglish.com/pronounce/物料供应链协同/chinese","🔍")</f>
        <v/>
      </c>
    </row>
    <row r="1848" ht="409.5" customHeight="1" s="99">
      <c r="A1848" s="92" t="inlineStr">
        <is>
          <t>PDF_Tiếng trung Full BỘ BCT.pdf</t>
        </is>
      </c>
      <c r="B1848" s="93" t="inlineStr">
        <is>
          <t>999</t>
        </is>
      </c>
      <c r="C1848" s="92" t="inlineStr">
        <is>
          <t>库存管理方法</t>
        </is>
      </c>
      <c r="D1848" s="92" t="inlineStr">
        <is>
          <t>Kùcún guǎnlǐ fāngfǎ) - Phương pháp quản lý tồn kho 1000. 生产计划优化 (Shēngchǎn jìhuà yōuhuà) - Tối ưu hóa kế hoạch sản xuất 1001. 供应商业绩考核 (Gōngyìngshāng yèjì kǎohé) - Đánh giá hiệu suất của nhà cung cấp 1002. 质量监督检查 (Zhìliàng jiāndū jiǎnchá) - Kiểm tra giám sát chất lượng 1003. 物料供应链可靠性 (Wùliào gōngyìng liàn kěkàoxìng) - Độ tin cậy của chuỗi cung ứng vật liệu 1004. 供应商采购合同 (Gōngyìngshāng cǎigòu hétóng) - Hợp đồng mua hàng với nhà cung cấp 1005. 生产流程改进 (Shēngchǎn liúchéng gǎijìn) - Cải tiến quy trình sản xuất 1006. 生产计划排程 (Shēngchǎn jìhuà páichéng) - Lập kế hoạch và sắp xếp sản xuất 1007. 供应商物流服务 (Gōngyìngshāng wùliú fúwù) - Dịch vụ vận chuyển của nhà cung cấp 1008. 物料需求预测 (Wùliào xūqiú yùcè) - Dự báo nhu cầu vật liệu 1009. 生产工艺流程控制 (Shēngchǎn gōngyì liúchéng kòngzhì) - Kiểm soát quy trình công nghệ sản xuất 1010. 供应商评估报告 (Gōngyìngshāng pínggū bàogào) - Báo cáo đánh giá nhà cung cấp 1011. 质量管理体系建立 (Zhìliàng guǎnlǐ tǐxì jiànlì) - Thiết lập hệ thống quản lý chất lượng 1012. 物料采购策略 (Wùliào cǎigòu cèlüè) - Chiến lược mua hàng vật liệu 1013. 生产计划执行情况分析 (Shēngchǎn jìhuà zhíxíng qíngkuàng fēnxī) - Phân tích tình hình thực hiện kế hoạch sản xuất 1014. 供应商交付质量检查 (Gōngyìngshāng jiāofù zhìliàng jiǎnchá) - Kiểm tra chất lượng giao hàng từ nhà cung cấp 1015. 生产设备维护计划 (Shēngchǎn shèbèi wéihù jìhuà) - Kế hoạch bảo dưỡng thiết bị sản xuất 1016. 供应商配合度评估 (Gōngyìngshāng pèihé dù pínggū) - Đánh giá mức độ hợp tác của nhà cung cấp 1017. 质量问题跟踪 (Zhìliàng wèntí gēnzōng) - Theo dõi vấn đề chất lượng 1018. 物料供应链效率 (Wùliào gōngyìng liàn xiàolǜ) - Hiệu suất chuỗi cung ứng vật liệu 1019. 生产资源利用率 (Shēngchǎn zīyuán lìyòng lǜ) - Tỷ lệ sử dụng tài nguyên sản xuất 1020. 供应商服务质量评估 (Gōngyìngshāng fúwù zhìliàng pínggū) - Đánh giá chất lượng dịch vụ của nhà cung cấp 1021. 物料交付时间安排 (Wùliào jiāofù shíjiān ānpái) - Sắp xếp thời gian giao hàng vật liệu 1022. 生产能力评估 (Shēngchǎn nénglì pínggū) - Đánh giá năng lực sản xuất 1023. 供应商交货准时率 (Gōngyìngshāng jiāohuò zhǔnshí lǜ) - Tỷ lệ giao hàng đúng hẹn của nhà cung cấp 1024. 物料采购成本控制 (Wùliào cǎigòu chéngběn kòngzhì) - Kiểm soát chi phí mua hàng vật liệu 1025. 生产任务进度 (Shēngchǎn rènwu jìndù) - Tiến độ công việc sản xuất 1026. 供应商合作条款 (Gōngyìngshāng hézuò tiáokuǎn) - Điều khoản hợp tác với nhà cung cấp 1027. 物料需求预测模型 (Wùliào xūqiú yùcè móxíng) - Mô hình dự báo nhu cầu vật liệu 1028. 生产成本控制 (Shēngchǎn chéngběn kòngzhì) - Kiểm soát chi phí sản xuất 1029. 供应商资质审核 (Gōngyìngshāng zīzhì shěnhé) - Kiểm tra chứng chỉ của nhà cung cấp 1030. 物料供应商选择 (Wùliào gōngyìngshāng xuǎnzé) - Lựa chọn nhà cung cấp vật liệu 1031. 生产计划调整策略 (Shēngchǎn jìhuà tiáozhěng cèlüè) - Chiến lược điều chỉnh kế hoạch sản xuất 1032. 供应商合作伙伴关系 (Gōngyìngshāng hézuò huǒbàn guānxì) - Mối quan hệ đối tác hợp tác với nhà cung cấp 1033. 物料库存盘点周期 (Wùliào kùcún pándiǎn zhōuqī) - Chu kỳ kiểm kê tồn kho vật liệu 1034. 生产效率改进方案 (Shēngchǎn xiàolǜ gǎishàn fāng'àn) - Phương án cải tiến hiệu suất sản xuất 1035. 物料采购流程优化 (Wùliào cǎigòu liúchéng yōuhuà) - Tối ưu hóa quy trình mua hàng vật liệu 1036. 生产作业安排 (Shēngchǎn zuòyè ānpái) - Sắp xếp công việc sản xuất 1037. 供应商价格谈判技巧 (Gōngyìngshāng jiàgé tánpàn jìqiǎo) - Kỹ năng đàm phán giá với nhà cung cấp 1038. 质量问题解决方案 (Zhìliàng wèntí jiějué fāng'àn) - Phương án giải quyết vấn đề chất lượng 1039. 物料供应管理 (Wùliào gōngyìng guǎnlǐ) - Quản lý nguồn cung vật liệu 1040. 生产流程优化建议 (Shēngchǎn liúchéng yōuhuà jiànyì) - Đề xuất tối ưu hóa quy trình sản xuất 1041. 供应商交付时间监控 (Gōngyìngshāng jiāofù shíjiān jiānkòng) - Giám sát thời gian giao hàng của nhà cung cấp 1042. 物料库存周转率 (Wùliào kùcún zhōuzuǎn lǜ) - Tỷ lệ quay vòng tồn kho vật liệu 1043. 生产资源调配 (Shēngchǎn zīyuán diàopèi) - Phân bổ tài nguyên sản xuất 1044. 供应商合同履行 (Gōngyìngshāng hétóng lǚxíng) - Thực hiện hợp đồng với nhà cung cấp 1045. 物料供应商协调 (Wùliào gōngyìngshāng xiétiáo) - Phối hợp với nhà cung cấp vật liệu 1046. 生产能力提升 (Shēngchǎn nénglì tíshēng) - Nâng cao khả năng sản xuất 1047. 供应商绩效管理 (Gōngyìngshāng jìxiào guǎnlǐ) - Quản lý hiệu suất của nhà cung cấp 1048. 质量检验标准 (Zhìliàng jiǎnyàn biāozhǔn) - Tiêu chuẩn kiểm tra chất lượng 1049. 物料供应来源 (Wùliào gōngyìng láiyuán) - Nguồn cung cấp vật liệu 1050. 供应商供货周期 (Gōngyìngshāng gōnghuò zhōuqī) - Chu kỳ cung cấp hàng hóa của nhà cung cấp 1051. 物料采购渠道 (Wùliào cǎigòu qúdào) - Kênh mua hàng vật liệu 1052. 生产排程安排 (Shēngchǎn páichéng ānpái) - Sắp xếp lịch trình sản xuất 1053. 供应商资质认证 (Gōngyìngshāng zīzhì rènzhèng) - Chứng chỉ uy tín của nhà cung cấp 1054. 物料供应短缺 (Wùliào gōngyìng duǎnquē) - Thiếu hụt nguồn cung vật liệu 1055. 生产工艺改进 (Shēngchǎn gōngyì gǎijìn) - Cải thiện công nghệ sản xuất 1056. 供应商服务支持 (Gōngyìngshāng fúwù zhīchí) - Hỗ trợ dịch vụ của nhà cung cấp 1057. 质量异常处理流程 (Zhìliàng yìcháng chǔlǐ liúchéng) - Quy trình xử lý sự cố chất lượng 1058. 物料库存管理系统 (Wùliào kùcún guǎnlǐ xìtǒng) - Hệ thống quản lý tồn kho vật liệu 1059. 生产任务执行 (Shēngchǎn rènwu zhíxíng) - Thực hiện nhiệm vụ sản xuất 1060. 供应商成本优化 (Gōngyìngshāng chéngběn yōuhuà) - Tối ưu hóa chi phí của nhà cung cấp 1061. 物料采购预算控制 (Wùliào cǎigòu yùsuàn kòngzhì) - Kiểm soát ngân sách mua hàng vật liệu 1062. 生产计划执行情况评估 (Shēngchǎn jìhuà zhíxíng qíngkuàng pínggū) - Đánh giá tình hình thực hiện kế hoạch sản xuất 1063. 供应商供货周期管理 (Gōngyìngshāng gōnghuò zhōuqī guǎnlǐ) - Quản lý chu kỳ cung cấp hàng của nhà cung cấp 1064. 物料库存成本控制 (Wùliào kùcún chéngběn kòngzhì) - Kiểm soát chi phí tồn kho vật liệu 1065. 生产线平衡调度 (Shēngchǎn xiàn pínghéng diàodù) - Điều chỉnh cân bằng dây chuyền sản xuất 1066. 质量问题预防措施 (Zhìliàng wèntí yùfáng cuòshī) - Biện pháp phòng ngừa vấn đề chất lượng 1067. 物料采购供应链 (Wùliào cǎigòu gōngyìng liàn) - Chuỗi cung ứng mua hàng vật liệu 1068. 生产能力提升计划 (Shēngchǎn nénglì tíshēng jìhuà) - Kế hoạch nâng cao năng lực sản xuất 1069. 供应商绩效考核制度 (Gōngyìngshāng jìxiào kǎohé zhìdù) - Hệ thống đánh giá hiệu suất của nhà cung cấp 1070. 物料供应透明度 (Wùliào gōngyìng tòumíngdù) - Sự minh bạch trong nguồn cung vật liệu 1071. 生产工艺流程优化 (Shēngchǎn gōngyì liúchéng yōuhuà) - Tối ưu hóa quy trình công nghệ sản xuất 1072. 质量问题处理方案 (Zhìliàng wèntí chǔlǐ fāng'àn) - Phương án xử lý vấn đề chất lượng 1073. 物料采购价格谈判 (Wùliào cǎigòu jiàgé tánpàn) - Đàm phán giá mua hàng vật liệu 1074. 生产效率指标 (Shēngchǎn xiàolǜ zhǐbiāo) - Chỉ số hiệu suất sản xuất 1075. 供应商供货能力评估 (Gōngyìngshāng gōnghuò nénglì pínggū) - Đánh giá khả năng cung cấp hàng của nhà cung cấp 1076. 物料采购审批流程 (Wùliào cǎigòu shěnpī liúchéng) - Quy trình phê duyệt mua hàng vật liệu 1077. 生产计划调整方案 (Shēngchǎn jìhuà tiáozhěng fāng'àn) - Phương án điều chỉnh kế hoạch sản xuất 1078. 供应商供货可靠性 (Gōngyìngshāng gōnghuò kěkàoxìng) - Độ tin cậy của hàng cung cấp từ nhà cung cấp 1079. 物料库存管理政策 (Wùliào kùcún guǎnlǐ zhèngcè) - Chính sách quản lý tồn kho vật liệu 1080. 生产任务分派 (Shēngchǎn rènwu fēnpài) - Phân công nhiệm vụ sản xuất 1081. 供应商信誉评价 (Gōngyìngshāng xìnyù píngjià) - Đánh giá uy tín của nhà cung cấp 1082. 物料库存周转周期 (Wùliào kùcún zhōuzuǎn zhōuqī) - Chu kỳ quay vòng tồn kho vật liệu 1083. 生产计划执行效率 (Shēngchǎn jìhuà zhíxíng xiàolǜ) - Hiệu suất thực hiện kế hoạch sản xuất 1084. 供应商评估报告分析 (Gōngyìngshāng pínggū bàogào fēnxī) - Phân tích báo cáo đánh giá nhà cung cấp 1085. 质量改善措施 (Zhìliàng gǎishàn cuòshī) - Biện pháp cải thiện chất lượng 1086. 生产效率提升计划 (Shēngchǎn xiàolǜ tíshēng jìhuà) - Kế hoạch nâng cao hiệu suất sản xuất 1087. 供应商评级体系 (Gōngyìngshāng píngjí tǐxì) - Hệ thống đánh giá cấp độ của nhà cung cấp 1088. 物料采购合同签订 (Wùliào cǎigòu hétóng qiāndìng) - Ký kết hợp đồng mua hàng vật liệu 1089. 生产设备维护保养 (Shēngchǎn shèbèi wéihù bǎoyǎng) - Bảo dưỡng và bảo trì thiết bị sản xuất 1090. 供应商供货时间 (Gōngyìngshāng gōnghuò shíjiān) - Thời gian cung cấp hàng từ nhà cung cấp 1091. 质量问题整改 (Zhìliàng wèntí zhěnggǎi) - Sửa đổi vấn đề chất lượng 1092. 物料采购需求分析 (Wùliào cǎigòu xūqiú fēnxī) - Phân tích nhu cầu mua hàng vật liệu 1093. 生产线效率优化 (Shēngchǎn xiàn xiàolǜ yōuhuà) - Tối ưu hóa hiệu suất dây chuyền sản xuất 1094. 供应商供货及时性 (Gōngyìngshāng gōnghuò jíshíxìng) - Tính đúng hạn của hàng cung cấp từ nhà cung cấp 1095. 物料库存预警机制 (Wùliào kùcún yùjǐng jīzhì) - Cơ chế cảnh báo tồn kho vật liệu 1096. 生产过程监控系统 (Shēngchǎn guòchéng jiānkòng xìtǒng) - Hệ thống giám sát quy trình sản xuất 1097. 供应商采购成本优化 (Gōngyìngshāng cǎigòu chéngběn yōuhuà) - Tối ưu hóa chi phí mua hàng của nhà cung cấp 1098. 质量问题溯源分析 (Zhìliàng wèntí sùyuán fēnxī) - Phân tích nguồn gốc của vấn đề chất lượng 1099. 生产计划调整措施 (Shēngchǎn jìhuà tiáozhěng cuòshī) - Biện pháp điều chỉnh kế hoạch sản xuất 1100. 供应商供货质量检验 (Gōngyìngshāng gōnghuò zhìliàng jiǎnyàn) - Kiểm tra chất lượng hàng cung cấp từ nhà cung cấp 1101. 物料采购渠道多样化 (Wùliào cǎigòu qúdào duōyànghuà) - Đa dạng hóa kênh mua hàng vật liệu 1102. 生产资源配置优化 (Shēngchǎn zīyuán pèizhì yōuhuà) - Tối ưu hóa phân bổ tài nguyên sản xuất 1103. 供应商供货能力分析 (Gōngyìngshāng gōnghuò nénglì fēnxī) - Phân tích khả năng cung cấp hàng từ nhà cung cấp 1104. 质量监督检查报告 (Zhìliàng jiāndū jiǎnchá bàogào) - Báo cáo kiểm tra giám sát chất lượng 1105. 物料采购价格竞争 (Wùliào cǎigòu jiàgé jìngzhēng) - Cạnh tranh giá mua hàng vật liệu 1106. 生产流程持续改进 (Shēngchǎn liúchéng chíxù gǎijìn) - Cải tiến liên tục quy trình sản xuất 1107. 供应商绩效奖惩机制 (Gōngyìngshāng jìxiào jiǎngchěng jīzhì) - Cơ chế thưởng phạt hiệu suất của nhà cung cấp 1108. 物料供应紧急处理 (Wùliào gōngyìng jǐnjí chǔlǐ) - Xử lý khẩn cấp nguồn cung vật liệu 1109. 生产计划执行进度 (Shēngchǎn jìhuà zhíxíng jìndù) - Tiến độ thực hiện kế hoạch sản xuất 1110. 供应商供货透明度 (Gōngyìngshāng gōnghuò tòumíngdù) - Tính minh bạch của hàng cung cấp từ nhà cung cấp 1111. 质量控制流程改善 (Zhìliàng kòngzhì liúchéng gǎishàn) - Cải thiện quy trình kiểm soát chất lượng 1112. 物料采购成本降低 (Wùliào cǎigòu chéngběn jiàngdī) - Giảm chi phí mua hàng vật liệu 1113. 生产效率评估报告 (Shēngchǎn xiàolǜ pínggū bàogào) - Báo cáo đánh giá hiệu suất sản xuất 1114. 供应商供货可靠性评估 (Gōngyìngshāng gōnghuò kěkàoxìng pínggū) - Đánh giá tính đáng tin cậy của hàng cung cấp từ nhà cung cấp 1115. 物料库存安全预警 (Wùliào kùcún ānquán yùjǐng) - Cảnh báo an toàn tồn kho vật liệu 1116. 生产设备维修保养计划 (Shēngchǎn shèbèi wéixiū bǎoyǎng jìhuà) - Kế hoạch bảo trì và bảo dưỡng thiết bị sản xuất 1117. 供应商供货周期调整 (Gōngyìngshāng gōnghuò zhōuqī tiáozhěng) - Điều chỉnh chu kỳ cung cấp hàng từ nhà cung cấp 1118. 物料采购合规性检查 (Wùliào cǎigòu hégūixìng jiǎnchá) - Kiểm tra tính tuân thủ của quy tắc mua hàng vật liệu 1119. 生产计划变更管理 (Shēngchǎn jìhuà biàngēng guǎnlǐ) - Quản lý thay đổi kế hoạch sản xuất 1120. 供应商供货协议签订 (Gōngyìngshāng gōnghuò xiéyì qiāndìng) - Ký kết hợp đồng cung cấp hàng với nhà cung cấp 1121. 生产效率提升策略 (Shēngchǎn xiàolǜ tíshēng cèlüè) - Chiến lược nâng cao hiệu suất sản xuất 1122. 供应商绩效评估指标 (Gōngyìngshāng jìxiào pínggū zhǐbiāo) - Chỉ số đánh giá hiệu suất của nhà cung cấp 1123. 质量问题处理流程 (Zhìliàng wèntí chǔlǐ liúchéng) - Quy trình xử lý vấn đề chất lượng 1124. 物料库存周转率优化 (Wùliào kùcún zhōuzuǎn lǜ yōuhuà) - Tối ưu hóa tỷ lệ quay vòng tồn kho vật liệu 1125. 生产设备维护保养计划 (Shēngchǎn shèbèi wéihù bǎoyǎng jìhuà) - Kế hoạch bảo trì và bảo dưỡng thiết bị sản xuất 1126. 供应商供货及时性评估 (Gōngyìngshāng gōnghuò jíshíxìng pínggū) - Đánh giá tính đúng hạn của hàng cung cấp từ nhà cung cấp 1127. 物料采购需求预测 (Wùliào cǎigòu xūqiú yùcè) - Dự báo nhu cầu mua hàng vật liệu 1128. 生产资源利用效率 (Shēngchǎn zīyuán lìyòng xiàolǜ) - Hiệu quả sử dụng tài nguyên sản xuất 1129. 供应商合同履行情况 (Gōngyìngshāng hétóng lǚxíng qíngkuàng) - Tình hình thực hiện hợp đồng của nhà cung cấp 1130. 质量异常处理机制 (Zhìliàng yìcháng chǔlǐ jīzhì) - Cơ chế xử lý sự cố chất lượng 1131. 物料供应透明度评估 (Wùliào gōngyìng tòumíngdù pínggū) - Đánh giá mức độ minh bạch của nguồn cung vật liệu 1132. 生产排程调整策略 (Shēngchǎn páichéng tiáozhěng cèlüè) - Chiến lược điều chỉnh lịch trình sản xuất 1133. 生产效率改进计划 (Shēngchǎn xiàolǜ gǎishàn jìhuà) - Kế hoạch cải thiện hiệu suất sản xuất 1134. 供应商供货管理系统 (Gōngyìngshāng gōnghuò guǎnlǐ xìtǒng) - Hệ thống quản lý hàng cung cấp từ nhà cung cấp 1135. 生产计划执行情况 (Shēngchǎn jìhuà zhíxíng qíngkuàng) - Tình hình thực hiện kế hoạch sản xuất 1136. 生产效率提升方案 (Shēngchǎn xiàolǜ tíshēng fāng'àn) - Phương án nâng cao hiệu suất sản xuất 1137. 供应商评价体系 (Gōngyìngshāng píngjià tǐxì) - Hệ thống đánh giá nhà cung cấp 1138. 物料供应风险评估 (Wùliào gōngyìng fēngxiǎn pínggū) - Đánh giá rủi ro cung cấp vật liệu 1139. 供应商交付时间 (Gōngyìngshāng jiāofù shíjiān) - Thời gian giao hàng từ nhà cung cấp 1140. 物料采购流程规范 (Wùliào cǎigòu liúchéng guīfàn) - Quy trình mua hàng vật liệu chuẩn mực 1141. 生产资源分配优化 (Shēngchǎn zīyuán fēnpèi yōuhuà) - Tối ưu hóa phân bổ tài nguyên sản xuất 1142. 供应商供货能力评估 (Gōngyìngshāng gōnghuò nénglì pínggū) - Đánh giá khả năng cung cấp hàng từ nhà cung cấp 1143. 物料库存消耗分析 (Wùliào kùcún xiāohào fēnxī) - Phân tích tiêu thụ tồn kho vật liệu 1144. 供应商供货质量控制 (Gōngyìngshāng gōnghuò zhìliàng kòngzhì) - Kiểm soát chất lượng hàng cung cấp từ nhà cung cấp 1145. 物料采购成本优化 (Wùliào cǎigòu chéngběn yōuhuà) - Tối ưu hóa chi phí mua hàng vật liệu 1146. 供应商供货合同 (Gōngyìngshāng gōnghuò hétóng) - Hợp đồng cung cấp hàng từ nhà cung cấp 1147. 物料供应可靠性评估 (Wùliào gōngyìng kěkàoxìng pínggū) - Đánh giá tính đáng tin cậy của nguồn cung vật liệu 1148. 生产计划执行效果 (Shēngchǎn jìhuà zhíxíng xiàoguǒ) - Hiệu quả thực hiện kế hoạch sản xuất 1149. 供应商协作能力 (Gōngyìngshāng xiézuò nénglì) - Khả năng hợp tác của nhà cung cấp 1150. 供应商交货时间 (Gōngyìngshāng jiāohuò shíjiān) - Thời gian giao hàng từ nhà cung cấp 1151. 生产计划执行监督 (Shēngchǎn jìhuà zhíxíng jiāndū) - Giám sát thực hiện kế hoạch sản xuất 1152. 供应商协作能力评估 (Gōngyìngshāng xiézuò nénglì pínggū) - Đánh giá khả năng hợp tác của nhà cung cấp 1153. 物料库存管理政策制定 (Wùliào kùcún guǎnlǐ zhèngcè zhìdìng) - Thiết lập chính sách quản lý tồn kho vật liệu 1154. 供应商表现评估 (Gōngyìngshāng biǎoxiàn pínggū) - Đánh giá hiệu suất của nhà cung cấp 1155. 质量控制标准制定 (Zhìliàng kòngzhì biāozhǔn zhìdìng) - Thiết lập tiêu chuẩn kiểm soát chất lượng 1156. 物料供应风险评估报告 (Wùliào gōngyìng fēngxiǎn pínggū bàogào) - Báo cáo đánh giá rủi ro cung cấp vật liệu 1157. 生产计划调整策略评估 (Shēngchǎn jìhuà tiáozhěng cèlüè pínggū) - Đánh giá chiến lược điều chỉnh kế hoạch sản xuất 1158. 供应商交货时间管理 (Gōngyìngshāng jiāohuò shíjiān guǎnlǐ) - Quản lý thời gian giao hàng từ nhà cung cấp 1159. 物料采购流程改进 (Wùliào cǎigòu liúchéng gǎishàn) - Cải tiến quy trình mua hàng vật liệu 1160. 生产资源分配效率 (Shēngchǎn zīyuán fēnpèi xiàolǜ) - Hiệu suất phân bổ tài nguyên sản xuất 1161. 供应商供货能力评估报告 (Gōngyìngshāng gōnghuò nénglì pínggū bàogào) - Báo cáo đánh giá khả năng cung cấp hàng từ nhà cung cấp 1162. 质量异常处理流程改善 (Zhìliàng yìcháng chǔlǐ liúchéng gǎishàn) - Cải thiện quy trình xử lý sự cố chất lượng 1163. 物料库存消耗分析报告 (Wùliào kùcún xiāohào fēnxī bàogào) - Báo cáo phân tích tiêu thụ tồn kho vật liệu 1164. 生产效率评估与改进 (Shēngchǎn xiàolǜ pínggū yǔ gǎishàn) - Đánh giá và cải tiến hiệu suất sản xuất 1165. 供应商供货质量控制措施 (Gōngyìngshāng gōnghuò zhìliàng kòngzhì cuòshī) - Biện pháp kiểm soát chất lượng hàng cung cấp từ nhà cung cấp 1166. 物料采购成本优化策略 (Wùliào cǎigòu chéngběn yōuhuà cèlüè) - Chiến lược tối ưu hóa chi phí mua hàng vật liệu 1167. 生产过程监控系统改进 (Shēngchǎn guòchéng jiānkòng xìtǒng gǎishàn) - Cải thiện hệ thống giám sát quy trình sản xuất 1168. 供应商供货合同评估 (Gōngyìngshāng gōnghuò hétóng pínggū) - Đánh giá hợp đồng cung cấp hàng từ nhà cung cấp 1169. 物料供应可靠性评估报告 (Wùliào gōngyìng kěkàoxìng pínggū bàogào) - Báo cáo đánh giá tính đáng tin cậy của nguồn cung vật liệu 1170. 生产计划执行评估 (Shēngchǎn jìhuà zhíxíng pínggū) - Đánh giá thực hiện kế hoạch sản xuất 1171. 供应商协作能力分析 (Gōngyìngshāng xiézuò nénglì fēnxī) - Phân tích khả năng hợp tác của nhà cung cấp 1172. 物料库存管理流程 (Wùliào kùcún guǎnlǐ liúchéng) - Quy trình quản lý tồn kho vật liệu 1173. 生产效率提升策略评估 (Shēngchǎn xiàolǜ tíshēng cèlüè pínggū) - Đánh giá chiến lược nâng cao hiệu suất sản xuất 1174. 供应商绩效考核 (Gōngyìngshāng jìxiào kǎohé) - Đánh giá hiệu suất của nhà cung cấp 1175. 物料采购流程改进方案 (Wùliào cǎigòu liúchéng gǎishàn fāng'àn) - Phương án cải tiến quy trình mua hàng vật liệu 1176. 生产资源分配效率评估 (Shēngchǎn zīyuán fēnpèi xiàolǜ pínggū) - Đánh giá hiệu suất phân bổ tài nguyên sản xuất 1177. 生产效率评估与改进计划 (Shēngchǎn xiàolǜ pínggū yǔ gǎishàn jìhuà) - Kế hoạch đánh giá và cải tiến hiệu suất sản xuất 1178. 生产计划执行效率评估 (Shēngchǎn jìhuà zhíxíng xiàolǜ pínggū) - Đánh giá hiệu suất thực hiện kế hoạch sản xuất 1179. 供应商协作能力提升 (Gōngyìngshāng xiézuò nénglì tíshēng) - Nâng cao khả năng hợp tác của nhà cung cấp 1180. 物料库存管理流程优化 (Wùliào kùcún guǎnlǐ liúchéng yōuhuà) - Tối ưu hóa quy trình quản lý tồn kho vật liệu 1181. 生产效率提升计划评估 (Shēngchǎn xiàolǜ tíshēng jìhuà pínggū) - Đánh giá kế hoạch nâng cao hiệu suất sản xuất 1182. 供应商表现评价 (Gōngyìngshāng biǎoxiàn píngjià) - Đánh giá hiệu suất của nhà cung cấp 1183. 质量控制标准制定与执行 (Zhìliàng kòngzhì biāozhǔn zhìdìng yǔ zhíxíng) - Thiết lập và thực hiện tiêu chuẩn kiểm soát chất lượng 1184. 供应商交货时间管控 (Gōngyìngshāng jiāohuò shíjiān guǎnkòng) - Kiểm soát thời gian giao hàng từ nhà cung cấp 1185. 供应商供货能力评估与提升计划 (Gōngyìngshāng gōnghuò nénglì pínggū yǔ tíshēng jìhuà) - Đánh giá và kế hoạch nâng cao khả năng cung cấp hàng từ nhà cung cấp 1186. 质量异常处理流程改善方案 (Zhìliàng yìcháng chǔlǐ liúchéng gǎishàn fāng'àn) - Phương án cải thiện quy trình xử lý sự cố chất lượng 1187. 生产效率评估与改进方案 (Shēngchǎn xiàolǜ pínggū yǔ gǎishàn fāng'àn) - Phương án đánh giá và cải tiến hiệu suất sản xuất 1188. 供应商供货质量控制策略 (Gōngyìngshāng gōnghuò zhìliàng kòngzhì cèlüè) - Chiến lược kiểm soát chất lượng hàng cung cấp từ nhà cung cấp 1189. 生产过程监控系统改进方案 (Shēngchǎn guòchéng jiānkòng xìtǒng gǎishàn fāng'àn) - Phương án cải tiến hệ thống giám sát quy trình sản xuất 1190. 供应商供货合同评估与优化 (Gōngyìngshāng gōnghuò hétóng pínggū yǔ yōuhuà) - Đánh giá và tối ưu hóa hợp đồng cung cấp hàng từ nhà cung cấp 1191. 生产计划执行监测 (Shēngchǎn jìhuà zhíxíng jiāncè) - Giám sát thực hiện kế hoạch sản xuất 1192. 供应商合作能力评估 (Gōngyìngshāng hézuò nénglì pínggū) - Đánh giá khả năng hợp tác của nhà cung cấp 1193. 供应商绩效评价 (Gōngyìngshāng jìxiào píngjià) - Đánh giá hiệu suất của nhà cung cấp 1194. 质量控制标准设定 (Zhìliàng kòngzhì biāozhǔn shèdìng) - Thiết lập tiêu chuẩn kiểm soát chất lượng 1195. 生产过程监控系统改进 (Shēngchǎn guòchéng jiānkòng xìtǒng gǎishàn) - Cải tiến hệ thống giám sát quy trình sản xuất 1196. 供应商合作能力提升计划 (Gōngyìngshāng hézuò nénglì tíshēng jìhuà) - Kế hoạch nâng cao khả năng hợp tác của nhà cung cấp 1197. 物料库存管理流程审查 (Wùliào kùcún guǎnlǐ liúchéng shěnchá) - Kiểm tra quy trình quản lý tồn kho vật liệu 1198. 生产效率提升措施 (Shēngchǎn xiàolǜ tíshēng cuòshī) - Biện pháp nâng cao hiệu suất sản xuất 1199. 供应商业绩评估 (Gōngyìngshāng yèjì pínggū) - Đánh giá thành tích của nhà cung cấp 1200. 质量控制标准执行 (Zhìliàng kòngzhì biāozhǔn zhíxíng) - Thực hiện tiêu chuẩn kiểm soát chất lượng 1201. 物料供应风险分析 (Wùliào gōngyìng fēngxiǎn fēnxī) - Phân tích rủi ro cung cấp vật liệu 1202. 生产计划调整效果评估 (Shēngchǎn jìhuà tiáozhěng xiàoguǒ pínggū) - Đánh giá kết quả điều chỉnh kế hoạch sản xuất 1203. 供应商交货时间控制 (Gōngyìngshāng jiāohuò shíjiān kòngzhì) - Kiểm soát thời gian giao hàng từ nhà cung cấp 1204. 物料采购流程改善 (Wùliào cǎigòu liúchéng gǎishàn) - Cải thiện quy trình mua hàng vật liệu 1205. 生产资源利用效率评估 (Shēngchǎn zīyuán lìyòng xiàolǜ pínggū) - Đánh giá hiệu suất sử dụng tài nguyên sản xuất 1206. 供应商供货能力评估与提升 (Gōngyìngshāng gōnghuò nénglì pínggū yǔ tíshēng) - Đánh giá và nâng cao khả năng cung cấp hàng từ nhà cung cấp 1207. 质量异常处理流程改进方案 (Zhìliàng yìcháng chǔlǐ liúchéng gǎishàn fāng'àn) - Phương án cải thiện quy trình xử lý sự cố chất lượng 1208. 生产计划执行结果 (Shēngchǎn jìhuà zhíxíng jiéguǒ) - Kết quả thực hiện kế hoạch sản xuất 1209. 供应商协作能力提升方案 (Gōngyìngshāng xiézuò nénglì tíshēng fāng'àn) - Phương án nâng cao khả năng hợp tác của nhà cung cấp 1210. 物料库存管理流程优化方案 (Wùliào kùcún guǎnlǐ liúchéng yōuhuà fāng'àn) - Phương án tối ưu hóa quy trình quản lý tồn kho vật liệu 1211. 生产效率提升策略评估报告 (Shēngchǎn xiàolǜ tíshēng cèlüè pínggū bàogào) - Báo cáo đánh giá chiến lược nâng cao hiệu suất sản xuất 1212. 供应商绩效评价报告 (Gōngyìngshāng jìxiào píngjià bàogào) - Báo cáo đánh giá hiệu suất của nhà cung cấp 1213. 质量控制标准执行情况 (Zhìliàng kòngzhì biāozhǔn zhíxíng qíngkuàng) - Tình trạng thực hiện tiêu chuẩn kiểm soát chất lượng 1214. 物料供应风险管理报告 (Wùliào gōngyìng fēngxiǎn guǎnlǐ bàogào) - Báo cáo quản lý rủi ro cung cấp vật liệu 1215. 生产计划调整策略效果评估 (Shēngchǎn jìhuà tiáozhěng cèlüè xiàoguǒ pínggū) - Đánh giá kết quả hiệu quả của chiến lược điều chỉnh kế hoạch sản xuất 1216. 供应商交货时间控制方案 (Gōngyìngshāng jiāohuò shíjiān kòngzhì fāng'àn) - Phương án kiểm soát thời gian giao hàng từ nhà cung cấp 1217. 物料采购流程改进建议 (Wùliào cǎigòu liúchéng gǎishàn jiànyì) - Đề xuất cải tiến quy trình mua hàng vật liệu 1218. 生产资源利用效率评估报告 (Shēngchǎn zīyuán lìyòng xiàolǜ pínggū bàogào) - Báo cáo đánh giá hiệu suất sử dụng tài nguyên sản xuất 1219. 供应商供货能力评估与提升计划 (Gōngyìngshāng gōnghuò nénglì pínggū yǔ tíshēng jìhuà) - Kế hoạch đánh giá và nâng cao khả năng cung cấp hàng từ nhà cung cấp 1220. 物料库存消耗分析结果 (Wùliào kùcún xiāohào fēnxī jiéguǒ) - Kết quả phân tích tiêu thụ tồn kho vật liệu 1221. 物料采购成本优化策略方案 (Wùliào cǎigòu chéngběn yōuhuà cèlüè fāng'àn) - Phương án chiến lược tối ưu hóa chi phí mua hàng vật liệu 1222. 生产过程监控系统改进计划 (Shēngchǎn guòchéng jiānkòng xìtǒng gǎishàn jìhuà) - Kế hoạch cải tiến hệ thống giám sát quy trình sản xuất 1223. 生产计划执行审查 (Shēngchǎn jìhuà zhíxíng shěnchá) - Kiểm tra thực hiện kế hoạch sản xuất 1224. 供应商合作能力评估报告 (Gōngyìngshāng xiézuò nénglì pínggū bàogào) - Báo cáo đánh giá khả năng hợp tác của nhà cung cấp 1225. 物料库存管理流程改进 (Wùliào kùcún guǎnlǐ liúchéng gǎishàn) - Cải thiện quy trình quản lý tồn kho vật liệu 1226. 生产效率提升措施评估 (Shēngchǎn xiàolǜ tíshēng cuòshī pínggū) - Đánh giá biện pháp nâng cao hiệu suất sản xuất 1227. 供应商绩效评价分析 (Gōngyìngshāng jìxiào píngjià fēnxī) - Phân tích đánh giá hiệu suất của nhà cung cấp 1228. 质量控制标准执行情况报告 (Zhìliàng kòngzhì biāozhǔn zhíxíng qíngkuàng bàogào) - Báo cáo tình trạng thực hiện tiêu chuẩn kiểm soát chất lượng 1229. 物料供应风险管理策略 (Wùliào gōngyìng fēngxiǎn guǎnlǐ cèlüè) - Chiến lược quản lý rủi ro cung cấp vật liệu 1230. 生产计划调整策略实施 (Shēngchǎn jìhuà tiáozhěng cèlüè shíshī) - Thực hiện chiến lược điều chỉnh kế hoạch sản xuất 1231. 供应商交货时间控制方案评估 (Gōngyìngshāng jiāohuò shíjiān kòngzhì fāng'àn pínggū) - Đánh giá phương án kiểm soát thời gian giao hàng từ nhà cung cấp 1232. 物料采购流程改进建议报告 (Wùliào cǎigòu liúchéng gǎishàn jiànyì bàogào) - Báo cáo đề xuất cải thiện quy trình mua hàng vật liệu 1233. 生产资源利用效率评估与优化 (Shēngchǎn zīyuán lìyòng xiàolǜ pínggū yǔ yōuhuà) - Đánh giá và tối ưu hóa hiệu suất sử dụng tài nguyên sản xuất 1234. 供应商供货能力评估与提升方案 (Gōngyìngshāng gōnghuò nénglì pínggū yǔ tíshēng fāng'àn) - Phương án đánh giá và nâng cao khả năng cung cấp hàng từ nhà cung cấp 1235. 质量异常处理流程改进措施 (Zhìliàng yìcháng chǔlǐ liúchéng gǎishàn cuòshī) - Biện pháp cải thiện quy trình xử lý sự cố chất lượng 1236. 物料库存消耗分析结果报告 (Wùliào kùcún xiāohào fēnxī jiéguǒ bàogào) - Báo cáo kết quả phân tích tiêu thụ tồn kho vật liệu 1237. 生产效率评估与改进方案实施 (Shēngchǎn xiàolǜ pínggū yǔ gǎishàn fāng'àn shíshī) - Thực hiện phương án đánh giá và cải tiến hiệu suất sản xuất 1238. 供应商供货质量控制措施实施 (Gōngyìngshāng gōnghuò zhìliàng kòngzhì cuòshī shíshī) - Thực hiện biện pháp kiểm soát chất lượng hàng cung cấp từ nhà cung cấp 1239. 物料采购成本优化策略实施方案 (Wùliào cǎigòu chéngběn yōuhuà cèlüè shíshī fāng'àn) - Thực hiện phương án chiến lược tối ưu hóa chi phí mua hàng vật liệu 1240. 生产过程监控系统改进计划报告 (Shēngchǎn guòchéng jiānkòng xìtǒng gǎishàn jìhuà bàogào) - Báo cáo kế hoạch cải tiến hệ thống giám sát quy trình sản xuất 1241. 供应商供货合同评估与优化方案 (Gōngyìngshāng gōnghuò hétóng pínggū yǔ yōuhuà fāng'àn) - Phương án đánh giá và tối ưu hóa hợp đồng cung cấp hàng từ nhà cung cấp 1242. 物料供应可靠性评估报告结果 (Wùliào gōngyìng kěkàoxìng pínggū bàogào jiéguǒ) - Kết quả báo cáo đánh giá tính đáng tin cậy của nguồn cung vật liệu 1243. 生产计划执行进展报告 (Shēngchǎn jìhuà zhíxíng jìnzhǎn bàogào) - Báo cáo tiến độ thực hiện kế hoạch sản xuất 1244. 供应商协作能力提升措施 (Gōngyìngshāng xiézuò nénglì tíshēng cuòshī) - Biện pháp nâng cao khả năng hợp tác của nhà cung cấp 1245. 物料库存管理流程优化计划 (Wùliào kùcún guǎnlǐ liúchéng yōuhuà jìhuà) - Kế hoạch tối ưu hóa quy trình quản lý tồn kho vật liệu 1246. 供应商绩效评价结果 (Gōngyìngshāng jìxiào píngjià jiéguǒ) - Kết quả đánh giá hiệu suất của nhà cung cấp 1247. 质量控制标准执行报告 (Zhìliàng kòngzhì biāozhǔn zhíxíng bàogào) - Báo cáo thực hiện tiêu chuẩn kiểm soát chất lượng 1248. 物料采购流程改进建议 (Wùliào cǎigòu liúchéng gǎishàn jiànyì) - Đề xuất cải thiện quy trình mua hàng vật liệu 1249. 供应商协作能力评估报告 (Gōngyìngshāng xiézuò nénglì pínggū bàogào) - Báo cáo đánh giá khả năng hợp tác của nhà cung cấp 1250. 生产计划执行情况报告 (Shēngchǎn jìhuà zhíxíng qíngkuàng bàogào) - Báo cáo tình hình thực hiện kế hoạch sản xuất 1251. 生产计划执行监控 (Shēngchǎn jìhuà zhíxíng jiānkòng) - Giám sát thực hiện kế hoạch sản xuất 1252. 供应商合作协议评估 (Gōngyìngshāng hézuò xiéyì pínggū) - Đánh giá hợp đồng hợp tác với nhà cung cấp 1253. 生产效率改善方案 (Shēngchǎn xiàolǜ gǎishàn fāng'àn) - Phương án cải thiện hiệu suất sản xuất 1254. 供应商绩效考核结果 (Gōngyìngshāng jìxiào kǎohé jiéguǒ) - Kết quả đánh giá hiệu suất của nhà cung cấp 1255. 质量控制标准执行情况 (Zhìliàng kòngzhì biāozhǔn zhíxíng qíngkuàng) - Tình hình thực hiện tiêu chuẩn kiểm soát chất lượng 1256. 生产计划调整评估 (Shēngchǎn jìhuà tiáozhěng pínggū) - Đánh giá điều chỉnh kế hoạch sản xuất 1257. 供应商交货时间分析 (Gōngyìngshāng jiāohuò shíjiān fēnxī) - Phân tích thời gian giao hàng của nhà cung cấp 1258. 生产资源利用效率改进 (Shēngchǎn zīyuán lìyòng xiàolǜ gǎishàn) - Cải thiện hiệu suất sử dụng tài nguyên sản xuất 1259. 质量异常处理策略 (Zhìliàng yìcháng chǔlǐ cèlüè) - Chiến lược xử lý sự cố chất lượng 1260. 生产效率改进方案实施 (Shēngchǎn xiàolǜ gǎishàn fāng'àn shíshī) - Thực hiện phương án cải thiện hiệu suất sản xuất 1261. 供应商供货质量控制实施 (Gōngyìngshāng gōnghuò zhìliàng kòngzhì shíshī) - Thực hiện kiểm soát chất lượng hàng cung cấp của nhà cung cấp 1262. 物料采购成本优化方案 (Wùliào cǎigòu chéngběn yōuhuà fāng'àn) - Phương án tối ưu hóa chi phí mua hàng vật liệu 1263. 供应商供货合同优化方案 (Gōngyìngshāng gōnghuò hétóng yōuhuà fāng'àn) - Phương án tối ưu hóa hợp đồng cung cấp của nhà cung cấp 1264. 物料供应可靠性评估 (Wùliào gōngyìng kěkàoxìng pínggū) - Đánh giá tính đáng tin cậy của nguồn cung cấp vật liệu 1265. 生产计划执行进度报告 (Shēngchǎn jìhuà zhíxíng jìndù bàogào) - Báo cáo tiến độ thực hiện kế hoạch sản xuất 1266. 供应商绩效考核报告 (Gōngyìngshāng jìxiào kǎohé bàogào) - Báo cáo đánh giá hiệu suất của nhà cung cấp 1267. 物料库存管理策略调整 (Wùliào kùcún guǎnlǐ cèlüè tiáozhěng) - Điều chỉnh chiến lược quản lý tồn kho vật liệu 1268. 生产效率改进措施评估 (Shēngchǎn xiàolǜ gǎishàn cuòshī pínggū) - Đánh giá biện pháp cải thiện hiệu suất sản xuất 1269. 质量控制标准执行情况报告 (Zhìliàng kòngzhì biāozhǔn zhíxíng qíngkuàng bàogào) - Báo cáo tình hình thực hiện tiêu chuẩn kiểm soát chất lượng 1270. 生产计划调整评估与优化 (Shēngchǎn jìhuà tiáozhěng pínggū yǔ yōuhuà) - Đánh giá và tối ưu hóa việc điều chỉnh kế hoạch sản xuất 1271. 供应商交货时间控制方案评估 (Gōngyìngshāng jiāohuò shíjiān kòngzhì fāng'àn pínggū) - Đánh giá phương án kiểm soát thời gian giao hàng của nhà cung cấp 1272. 供应商供货合同评估与优化方案 (Gōngyìngshāng gōnghuò hétóng pínggū yǔ yōuhuà fāng'àn) - Đánh giá và tối ưu hóa hợp đồng cung cấp hàng từ nhà cung cấp 1273. 生产计划执行效果评估 (Shēngchǎn jìhuà zhíxíng xiàoguǒ pínggū) - Đánh giá kết quả thực hiện kế hoạch sản xuất 1274. 物料库存管理效率评估 (Wùliào kùcún guǎnlǐ xiàolǜ pínggū) - Đánh giá hiệu suất quản lý tồn kho vật liệu 1275. 生产效率改善措施评估 (Shēngchǎn xiàolǜ gǎishàn cuòshī pínggū) - Đánh giá biện pháp cải thiện hiệu suất sản xuất 1276. 物料供应风险评估方案 (Wùliào gōngyìng fēngxiǎn pínggū fāng'àn) - Phương án đánh giá rủi ro cung cấp vật liệu 1277. 生产计划调整评估报告 (Shēngchǎn jìhuà tiáozhěng pínggū bàogào) - Báo cáo đánh giá việc điều chỉnh kế hoạch sản xuất 1278. 物料采购流程优化建议 (Wùliào cǎigòu liúchéng yōuhuà jiànyì) - Đề xuất tối ưu hóa quy trình mua hàng vật liệu 1279. 质量异常处理流程改进 (Zhìliàng yìcháng chǔlǐ liúchéng gǎishàn) - Cải thiện quy trình xử lý sự cố chất lượng 1280. 生产效率评估与改进实施 (Shēngchǎn xiàolǜ pínggū yǔ gǎishàn shíshī) - Thực hiện phương án đánh giá và cải tiến hiệu suất sản xuất 1281. 供应商供货质量控制实施方案 (Gōngyìngshāng gōnghuò zhìliàng kòngzhì shíshī fāng'àn) - Thực hiện phương án kiểm soát chất lượng hàng cung cấp từ nhà cung cấp 1282. 物料采购成本优化策略实施 (Wùliào cǎigòu chéngběn yōuhuà cèlüè shíshī) - Thực hiện phương án chiến lược tối ưu hóa chi phí mua hàng vật liệu 1283. 供应商合作协议效益评估 (Gōngyìngshāng hézuò xiéyì xiàoyì pínggū) - Đánh giá hiệu quả hợp đồng hợp tác với nhà cung cấp 1284. 供应商供货能力评估与提升 (Gōngyìngshāng gōnghuò nénglì pínggū yǔ tíshēng) - Đánh giá và nâng cao khả năng cung cấp của nhà cung cấp 1285. 供应商供货质量控制实施方案 (Gōngyìngshāng gōnghuò zhìliàng kòngzhì shíshī fāng'àn) - Thực hiện phương án kiểm soát chất lượng của nhà cung cấp 1286. 供应商供货合同评估与优化方案 (Gōngyìngshāng gōnghuò hétóng pínggū yǔ yōuhuà fāng'àn) - Đánh giá và tối ưu hóa hợp đồng cung cấp của nhà cung cấp 1287. 生产计划执行评估报告 (Shēngchǎn jìhuà zhíxíng pínggū bàogào) - Báo cáo đánh giá thực hiện kế hoạch sản xuất 1288. 供应商绩效管理方案 (Gōngyìngshāng jìxiào guǎnlǐ fāng'àn) - Phương án quản lý hiệu suất của nhà cung cấp 1289. 物料库存管理效能评估 (Wùliào kùcún guǎnlǐ xiàolǜ pínggū) - Đánh giá hiệu suất quản lý tồn kho vật liệu 1290. 供应商绩效评估报告 (Gōngyìngshāng jìxiào pínggū bàogào) - Báo cáo đánh giá hiệu suất của nhà cung cấp 1291. 供应商绩效提升方案 (Gōngyìngshāng jìxiào tíshēng fāng'àn) - Phương án nâng cao hiệu suất của nhà cung cấp 1292. 物料库存管理效益评估 (Wùliào kùcún guǎnlǐ xiàolǜ pínggū) - Đánh giá lợi ích từ việc quản lý tồn kho vật liệu 1293. 物料供应风险评估 (Wùliào gōngyìng fēngxiǎn pínggū) - Đánh giá rủi ro từ việc cung cấp vật liệu 1294. 生产计划调整评估 (Shēngchǎn jìhuà tiáozhěng pínggū) - Đánh giá việc điều chỉnh kế hoạch sản xuất 1295. 生产效率评估与改进实施 (Shēngchǎn xiàolǜ pínggū yǔ gǎishàn shíshī) - Thực hiện đánh giá và cải thiện hiệu suất sản xuất 1296. 物料采购成本优化策略实施 (Wùliào cǎigòu chéngběn yōuhuà cèlüè shíshī) - Thực hiện chiến lược tối ưu hóa chi phí mua hàng vật liệu 1297. 物料供应可靠性评估报告结果 (Wùliào gōngyìng kěkàoxìng pínggū bàogào jiéguǒ) - Báo cáo kết quả đánh giá tính đáng tin cậy của nguồn cung vật liệu 1298. 生产计划执行效果评估 (Shēngchǎn jìhuà zhíxíng xiàoguǒ pínggū) - Đánh giá hiệu quả thực hiện kế hoạch sản xuất 1299. 供应商供货质量控制实施方案 (Gōngyìngshāng gōnghuò zhìliàng kòngzhì shíshī fāng'àn) - Phương án thực hiện kiểm soát chất lượng của nhà cung cấp 1300. 生产过程质量管理改进计划 (Shēngchǎn guòchéng zhìliàng guǎnlǐ gǎishàn jìhuà) - Kế hoạch cải tiến quản lý chất lượng quy trình sản xuất 1301. 物料库存监控系统改进方案 (Wùliào kùcún jiānkòng xìtǒng gǎishàn fāng'àn) - Phương án cải tiến hệ thống giám sát tồn kho vật liệu 1302. 生产计划执行情况评估报告 (Shēngchǎn jìhuà zhíxíng qíngkuàng pínggū bàogào) - Báo cáo đánh giá tình hình thực hiện kế hoạch sản xuất 1303. 物料库存管理效益评估 (Wùliào kùcún guǎnlǐ xiàolǜ pínggū) - Đánh giá hiệu quả quản lý tồn kho vật liệu → Từ vựng tiếng Trung theo chủ đề Vận hành phòng PMC Công xưởng là một nguồn thông tin quan trọng để nâng cao vốn từ vựng tiếng Trung trong lĩnh vực quản lý sản xuất và vận hành công xưởng. HỌC BÁ CHINESE TỰ HÀO SỞ HỮU: ✪ Tư duy ngôn ngữ từ Đại học Harvard: Chương trình đào tạo chuẩn quốc tế, được cố vấn chuyên môn bởi PGS.TS Hà Bảo Chương (Nguyên Giám đốc chương trình Tiếng Trung tại Đại học Harvard). ✪ Phương pháp PBL (Project-Based Learning) độc quyền: Không học vẹt lý thuyết, lộ trình tập trung vào việc xử lý các dự án thực tế tại văn phòng và nhà máy. Kiến thức được chắt lọc trọng tâm giúp người đi làm tối ưu hóa hiệu quả và rút ngắn thời gian học tối đa. ✪ Đội ngũ Giáo viên Thạc sĩ - Tiến sĩ thực chiến: Được dẫn dắt trực tiếp bởi các Thạc sĩ, Tiến sĩ chính quy giàu kinh nghiệm thực địa. Không chỉ giỏi chuyên môn, các thầy cô còn am hiểu văn hóa doanh nghiệp Trung - Đài để truyền tài tư duy làm việc thực tế cho học viên. ✪ Cam kết đầu ra bằng văn bản: Đảm bảo năng lực ứng dụng công việc thực tế theo đúng các tiêu chí trong hợp đồng đào tạo. Học viên được hỗ trợ học lại hoàn toàn miễn phí nếu không đạt mục tiêu đầu ra như cam kết. ✪ Bảo chứng uy tín từ thị trường nhân sự: Học Bá Chinese tự hào là đối tác tin cậy được hơn 5000 học viên và hơn 100 doanh nghiệp lựa chọn đồng hành trên con đường bứt phá ngôn ngữ và thăng tiến sự nghiệp. Hãy liên hệ với Học Bá qua hotline 0888861786 hoặc click nút dưới đây để được tư vấn chi tiết nha!</t>
        </is>
      </c>
      <c r="E1848" s="92" t="inlineStr">
        <is>
          <t>999. 库存管理方法 (Kùcún guǎnlǐ fāngfǎ) - Phương pháp quản lý tồn kho 1000. 生产计划优化 (Shēngchǎn jìhuà yōuhuà) - Tối ưu hóa kế hoạch sản xuất 1001. 供应商业绩考核 (Gōngyìngshāng yèjì kǎohé) - Đánh giá hiệu suất của nhà cung cấp 1002. 质量监督检查 (Zhìliàng jiāndū jiǎnchá) - Kiểm tra giám sát chất lượng 1003. 物料供应链可靠性 (Wùliào gōngyìng liàn kěkàoxìng) - Độ tin cậy của chuỗi cung ứng vật liệu 1004. 供应商采购合同 (Gōngyìngshāng cǎigòu hétóng) - Hợp đồng mua hàng với nhà cung cấp 1005. 生产流程改进 (Shēngchǎn liúchéng gǎijìn) - Cải tiến quy trình sản xuất 1006. 生产计划排程 (Shēngchǎn jìhuà páichéng) - Lập kế hoạch và sắp xếp sản xuất 1007. 供应商物流服务 (Gōngyìngshāng wùliú fúwù) - Dịch vụ vận chuyển của nhà cung cấp 1008. 物料需求预测 (Wùliào xūqiú yùcè) - Dự báo nhu cầu vật liệu 1009. 生产工艺流程控制 (Shēngchǎn gōngyì liúchéng kòngzhì) - Kiểm soát quy trình công nghệ sản xuất 1010. 供应商评估报告 (Gōngyìngshāng pínggū bàogào) - Báo cáo đánh giá nhà cung cấp 1011. 质量管理体系建立 (Zhìliàng guǎnlǐ tǐxì jiànlì) - Thiết lập hệ thống quản lý chất lượng 1012. 物料采购策略 (Wùliào cǎigòu cèlüè) - Chiến lược mua hàng vật liệu 1013. 生产计划执行情况分析 (Shēngchǎn jìhuà zhíxíng qíngkuàng fēnxī) - Phân tích tình hình thực hiện kế hoạch sản xuất 1014. 供应商交付质量检查 (Gōngyìngshāng jiāofù zhìliàng jiǎnchá) - Kiểm tra chất lượng giao hàng từ nhà cung cấp 1015. 生产设备维护计划 (Shēngchǎn shèbèi wéihù jìhuà) - Kế hoạch bảo dưỡng thiết bị sản xuất 1016. 供应商配合度评估 (Gōngyìngshāng pèihé dù pínggū) - Đánh giá mức độ hợp tác của nhà cung cấp 1017. 质量问题跟踪 (Zhìliàng wèntí gēnzōng) - Theo dõi vấn đề chất lượng 1018. 物料供应链效率 (Wùliào gōngyìng liàn xiàolǜ) - Hiệu suất chuỗi cung ứng vật liệu 1019. 生产资源利用率 (Shēngchǎn zīyuán lìyòng lǜ) - Tỷ lệ sử dụng tài nguyên sản xuất 1020. 供应商服务质量评估 (Gōngyìngshāng fúwù zhìliàng pínggū) - Đánh giá chất lượng dịch vụ của nhà cung cấp 1021. 物料交付时间安排 (Wùliào jiāofù shíjiān ānpái) - Sắp xếp thời gian giao hàng vật liệu 1022. 生产能力评估 (Shēngchǎn nénglì pínggū) - Đánh giá năng lực sản xuất 1023. 供应商交货准时率 (Gōngyìngshāng jiāohuò zhǔnshí lǜ) - Tỷ lệ giao hàng đúng hẹn của nhà cung cấp 1024. 物料采购成本控制 (Wùliào cǎigòu chéngběn kòngzhì) - Kiểm soát chi phí mua hàng vật liệu 1025. 生产任务进度 (Shēngchǎn rènwu jìndù) - Tiến độ công việc sản xuất 1026. 供应商合作条款 (Gōngyìngshāng hézuò tiáokuǎn) - Điều khoản hợp tác với nhà cung cấp 1027. 物料需求预测模型 (Wùliào xūqiú yùcè móxíng) - Mô hình dự báo nhu cầu vật liệu 1028. 生产成本控制 (Shēngchǎn chéngběn kòngzhì) - Kiểm soát chi phí sản xuất 1029. 供应商资质审核 (Gōngyìngshāng zīzhì shěnhé) - Kiểm tra chứng chỉ của nhà cung cấp 1030. 物料供应商选择 (Wùliào gōngyìngshāng xuǎnzé) - Lựa chọn nhà cung cấp vật liệu 1031. 生产计划调整策略 (Shēngchǎn jìhuà tiáozhěng cèlüè) - Chiến lược điều chỉnh kế hoạch sản xuất 1032. 供应商合作伙伴关系 (Gōngyìngshāng hézuò huǒbàn guānxì) - Mối quan hệ đối tác hợp tác với nhà cung cấp 1033. 物料库存盘点周期 (Wùliào kùcún pándiǎn zhōuqī) - Chu kỳ kiểm kê tồn kho vật liệu 1034. 生产效率改进方案 (Shēngchǎn xiàolǜ gǎishàn fāng'àn) - Phương án cải tiến hiệu suất sản xuất 1035. 物料采购流程优化 (Wùliào cǎigòu liúchéng yōuhuà) - Tối ưu hóa quy trình mua hàng vật liệu 1036. 生产作业安排 (Shēngchǎn zuòyè ānpái) - Sắp xếp công việc sản xuất 1037. 供应商价格谈判技巧 (Gōngyìngshāng jiàgé tánpàn jìqiǎo) - Kỹ năng đàm phán giá với nhà cung cấp 1038. 质量问题解决方案 (Zhìliàng wèntí jiějué fāng'àn) - Phương án giải quyết vấn đề chất lượng 1039. 物料供应管理 (Wùliào gōngyìng guǎnlǐ) - Quản lý nguồn cung vật liệu 1040. 生产流程优化建议 (Shēngchǎn liúchéng yōuhuà jiànyì) - Đề xuất tối ưu hóa quy trình sản xuất 1041. 供应商交付时间监控 (Gōngyìngshāng jiāofù shíjiān jiānkòng) - Giám sát thời gian giao hàng của nhà cung cấp 1042. 物料库存周转率 (Wùliào kùcún zhōuzuǎn lǜ) - Tỷ lệ quay vòng tồn kho vật liệu 1043. 生产资源调配 (Shēngchǎn zīyuán diàopèi) - Phân bổ tài nguyên sản xuất 1044. 供应商合同履行 (Gōngyìngshāng hétóng lǚxíng) - Thực hiện hợp đồng với nhà cung cấp 1045. 物料供应商协调 (Wùliào gōngyìngshāng xiétiáo) - Phối hợp với nhà cung cấp vật liệu 1046. 生产能力提升 (Shēngchǎn nénglì tíshēng) - Nâng cao khả năng sản xuất 1047. 供应商绩效管理 (Gōngyìngshāng jìxiào guǎnlǐ) - Quản lý hiệu suất của nhà cung cấp 1048. 质量检验标准 (Zhìliàng jiǎnyàn biāozhǔn) - Tiêu chuẩn kiểm tra chất lượng 1049. 物料供应来源 (Wùliào gōngyìng láiyuán) - Nguồn cung cấp vật liệu 1050. 供应商供货周期 (Gōngyìngshāng gōnghuò zhōuqī) - Chu kỳ cung cấp hàng hóa của nhà cung cấp 1051. 物料采购渠道 (Wùliào cǎigòu qúdào) - Kênh mua hàng vật liệu 1052. 生产排程安排 (Shēngchǎn páichéng ānpái) - Sắp xếp lịch trình sản xuất 1053. 供应商资质认证 (Gōngyìngshāng zīzhì rènzhèng) - Chứng chỉ uy tín của nhà cung cấp 1054. 物料供应短缺 (Wùliào gōngyìng duǎnquē) - Thiếu hụt nguồn cung vật liệu 1055. 生产工艺改进 (Shēngchǎn gōngyì gǎijìn) - Cải thiện công nghệ sản xuất 1056. 供应商服务支持 (Gōngyìngshāng fúwù zhīchí) - Hỗ trợ dịch vụ của nhà cung cấp 1057. 质量异常处理流程 (Zhìliàng yìcháng chǔlǐ liúchéng) - Quy trình xử lý sự cố chất lượng 1058. 物料库存管理系统 (Wùliào kùcún guǎnlǐ xìtǒng) - Hệ thống quản lý tồn kho vật liệu 1059. 生产任务执行 (Shēngchǎn rènwu zhíxíng) - Thực hiện nhiệm vụ sản xuất 1060. 供应商成本优化 (Gōngyìngshāng chéngběn yōuhuà) - Tối ưu hóa chi phí của nhà cung cấp 1061. 物料采购预算控制 (Wùliào cǎigòu yùsuàn kòngzhì) - Kiểm soát ngân sách mua hàng vật liệu 1062. 生产计划执行情况评估 (Shēngchǎn jìhuà zhíxíng qíngkuàng pínggū) - Đánh giá tình hình thực hiện kế hoạch sản xuất 1063. 供应商供货周期管理 (Gōngyìngshāng gōnghuò zhōuqī guǎnlǐ) - Quản lý chu kỳ cung cấp hàng của nhà cung cấp 1064. 物料库存成本控制 (Wùliào kùcún chéngběn kòngzhì) - Kiểm soát chi phí tồn kho vật liệu 1065. 生产线平衡调度 (Shēngchǎn xiàn pínghéng diàodù) - Điều chỉnh cân bằng dây chuyền sản xuất 1066. 质量问题预防措施 (Zhìliàng wèntí yùfáng cuòshī) - Biện pháp phòng ngừa vấn đề chất lượng 1067. 物料采购供应链 (Wùliào cǎigòu gōngyìng liàn) - Chuỗi cung ứng mua hàng vật liệu 1068. 生产能力提升计划 (Shēngchǎn nénglì tíshēng jìhuà) - Kế hoạch nâng cao năng lực sản xuất 1069. 供应商绩效考核制度 (Gōngyìngshāng jìxiào kǎohé zhìdù) - Hệ thống đánh giá hiệu suất của nhà cung cấp 1070. 物料供应透明度 (Wùliào gōngyìng tòumíngdù) - Sự minh bạch trong nguồn cung vật liệu 1071. 生产工艺流程优化 (Shēngchǎn gōngyì liúchéng yōuhuà) - Tối ưu hóa quy trình công nghệ sản xuất 1072. 质量问题处理方案 (Zhìliàng wèntí chǔlǐ fāng'àn) - Phương án xử lý vấn đề chất lượng 1073. 物料采购价格谈判 (Wùliào cǎigòu jiàgé tánpàn) - Đàm phán giá mua hàng vật liệu 1074. 生产效率指标 (Shēngchǎn xiàolǜ zhǐbiāo) - Chỉ số hiệu suất sản xuất 1075. 供应商供货能力评估 (Gōngyìngshāng gōnghuò nénglì pínggū) - Đánh giá khả năng cung cấp hàng của nhà cung cấp 1076. 物料采购审批流程 (Wùliào cǎigòu shěnpī liúchéng) - Quy trình phê duyệt mua hàng vật liệu 1077. 生产计划调整方案 (Shēngchǎn jìhuà tiáozhěng fāng'àn) - Phương án điều chỉnh kế hoạch sản xuất 1078. 供应商供货可靠性 (Gōngyìngshāng gōnghuò kěkàoxìng) - Độ tin cậy của hàng cung cấp từ nhà cung cấp 1079. 物料库存管理政策 (Wùliào kùcún guǎnlǐ zhèngcè) - Chính sách quản lý tồn kho vật liệu 1080. 生产任务分派 (Shēngchǎn rènwu fēnpài) - Phân công nhiệm vụ sản xuất 1081. 供应商信誉评价 (Gōngyìngshāng xìnyù píngjià) - Đánh giá uy tín của nhà cung cấp 1082. 物料库存周转周期 (Wùliào kùcún zhōuzuǎn zhōuqī) - Chu kỳ quay vòng tồn kho vật liệu 1083. 生产计划执行效率 (Shēngchǎn jìhuà zhíxíng xiàolǜ) - Hiệu suất thực hiện kế hoạch sản xuất 1084. 供应商评估报告分析 (Gōngyìngshāng pínggū bàogào fēnxī) - Phân tích báo cáo đánh giá nhà cung cấp 1085. 质量改善措施 (Zhìliàng gǎishàn cuòshī) - Biện pháp cải thiện chất lượng 1086. 生产效率提升计划 (Shēngchǎn xiàolǜ tíshēng jìhuà) - Kế hoạch nâng cao hiệu suất sản xuất 1087. 供应商评级体系 (Gōngyìngshāng píngjí tǐxì) - Hệ thống đánh giá cấp độ của nhà cung cấp 1088. 物料采购合同签订 (Wùliào cǎigòu hétóng qiāndìng) - Ký kết hợp đồng mua hàng vật liệu 1089. 生产设备维护保养 (Shēngchǎn shèbèi wéihù bǎoyǎng) - Bảo dưỡng và bảo trì thiết bị sản xuất 1090. 供应商供货时间 (Gōngyìngshāng gōnghuò shíjiān) - Thời gian cung cấp hàng từ nhà cung cấp 1091. 质量问题整改 (Zhìliàng wèntí zhěnggǎi) - Sửa đổi vấn đề chất lượng 1092. 物料采购需求分析 (Wùliào cǎigòu xūqiú fēnxī) - Phân tích nhu cầu mua hàng vật liệu 1093. 生产线效率优化 (Shēngchǎn xiàn xiàolǜ yōuhuà) - Tối ưu hóa hiệu suất dây chuyền sản xuất 1094. 供应商供货及时性 (Gōngyìngshāng gōnghuò jíshíxìng) - Tính đúng hạn của hàng cung cấp từ nhà cung cấp 1095. 物料库存预警机制 (Wùliào kùcún yùjǐng jīzhì) - Cơ chế cảnh báo tồn kho vật liệu 1096. 生产过程监控系统 (Shēngchǎn guòchéng jiānkòng xìtǒng) - Hệ thống giám sát quy trình sản xuất 1097. 供应商采购成本优化 (Gōngyìngshāng cǎigòu chéngběn yōuhuà) - Tối ưu hóa chi phí mua hàng của nhà cung cấp 1098. 质量问题溯源分析 (Zhìliàng wèntí sùyuán fēnxī) - Phân tích nguồn gốc của vấn đề chất lượng 1099. 生产计划调整措施 (Shēngchǎn jìhuà tiáozhěng cuòshī) - Biện pháp điều chỉnh kế hoạch sản xuất 1100. 供应商供货质量检验 (Gōngyìngshāng gōnghuò zhìliàng jiǎnyàn) - Kiểm tra chất lượng hàng cung cấp từ nhà cung cấp 1101. 物料采购渠道多样化 (Wùliào cǎigòu qúdào duōyànghuà) - Đa dạng hóa kênh mua hàng vật liệu 1102. 生产资源配置优化 (Shēngchǎn zīyuán pèizhì yōuhuà) - Tối ưu hóa phân bổ tài nguyên sản xuất 1103. 供应商供货能力分析 (Gōngyìngshāng gōnghuò nénglì fēnxī) - Phân tích khả năng cung cấp hàng từ nhà cung cấp 1104. 质量监督检查报告 (Zhìliàng jiāndū jiǎnchá bàogào) - Báo cáo kiểm tra giám sát chất lượng 1105. 物料采购价格竞争 (Wùliào cǎigòu jiàgé jìngzhēng) - Cạnh tranh giá mua hàng vật liệu 1106. 生产流程持续改进 (Shēngchǎn liúchéng chíxù gǎijìn) - Cải tiến liên tục quy trình sản xuất 1107. 供应商绩效奖惩机制 (Gōngyìngshāng jìxiào jiǎngchěng jīzhì) - Cơ chế thưởng phạt hiệu suất của nhà cung cấp 1108. 物料供应紧急处理 (Wùliào gōngyìng jǐnjí chǔlǐ) - Xử lý khẩn cấp nguồn cung vật liệu 1109. 生产计划执行进度 (Shēngchǎn jìhuà zhíxíng jìndù) - Tiến độ thực hiện kế hoạch sản xuất 1110. 供应商供货透明度 (Gōngyìngshāng gōnghuò tòumíngdù) - Tính minh bạch của hàng cung cấp từ nhà cung cấp 1111. 质量控制流程改善 (Zhìliàng kòngzhì liúchéng gǎishàn) - Cải thiện quy trình kiểm soát chất lượng 1112. 物料采购成本降低 (Wùliào cǎigòu chéngběn jiàngdī) - Giảm chi phí mua hàng vật liệu 1113. 生产效率评估报告 (Shēngchǎn xiàolǜ pínggū bàogào) - Báo cáo đánh giá hiệu suất sản xuất 1114. 供应商供货可靠性评估 (Gōngyìngshāng gōnghuò kěkàoxìng pínggū) - Đánh giá tính đáng tin cậy của hàng cung cấp từ nhà cung cấp 1115. 物料库存安全预警 (Wùliào kùcún ānquán yùjǐng) - Cảnh báo an toàn tồn kho vật liệu 1116. 生产设备维修保养计划 (Shēngchǎn shèbèi wéixiū bǎoyǎng jìhuà) - Kế hoạch bảo trì và bảo dưỡng thiết bị sản xuất 1117. 供应商供货周期调整 (Gōngyìngshāng gōnghuò zhōuqī tiáozhěng) - Điều chỉnh chu kỳ cung cấp hàng từ nhà cung cấp 1118. 物料采购合规性检查 (Wùliào cǎigòu hégūixìng jiǎnchá) - Kiểm tra tính tuân thủ của quy tắc mua hàng vật liệu 1119. 生产计划变更管理 (Shēngchǎn jìhuà biàngēng guǎnlǐ) - Quản lý thay đổi kế hoạch sản xuất 1120. 供应商供货协议签订 (Gōngyìngshāng gōnghuò xiéyì qiāndìng) - Ký kết hợp đồng cung cấp hàng với nhà cung cấp 1121. 生产效率提升策略 (Shēngchǎn xiàolǜ tíshēng cèlüè) - Chiến lược nâng cao hiệu suất sản xuất 1122. 供应商绩效评估指标 (Gōngyìngshāng jìxiào pínggū zhǐbiāo) - Chỉ số đánh giá hiệu suất của nhà cung cấp 1123. 质量问题处理流程 (Zhìliàng wèntí chǔlǐ liúchéng) - Quy trình xử lý vấn đề chất lượng 1124. 物料库存周转率优化 (Wùliào kùcún zhōuzuǎn lǜ yōuhuà) - Tối ưu hóa tỷ lệ quay vòng tồn kho vật liệu 1125. 生产设备维护保养计划 (Shēngchǎn shèbèi wéihù bǎoyǎng jìhuà) - Kế hoạch bảo trì và bảo dưỡng thiết bị sản xuất 1126. 供应商供货及时性评估 (Gōngyìngshāng gōnghuò jíshíxìng pínggū) - Đánh giá tính đúng hạn của hàng cung cấp từ nhà cung cấp 1127. 物料采购需求预测 (Wùliào cǎigòu xūqiú yùcè) - Dự báo nhu cầu mua hàng vật liệu 1128. 生产资源利用效率 (Shēngchǎn zīyuán lìyòng xiàolǜ) - Hiệu quả sử dụng tài nguyên sản xuất 1129. 供应商合同履行情况 (Gōngyìngshāng hétóng lǚxíng qíngkuàng) - Tình hình thực hiện hợp đồng của nhà cung cấp 1130. 质量异常处理机制 (Zhìliàng yìcháng chǔlǐ jīzhì) - Cơ chế xử lý sự cố chất lượng 1131. 物料供应透明度评估 (Wùliào gōngyìng tòumíngdù pínggū) - Đánh giá mức độ minh bạch của nguồn cung vật liệu 1132. 生产排程调整策略 (Shēngchǎn páichéng tiáozhěng cèlüè) - Chiến lược điều chỉnh lịch trình sản xuất 1133. 生产效率改进计划 (Shēngchǎn xiàolǜ gǎishàn jìhuà) - Kế hoạch cải thiện hiệu suất sản xuất 1134. 供应商供货管理系统 (Gōngyìngshāng gōnghuò guǎnlǐ xìtǒng) - Hệ thống quản lý hàng cung cấp từ nhà cung cấp 1135. 生产计划执行情况 (Shēngchǎn jìhuà zhíxíng qíngkuàng) - Tình hình thực hiện kế hoạch sản xuất 1136. 生产效率提升方案 (Shēngchǎn xiàolǜ tíshēng fāng'àn) - Phương án nâng cao hiệu suất sản xuất 1137. 供应商评价体系 (Gōngyìngshāng píngjià tǐxì) - Hệ thống đánh giá nhà cung cấp 1138. 物料供应风险评估 (Wùliào gōngyìng fēngxiǎn pínggū) - Đánh giá rủi ro cung cấp vật liệu 1139. 供应商交付时间 (Gōngyìngshāng jiāofù shíjiān) - Thời gian giao hàng từ nhà cung cấp 1140. 物料采购流程规范 (Wùliào cǎigòu liúchéng guīfàn) - Quy trình mua hàng vật liệu chuẩn mực 1141. 生产资源分配优化 (Shēngchǎn zīyuán fēnpèi yōuhuà) - Tối ưu hóa phân bổ tài nguyên sản xuất 1142. 供应商供货能力评估 (Gōngyìngshāng gōnghuò nénglì pínggū) - Đánh giá khả năng cung cấp hàng từ nhà cung cấp 1143. 物料库存消耗分析 (Wùliào kùcún xiāohào fēnxī) - Phân tích tiêu thụ tồn kho vật liệu 1144. 供应商供货质量控制 (Gōngyìngshāng gōnghuò zhìliàng kòngzhì) - Kiểm soát chất lượng hàng cung cấp từ nhà cung cấp 1145. 物料采购成本优化 (Wùliào cǎigòu chéngběn yōuhuà) - Tối ưu hóa chi phí mua hàng vật liệu 1146. 供应商供货合同 (Gōngyìngshāng gōnghuò hétóng) - Hợp đồng cung cấp hàng từ nhà cung cấp 1147. 物料供应可靠性评估 (Wùliào gōngyìng kěkàoxìng pínggū) - Đánh giá tính đáng tin cậy của nguồn cung vật liệu 1148. 生产计划执行效果 (Shēngchǎn jìhuà zhíxíng xiàoguǒ) - Hiệu quả thực hiện kế hoạch sản xuất 1149. 供应商协作能力 (Gōngyìngshāng xiézuò nénglì) - Khả năng hợp tác của nhà cung cấp 1150. 供应商交货时间 (Gōngyìngshāng jiāohuò shíjiān) - Thời gian giao hàng từ nhà cung cấp 1151. 生产计划执行监督 (Shēngchǎn jìhuà zhíxíng jiāndū) - Giám sát thực hiện kế hoạch sản xuất 1152. 供应商协作能力评估 (Gōngyìngshāng xiézuò nénglì pínggū) - Đánh giá khả năng hợp tác của nhà cung cấp 1153. 物料库存管理政策制定 (Wùliào kùcún guǎnlǐ zhèngcè zhìdìng) - Thiết lập chính sách quản lý tồn kho vật liệu 1154. 供应商表现评估 (Gōngyìngshāng biǎoxiàn pínggū) - Đánh giá hiệu suất của nhà cung cấp 1155. 质量控制标准制定 (Zhìliàng kòngzhì biāozhǔn zhìdìng) - Thiết lập tiêu chuẩn kiểm soát chất lượng 1156. 物料供应风险评估报告 (Wùliào gōngyìng fēngxiǎn pínggū bàogào) - Báo cáo đánh giá rủi ro cung cấp vật liệu 1157. 生产计划调整策略评估 (Shēngchǎn jìhuà tiáozhěng cèlüè pínggū) - Đánh giá chiến lược điều chỉnh kế hoạch sản xuất 1158. 供应商交货时间管理 (Gōngyìngshāng jiāohuò shíjiān guǎnlǐ) - Quản lý thời gian giao hàng từ nhà cung cấp 1159. 物料采购流程改进 (Wùliào cǎigòu liúchéng gǎishàn) - Cải tiến quy trình mua hàng vật liệu 1160. 生产资源分配效率 (Shēngchǎn zīyuán fēnpèi xiàolǜ) - Hiệu suất phân bổ tài nguyên sản xuất 1161. 供应商供货能力评估报告 (Gōngyìngshāng gōnghuò nénglì pínggū bàogào) - Báo cáo đánh giá khả năng cung cấp hàng từ nhà cung cấp 1162. 质量异常处理流程改善 (Zhìliàng yìcháng chǔlǐ liúchéng gǎishàn) - Cải thiện quy trình xử lý sự cố chất lượng 1163. 物料库存消耗分析报告 (Wùliào kùcún xiāohào fēnxī bàogào) - Báo cáo phân tích tiêu thụ tồn kho vật liệu 1164. 生产效率评估与改进 (Shēngchǎn xiàolǜ pínggū yǔ gǎishàn) - Đánh giá và cải tiến hiệu suất sản xuất 1165. 供应商供货质量控制措施 (Gōngyìngshāng gōnghuò zhìliàng kòngzhì cuòshī) - Biện pháp kiểm soát chất lượng hàng cung cấp từ nhà cung cấp 1166. 物料采购成本优化策略 (Wùliào cǎigòu chéngběn yōuhuà cèlüè) - Chiến lược tối ưu hóa chi phí mua hàng vật liệu 1167. 生产过程监控系统改进 (Shēngchǎn guòchéng jiānkòng xìtǒng gǎishàn) - Cải thiện hệ thống giám sát quy trình sản xuất 1168. 供应商供货合同评估 (Gōngyìngshāng gōnghuò hétóng pínggū) - Đánh giá hợp đồng cung cấp hàng từ nhà cung cấp 1169. 物料供应可靠性评估报告 (Wùliào gōngyìng kěkàoxìng pínggū bàogào) - Báo cáo đánh giá tính đáng tin cậy của nguồn cung vật liệu 1170. 生产计划执行评估 (Shēngchǎn jìhuà zhíxíng pínggū) - Đánh giá thực hiện kế hoạch sản xuất 1171. 供应商协作能力分析 (Gōngyìngshāng xiézuò nénglì fēnxī) - Phân tích khả năng hợp tác của nhà cung cấp 1172. 物料库存管理流程 (Wùliào kùcún guǎnlǐ liúchéng) - Quy trình quản lý tồn kho vật liệu 1173. 生产效率提升策略评估 (Shēngchǎn xiàolǜ tíshēng cèlüè pínggū) - Đánh giá chiến lược nâng cao hiệu suất sản xuất 1174. 供应商绩效考核 (Gōngyìngshāng jìxiào kǎohé) - Đánh giá hiệu suất của nhà cung cấp 1175. 物料采购流程改进方案 (Wùliào cǎigòu liúchéng gǎishàn fāng'àn) - Phương án cải tiến quy trình mua hàng vật liệu 1176. 生产资源分配效率评估 (Shēngchǎn zīyuán fēnpèi xiàolǜ pínggū) - Đánh giá hiệu suất phân bổ tài nguyên sản xuất 1177. 生产效率评估与改进计划 (Shēngchǎn xiàolǜ pínggū yǔ gǎishàn jìhuà) - Kế hoạch đánh giá và cải tiến hiệu suất sản xuất 1178. 生产计划执行效率评估 (Shēngchǎn jìhuà zhíxíng xiàolǜ pínggū) - Đánh giá hiệu suất thực hiện kế hoạch sản xuất 1179. 供应商协作能力提升 (Gōngyìngshāng xiézuò nénglì tíshēng) - Nâng cao khả năng hợp tác của nhà cung cấp 1180. 物料库存管理流程优化 (Wùliào kùcún guǎnlǐ liúchéng yōuhuà) - Tối ưu hóa quy trình quản lý tồn kho vật liệu 1181. 生产效率提升计划评估 (Shēngchǎn xiàolǜ tíshēng jìhuà pínggū) - Đánh giá kế hoạch nâng cao hiệu suất sản xuất 1182. 供应商表现评价 (Gōngyìngshāng biǎoxiàn píngjià) - Đánh giá hiệu suất của nhà cung cấp 1183. 质量控制标准制定与执行 (Zhìliàng kòngzhì biāozhǔn zhìdìng yǔ zhíxíng) - Thiết lập và thực hiện tiêu chuẩn kiểm soát chất lượng 1184. 供应商交货时间管控 (Gōngyìngshāng jiāohuò shíjiān guǎnkòng) - Kiểm soát thời gian giao hàng từ nhà cung cấp 1185. 供应商供货能力评估与提升计划 (Gōngyìngshāng gōnghuò nénglì pínggū yǔ tíshēng jìhuà) - Đánh giá và kế hoạch nâng cao khả năng cung cấp hàng từ nhà cung cấp 1186. 质量异常处理流程改善方案 (Zhìliàng yìcháng chǔlǐ liúchéng gǎishàn fāng'àn) - Phương án cải thiện quy trình xử lý sự cố chất lượng 1187. 生产效率评估与改进方案 (Shēngchǎn xiàolǜ pínggū yǔ gǎishàn fāng'àn) - Phương án đánh giá và cải tiến hiệu suất sản xuất 1188. 供应商供货质量控制策略 (Gōngyìngshāng gōnghuò zhìliàng kòngzhì cèlüè) - Chiến lược kiểm soát chất lượng hàng cung cấp từ nhà cung cấp 1189. 生产过程监控系统改进方案 (Shēngchǎn guòchéng jiānkòng xìtǒng gǎishàn fāng'àn) - Phương án cải tiến hệ thống giám sát quy trình sản xuất 1190. 供应商供货合同评估与优化 (Gōngyìngshāng gōnghuò hétóng pínggū yǔ yōuhuà) - Đánh giá và tối ưu hóa hợp đồng cung cấp hàng từ nhà cung cấp 1191. 生产计划执行监测 (Shēngchǎn jìhuà zhíxíng jiāncè) - Giám sát thực hiện kế hoạch sản xuất 1192. 供应商合作能力评估 (Gōngyìngshāng hézuò nénglì pínggū) - Đánh giá khả năng hợp tác của nhà cung cấp 1193. 供应商绩效评价 (Gōngyìngshāng jìxiào píngjià) - Đánh giá hiệu suất của nhà cung cấp 1194. 质量控制标准设定 (Zhìliàng kòngzhì biāozhǔn shèdìng) - Thiết lập tiêu chuẩn kiểm soát chất lượng 1195. 生产过程监控系统改进 (Shēngchǎn guòchéng jiānkòng xìtǒng gǎishàn) - Cải tiến hệ thống giám sát quy trình sản xuất 1196. 供应商合作能力提升计划 (Gōngyìngshāng hézuò nénglì tíshēng jìhuà) - Kế hoạch nâng cao khả năng hợp tác của nhà cung cấp 1197. 物料库存管理流程审查 (Wùliào kùcún guǎnlǐ liúchéng shěnchá) - Kiểm tra quy trình quản lý tồn kho vật liệu 1198. 生产效率提升措施 (Shēngchǎn xiàolǜ tíshēng cuòshī) - Biện pháp nâng cao hiệu suất sản xuất 1199. 供应商业绩评估 (Gōngyìngshāng yèjì pínggū) - Đánh giá thành tích của nhà cung cấp 1200. 质量控制标准执行 (Zhìliàng kòngzhì biāozhǔn zhíxíng) - Thực hiện tiêu chuẩn kiểm soát chất lượng 1201. 物料供应风险分析 (Wùliào gōngyìng fēngxiǎn fēnxī) - Phân tích rủi ro cung cấp vật liệu 1202. 生产计划调整效果评估 (Shēngchǎn jìhuà tiáozhěng xiàoguǒ pínggū) - Đánh giá kết quả điều chỉnh kế hoạch sản xuất 1203. 供应商交货时间控制 (Gōngyìngshāng jiāohuò shíjiān kòngzhì) - Kiểm soát thời gian giao hàng từ nhà cung cấp 1204. 物料采购流程改善 (Wùliào cǎigòu liúchéng gǎishàn) - Cải thiện quy trình mua hàng vật liệu 1205. 生产资源利用效率评估 (Shēngchǎn zīyuán lìyòng xiàolǜ pínggū) - Đánh giá hiệu suất sử dụng tài nguyên sản xuất 1206. 供应商供货能力评估与提升 (Gōngyìngshāng gōnghuò nénglì pínggū yǔ tíshēng) - Đánh giá và nâng cao khả năng cung cấp hàng từ nhà cung cấp 1207. 质量异常处理流程改进方案 (Zhìliàng yìcháng chǔlǐ liúchéng gǎishàn fāng'àn) - Phương án cải thiện quy trình xử lý sự cố chất lượng 1208. 生产计划执行结果 (Shēngchǎn jìhuà zhíxíng jiéguǒ) - Kết quả thực hiện kế hoạch sản xuất 1209. 供应商协作能力提升方案 (Gōngyìngshāng xiézuò nénglì tíshēng fāng'àn) - Phương án nâng cao khả năng hợp tác của nhà cung cấp 1210. 物料库存管理流程优化方案 (Wùliào kùcún guǎnlǐ liúchéng yōuhuà fāng'àn) - Phương án tối ưu hóa quy trình quản lý tồn kho vật liệu 1211. 生产效率提升策略评估报告 (Shēngchǎn xiàolǜ tíshēng cèlüè pínggū bàogào) - Báo cáo đánh giá chiến lược nâng cao hiệu suất sản xuất 1212. 供应商绩效评价报告 (Gōngyìngshāng jìxiào píngjià bàogào) - Báo cáo đánh giá hiệu suất của nhà cung cấp 1213. 质量控制标准执行情况 (Zhìliàng kòngzhì biāozhǔn zhíxíng qíngkuàng) - Tình trạng thực hiện tiêu chuẩn kiểm soát chất lượng 1214. 物料供应风险管理报告 (Wùliào gōngyìng fēngxiǎn guǎnlǐ bàogào) - Báo cáo quản lý rủi ro cung cấp vật liệu 1215. 生产计划调整策略效果评估 (Shēngchǎn jìhuà tiáozhěng cèlüè xiàoguǒ pínggū) - Đánh giá kết quả hiệu quả của chiến lược điều chỉnh kế hoạch sản xuất 1216. 供应商交货时间控制方案 (Gōngyìngshāng jiāohuò shíjiān kòngzhì fāng'àn) - Phương án kiểm soát thời gian giao hàng từ nhà cung cấp 1217. 物料采购流程改进建议 (Wùliào cǎigòu liúchéng gǎishàn jiànyì) - Đề xuất cải tiến quy trình mua hàng vật liệu 1218. 生产资源利用效率评估报告 (Shēngchǎn zīyuán lìyòng xiàolǜ pínggū bàogào) - Báo cáo đánh giá hiệu suất sử dụng tài nguyên sản xuất 1219. 供应商供货能力评估与提升计划 (Gōngyìngshāng gōnghuò nénglì pínggū yǔ tíshēng jìhuà) - Kế hoạch đánh giá và nâng cao khả năng cung cấp hàng từ nhà cung cấp 1220. 物料库存消耗分析结果 (Wùliào kùcún xiāohào fēnxī jiéguǒ) - Kết quả phân tích tiêu thụ tồn kho vật liệu 1221. 物料采购成本优化策略方案 (Wùliào cǎigòu chéngběn yōuhuà cèlüè fāng'àn) - Phương án chiến lược tối ưu hóa chi phí mua hàng vật liệu 1222. 生产过程监控系统改进计划 (Shēngchǎn guòchéng jiānkòng xìtǒng gǎishàn jìhuà) - Kế hoạch cải tiến hệ thống giám sát quy trình sản xuất 1223. 生产计划执行审查 (Shēngchǎn jìhuà zhíxíng shěnchá) - Kiểm tra thực hiện kế hoạch sản xuất 1224. 供应商合作能力评估报告 (Gōngyìngshāng xiézuò nénglì pínggū bàogào) - Báo cáo đánh giá khả năng hợp tác của nhà cung cấp 1225. 物料库存管理流程改进 (Wùliào kùcún guǎnlǐ liúchéng gǎishàn) - Cải thiện quy trình quản lý tồn kho vật liệu 1226. 生产效率提升措施评估 (Shēngchǎn xiàolǜ tíshēng cuòshī pínggū) - Đánh giá biện pháp nâng cao hiệu suất sản xuất 1227. 供应商绩效评价分析 (Gōngyìngshāng jìxiào píngjià fēnxī) - Phân tích đánh giá hiệu suất của nhà cung cấp 1228. 质量控制标准执行情况报告 (Zhìliàng kòngzhì biāozhǔn zhíxíng qíngkuàng bàogào) - Báo cáo tình trạng thực hiện tiêu chuẩn kiểm soát chất lượng 1229. 物料供应风险管理策略 (Wùliào gōngyìng fēngxiǎn guǎnlǐ cèlüè) - Chiến lược quản lý rủi ro cung cấp vật liệu 1230. 生产计划调整策略实施 (Shēngchǎn jìhuà tiáozhěng cèlüè shíshī) - Thực hiện chiến lược điều chỉnh kế hoạch sản xuất 1231. 供应商交货时间控制方案评估 (Gōngyìngshāng jiāohuò shíjiān kòngzhì fāng'àn pínggū) - Đánh giá phương án kiểm soát thời gian giao hàng từ nhà cung cấp 1232. 物料采购流程改进建议报告 (Wùliào cǎigòu liúchéng gǎishàn jiànyì bàogào) - Báo cáo đề xuất cải thiện quy trình mua hàng vật liệu 1233. 生产资源利用效率评估与优化 (Shēngchǎn zīyuán lìyòng xiàolǜ pínggū yǔ yōuhuà) - Đánh giá và tối ưu hóa hiệu suất sử dụng tài nguyên sản xuất 1234. 供应商供货能力评估与提升方案 (Gōngyìngshāng gōnghuò nénglì pínggū yǔ tíshēng fāng'àn) - Phương án đánh giá và nâng cao khả năng cung cấp hàng từ nhà cung cấp 1235. 质量异常处理流程改进措施 (Zhìliàng yìcháng chǔlǐ liúchéng gǎishàn cuòshī) - Biện pháp cải thiện quy trình xử lý sự cố chất lượng 1236. 物料库存消耗分析结果报告 (Wùliào kùcún xiāohào fēnxī jiéguǒ bàogào) - Báo cáo kết quả phân tích tiêu thụ tồn kho vật liệu 1237. 生产效率评估与改进方案实施 (Shēngchǎn xiàolǜ pínggū yǔ gǎishàn fāng'àn shíshī) - Thực hiện phương án đánh giá và cải tiến hiệu suất sản xuất 1238. 供应商供货质量控制措施实施 (Gōngyìngshāng gōnghuò zhìliàng kòngzhì cuòshī shíshī) - Thực hiện biện pháp kiểm soát chất lượng hàng cung cấp từ nhà cung cấp 1239. 物料采购成本优化策略实施方案 (Wùliào cǎigòu chéngběn yōuhuà cèlüè shíshī fāng'àn) - Thực hiện phương án chiến lược tối ưu hóa chi phí mua hàng vật liệu 1240. 生产过程监控系统改进计划报告 (Shēngchǎn guòchéng jiānkòng xìtǒng gǎishàn jìhuà bàogào) - Báo cáo kế hoạch cải tiến hệ thống giám sát quy trình sản xuất 1241. 供应商供货合同评估与优化方案 (Gōngyìngshāng gōnghuò hétóng pínggū yǔ yōuhuà fāng'àn) - Phương án đánh giá và tối ưu hóa hợp đồng cung cấp hàng từ nhà cung cấp 1242. 物料供应可靠性评估报告结果 (Wùliào gōngyìng kěkàoxìng pínggū bàogào jiéguǒ) - Kết quả báo cáo đánh giá tính đáng tin cậy của nguồn cung vật liệu 1243. 生产计划执行进展报告 (Shēngchǎn jìhuà zhíxíng jìnzhǎn bàogào) - Báo cáo tiến độ thực hiện kế hoạch sản xuất 1244. 供应商协作能力提升措施 (Gōngyìngshāng xiézuò nénglì tíshēng cuòshī) - Biện pháp nâng cao khả năng hợp tác của nhà cung cấp 1245. 物料库存管理流程优化计划 (Wùliào kùcún guǎnlǐ liúchéng yōuhuà jìhuà) - Kế hoạch tối ưu hóa quy trình quản lý tồn kho vật liệu 1246. 供应商绩效评价结果 (Gōngyìngshāng jìxiào píngjià jiéguǒ) - Kết quả đánh giá hiệu suất của nhà cung cấp 1247. 质量控制标准执行报告 (Zhìliàng kòngzhì biāozhǔn zhíxíng bàogào) - Báo cáo thực hiện tiêu chuẩn kiểm soát chất lượng 1248. 物料采购流程改进建议 (Wùliào cǎigòu liúchéng gǎishàn jiànyì) - Đề xuất cải thiện quy trình mua hàng vật liệu 1249. 供应商协作能力评估报告 (Gōngyìngshāng xiézuò nénglì pínggū bàogào) - Báo cáo đánh giá khả năng hợp tác của nhà cung cấp 1250. 生产计划执行情况报告 (Shēngchǎn jìhuà zhíxíng qíngkuàng bàogào) - Báo cáo tình hình thực hiện kế hoạch sản xuất 1251. 生产计划执行监控 (Shēngchǎn jìhuà zhíxíng jiānkòng) - Giám sát thực hiện kế hoạch sản xuất 1252. 供应商合作协议评估 (Gōngyìngshāng hézuò xiéyì pínggū) - Đánh giá hợp đồng hợp tác với nhà cung cấp 1253. 生产效率改善方案 (Shēngchǎn xiàolǜ gǎishàn fāng'àn) - Phương án cải thiện hiệu suất sản xuất 1254. 供应商绩效考核结果 (Gōngyìngshāng jìxiào kǎohé jiéguǒ) - Kết quả đánh giá hiệu suất của nhà cung cấp 1255. 质量控制标准执行情况 (Zhìliàng kòngzhì biāozhǔn zhíxíng qíngkuàng) - Tình hình thực hiện tiêu chuẩn kiểm soát chất lượng 1256. 生产计划调整评估 (Shēngchǎn jìhuà tiáozhěng pínggū) - Đánh giá điều chỉnh kế hoạch sản xuất 1257. 供应商交货时间分析 (Gōngyìngshāng jiāohuò shíjiān fēnxī) - Phân tích thời gian giao hàng của nhà cung cấp 1258. 生产资源利用效率改进 (Shēngchǎn zīyuán lìyòng xiàolǜ gǎishàn) - Cải thiện hiệu suất sử dụng tài nguyên sản xuất 1259. 质量异常处理策略 (Zhìliàng yìcháng chǔlǐ cèlüè) - Chiến lược xử lý sự cố chất lượng 1260. 生产效率改进方案实施 (Shēngchǎn xiàolǜ gǎishàn fāng'àn shíshī) - Thực hiện phương án cải thiện hiệu suất sản xuất 1261. 供应商供货质量控制实施 (Gōngyìngshāng gōnghuò zhìliàng kòngzhì shíshī) - Thực hiện kiểm soát chất lượng hàng cung cấp của nhà cung cấp 1262. 物料采购成本优化方案 (Wùliào cǎigòu chéngběn yōuhuà fāng'àn) - Phương án tối ưu hóa chi phí mua hàng vật liệu 1263. 供应商供货合同优化方案 (Gōngyìngshāng gōnghuò hétóng yōuhuà fāng'àn) - Phương án tối ưu hóa hợp đồng cung cấp của nhà cung cấp 1264. 物料供应可靠性评估 (Wùliào gōngyìng kěkàoxìng pínggū) - Đánh giá tính đáng tin cậy của nguồn cung cấp vật liệu 1265. 生产计划执行进度报告 (Shēngchǎn jìhuà zhíxíng jìndù bàogào) - Báo cáo tiến độ thực hiện kế hoạch sản xuất 1266. 供应商绩效考核报告 (Gōngyìngshāng jìxiào kǎohé bàogào) - Báo cáo đánh giá hiệu suất của nhà cung cấp 1267. 物料库存管理策略调整 (Wùliào kùcún guǎnlǐ cèlüè tiáozhěng) - Điều chỉnh chiến lược quản lý tồn kho vật liệu 1268. 生产效率改进措施评估 (Shēngchǎn xiàolǜ gǎishàn cuòshī pínggū) - Đánh giá biện pháp cải thiện hiệu suất sản xuất 1269. 质量控制标准执行情况报告 (Zhìliàng kòngzhì biāozhǔn zhíxíng qíngkuàng bàogào) - Báo cáo tình hình thực hiện tiêu chuẩn kiểm soát chất lượng 1270. 生产计划调整评估与优化 (Shēngchǎn jìhuà tiáozhěng pínggū yǔ yōuhuà) - Đánh giá và tối ưu hóa việc điều chỉnh kế hoạch sản xuất 1271. 供应商交货时间控制方案评估 (Gōngyìngshāng jiāohuò shíjiān kòngzhì fāng'àn pínggū) - Đánh giá phương án kiểm soát thời gian giao hàng của nhà cung cấp 1272. 供应商供货合同评估与优化方案 (Gōngyìngshāng gōnghuò hétóng pínggū yǔ yōuhuà fāng'àn) - Đánh giá và tối ưu hóa hợp đồng cung cấp hàng từ nhà cung cấp 1273. 生产计划执行效果评估 (Shēngchǎn jìhuà zhíxíng xiàoguǒ pínggū) - Đánh giá kết quả thực hiện kế hoạch sản xuất 1274. 物料库存管理效率评估 (Wùliào kùcún guǎnlǐ xiàolǜ pínggū) - Đánh giá hiệu suất quản lý tồn kho vật liệu 1275. 生产效率改善措施评估 (Shēngchǎn xiàolǜ gǎishàn cuòshī pínggū) - Đánh giá biện pháp cải thiện hiệu suất sản xuất 1276. 物料供应风险评估方案 (Wùliào gōngyìng fēngxiǎn pínggū fāng'àn) - Phương án đánh giá rủi ro cung cấp vật liệu 1277. 生产计划调整评估报告 (Shēngchǎn jìhuà tiáozhěng pínggū bàogào) - Báo cáo đánh giá việc điều chỉnh kế hoạch sản xuất 1278. 物料采购流程优化建议 (Wùliào cǎigòu liúchéng yōuhuà jiànyì) - Đề xuất tối ưu hóa quy trình mua hàng vật liệu 1279. 质量异常处理流程改进 (Zhìliàng yìcháng chǔlǐ liúchéng gǎishàn) - Cải thiện quy trình xử lý sự cố chất lượng 1280. 生产效率评估与改进实施 (Shēngchǎn xiàolǜ pínggū yǔ gǎishàn shíshī) - Thực hiện phương án đánh giá và cải tiến hiệu suất sản xuất 1281. 供应商供货质量控制实施方案 (Gōngyìngshāng gōnghuò zhìliàng kòngzhì shíshī fāng'àn) - Thực hiện phương án kiểm soát chất lượng hàng cung cấp từ nhà cung cấp 1282. 物料采购成本优化策略实施 (Wùliào cǎigòu chéngběn yōuhuà cèlüè shíshī) - Thực hiện phương án chiến lược tối ưu hóa chi phí mua hàng vật liệu 1283. 供应商合作协议效益评估 (Gōngyìngshāng hézuò xiéyì xiàoyì pínggū) - Đánh giá hiệu quả hợp đồng hợp tác với nhà cung cấp 1284. 供应商供货能力评估与提升 (Gōngyìngshāng gōnghuò nénglì pínggū yǔ tíshēng) - Đánh giá và nâng cao khả năng cung cấp của nhà cung cấp 1285. 供应商供货质量控制实施方案 (Gōngyìngshāng gōnghuò zhìliàng kòngzhì shíshī fāng'àn) - Thực hiện phương án kiểm soát chất lượng của nhà cung cấp 1286. 供应商供货合同评估与优化方案 (Gōngyìngshāng gōnghuò hétóng pínggū yǔ yōuhuà fāng'àn) - Đánh giá và tối ưu hóa hợp đồng cung cấp của nhà cung cấp 1287. 生产计划执行评估报告 (Shēngchǎn jìhuà zhíxíng pínggū bàogào) - Báo cáo đánh giá thực hiện kế hoạch sản xuất 1288. 供应商绩效管理方案 (Gōngyìngshāng jìxiào guǎnlǐ fāng'àn) - Phương án quản lý hiệu suất của nhà cung cấp 1289. 物料库存管理效能评估 (Wùliào kùcún guǎnlǐ xiàolǜ pínggū) - Đánh giá hiệu suất quản lý tồn kho vật liệu 1290. 供应商绩效评估报告 (Gōngyìngshāng jìxiào pínggū bàogào) - Báo cáo đánh giá hiệu suất của nhà cung cấp 1291. 供应商绩效提升方案 (Gōngyìngshāng jìxiào tíshēng fāng'àn) - Phương án nâng cao hiệu suất của nhà cung cấp 1292. 物料库存管理效益评估 (Wùliào kùcún guǎnlǐ xiàolǜ pínggū) - Đánh giá lợi ích từ việc quản lý tồn kho vật liệu 1293. 物料供应风险评估 (Wùliào gōngyìng fēngxiǎn pínggū) - Đánh giá rủi ro từ việc cung cấp vật liệu 1294. 生产计划调整评估 (Shēngchǎn jìhuà tiáozhěng pínggū) - Đánh giá việc điều chỉnh kế hoạch sản xuất 1295. 生产效率评估与改进实施 (Shēngchǎn xiàolǜ pínggū yǔ gǎishàn shíshī) - Thực hiện đánh giá và cải thiện hiệu suất sản xuất 1296. 物料采购成本优化策略实施 (Wùliào cǎigòu chéngběn yōuhuà cèlüè shíshī) - Thực hiện chiến lược tối ưu hóa chi phí mua hàng vật liệu 1297. 物料供应可靠性评估报告结果 (Wùliào gōngyìng kěkàoxìng pínggū bàogào jiéguǒ) - Báo cáo kết quả đánh giá tính đáng tin cậy của nguồn cung vật liệu 1298. 生产计划执行效果评估 (Shēngchǎn jìhuà zhíxíng xiàoguǒ pínggū) - Đánh giá hiệu quả thực hiện kế hoạch sản xuất 1299. 供应商供货质量控制实施方案 (Gōngyìngshāng gōnghuò zhìliàng kòngzhì shíshī fāng'àn) - Phương án thực hiện kiểm soát chất lượng của nhà cung cấp 1300. 生产过程质量管理改进计划 (Shēngchǎn guòchéng zhìliàng guǎnlǐ gǎishàn jìhuà) - Kế hoạch cải tiến quản lý chất lượng quy trình sản xuất 1301. 物料库存监控系统改进方案 (Wùliào kùcún jiānkòng xìtǒng gǎishàn fāng'àn) - Phương án cải tiến hệ thống giám sát tồn kho vật liệu 1302. 生产计划执行情况评估报告 (Shēngchǎn jìhuà zhíxíng qíngkuàng pínggū bàogào) - Báo cáo đánh giá tình hình thực hiện kế hoạch sản xuất 1303. 物料库存管理效益评估 (Wùliào kùcún guǎnlǐ xiàolǜ pínggū) - Đánh giá hiệu quả quản lý tồn kho vật liệu → Từ vựng tiếng Trung theo chủ đề Vận hành phòng PMC Công xưởng là một nguồn thông tin quan trọng để nâng cao vốn từ vựng tiếng Trung trong lĩnh vực quản lý sản xuất và vận hành công xưởng. HỌC BÁ CHINESE TỰ HÀO SỞ HỮU: ✪ Tư duy ngôn ngữ từ Đại học Harvard: Chương trình đào tạo chuẩn quốc tế, được cố vấn chuyên môn bởi PGS.TS Hà Bảo Chương (Nguyên Giám đốc chương trình Tiếng Trung tại Đại học Harvard). ✪ Phương pháp PBL (Project-Based Learning) độc quyền: Không học vẹt lý thuyết, lộ trình tập trung vào việc xử lý các dự án thực tế tại văn phòng và nhà máy. Kiến thức được chắt lọc trọng tâm giúp người đi làm tối ưu hóa hiệu quả và rút ngắn thời gian học tối đa. ✪ Đội ngũ Giáo viên Thạc sĩ - Tiến sĩ thực chiến: Được dẫn dắt trực tiếp bởi các Thạc sĩ, Tiến sĩ chính quy giàu kinh nghiệm thực địa. Không chỉ giỏi chuyên môn, các thầy cô còn am hiểu văn hóa doanh nghiệp Trung - Đài để truyền tài tư duy làm việc thực tế cho học viên. ✪ Cam kết đầu ra bằng văn bản: Đảm bảo năng lực ứng dụng công việc thực tế theo đúng các tiêu chí trong hợp đồng đào tạo. Học viên được hỗ trợ học lại hoàn toàn miễn phí nếu không đạt mục tiêu đầu ra như cam kết. ✪ Bảo chứng uy tín từ thị trường nhân sự: Học Bá Chinese tự hào là đối tác tin cậy được hơn 5000 học viên và hơn 100 doanh nghiệp lựa chọn đồng hành trên con đường bứt phá ngôn ngữ và thăng tiến sự nghiệp. Hãy liên hệ với Học Bá qua hotline 0888861786 hoặc click nút dưới đây để được tư vấn chi tiết nha!</t>
        </is>
      </c>
      <c r="F1848" s="114">
        <f>HYPERLINK("https://youglish.com/pronounce/库存管理方法/chinese","🔍")</f>
        <v/>
      </c>
    </row>
    <row r="1849" ht="28.5" customHeight="1" s="99">
      <c r="A1849" s="94" t="inlineStr">
        <is>
          <t>PDF 300+ Mẫu Câu Giao tiếp theo chủ đề.pdf</t>
        </is>
      </c>
      <c r="B1849" s="95" t="inlineStr">
        <is>
          <t>1</t>
        </is>
      </c>
      <c r="C1849" s="94" t="inlineStr">
        <is>
          <t>介绍</t>
        </is>
      </c>
      <c r="D1849" s="94" t="inlineStr">
        <is>
          <t>/jièshào/: Giới thiệu</t>
        </is>
      </c>
      <c r="E1849" s="94" t="inlineStr">
        <is>
          <t>介绍/jièshào/: Giới thiệu</t>
        </is>
      </c>
      <c r="F1849" s="115">
        <f>HYPERLINK("https://youglish.com/pronounce/介绍/chinese","🔍")</f>
        <v/>
      </c>
    </row>
    <row r="1850" ht="28.5" customHeight="1" s="99">
      <c r="A1850" s="92" t="inlineStr">
        <is>
          <t>PDF 300+ Mẫu Câu Giao tiếp theo chủ đề.pdf</t>
        </is>
      </c>
      <c r="B1850" s="93" t="inlineStr">
        <is>
          <t>2</t>
        </is>
      </c>
      <c r="C1850" s="92" t="inlineStr">
        <is>
          <t>允许</t>
        </is>
      </c>
      <c r="D1850" s="92" t="inlineStr">
        <is>
          <t>/yǔnxǔ/: Cho phép</t>
        </is>
      </c>
      <c r="E1850" s="92" t="inlineStr">
        <is>
          <t>允许/yǔnxǔ/: Cho phép</t>
        </is>
      </c>
      <c r="F1850" s="114">
        <f>HYPERLINK("https://youglish.com/pronounce/允许/chinese","🔍")</f>
        <v/>
      </c>
    </row>
    <row r="1851" ht="28.5" customHeight="1" s="99">
      <c r="A1851" s="94" t="inlineStr">
        <is>
          <t>PDF 300+ Mẫu Câu Giao tiếp theo chủ đề.pdf</t>
        </is>
      </c>
      <c r="B1851" s="95" t="inlineStr">
        <is>
          <t>3</t>
        </is>
      </c>
      <c r="C1851" s="94" t="inlineStr">
        <is>
          <t>先</t>
        </is>
      </c>
      <c r="D1851" s="94" t="inlineStr">
        <is>
          <t>/xiān/: Trước tiên</t>
        </is>
      </c>
      <c r="E1851" s="94" t="inlineStr">
        <is>
          <t>先/xiān/: Trước tiên</t>
        </is>
      </c>
      <c r="F1851" s="115">
        <f>HYPERLINK("https://youglish.com/pronounce/先/chinese","🔍")</f>
        <v/>
      </c>
    </row>
    <row r="1852" ht="28.5" customHeight="1" s="99">
      <c r="A1852" s="92" t="inlineStr">
        <is>
          <t>PDF 300+ Mẫu Câu Giao tiếp theo chủ đề.pdf</t>
        </is>
      </c>
      <c r="B1852" s="93" t="inlineStr">
        <is>
          <t>4</t>
        </is>
      </c>
      <c r="C1852" s="92" t="inlineStr">
        <is>
          <t>自己</t>
        </is>
      </c>
      <c r="D1852" s="92" t="inlineStr">
        <is>
          <t>/zìjǐ/: Bản thân</t>
        </is>
      </c>
      <c r="E1852" s="92" t="inlineStr">
        <is>
          <t>自己/zìjǐ/: Bản thân</t>
        </is>
      </c>
      <c r="F1852" s="114">
        <f>HYPERLINK("https://youglish.com/pronounce/自己/chinese","🔍")</f>
        <v/>
      </c>
    </row>
    <row r="1853" ht="28.5" customHeight="1" s="99">
      <c r="A1853" s="94" t="inlineStr">
        <is>
          <t>PDF 300+ Mẫu Câu Giao tiếp theo chủ đề.pdf</t>
        </is>
      </c>
      <c r="B1853" s="95" t="inlineStr">
        <is>
          <t>5</t>
        </is>
      </c>
      <c r="C1853" s="94" t="inlineStr">
        <is>
          <t>好, 我自己介绍一下儿</t>
        </is>
      </c>
      <c r="D1853" s="94" t="inlineStr">
        <is>
          <t>好, 我自己介绍一下儿 /…hǎo, wǒ zìjǐ jièshào yīxiàr/: Chào…., tôi xin tự giới thiệu bản thân một chút.</t>
        </is>
      </c>
      <c r="E1853" s="94" t="inlineStr">
        <is>
          <t>… 好, 我自己介绍一下儿 /…hǎo, wǒ zìjǐ jièshào yīxiàr/: Chào…., tôi xin tự giới thiệu bản thân một chút.</t>
        </is>
      </c>
      <c r="F1853" s="115">
        <f>HYPERLINK("https://youglish.com/pronounce/好我自己介绍一下儿/chinese","🔍")</f>
        <v/>
      </c>
    </row>
    <row r="1854" ht="28.5" customHeight="1" s="99">
      <c r="A1854" s="92" t="inlineStr">
        <is>
          <t>PDF 300+ Mẫu Câu Giao tiếp theo chủ đề.pdf</t>
        </is>
      </c>
      <c r="B1854" s="93" t="inlineStr">
        <is>
          <t>6</t>
        </is>
      </c>
      <c r="C1854" s="92" t="inlineStr">
        <is>
          <t>你好</t>
        </is>
      </c>
      <c r="D1854" s="92" t="inlineStr">
        <is>
          <t>! nǐhǎo Xin chào!</t>
        </is>
      </c>
      <c r="E1854" s="92" t="inlineStr">
        <is>
          <t>你好! nǐhǎo Xin chào!</t>
        </is>
      </c>
      <c r="F1854" s="114">
        <f>HYPERLINK("https://youglish.com/pronounce/你好/chinese","🔍")</f>
        <v/>
      </c>
    </row>
    <row r="1855" ht="28.5" customHeight="1" s="99">
      <c r="A1855" s="94" t="inlineStr">
        <is>
          <t>PDF 300+ Mẫu Câu Giao tiếp theo chủ đề.pdf</t>
        </is>
      </c>
      <c r="B1855" s="95" t="inlineStr">
        <is>
          <t>7</t>
        </is>
      </c>
      <c r="C1855" s="94" t="inlineStr">
        <is>
          <t>您好</t>
        </is>
      </c>
      <c r="D1855" s="94" t="inlineStr">
        <is>
          <t>! nínhǎo</t>
        </is>
      </c>
      <c r="E1855" s="94" t="inlineStr">
        <is>
          <t>您好! nínhǎo</t>
        </is>
      </c>
      <c r="F1855" s="115">
        <f>HYPERLINK("https://youglish.com/pronounce/您好/chinese","🔍")</f>
        <v/>
      </c>
    </row>
    <row r="1856" ht="28.5" customHeight="1" s="99">
      <c r="A1856" s="92" t="inlineStr">
        <is>
          <t>PDF 300+ Mẫu Câu Giao tiếp theo chủ đề.pdf</t>
        </is>
      </c>
      <c r="B1856" s="93" t="inlineStr">
        <is>
          <t>8</t>
        </is>
      </c>
      <c r="C1856" s="92" t="inlineStr">
        <is>
          <t>大家好</t>
        </is>
      </c>
      <c r="D1856" s="92" t="inlineStr">
        <is>
          <t>! dàjiā hǎo Chào mọi người!</t>
        </is>
      </c>
      <c r="E1856" s="92" t="inlineStr">
        <is>
          <t>大家好! dàjiā hǎo Chào mọi người!</t>
        </is>
      </c>
      <c r="F1856" s="114">
        <f>HYPERLINK("https://youglish.com/pronounce/大家好/chinese","🔍")</f>
        <v/>
      </c>
    </row>
    <row r="1857" ht="28.5" customHeight="1" s="99">
      <c r="A1857" s="94" t="inlineStr">
        <is>
          <t>PDF 300+ Mẫu Câu Giao tiếp theo chủ đề.pdf</t>
        </is>
      </c>
      <c r="B1857" s="95" t="inlineStr">
        <is>
          <t>9</t>
        </is>
      </c>
      <c r="C1857" s="94" t="inlineStr">
        <is>
          <t>同学们好</t>
        </is>
      </c>
      <c r="D1857" s="94" t="inlineStr">
        <is>
          <t>! tóngxuémen hǎo Chào các bạn cùng lớp!</t>
        </is>
      </c>
      <c r="E1857" s="94" t="inlineStr">
        <is>
          <t>同学们好! tóngxuémen hǎo Chào các bạn cùng lớp!</t>
        </is>
      </c>
      <c r="F1857" s="115">
        <f>HYPERLINK("https://youglish.com/pronounce/同学们好/chinese","🔍")</f>
        <v/>
      </c>
    </row>
    <row r="1858" ht="28.5" customHeight="1" s="99">
      <c r="A1858" s="92" t="inlineStr">
        <is>
          <t>PDF 300+ Mẫu Câu Giao tiếp theo chủ đề.pdf</t>
        </is>
      </c>
      <c r="B1858" s="93" t="inlineStr">
        <is>
          <t>10</t>
        </is>
      </c>
      <c r="C1858" s="92" t="inlineStr">
        <is>
          <t>你们好</t>
        </is>
      </c>
      <c r="D1858" s="92" t="inlineStr">
        <is>
          <t>! nǐmen hǎo Chào các bạn, chào mọi</t>
        </is>
      </c>
      <c r="E1858" s="92" t="inlineStr">
        <is>
          <t>你们好! nǐmen hǎo Chào các bạn, chào mọi</t>
        </is>
      </c>
      <c r="F1858" s="114">
        <f>HYPERLINK("https://youglish.com/pronounce/你们好/chinese","🔍")</f>
        <v/>
      </c>
    </row>
    <row r="1859" ht="28.5" customHeight="1" s="99">
      <c r="A1859" s="94" t="inlineStr">
        <is>
          <t>PDF 300+ Mẫu Câu Giao tiếp theo chủ đề.pdf</t>
        </is>
      </c>
      <c r="B1859" s="95" t="inlineStr">
        <is>
          <t>11</t>
        </is>
      </c>
      <c r="C1859" s="94" t="inlineStr">
        <is>
          <t>同事们好</t>
        </is>
      </c>
      <c r="D1859" s="94" t="inlineStr">
        <is>
          <t>! tóngshì men hǎo Chào đồng nghiệp!</t>
        </is>
      </c>
      <c r="E1859" s="94" t="inlineStr">
        <is>
          <t>同事们好! tóngshì men hǎo Chào đồng nghiệp!</t>
        </is>
      </c>
      <c r="F1859" s="115">
        <f>HYPERLINK("https://youglish.com/pronounce/同事们好/chinese","🔍")</f>
        <v/>
      </c>
    </row>
    <row r="1860" ht="28.5" customHeight="1" s="99">
      <c r="A1860" s="92" t="inlineStr">
        <is>
          <t>PDF 300+ Mẫu Câu Giao tiếp theo chủ đề.pdf</t>
        </is>
      </c>
      <c r="B1860" s="93" t="inlineStr">
        <is>
          <t>12</t>
        </is>
      </c>
      <c r="C1860" s="92" t="inlineStr">
        <is>
          <t>早安/早上好</t>
        </is>
      </c>
      <c r="D1860" s="92" t="inlineStr">
        <is>
          <t>! zǎoān/zǎoshàng hǎo Chào buổi sáng!</t>
        </is>
      </c>
      <c r="E1860" s="92" t="inlineStr">
        <is>
          <t>早安/早上好! zǎoān/zǎoshàng hǎo Chào buổi sáng!</t>
        </is>
      </c>
      <c r="F1860" s="114">
        <f>HYPERLINK("https://youglish.com/pronounce/早安早上好/chinese","🔍")</f>
        <v/>
      </c>
    </row>
    <row r="1861" ht="28.5" customHeight="1" s="99">
      <c r="A1861" s="94" t="inlineStr">
        <is>
          <t>PDF 300+ Mẫu Câu Giao tiếp theo chủ đề.pdf</t>
        </is>
      </c>
      <c r="B1861" s="95" t="inlineStr">
        <is>
          <t>13</t>
        </is>
      </c>
      <c r="C1861" s="94" t="inlineStr">
        <is>
          <t>中午好</t>
        </is>
      </c>
      <c r="D1861" s="94" t="inlineStr">
        <is>
          <t>! zhōngwǔ hǎo Chào buổi trưa!</t>
        </is>
      </c>
      <c r="E1861" s="94" t="inlineStr">
        <is>
          <t>中午好! zhōngwǔ hǎo Chào buổi trưa!</t>
        </is>
      </c>
      <c r="F1861" s="115">
        <f>HYPERLINK("https://youglish.com/pronounce/中午好/chinese","🔍")</f>
        <v/>
      </c>
    </row>
    <row r="1862" ht="28.5" customHeight="1" s="99">
      <c r="A1862" s="92" t="inlineStr">
        <is>
          <t>PDF 300+ Mẫu Câu Giao tiếp theo chủ đề.pdf</t>
        </is>
      </c>
      <c r="B1862" s="93" t="inlineStr">
        <is>
          <t>14</t>
        </is>
      </c>
      <c r="C1862" s="92" t="inlineStr">
        <is>
          <t>老师好</t>
        </is>
      </c>
      <c r="D1862" s="92" t="inlineStr">
        <is>
          <t>! lǎoshī hǎo Chào thầy, cô!</t>
        </is>
      </c>
      <c r="E1862" s="92" t="inlineStr">
        <is>
          <t>老师好! lǎoshī hǎo Chào thầy, cô!</t>
        </is>
      </c>
      <c r="F1862" s="114">
        <f>HYPERLINK("https://youglish.com/pronounce/老师好/chinese","🔍")</f>
        <v/>
      </c>
    </row>
    <row r="1863" ht="28.5" customHeight="1" s="99">
      <c r="A1863" s="94" t="inlineStr">
        <is>
          <t>PDF 300+ Mẫu Câu Giao tiếp theo chủ đề.pdf</t>
        </is>
      </c>
      <c r="B1863" s="95" t="inlineStr">
        <is>
          <t>15</t>
        </is>
      </c>
      <c r="C1863" s="94" t="inlineStr">
        <is>
          <t>晚上好</t>
        </is>
      </c>
      <c r="D1863" s="94" t="inlineStr">
        <is>
          <t>!</t>
        </is>
      </c>
      <c r="E1863" s="94" t="inlineStr">
        <is>
          <t>晚上好!</t>
        </is>
      </c>
      <c r="F1863" s="115">
        <f>HYPERLINK("https://youglish.com/pronounce/晚上好/chinese","🔍")</f>
        <v/>
      </c>
    </row>
    <row r="1864" ht="28.5" customHeight="1" s="99">
      <c r="A1864" s="92" t="inlineStr">
        <is>
          <t>PDF 300+ Mẫu Câu Giao tiếp theo chủ đề.pdf</t>
        </is>
      </c>
      <c r="B1864" s="93" t="inlineStr">
        <is>
          <t>16</t>
        </is>
      </c>
      <c r="C1864" s="92" t="inlineStr">
        <is>
          <t>晚安</t>
        </is>
      </c>
      <c r="D1864" s="92" t="inlineStr">
        <is>
          <t>!</t>
        </is>
      </c>
      <c r="E1864" s="92" t="inlineStr">
        <is>
          <t>晚安!</t>
        </is>
      </c>
      <c r="F1864" s="114">
        <f>HYPERLINK("https://youglish.com/pronounce/晚安/chinese","🔍")</f>
        <v/>
      </c>
    </row>
    <row r="1865" ht="28.5" customHeight="1" s="99">
      <c r="A1865" s="94" t="inlineStr">
        <is>
          <t>PDF 300+ Mẫu Câu Giao tiếp theo chủ đề.pdf</t>
        </is>
      </c>
      <c r="B1865" s="95" t="inlineStr">
        <is>
          <t>17</t>
        </is>
      </c>
      <c r="C1865" s="94" t="inlineStr">
        <is>
          <t>我自己介绍一下儿</t>
        </is>
      </c>
      <c r="D1865" s="94" t="n"/>
      <c r="E1865" s="94" t="inlineStr">
        <is>
          <t>我自己介绍一下儿 。</t>
        </is>
      </c>
      <c r="F1865" s="115">
        <f>HYPERLINK("https://youglish.com/pronounce/我自己介绍一下儿/chinese","🔍")</f>
        <v/>
      </c>
    </row>
    <row r="1866" ht="28.5" customHeight="1" s="99">
      <c r="A1866" s="92" t="inlineStr">
        <is>
          <t>PDF 300+ Mẫu Câu Giao tiếp theo chủ đề.pdf</t>
        </is>
      </c>
      <c r="B1866" s="93" t="inlineStr">
        <is>
          <t>18</t>
        </is>
      </c>
      <c r="C1866" s="92" t="inlineStr">
        <is>
          <t>大家好, 我先介绍一</t>
        </is>
      </c>
      <c r="D1866" s="92" t="n"/>
      <c r="E1866" s="92" t="inlineStr">
        <is>
          <t>大家好, 我先介绍一</t>
        </is>
      </c>
      <c r="F1866" s="114">
        <f>HYPERLINK("https://youglish.com/pronounce/大家好我先介绍一/chinese","🔍")</f>
        <v/>
      </c>
    </row>
    <row r="1867" ht="28.5" customHeight="1" s="99">
      <c r="A1867" s="94" t="inlineStr">
        <is>
          <t>PDF 300+ Mẫu Câu Giao tiếp theo chủ đề.pdf</t>
        </is>
      </c>
      <c r="B1867" s="95" t="inlineStr">
        <is>
          <t>19</t>
        </is>
      </c>
      <c r="C1867" s="94" t="inlineStr">
        <is>
          <t>下儿</t>
        </is>
      </c>
      <c r="D1867" s="94" t="inlineStr">
        <is>
          <t>dàjiā hǎo, wǒ xiān jièshào</t>
        </is>
      </c>
      <c r="E1867" s="94" t="inlineStr">
        <is>
          <t>下儿。 dàjiā hǎo, wǒ xiān jièshào</t>
        </is>
      </c>
      <c r="F1867" s="115">
        <f>HYPERLINK("https://youglish.com/pronounce/下儿/chinese","🔍")</f>
        <v/>
      </c>
    </row>
    <row r="1868" ht="28.5" customHeight="1" s="99">
      <c r="A1868" s="92" t="inlineStr">
        <is>
          <t>PDF 300+ Mẫu Câu Giao tiếp theo chủ đề.pdf</t>
        </is>
      </c>
      <c r="B1868" s="93" t="inlineStr">
        <is>
          <t>20</t>
        </is>
      </c>
      <c r="C1868" s="92" t="inlineStr">
        <is>
          <t>早上好, 请允许我介</t>
        </is>
      </c>
      <c r="D1868" s="92" t="n"/>
      <c r="E1868" s="92" t="inlineStr">
        <is>
          <t>早上好, 请允许我介</t>
        </is>
      </c>
      <c r="F1868" s="114">
        <f>HYPERLINK("https://youglish.com/pronounce/早上好请允许我介/chinese","🔍")</f>
        <v/>
      </c>
    </row>
    <row r="1869" ht="28.5" customHeight="1" s="99">
      <c r="A1869" s="94" t="inlineStr">
        <is>
          <t>PDF 300+ Mẫu Câu Giao tiếp theo chủ đề.pdf</t>
        </is>
      </c>
      <c r="B1869" s="95" t="inlineStr">
        <is>
          <t>21</t>
        </is>
      </c>
      <c r="C1869" s="94" t="inlineStr">
        <is>
          <t>绍一下自己</t>
        </is>
      </c>
      <c r="D1869" s="94" t="inlineStr">
        <is>
          <t>zǎoshàng hǎo, qǐng yǔnxǔ wǒ</t>
        </is>
      </c>
      <c r="E1869" s="94" t="inlineStr">
        <is>
          <t>绍一下自己。 zǎoshàng hǎo, qǐng yǔnxǔ wǒ</t>
        </is>
      </c>
      <c r="F1869" s="115">
        <f>HYPERLINK("https://youglish.com/pronounce/绍一下自己/chinese","🔍")</f>
        <v/>
      </c>
    </row>
    <row r="1870" ht="28.5" customHeight="1" s="99">
      <c r="A1870" s="92" t="inlineStr">
        <is>
          <t>PDF 300+ Mẫu Câu Giao tiếp theo chủ đề.pdf</t>
        </is>
      </c>
      <c r="B1870" s="93" t="inlineStr">
        <is>
          <t>22</t>
        </is>
      </c>
      <c r="C1870" s="92" t="inlineStr">
        <is>
          <t>叫</t>
        </is>
      </c>
      <c r="D1870" s="92" t="inlineStr">
        <is>
          <t>/jiào/: Gọi</t>
        </is>
      </c>
      <c r="E1870" s="92" t="inlineStr">
        <is>
          <t>叫 /jiào/: Gọi</t>
        </is>
      </c>
      <c r="F1870" s="114">
        <f>HYPERLINK("https://youglish.com/pronounce/叫/chinese","🔍")</f>
        <v/>
      </c>
    </row>
    <row r="1871" ht="28.5" customHeight="1" s="99">
      <c r="A1871" s="94" t="inlineStr">
        <is>
          <t>PDF 300+ Mẫu Câu Giao tiếp theo chủ đề.pdf</t>
        </is>
      </c>
      <c r="B1871" s="95" t="inlineStr">
        <is>
          <t>23</t>
        </is>
      </c>
      <c r="C1871" s="94" t="inlineStr">
        <is>
          <t>姓</t>
        </is>
      </c>
      <c r="D1871" s="94" t="inlineStr">
        <is>
          <t>/xìng/: Họ</t>
        </is>
      </c>
      <c r="E1871" s="94" t="inlineStr">
        <is>
          <t>姓 /xìng/: Họ</t>
        </is>
      </c>
      <c r="F1871" s="115">
        <f>HYPERLINK("https://youglish.com/pronounce/姓/chinese","🔍")</f>
        <v/>
      </c>
    </row>
    <row r="1872" ht="28.5" customHeight="1" s="99">
      <c r="A1872" s="92" t="inlineStr">
        <is>
          <t>PDF 300+ Mẫu Câu Giao tiếp theo chủ đề.pdf</t>
        </is>
      </c>
      <c r="B1872" s="93" t="inlineStr">
        <is>
          <t>24</t>
        </is>
      </c>
      <c r="C1872" s="92" t="inlineStr">
        <is>
          <t>名字</t>
        </is>
      </c>
      <c r="D1872" s="92" t="inlineStr">
        <is>
          <t>/míngzì/: Tên</t>
        </is>
      </c>
      <c r="E1872" s="92" t="inlineStr">
        <is>
          <t>名字/míngzì/: Tên</t>
        </is>
      </c>
      <c r="F1872" s="114">
        <f>HYPERLINK("https://youglish.com/pronounce/名字/chinese","🔍")</f>
        <v/>
      </c>
    </row>
    <row r="1873" ht="28.5" customHeight="1" s="99">
      <c r="A1873" s="94" t="inlineStr">
        <is>
          <t>PDF 300+ Mẫu Câu Giao tiếp theo chủ đề.pdf</t>
        </is>
      </c>
      <c r="B1873" s="95" t="inlineStr">
        <is>
          <t>25</t>
        </is>
      </c>
      <c r="C1873" s="94" t="inlineStr">
        <is>
          <t>是</t>
        </is>
      </c>
      <c r="D1873" s="94" t="inlineStr">
        <is>
          <t>/shì/: Là</t>
        </is>
      </c>
      <c r="E1873" s="94" t="inlineStr">
        <is>
          <t>是 /shì/: Là</t>
        </is>
      </c>
      <c r="F1873" s="115">
        <f>HYPERLINK("https://youglish.com/pronounce/是/chinese","🔍")</f>
        <v/>
      </c>
    </row>
    <row r="1874" ht="28.5" customHeight="1" s="99">
      <c r="A1874" s="92" t="inlineStr">
        <is>
          <t>PDF 300+ Mẫu Câu Giao tiếp theo chủ đề.pdf</t>
        </is>
      </c>
      <c r="B1874" s="93" t="inlineStr">
        <is>
          <t>26</t>
        </is>
      </c>
      <c r="C1874" s="92" t="inlineStr">
        <is>
          <t>贵名</t>
        </is>
      </c>
      <c r="D1874" s="92" t="inlineStr">
        <is>
          <t>/guìmíng/: Quý danh</t>
        </is>
      </c>
      <c r="E1874" s="92" t="inlineStr">
        <is>
          <t>贵名 /guìmíng/: Quý danh</t>
        </is>
      </c>
      <c r="F1874" s="114">
        <f>HYPERLINK("https://youglish.com/pronounce/贵名/chinese","🔍")</f>
        <v/>
      </c>
    </row>
    <row r="1875" ht="28.5" customHeight="1" s="99">
      <c r="A1875" s="94" t="inlineStr">
        <is>
          <t>PDF 300+ Mẫu Câu Giao tiếp theo chủ đề.pdf</t>
        </is>
      </c>
      <c r="B1875" s="95" t="inlineStr">
        <is>
          <t>27</t>
        </is>
      </c>
      <c r="C1875" s="94" t="inlineStr">
        <is>
          <t>我叫</t>
        </is>
      </c>
      <c r="D1875" s="94" t="inlineStr">
        <is>
          <t>/wǒ jiào…/: Tôi tên là….</t>
        </is>
      </c>
      <c r="E1875" s="94" t="inlineStr">
        <is>
          <t>我叫…/wǒ jiào…/: Tôi tên là….</t>
        </is>
      </c>
      <c r="F1875" s="115">
        <f>HYPERLINK("https://youglish.com/pronounce/我叫/chinese","🔍")</f>
        <v/>
      </c>
    </row>
    <row r="1876" ht="28.5" customHeight="1" s="99">
      <c r="A1876" s="92" t="inlineStr">
        <is>
          <t>PDF 300+ Mẫu Câu Giao tiếp theo chủ đề.pdf</t>
        </is>
      </c>
      <c r="B1876" s="93" t="inlineStr">
        <is>
          <t>28</t>
        </is>
      </c>
      <c r="C1876" s="92" t="inlineStr">
        <is>
          <t>我是</t>
        </is>
      </c>
      <c r="D1876" s="92" t="inlineStr">
        <is>
          <t>.../wǒ shì…/</t>
        </is>
      </c>
      <c r="E1876" s="92" t="inlineStr">
        <is>
          <t>我是.../wǒ shì…/</t>
        </is>
      </c>
      <c r="F1876" s="114">
        <f>HYPERLINK("https://youglish.com/pronounce/我是/chinese","🔍")</f>
        <v/>
      </c>
    </row>
    <row r="1877" ht="28.5" customHeight="1" s="99">
      <c r="A1877" s="94" t="inlineStr">
        <is>
          <t>PDF 300+ Mẫu Câu Giao tiếp theo chủ đề.pdf</t>
        </is>
      </c>
      <c r="B1877" s="95" t="inlineStr">
        <is>
          <t>29</t>
        </is>
      </c>
      <c r="C1877" s="94" t="inlineStr">
        <is>
          <t>我姓…，叫</t>
        </is>
      </c>
      <c r="D1877" s="94" t="inlineStr">
        <is>
          <t>/wǒ xìng…, jiào… /: Tôi họ….., tên là…..</t>
        </is>
      </c>
      <c r="E1877" s="94" t="inlineStr">
        <is>
          <t>我姓…，叫…/wǒ xìng…, jiào… /: Tôi họ….., tên là…..</t>
        </is>
      </c>
      <c r="F1877" s="115">
        <f>HYPERLINK("https://youglish.com/pronounce/我姓叫/chinese","🔍")</f>
        <v/>
      </c>
    </row>
    <row r="1878" ht="28.5" customHeight="1" s="99">
      <c r="A1878" s="92" t="inlineStr">
        <is>
          <t>PDF 300+ Mẫu Câu Giao tiếp theo chủ đề.pdf</t>
        </is>
      </c>
      <c r="B1878" s="93" t="inlineStr">
        <is>
          <t>30</t>
        </is>
      </c>
      <c r="C1878" s="92" t="inlineStr">
        <is>
          <t>我的名字是</t>
        </is>
      </c>
      <c r="D1878" s="92" t="inlineStr">
        <is>
          <t>./wǒ de míngzì shì…/: Tên của tôi là…..</t>
        </is>
      </c>
      <c r="E1878" s="92" t="inlineStr">
        <is>
          <t>我的名字是…./wǒ de míngzì shì…/: Tên của tôi là…..</t>
        </is>
      </c>
      <c r="F1878" s="114">
        <f>HYPERLINK("https://youglish.com/pronounce/我的名字是/chinese","🔍")</f>
        <v/>
      </c>
    </row>
    <row r="1879" ht="28.5" customHeight="1" s="99">
      <c r="A1879" s="94" t="inlineStr">
        <is>
          <t>PDF 300+ Mẫu Câu Giao tiếp theo chủ đề.pdf</t>
        </is>
      </c>
      <c r="B1879" s="95" t="inlineStr">
        <is>
          <t>31</t>
        </is>
      </c>
      <c r="C1879" s="94" t="inlineStr">
        <is>
          <t>我姓陈，叫小王</t>
        </is>
      </c>
      <c r="D1879" s="94" t="inlineStr">
        <is>
          <t>Wǒ xìng Chén, jiào</t>
        </is>
      </c>
      <c r="E1879" s="94" t="inlineStr">
        <is>
          <t>我姓陈，叫小王。 Wǒ xìng Chén, jiào</t>
        </is>
      </c>
      <c r="F1879" s="115">
        <f>HYPERLINK("https://youglish.com/pronounce/我姓陈叫小王/chinese","🔍")</f>
        <v/>
      </c>
    </row>
    <row r="1880" ht="28.5" customHeight="1" s="99">
      <c r="A1880" s="92" t="inlineStr">
        <is>
          <t>PDF 300+ Mẫu Câu Giao tiếp theo chủ đề.pdf</t>
        </is>
      </c>
      <c r="B1880" s="93" t="inlineStr">
        <is>
          <t>32</t>
        </is>
      </c>
      <c r="C1880" s="92" t="inlineStr">
        <is>
          <t>我的名字是小兰</t>
        </is>
      </c>
      <c r="D1880" s="92" t="inlineStr">
        <is>
          <t>wǒ de míngzì shì</t>
        </is>
      </c>
      <c r="E1880" s="92" t="inlineStr">
        <is>
          <t>我的名字是小兰 。 wǒ de míngzì shì</t>
        </is>
      </c>
      <c r="F1880" s="114">
        <f>HYPERLINK("https://youglish.com/pronounce/我的名字是小兰/chinese","🔍")</f>
        <v/>
      </c>
    </row>
    <row r="1881" ht="28.5" customHeight="1" s="99">
      <c r="A1881" s="94" t="inlineStr">
        <is>
          <t>PDF 300+ Mẫu Câu Giao tiếp theo chủ đề.pdf</t>
        </is>
      </c>
      <c r="B1881" s="95" t="inlineStr">
        <is>
          <t>33</t>
        </is>
      </c>
      <c r="C1881" s="94" t="inlineStr">
        <is>
          <t>我叫阮文黄</t>
        </is>
      </c>
      <c r="D1881" s="94" t="inlineStr">
        <is>
          <t>Wǒ jiào Ruǎn</t>
        </is>
      </c>
      <c r="E1881" s="94" t="inlineStr">
        <is>
          <t>我叫阮文黄。 Wǒ jiào Ruǎn</t>
        </is>
      </c>
      <c r="F1881" s="115">
        <f>HYPERLINK("https://youglish.com/pronounce/我叫阮文黄/chinese","🔍")</f>
        <v/>
      </c>
    </row>
    <row r="1882" ht="28.5" customHeight="1" s="99">
      <c r="A1882" s="92" t="inlineStr">
        <is>
          <t>PDF 300+ Mẫu Câu Giao tiếp theo chủ đề.pdf</t>
        </is>
      </c>
      <c r="B1882" s="93" t="inlineStr">
        <is>
          <t>34</t>
        </is>
      </c>
      <c r="C1882" s="92" t="inlineStr">
        <is>
          <t>岁</t>
        </is>
      </c>
      <c r="D1882" s="92" t="inlineStr">
        <is>
          <t>/suì/: Tuổi</t>
        </is>
      </c>
      <c r="E1882" s="92" t="inlineStr">
        <is>
          <t>岁/suì/: Tuổi</t>
        </is>
      </c>
      <c r="F1882" s="114">
        <f>HYPERLINK("https://youglish.com/pronounce/岁/chinese","🔍")</f>
        <v/>
      </c>
    </row>
    <row r="1883" ht="28.5" customHeight="1" s="99">
      <c r="A1883" s="94" t="inlineStr">
        <is>
          <t>PDF 300+ Mẫu Câu Giao tiếp theo chủ đề.pdf</t>
        </is>
      </c>
      <c r="B1883" s="95" t="inlineStr">
        <is>
          <t>35</t>
        </is>
      </c>
      <c r="C1883" s="94" t="inlineStr">
        <is>
          <t>年龄</t>
        </is>
      </c>
      <c r="D1883" s="94" t="inlineStr">
        <is>
          <t>/niánlíng/: Tuổi tác (Dành cho những người lớn tuổi)</t>
        </is>
      </c>
      <c r="E1883" s="94" t="inlineStr">
        <is>
          <t>年龄 /niánlíng/: Tuổi tác (Dành cho những người lớn tuổi)</t>
        </is>
      </c>
      <c r="F1883" s="115">
        <f>HYPERLINK("https://youglish.com/pronounce/年龄/chinese","🔍")</f>
        <v/>
      </c>
    </row>
    <row r="1884" ht="28.5" customHeight="1" s="99">
      <c r="A1884" s="92" t="inlineStr">
        <is>
          <t>PDF 300+ Mẫu Câu Giao tiếp theo chủ đề.pdf</t>
        </is>
      </c>
      <c r="B1884" s="93" t="inlineStr">
        <is>
          <t>36</t>
        </is>
      </c>
      <c r="C1884" s="92" t="inlineStr">
        <is>
          <t>今年</t>
        </is>
      </c>
      <c r="D1884" s="92" t="inlineStr">
        <is>
          <t>/jīnnián/: Năm nay</t>
        </is>
      </c>
      <c r="E1884" s="92" t="inlineStr">
        <is>
          <t>今年 /jīnnián/: Năm nay</t>
        </is>
      </c>
      <c r="F1884" s="114">
        <f>HYPERLINK("https://youglish.com/pronounce/今年/chinese","🔍")</f>
        <v/>
      </c>
    </row>
    <row r="1885" ht="28.5" customHeight="1" s="99">
      <c r="A1885" s="94" t="inlineStr">
        <is>
          <t>PDF 300+ Mẫu Câu Giao tiếp theo chủ đề.pdf</t>
        </is>
      </c>
      <c r="B1885" s="95" t="inlineStr">
        <is>
          <t>37</t>
        </is>
      </c>
      <c r="C1885" s="94" t="inlineStr">
        <is>
          <t>出生</t>
        </is>
      </c>
      <c r="D1885" s="94" t="inlineStr">
        <is>
          <t>/chūshēng /: Sinh ra</t>
        </is>
      </c>
      <c r="E1885" s="94" t="inlineStr">
        <is>
          <t>出生 /chūshēng /: Sinh ra</t>
        </is>
      </c>
      <c r="F1885" s="115">
        <f>HYPERLINK("https://youglish.com/pronounce/出生/chinese","🔍")</f>
        <v/>
      </c>
    </row>
    <row r="1886" ht="28.5" customHeight="1" s="99">
      <c r="A1886" s="92" t="inlineStr">
        <is>
          <t>PDF 300+ Mẫu Câu Giao tiếp theo chủ đề.pdf</t>
        </is>
      </c>
      <c r="B1886" s="93" t="inlineStr">
        <is>
          <t>38</t>
        </is>
      </c>
      <c r="C1886" s="92" t="inlineStr">
        <is>
          <t>已经</t>
        </is>
      </c>
      <c r="D1886" s="92" t="inlineStr">
        <is>
          <t>/yǐjīng/: Đã</t>
        </is>
      </c>
      <c r="E1886" s="92" t="inlineStr">
        <is>
          <t>已经 /yǐjīng/: Đã</t>
        </is>
      </c>
      <c r="F1886" s="114">
        <f>HYPERLINK("https://youglish.com/pronounce/已经/chinese","🔍")</f>
        <v/>
      </c>
    </row>
    <row r="1887" ht="28.5" customHeight="1" s="99">
      <c r="A1887" s="94" t="inlineStr">
        <is>
          <t>PDF 300+ Mẫu Câu Giao tiếp theo chủ đề.pdf</t>
        </is>
      </c>
      <c r="B1887" s="95" t="inlineStr">
        <is>
          <t>39</t>
        </is>
      </c>
      <c r="C1887" s="94" t="inlineStr">
        <is>
          <t>生日</t>
        </is>
      </c>
      <c r="D1887" s="94" t="inlineStr">
        <is>
          <t>/shēngrì/: sinh nhật</t>
        </is>
      </c>
      <c r="E1887" s="94" t="inlineStr">
        <is>
          <t>生日/shēngrì/: sinh nhật</t>
        </is>
      </c>
      <c r="F1887" s="115">
        <f>HYPERLINK("https://youglish.com/pronounce/生日/chinese","🔍")</f>
        <v/>
      </c>
    </row>
    <row r="1888" ht="28.5" customHeight="1" s="99">
      <c r="A1888" s="92" t="inlineStr">
        <is>
          <t>PDF 300+ Mẫu Câu Giao tiếp theo chủ đề.pdf</t>
        </is>
      </c>
      <c r="B1888" s="93" t="inlineStr">
        <is>
          <t>40</t>
        </is>
      </c>
      <c r="C1888" s="92" t="inlineStr">
        <is>
          <t>我今年… 岁</t>
        </is>
      </c>
      <c r="D1888" s="92" t="inlineStr">
        <is>
          <t>/wǒ jīnnián… suì/: Tôi năm nay….tuổi</t>
        </is>
      </c>
      <c r="E1888" s="92" t="inlineStr">
        <is>
          <t>我今年… 岁/wǒ jīnnián… suì/: Tôi năm nay….tuổi</t>
        </is>
      </c>
      <c r="F1888" s="114">
        <f>HYPERLINK("https://youglish.com/pronounce/我今年岁/chinese","🔍")</f>
        <v/>
      </c>
    </row>
    <row r="1889" ht="28.5" customHeight="1" s="99">
      <c r="A1889" s="94" t="inlineStr">
        <is>
          <t>PDF 300+ Mẫu Câu Giao tiếp theo chủ đề.pdf</t>
        </is>
      </c>
      <c r="B1889" s="95" t="inlineStr">
        <is>
          <t>41</t>
        </is>
      </c>
      <c r="C1889" s="94" t="inlineStr">
        <is>
          <t>我差不多....岁了</t>
        </is>
      </c>
      <c r="D1889" s="94" t="inlineStr">
        <is>
          <t>/wǒ chà bú duō….shuìle/: Tôi tầm … tuổi.</t>
        </is>
      </c>
      <c r="E1889" s="94" t="inlineStr">
        <is>
          <t>我差不多....岁了/wǒ chà bú duō….shuìle/: Tôi tầm … tuổi.</t>
        </is>
      </c>
      <c r="F1889" s="115">
        <f>HYPERLINK("https://youglish.com/pronounce/我差不多岁了/chinese","🔍")</f>
        <v/>
      </c>
    </row>
    <row r="1890" ht="28.5" customHeight="1" s="99">
      <c r="A1890" s="92" t="inlineStr">
        <is>
          <t>PDF 300+ Mẫu Câu Giao tiếp theo chủ đề.pdf</t>
        </is>
      </c>
      <c r="B1890" s="93" t="inlineStr">
        <is>
          <t>42</t>
        </is>
      </c>
      <c r="C1890" s="92" t="inlineStr">
        <is>
          <t>我已经… 多岁了</t>
        </is>
      </c>
      <c r="D1890" s="92" t="inlineStr">
        <is>
          <t>/wǒ yǐjīng… duō suì le/: Tôi đã hơn….tuổi rồi.</t>
        </is>
      </c>
      <c r="E1890" s="92" t="inlineStr">
        <is>
          <t>我已经… 多岁了/wǒ yǐjīng… duō suì le/: Tôi đã hơn….tuổi rồi.</t>
        </is>
      </c>
      <c r="F1890" s="114">
        <f>HYPERLINK("https://youglish.com/pronounce/我已经多岁了/chinese","🔍")</f>
        <v/>
      </c>
    </row>
    <row r="1891" ht="28.5" customHeight="1" s="99">
      <c r="A1891" s="94" t="inlineStr">
        <is>
          <t>PDF 300+ Mẫu Câu Giao tiếp theo chủ đề.pdf</t>
        </is>
      </c>
      <c r="B1891" s="95" t="inlineStr">
        <is>
          <t>43</t>
        </is>
      </c>
      <c r="C1891" s="94" t="inlineStr">
        <is>
          <t>我是… 年出生的</t>
        </is>
      </c>
      <c r="D1891" s="94" t="inlineStr">
        <is>
          <t>/wǒ shì… nián chūshēng de/: Tôi sinh năm….</t>
        </is>
      </c>
      <c r="E1891" s="94" t="inlineStr">
        <is>
          <t>我是… 年出生的。/wǒ shì… nián chūshēng de/: Tôi sinh năm….</t>
        </is>
      </c>
      <c r="F1891" s="115">
        <f>HYPERLINK("https://youglish.com/pronounce/我是年出生的/chinese","🔍")</f>
        <v/>
      </c>
    </row>
    <row r="1892" ht="28.5" customHeight="1" s="99">
      <c r="A1892" s="92" t="inlineStr">
        <is>
          <t>PDF 300+ Mẫu Câu Giao tiếp theo chủ đề.pdf</t>
        </is>
      </c>
      <c r="B1892" s="93" t="inlineStr">
        <is>
          <t>44</t>
        </is>
      </c>
      <c r="C1892" s="92" t="inlineStr">
        <is>
          <t>我今年二十三岁</t>
        </is>
      </c>
      <c r="D1892" s="92" t="inlineStr">
        <is>
          <t>Wǒ jīnnián èr shí sān</t>
        </is>
      </c>
      <c r="E1892" s="92" t="inlineStr">
        <is>
          <t>我今年二十三岁。 Wǒ jīnnián èr shí sān</t>
        </is>
      </c>
      <c r="F1892" s="114">
        <f>HYPERLINK("https://youglish.com/pronounce/我今年二十三岁/chinese","🔍")</f>
        <v/>
      </c>
    </row>
    <row r="1893" ht="28.5" customHeight="1" s="99">
      <c r="A1893" s="94" t="inlineStr">
        <is>
          <t>PDF 300+ Mẫu Câu Giao tiếp theo chủ đề.pdf</t>
        </is>
      </c>
      <c r="B1893" s="95" t="inlineStr">
        <is>
          <t>45</t>
        </is>
      </c>
      <c r="C1893" s="94" t="inlineStr">
        <is>
          <t>我是2000年出生</t>
        </is>
      </c>
      <c r="D1893" s="94" t="inlineStr">
        <is>
          <t>wǒ shì 2000 nián</t>
        </is>
      </c>
      <c r="E1893" s="94" t="inlineStr">
        <is>
          <t>我是2000年出生。 wǒ shì 2000 nián</t>
        </is>
      </c>
      <c r="F1893" s="115">
        <f>HYPERLINK("https://youglish.com/pronounce/我是年出生/chinese","🔍")</f>
        <v/>
      </c>
    </row>
    <row r="1894" ht="28.5" customHeight="1" s="99">
      <c r="A1894" s="92" t="inlineStr">
        <is>
          <t>PDF 300+ Mẫu Câu Giao tiếp theo chủ đề.pdf</t>
        </is>
      </c>
      <c r="B1894" s="93" t="inlineStr">
        <is>
          <t>46</t>
        </is>
      </c>
      <c r="C1894" s="92" t="inlineStr">
        <is>
          <t>我差不多三十岁了</t>
        </is>
      </c>
      <c r="D1894" s="92" t="inlineStr">
        <is>
          <t>wǒ chà bú duō sān shí le Tôi gần 30 tuổi rồi.</t>
        </is>
      </c>
      <c r="E1894" s="92" t="inlineStr">
        <is>
          <t>我差不多三十岁了。 wǒ chà bú duō sān shí le Tôi gần 30 tuổi rồi.</t>
        </is>
      </c>
      <c r="F1894" s="114">
        <f>HYPERLINK("https://youglish.com/pronounce/我差不多三十岁了/chinese","🔍")</f>
        <v/>
      </c>
    </row>
    <row r="1895" ht="28.5" customHeight="1" s="99">
      <c r="A1895" s="94" t="inlineStr">
        <is>
          <t>PDF 300+ Mẫu Câu Giao tiếp theo chủ đề.pdf</t>
        </is>
      </c>
      <c r="B1895" s="95" t="inlineStr">
        <is>
          <t>47</t>
        </is>
      </c>
      <c r="C1895" s="94" t="inlineStr">
        <is>
          <t>我的年龄跟你一样大</t>
        </is>
      </c>
      <c r="D1895" s="94" t="inlineStr">
        <is>
          <t>wǒ de niánlíng gēn nǐ</t>
        </is>
      </c>
      <c r="E1895" s="94" t="inlineStr">
        <is>
          <t>我的年龄跟你一样大。 wǒ de niánlíng gēn nǐ</t>
        </is>
      </c>
      <c r="F1895" s="115">
        <f>HYPERLINK("https://youglish.com/pronounce/我的年龄跟你一样大/chinese","🔍")</f>
        <v/>
      </c>
    </row>
    <row r="1896" ht="28.5" customHeight="1" s="99">
      <c r="A1896" s="92" t="inlineStr">
        <is>
          <t>PDF 300+ Mẫu Câu Giao tiếp theo chủ đề.pdf</t>
        </is>
      </c>
      <c r="B1896" s="93" t="inlineStr">
        <is>
          <t>48</t>
        </is>
      </c>
      <c r="C1896" s="92" t="inlineStr">
        <is>
          <t>农村</t>
        </is>
      </c>
      <c r="D1896" s="92" t="inlineStr">
        <is>
          <t>/nóngcūn/: Khu vực nông thôn, làng</t>
        </is>
      </c>
      <c r="E1896" s="92" t="inlineStr">
        <is>
          <t>农村/nóngcūn/: Khu vực nông thôn, làng</t>
        </is>
      </c>
      <c r="F1896" s="114">
        <f>HYPERLINK("https://youglish.com/pronounce/农村/chinese","🔍")</f>
        <v/>
      </c>
    </row>
    <row r="1897" ht="28.5" customHeight="1" s="99">
      <c r="A1897" s="94" t="inlineStr">
        <is>
          <t>PDF 300+ Mẫu Câu Giao tiếp theo chủ đề.pdf</t>
        </is>
      </c>
      <c r="B1897" s="95" t="inlineStr">
        <is>
          <t>49</t>
        </is>
      </c>
      <c r="C1897" s="94" t="inlineStr">
        <is>
          <t>小城</t>
        </is>
      </c>
      <c r="D1897" s="94" t="inlineStr">
        <is>
          <t>/xiǎochéng/: Thị trấn nhỏ</t>
        </is>
      </c>
      <c r="E1897" s="94" t="inlineStr">
        <is>
          <t>小城 /xiǎochéng/: Thị trấn nhỏ</t>
        </is>
      </c>
      <c r="F1897" s="115">
        <f>HYPERLINK("https://youglish.com/pronounce/小城/chinese","🔍")</f>
        <v/>
      </c>
    </row>
    <row r="1898" ht="28.5" customHeight="1" s="99">
      <c r="A1898" s="92" t="inlineStr">
        <is>
          <t>PDF 300+ Mẫu Câu Giao tiếp theo chủ đề.pdf</t>
        </is>
      </c>
      <c r="B1898" s="93" t="inlineStr">
        <is>
          <t>50</t>
        </is>
      </c>
      <c r="C1898" s="92" t="inlineStr">
        <is>
          <t>城市</t>
        </is>
      </c>
      <c r="D1898" s="92" t="inlineStr">
        <is>
          <t>/chéngshì/: Thành phố lớn</t>
        </is>
      </c>
      <c r="E1898" s="92" t="inlineStr">
        <is>
          <t>城市/chéngshì/: Thành phố lớn</t>
        </is>
      </c>
      <c r="F1898" s="114">
        <f>HYPERLINK("https://youglish.com/pronounce/城市/chinese","🔍")</f>
        <v/>
      </c>
    </row>
    <row r="1899" ht="28.5" customHeight="1" s="99">
      <c r="A1899" s="94" t="inlineStr">
        <is>
          <t>PDF 300+ Mẫu Câu Giao tiếp theo chủ đề.pdf</t>
        </is>
      </c>
      <c r="B1899" s="95" t="inlineStr">
        <is>
          <t>51</t>
        </is>
      </c>
      <c r="C1899" s="94" t="inlineStr">
        <is>
          <t>家乡</t>
        </is>
      </c>
      <c r="D1899" s="94" t="inlineStr">
        <is>
          <t>/jiāxiāng/: Quê hương</t>
        </is>
      </c>
      <c r="E1899" s="94" t="inlineStr">
        <is>
          <t>家乡 /jiāxiāng/: Quê hương</t>
        </is>
      </c>
      <c r="F1899" s="115">
        <f>HYPERLINK("https://youglish.com/pronounce/家乡/chinese","🔍")</f>
        <v/>
      </c>
    </row>
    <row r="1900" ht="28.5" customHeight="1" s="99">
      <c r="A1900" s="92" t="inlineStr">
        <is>
          <t>PDF 300+ Mẫu Câu Giao tiếp theo chủ đề.pdf</t>
        </is>
      </c>
      <c r="B1900" s="93" t="inlineStr">
        <is>
          <t>52</t>
        </is>
      </c>
      <c r="C1900" s="92" t="inlineStr">
        <is>
          <t>住在</t>
        </is>
      </c>
      <c r="D1900" s="92" t="inlineStr">
        <is>
          <t>/zhù zài/: Sống tại</t>
        </is>
      </c>
      <c r="E1900" s="92" t="inlineStr">
        <is>
          <t>住在 /zhù zài/: Sống tại</t>
        </is>
      </c>
      <c r="F1900" s="114">
        <f>HYPERLINK("https://youglish.com/pronounce/住在/chinese","🔍")</f>
        <v/>
      </c>
    </row>
    <row r="1901" ht="28.5" customHeight="1" s="99">
      <c r="A1901" s="94" t="inlineStr">
        <is>
          <t>PDF 300+ Mẫu Câu Giao tiếp theo chủ đề.pdf</t>
        </is>
      </c>
      <c r="B1901" s="95" t="inlineStr">
        <is>
          <t>53</t>
        </is>
      </c>
      <c r="C1901" s="94" t="inlineStr">
        <is>
          <t>国籍</t>
        </is>
      </c>
      <c r="D1901" s="94" t="inlineStr">
        <is>
          <t>/guójí/: Quốc tịch</t>
        </is>
      </c>
      <c r="E1901" s="94" t="inlineStr">
        <is>
          <t>国籍/guójí/: Quốc tịch</t>
        </is>
      </c>
      <c r="F1901" s="115">
        <f>HYPERLINK("https://youglish.com/pronounce/国籍/chinese","🔍")</f>
        <v/>
      </c>
    </row>
    <row r="1902" ht="28.5" customHeight="1" s="99">
      <c r="A1902" s="92" t="inlineStr">
        <is>
          <t>PDF 300+ Mẫu Câu Giao tiếp theo chủ đề.pdf</t>
        </is>
      </c>
      <c r="B1902" s="93" t="inlineStr">
        <is>
          <t>54</t>
        </is>
      </c>
      <c r="C1902" s="92" t="inlineStr">
        <is>
          <t>我是… 人</t>
        </is>
      </c>
      <c r="D1902" s="92" t="inlineStr">
        <is>
          <t>/wǒ shì… rén/: Tôi là người…..(quê hương).</t>
        </is>
      </c>
      <c r="E1902" s="92" t="inlineStr">
        <is>
          <t>我是… 人 /wǒ shì… rén/: Tôi là người…..(quê hương).</t>
        </is>
      </c>
      <c r="F1902" s="114">
        <f>HYPERLINK("https://youglish.com/pronounce/我是人/chinese","🔍")</f>
        <v/>
      </c>
    </row>
    <row r="1903" ht="28.5" customHeight="1" s="99">
      <c r="A1903" s="94" t="inlineStr">
        <is>
          <t>PDF 300+ Mẫu Câu Giao tiếp theo chủ đề.pdf</t>
        </is>
      </c>
      <c r="B1903" s="95" t="inlineStr">
        <is>
          <t>55</t>
        </is>
      </c>
      <c r="C1903" s="94" t="inlineStr">
        <is>
          <t>我来自</t>
        </is>
      </c>
      <c r="D1903" s="94" t="inlineStr">
        <is>
          <t>/wǒ láizì… /: Tôi đến từ….</t>
        </is>
      </c>
      <c r="E1903" s="94" t="inlineStr">
        <is>
          <t>我来自…/wǒ láizì… /: Tôi đến từ….</t>
        </is>
      </c>
      <c r="F1903" s="115">
        <f>HYPERLINK("https://youglish.com/pronounce/我来自/chinese","🔍")</f>
        <v/>
      </c>
    </row>
    <row r="1904" ht="28.5" customHeight="1" s="99">
      <c r="A1904" s="92" t="inlineStr">
        <is>
          <t>PDF 300+ Mẫu Câu Giao tiếp theo chủ đề.pdf</t>
        </is>
      </c>
      <c r="B1904" s="93" t="inlineStr">
        <is>
          <t>56</t>
        </is>
      </c>
      <c r="C1904" s="92" t="inlineStr">
        <is>
          <t>我出生于</t>
        </is>
      </c>
      <c r="D1904" s="92" t="inlineStr">
        <is>
          <t>/wǒ chūshēng yú… /: Tôi sinh ra tại….</t>
        </is>
      </c>
      <c r="E1904" s="92" t="inlineStr">
        <is>
          <t>我出生于…/wǒ chūshēng yú… /: Tôi sinh ra tại….</t>
        </is>
      </c>
      <c r="F1904" s="114">
        <f>HYPERLINK("https://youglish.com/pronounce/我出生于/chinese","🔍")</f>
        <v/>
      </c>
    </row>
    <row r="1905" ht="28.5" customHeight="1" s="99">
      <c r="A1905" s="94" t="inlineStr">
        <is>
          <t>PDF 300+ Mẫu Câu Giao tiếp theo chủ đề.pdf</t>
        </is>
      </c>
      <c r="B1905" s="95" t="inlineStr">
        <is>
          <t>57</t>
        </is>
      </c>
      <c r="C1905" s="94" t="inlineStr">
        <is>
          <t>我的家乡是</t>
        </is>
      </c>
      <c r="D1905" s="94" t="inlineStr">
        <is>
          <t>/wǒ de jiāxiāng shì… /: Quê của tôi ở…</t>
        </is>
      </c>
      <c r="E1905" s="94" t="inlineStr">
        <is>
          <t>我的家乡是…/wǒ de jiāxiāng shì… /: Quê của tôi ở…</t>
        </is>
      </c>
      <c r="F1905" s="115">
        <f>HYPERLINK("https://youglish.com/pronounce/我的家乡是/chinese","🔍")</f>
        <v/>
      </c>
    </row>
    <row r="1906" ht="28.5" customHeight="1" s="99">
      <c r="A1906" s="92" t="inlineStr">
        <is>
          <t>PDF 300+ Mẫu Câu Giao tiếp theo chủ đề.pdf</t>
        </is>
      </c>
      <c r="B1906" s="93" t="inlineStr">
        <is>
          <t>58</t>
        </is>
      </c>
      <c r="C1906" s="92" t="inlineStr">
        <is>
          <t>我住在</t>
        </is>
      </c>
      <c r="D1906" s="92" t="inlineStr">
        <is>
          <t>.../Wǒ zhù zài…/: Tôi sống ở…</t>
        </is>
      </c>
      <c r="E1906" s="92" t="inlineStr">
        <is>
          <t>我住在.../Wǒ zhù zài…/: Tôi sống ở…</t>
        </is>
      </c>
      <c r="F1906" s="114">
        <f>HYPERLINK("https://youglish.com/pronounce/我住在/chinese","🔍")</f>
        <v/>
      </c>
    </row>
    <row r="1907" ht="28.5" customHeight="1" s="99">
      <c r="A1907" s="94" t="inlineStr">
        <is>
          <t>PDF 300+ Mẫu Câu Giao tiếp theo chủ đề.pdf</t>
        </is>
      </c>
      <c r="B1907" s="95" t="inlineStr">
        <is>
          <t>59</t>
        </is>
      </c>
      <c r="C1907" s="94" t="inlineStr">
        <is>
          <t>我国籍是</t>
        </is>
      </c>
      <c r="D1907" s="94" t="inlineStr">
        <is>
          <t>..../wǒ guójí shì…/: Quốc tịch của tôi là….</t>
        </is>
      </c>
      <c r="E1907" s="94" t="inlineStr">
        <is>
          <t>我国籍是..../wǒ guójí shì…/: Quốc tịch của tôi là….</t>
        </is>
      </c>
      <c r="F1907" s="115">
        <f>HYPERLINK("https://youglish.com/pronounce/我国籍是/chinese","🔍")</f>
        <v/>
      </c>
    </row>
    <row r="1908" ht="28.5" customHeight="1" s="99">
      <c r="A1908" s="92" t="inlineStr">
        <is>
          <t>PDF 300+ Mẫu Câu Giao tiếp theo chủ đề.pdf</t>
        </is>
      </c>
      <c r="B1908" s="93" t="inlineStr">
        <is>
          <t>60</t>
        </is>
      </c>
      <c r="C1908" s="92" t="inlineStr">
        <is>
          <t>我是越南人</t>
        </is>
      </c>
      <c r="D1908" s="92" t="inlineStr">
        <is>
          <t>Wǒ shì Yuènán rén. Tôi là người Việt Nam.</t>
        </is>
      </c>
      <c r="E1908" s="92" t="inlineStr">
        <is>
          <t>我是越南人。 Wǒ shì Yuènán rén. Tôi là người Việt Nam.</t>
        </is>
      </c>
      <c r="F1908" s="114">
        <f>HYPERLINK("https://youglish.com/pronounce/我是越南人/chinese","🔍")</f>
        <v/>
      </c>
    </row>
    <row r="1909" ht="28.5" customHeight="1" s="99">
      <c r="A1909" s="94" t="inlineStr">
        <is>
          <t>PDF 300+ Mẫu Câu Giao tiếp theo chủ đề.pdf</t>
        </is>
      </c>
      <c r="B1909" s="95" t="inlineStr">
        <is>
          <t>61</t>
        </is>
      </c>
      <c r="C1909" s="94" t="inlineStr">
        <is>
          <t>我国籍是越南</t>
        </is>
      </c>
      <c r="D1909" s="94" t="inlineStr">
        <is>
          <t>wǒ guójí shì Yuènán Quốc tịch của tôi là Việt</t>
        </is>
      </c>
      <c r="E1909" s="94" t="inlineStr">
        <is>
          <t>我国籍是越南。 wǒ guójí shì Yuènán Quốc tịch của tôi là Việt</t>
        </is>
      </c>
      <c r="F1909" s="115">
        <f>HYPERLINK("https://youglish.com/pronounce/我国籍是越南/chinese","🔍")</f>
        <v/>
      </c>
    </row>
    <row r="1910" ht="28.5" customHeight="1" s="99">
      <c r="A1910" s="92" t="inlineStr">
        <is>
          <t>PDF 300+ Mẫu Câu Giao tiếp theo chủ đề.pdf</t>
        </is>
      </c>
      <c r="B1910" s="93" t="inlineStr">
        <is>
          <t>62</t>
        </is>
      </c>
      <c r="C1910" s="92" t="inlineStr">
        <is>
          <t>我来自河内</t>
        </is>
      </c>
      <c r="D1910" s="92" t="inlineStr">
        <is>
          <t>Wǒ láizì Hénèi. Tôi đến từ Hà Nội.</t>
        </is>
      </c>
      <c r="E1910" s="92" t="inlineStr">
        <is>
          <t>我来自河内。 Wǒ láizì Hénèi. Tôi đến từ Hà Nội.</t>
        </is>
      </c>
      <c r="F1910" s="114">
        <f>HYPERLINK("https://youglish.com/pronounce/我来自河内/chinese","🔍")</f>
        <v/>
      </c>
    </row>
    <row r="1911" ht="28.5" customHeight="1" s="99">
      <c r="A1911" s="94" t="inlineStr">
        <is>
          <t>PDF 300+ Mẫu Câu Giao tiếp theo chủ đề.pdf</t>
        </is>
      </c>
      <c r="B1911" s="95" t="inlineStr">
        <is>
          <t>63</t>
        </is>
      </c>
      <c r="C1911" s="94" t="inlineStr">
        <is>
          <t>我出生于河内</t>
        </is>
      </c>
      <c r="D1911" s="94" t="inlineStr">
        <is>
          <t>Wǒ chūshēng yú Hénèi Tôi sinh ra tại Hà Nội.</t>
        </is>
      </c>
      <c r="E1911" s="94" t="inlineStr">
        <is>
          <t>我出生于河内。 Wǒ chūshēng yú Hénèi Tôi sinh ra tại Hà Nội.</t>
        </is>
      </c>
      <c r="F1911" s="115">
        <f>HYPERLINK("https://youglish.com/pronounce/我出生于河内/chinese","🔍")</f>
        <v/>
      </c>
    </row>
    <row r="1912" ht="28.5" customHeight="1" s="99">
      <c r="A1912" s="92" t="inlineStr">
        <is>
          <t>PDF 300+ Mẫu Câu Giao tiếp theo chủ đề.pdf</t>
        </is>
      </c>
      <c r="B1912" s="93" t="inlineStr">
        <is>
          <t>64</t>
        </is>
      </c>
      <c r="C1912" s="92" t="inlineStr">
        <is>
          <t>我的家乡是河内</t>
        </is>
      </c>
      <c r="D1912" s="92" t="inlineStr">
        <is>
          <t>Wǒ de jiāxiāng shì</t>
        </is>
      </c>
      <c r="E1912" s="92" t="inlineStr">
        <is>
          <t>我的家乡是河内。 Wǒ de jiāxiāng shì</t>
        </is>
      </c>
      <c r="F1912" s="114">
        <f>HYPERLINK("https://youglish.com/pronounce/我的家乡是河内/chinese","🔍")</f>
        <v/>
      </c>
    </row>
    <row r="1913" ht="28.5" customHeight="1" s="99">
      <c r="A1913" s="94" t="inlineStr">
        <is>
          <t>PDF 300+ Mẫu Câu Giao tiếp theo chủ đề.pdf</t>
        </is>
      </c>
      <c r="B1913" s="95" t="inlineStr">
        <is>
          <t>65</t>
        </is>
      </c>
      <c r="C1913" s="94" t="inlineStr">
        <is>
          <t>现在我住在河内</t>
        </is>
      </c>
      <c r="D1913" s="94" t="inlineStr">
        <is>
          <t>Xiànzài wǒ zhù zài</t>
        </is>
      </c>
      <c r="E1913" s="94" t="inlineStr">
        <is>
          <t>现在我住在河内。 Xiànzài wǒ zhù zài</t>
        </is>
      </c>
      <c r="F1913" s="115">
        <f>HYPERLINK("https://youglish.com/pronounce/现在我住在河内/chinese","🔍")</f>
        <v/>
      </c>
    </row>
    <row r="1914" ht="28.5" customHeight="1" s="99">
      <c r="A1914" s="92" t="inlineStr">
        <is>
          <t>PDF 300+ Mẫu Câu Giao tiếp theo chủ đề.pdf</t>
        </is>
      </c>
      <c r="B1914" s="93" t="inlineStr">
        <is>
          <t>66</t>
        </is>
      </c>
      <c r="C1914" s="92" t="inlineStr">
        <is>
          <t>专业</t>
        </is>
      </c>
      <c r="D1914" s="92" t="inlineStr">
        <is>
          <t>/zhuānyè/: Chuyên ngành</t>
        </is>
      </c>
      <c r="E1914" s="92" t="inlineStr">
        <is>
          <t>专业/zhuānyè/: Chuyên ngành</t>
        </is>
      </c>
      <c r="F1914" s="114">
        <f>HYPERLINK("https://youglish.com/pronounce/专业/chinese","🔍")</f>
        <v/>
      </c>
    </row>
    <row r="1915" ht="28.5" customHeight="1" s="99">
      <c r="A1915" s="94" t="inlineStr">
        <is>
          <t>PDF 300+ Mẫu Câu Giao tiếp theo chủ đề.pdf</t>
        </is>
      </c>
      <c r="B1915" s="95" t="inlineStr">
        <is>
          <t>67</t>
        </is>
      </c>
      <c r="C1915" s="94" t="inlineStr">
        <is>
          <t>工作</t>
        </is>
      </c>
      <c r="D1915" s="94" t="inlineStr">
        <is>
          <t>/gōngzuò/: Công việc</t>
        </is>
      </c>
      <c r="E1915" s="94" t="inlineStr">
        <is>
          <t>工作/gōngzuò/: Công việc</t>
        </is>
      </c>
      <c r="F1915" s="115">
        <f>HYPERLINK("https://youglish.com/pronounce/工作/chinese","🔍")</f>
        <v/>
      </c>
    </row>
    <row r="1916" ht="28.5" customHeight="1" s="99">
      <c r="A1916" s="92" t="inlineStr">
        <is>
          <t>PDF 300+ Mẫu Câu Giao tiếp theo chủ đề.pdf</t>
        </is>
      </c>
      <c r="B1916" s="93" t="inlineStr">
        <is>
          <t>68</t>
        </is>
      </c>
      <c r="C1916" s="92" t="inlineStr">
        <is>
          <t>大学生</t>
        </is>
      </c>
      <c r="D1916" s="92" t="inlineStr">
        <is>
          <t>/dà xuéshēng/: Sinh viên</t>
        </is>
      </c>
      <c r="E1916" s="92" t="inlineStr">
        <is>
          <t>大学生/dà xuéshēng/: Sinh viên</t>
        </is>
      </c>
      <c r="F1916" s="114">
        <f>HYPERLINK("https://youglish.com/pronounce/大学生/chinese","🔍")</f>
        <v/>
      </c>
    </row>
    <row r="1917" ht="28.5" customHeight="1" s="99">
      <c r="A1917" s="94" t="inlineStr">
        <is>
          <t>PDF 300+ Mẫu Câu Giao tiếp theo chủ đề.pdf</t>
        </is>
      </c>
      <c r="B1917" s="95" t="inlineStr">
        <is>
          <t>69</t>
        </is>
      </c>
      <c r="C1917" s="94" t="inlineStr">
        <is>
          <t>学生</t>
        </is>
      </c>
      <c r="D1917" s="94" t="inlineStr">
        <is>
          <t>/xuéshēng /: Học sinh</t>
        </is>
      </c>
      <c r="E1917" s="94" t="inlineStr">
        <is>
          <t>学生 /xuéshēng /: Học sinh</t>
        </is>
      </c>
      <c r="F1917" s="115">
        <f>HYPERLINK("https://youglish.com/pronounce/学生/chinese","🔍")</f>
        <v/>
      </c>
    </row>
    <row r="1918" ht="28.5" customHeight="1" s="99">
      <c r="A1918" s="92" t="inlineStr">
        <is>
          <t>PDF 300+ Mẫu Câu Giao tiếp theo chủ đề.pdf</t>
        </is>
      </c>
      <c r="B1918" s="93" t="inlineStr">
        <is>
          <t>70</t>
        </is>
      </c>
      <c r="C1918" s="92" t="inlineStr">
        <is>
          <t>毕业</t>
        </is>
      </c>
      <c r="D1918" s="92" t="inlineStr">
        <is>
          <t>/bìyè/: Tốt nghiệp</t>
        </is>
      </c>
      <c r="E1918" s="92" t="inlineStr">
        <is>
          <t>毕业 /bìyè/: Tốt nghiệp</t>
        </is>
      </c>
      <c r="F1918" s="114">
        <f>HYPERLINK("https://youglish.com/pronounce/毕业/chinese","🔍")</f>
        <v/>
      </c>
    </row>
    <row r="1919" ht="28.5" customHeight="1" s="99">
      <c r="A1919" s="94" t="inlineStr">
        <is>
          <t>PDF 300+ Mẫu Câu Giao tiếp theo chủ đề.pdf</t>
        </is>
      </c>
      <c r="B1919" s="95" t="inlineStr">
        <is>
          <t>71</t>
        </is>
      </c>
      <c r="C1919" s="94" t="inlineStr">
        <is>
          <t>知识</t>
        </is>
      </c>
      <c r="D1919" s="94" t="inlineStr">
        <is>
          <t>/zhīshì/: Kiến thức</t>
        </is>
      </c>
      <c r="E1919" s="94" t="inlineStr">
        <is>
          <t>知识 /zhīshì/: Kiến thức</t>
        </is>
      </c>
      <c r="F1919" s="115">
        <f>HYPERLINK("https://youglish.com/pronounce/知识/chinese","🔍")</f>
        <v/>
      </c>
    </row>
    <row r="1920" ht="28.5" customHeight="1" s="99">
      <c r="A1920" s="92" t="inlineStr">
        <is>
          <t>PDF 300+ Mẫu Câu Giao tiếp theo chủ đề.pdf</t>
        </is>
      </c>
      <c r="B1920" s="93" t="inlineStr">
        <is>
          <t>72</t>
        </is>
      </c>
      <c r="C1920" s="92" t="inlineStr">
        <is>
          <t>我的专业是</t>
        </is>
      </c>
      <c r="D1920" s="92" t="inlineStr">
        <is>
          <t>/wǒ de zhuānyè shì… /: Chuyên ngành của mình là…</t>
        </is>
      </c>
      <c r="E1920" s="92" t="inlineStr">
        <is>
          <t>我的专业是… /wǒ de zhuānyè shì… /: Chuyên ngành của mình là…</t>
        </is>
      </c>
      <c r="F1920" s="114">
        <f>HYPERLINK("https://youglish.com/pronounce/我的专业是/chinese","🔍")</f>
        <v/>
      </c>
    </row>
    <row r="1921" ht="28.5" customHeight="1" s="99">
      <c r="A1921" s="94" t="inlineStr">
        <is>
          <t>PDF 300+ Mẫu Câu Giao tiếp theo chủ đề.pdf</t>
        </is>
      </c>
      <c r="B1921" s="95" t="inlineStr">
        <is>
          <t>73</t>
        </is>
      </c>
      <c r="C1921" s="94" t="inlineStr">
        <is>
          <t>我在… 公司工作</t>
        </is>
      </c>
      <c r="D1921" s="94" t="inlineStr">
        <is>
          <t>/wǒ zài… gōngsī gōngzuò / : Tôi làm việc ở công ty…</t>
        </is>
      </c>
      <c r="E1921" s="94" t="inlineStr">
        <is>
          <t>我在… 公司工作 /wǒ zài… gōngsī gōngzuò / : Tôi làm việc ở công ty…</t>
        </is>
      </c>
      <c r="F1921" s="115">
        <f>HYPERLINK("https://youglish.com/pronounce/我在公司工作/chinese","🔍")</f>
        <v/>
      </c>
    </row>
    <row r="1922" ht="28.5" customHeight="1" s="99">
      <c r="A1922" s="92" t="inlineStr">
        <is>
          <t>PDF 300+ Mẫu Câu Giao tiếp theo chủ đề.pdf</t>
        </is>
      </c>
      <c r="B1922" s="93" t="inlineStr">
        <is>
          <t>74</t>
        </is>
      </c>
      <c r="C1922" s="92" t="inlineStr">
        <is>
          <t>我在… 大学学习</t>
        </is>
      </c>
      <c r="D1922" s="92" t="inlineStr">
        <is>
          <t>/wǒ zài… dàxué xuéxí/: Tôi học … ở đại học…</t>
        </is>
      </c>
      <c r="E1922" s="92" t="inlineStr">
        <is>
          <t>我在… 大学学习 /wǒ zài… dàxué xuéxí/: Tôi học … ở đại học…</t>
        </is>
      </c>
      <c r="F1922" s="114">
        <f>HYPERLINK("https://youglish.com/pronounce/我在大学学习/chinese","🔍")</f>
        <v/>
      </c>
    </row>
    <row r="1923" ht="28.5" customHeight="1" s="99">
      <c r="A1923" s="94" t="inlineStr">
        <is>
          <t>PDF 300+ Mẫu Câu Giao tiếp theo chủ đề.pdf</t>
        </is>
      </c>
      <c r="B1923" s="95" t="inlineStr">
        <is>
          <t>75</t>
        </is>
      </c>
      <c r="C1923" s="94" t="inlineStr">
        <is>
          <t>我当</t>
        </is>
      </c>
      <c r="D1923" s="94" t="inlineStr">
        <is>
          <t>/wǒ dāng… /: Tôi làm (nghề)…</t>
        </is>
      </c>
      <c r="E1923" s="94" t="inlineStr">
        <is>
          <t>我当… /wǒ dāng… /: Tôi làm (nghề)…</t>
        </is>
      </c>
      <c r="F1923" s="115">
        <f>HYPERLINK("https://youglish.com/pronounce/我当/chinese","🔍")</f>
        <v/>
      </c>
    </row>
    <row r="1924" ht="28.5" customHeight="1" s="99">
      <c r="A1924" s="92" t="inlineStr">
        <is>
          <t>PDF 300+ Mẫu Câu Giao tiếp theo chủ đề.pdf</t>
        </is>
      </c>
      <c r="B1924" s="93" t="inlineStr">
        <is>
          <t>76</t>
        </is>
      </c>
      <c r="C1924" s="92" t="inlineStr">
        <is>
          <t>我的专业是金融</t>
        </is>
      </c>
      <c r="D1924" s="92" t="inlineStr">
        <is>
          <t>Wǒ de zhuānyè shì jīnróng. Chuyên ngành của tôi là tài chính ngân hàng.</t>
        </is>
      </c>
      <c r="E1924" s="92" t="inlineStr">
        <is>
          <t>我的专业是金融。 Wǒ de zhuānyè shì jīnróng. Chuyên ngành của tôi là tài chính ngân hàng.</t>
        </is>
      </c>
      <c r="F1924" s="114">
        <f>HYPERLINK("https://youglish.com/pronounce/我的专业是金融/chinese","🔍")</f>
        <v/>
      </c>
    </row>
    <row r="1925" ht="28.5" customHeight="1" s="99">
      <c r="A1925" s="94" t="inlineStr">
        <is>
          <t>PDF 300+ Mẫu Câu Giao tiếp theo chủ đề.pdf</t>
        </is>
      </c>
      <c r="B1925" s="95" t="inlineStr">
        <is>
          <t>77</t>
        </is>
      </c>
      <c r="C1925" s="94" t="inlineStr">
        <is>
          <t>我在黄金公司工作了五</t>
        </is>
      </c>
      <c r="D1925" s="94" t="n"/>
      <c r="E1925" s="94" t="inlineStr">
        <is>
          <t>我在黄金公司工作了五</t>
        </is>
      </c>
      <c r="F1925" s="115">
        <f>HYPERLINK("https://youglish.com/pronounce/我在黄金公司工作了五/chinese","🔍")</f>
        <v/>
      </c>
    </row>
    <row r="1926" ht="28.5" customHeight="1" s="99">
      <c r="A1926" s="92" t="inlineStr">
        <is>
          <t>PDF 300+ Mẫu Câu Giao tiếp theo chủ đề.pdf</t>
        </is>
      </c>
      <c r="B1926" s="93" t="inlineStr">
        <is>
          <t>78</t>
        </is>
      </c>
      <c r="C1926" s="92" t="inlineStr">
        <is>
          <t>年了</t>
        </is>
      </c>
      <c r="D1926" s="92" t="inlineStr">
        <is>
          <t>Wǒ zài Huángjīn gōngsī gōngzuòle wǔ nián le.</t>
        </is>
      </c>
      <c r="E1926" s="92" t="inlineStr">
        <is>
          <t>年了。 Wǒ zài Huángjīn gōngsī gōngzuòle wǔ nián le.</t>
        </is>
      </c>
      <c r="F1926" s="114">
        <f>HYPERLINK("https://youglish.com/pronounce/年了/chinese","🔍")</f>
        <v/>
      </c>
    </row>
    <row r="1927" ht="28.5" customHeight="1" s="99">
      <c r="A1927" s="94" t="inlineStr">
        <is>
          <t>PDF 300+ Mẫu Câu Giao tiếp theo chủ đề.pdf</t>
        </is>
      </c>
      <c r="B1927" s="95" t="inlineStr">
        <is>
          <t>79</t>
        </is>
      </c>
      <c r="C1927" s="94" t="inlineStr">
        <is>
          <t>我在越南新闻与传播学</t>
        </is>
      </c>
      <c r="D1927" s="94" t="n"/>
      <c r="E1927" s="94" t="inlineStr">
        <is>
          <t>我在越南新闻与传播学</t>
        </is>
      </c>
      <c r="F1927" s="115">
        <f>HYPERLINK("https://youglish.com/pronounce/我在越南新闻与传播学/chinese","🔍")</f>
        <v/>
      </c>
    </row>
    <row r="1928" ht="28.5" customHeight="1" s="99">
      <c r="A1928" s="92" t="inlineStr">
        <is>
          <t>PDF 300+ Mẫu Câu Giao tiếp theo chủ đề.pdf</t>
        </is>
      </c>
      <c r="B1928" s="93" t="inlineStr">
        <is>
          <t>80</t>
        </is>
      </c>
      <c r="C1928" s="92" t="inlineStr">
        <is>
          <t>院学习</t>
        </is>
      </c>
      <c r="D1928" s="92" t="inlineStr">
        <is>
          <t>Wǒ zài Yuènán Xīnwén yǔ chuánbō xuéyuàn xuéxí</t>
        </is>
      </c>
      <c r="E1928" s="92" t="inlineStr">
        <is>
          <t>院学习。 Wǒ zài Yuènán Xīnwén yǔ chuánbō xuéyuàn xuéxí</t>
        </is>
      </c>
      <c r="F1928" s="114">
        <f>HYPERLINK("https://youglish.com/pronounce/院学习/chinese","🔍")</f>
        <v/>
      </c>
    </row>
    <row r="1929" ht="28.5" customHeight="1" s="99">
      <c r="A1929" s="94" t="inlineStr">
        <is>
          <t>PDF 300+ Mẫu Câu Giao tiếp theo chủ đề.pdf</t>
        </is>
      </c>
      <c r="B1929" s="95" t="inlineStr">
        <is>
          <t>81</t>
        </is>
      </c>
      <c r="C1929" s="94" t="inlineStr">
        <is>
          <t>我当老师</t>
        </is>
      </c>
      <c r="D1929" s="94" t="inlineStr">
        <is>
          <t>Wǒ dāng lǎoshī Tôi làm giáo viên.</t>
        </is>
      </c>
      <c r="E1929" s="94" t="inlineStr">
        <is>
          <t>我当老师。 Wǒ dāng lǎoshī Tôi làm giáo viên.</t>
        </is>
      </c>
      <c r="F1929" s="115">
        <f>HYPERLINK("https://youglish.com/pronounce/我当老师/chinese","🔍")</f>
        <v/>
      </c>
    </row>
    <row r="1930" ht="28.5" customHeight="1" s="99">
      <c r="A1930" s="92" t="inlineStr">
        <is>
          <t>PDF 300+ Mẫu Câu Giao tiếp theo chủ đề.pdf</t>
        </is>
      </c>
      <c r="B1930" s="93" t="inlineStr">
        <is>
          <t>82</t>
        </is>
      </c>
      <c r="C1930" s="92" t="inlineStr">
        <is>
          <t>我的工作是工程师</t>
        </is>
      </c>
      <c r="D1930" s="92" t="inlineStr">
        <is>
          <t>Wǒ de gōngzuò shì</t>
        </is>
      </c>
      <c r="E1930" s="92" t="inlineStr">
        <is>
          <t>我的工作是工程师。 Wǒ de gōngzuò shì</t>
        </is>
      </c>
      <c r="F1930" s="114">
        <f>HYPERLINK("https://youglish.com/pronounce/我的工作是工程师/chinese","🔍")</f>
        <v/>
      </c>
    </row>
    <row r="1931" ht="28.5" customHeight="1" s="99">
      <c r="A1931" s="94" t="inlineStr">
        <is>
          <t>PDF 300+ Mẫu Câu Giao tiếp theo chủ đề.pdf</t>
        </is>
      </c>
      <c r="B1931" s="95" t="inlineStr">
        <is>
          <t>83</t>
        </is>
      </c>
      <c r="C1931" s="94" t="inlineStr">
        <is>
          <t>我是中学生</t>
        </is>
      </c>
      <c r="D1931" s="94" t="inlineStr">
        <is>
          <t>Wǒ shì zhōngxuéshēng Tôi là học sinh cấp 2.</t>
        </is>
      </c>
      <c r="E1931" s="94" t="inlineStr">
        <is>
          <t>我是中学生。 Wǒ shì zhōngxuéshēng Tôi là học sinh cấp 2.</t>
        </is>
      </c>
      <c r="F1931" s="115">
        <f>HYPERLINK("https://youglish.com/pronounce/我是中学生/chinese","🔍")</f>
        <v/>
      </c>
    </row>
    <row r="1932" ht="28.5" customHeight="1" s="99">
      <c r="A1932" s="92" t="inlineStr">
        <is>
          <t>PDF 300+ Mẫu Câu Giao tiếp theo chủ đề.pdf</t>
        </is>
      </c>
      <c r="B1932" s="93" t="inlineStr">
        <is>
          <t>84</t>
        </is>
      </c>
      <c r="C1932" s="92" t="inlineStr">
        <is>
          <t>家庭</t>
        </is>
      </c>
      <c r="D1932" s="92" t="inlineStr">
        <is>
          <t>/jiātíng/: Nhà</t>
        </is>
      </c>
      <c r="E1932" s="92" t="inlineStr">
        <is>
          <t>家庭 /jiātíng/: Nhà</t>
        </is>
      </c>
      <c r="F1932" s="114">
        <f>HYPERLINK("https://youglish.com/pronounce/家庭/chinese","🔍")</f>
        <v/>
      </c>
    </row>
    <row r="1933" ht="28.5" customHeight="1" s="99">
      <c r="A1933" s="94" t="inlineStr">
        <is>
          <t>PDF 300+ Mẫu Câu Giao tiếp theo chủ đề.pdf</t>
        </is>
      </c>
      <c r="B1933" s="95" t="inlineStr">
        <is>
          <t>85</t>
        </is>
      </c>
      <c r="C1933" s="94" t="inlineStr">
        <is>
          <t>口人</t>
        </is>
      </c>
      <c r="D1933" s="94" t="inlineStr">
        <is>
          <t>/kǒurén /: Nhân khẩu</t>
        </is>
      </c>
      <c r="E1933" s="94" t="inlineStr">
        <is>
          <t>口人 /kǒurén /: Nhân khẩu</t>
        </is>
      </c>
      <c r="F1933" s="115">
        <f>HYPERLINK("https://youglish.com/pronounce/口人/chinese","🔍")</f>
        <v/>
      </c>
    </row>
    <row r="1934" ht="28.5" customHeight="1" s="99">
      <c r="A1934" s="92" t="inlineStr">
        <is>
          <t>PDF 300+ Mẫu Câu Giao tiếp theo chủ đề.pdf</t>
        </is>
      </c>
      <c r="B1934" s="93" t="inlineStr">
        <is>
          <t>86</t>
        </is>
      </c>
      <c r="C1934" s="92" t="inlineStr">
        <is>
          <t>去世了</t>
        </is>
      </c>
      <c r="D1934" s="92" t="inlineStr">
        <is>
          <t>/qùshìle /: Đã mất rồi</t>
        </is>
      </c>
      <c r="E1934" s="92" t="inlineStr">
        <is>
          <t>去世了/qùshìle /: Đã mất rồi</t>
        </is>
      </c>
      <c r="F1934" s="114">
        <f>HYPERLINK("https://youglish.com/pronounce/去世了/chinese","🔍")</f>
        <v/>
      </c>
    </row>
    <row r="1935" ht="28.5" customHeight="1" s="99">
      <c r="A1935" s="94" t="inlineStr">
        <is>
          <t>PDF 300+ Mẫu Câu Giao tiếp theo chủ đề.pdf</t>
        </is>
      </c>
      <c r="B1935" s="95" t="inlineStr">
        <is>
          <t>87</t>
        </is>
      </c>
      <c r="C1935" s="94" t="inlineStr">
        <is>
          <t>独生儿子/ 独生女儿</t>
        </is>
      </c>
      <c r="D1935" s="94" t="inlineStr">
        <is>
          <t>/dúshēng érzi /dúshēng nǚ’ér /: Con một</t>
        </is>
      </c>
      <c r="E1935" s="94" t="inlineStr">
        <is>
          <t>独生儿子/ 独生女儿 – /dúshēng érzi /dúshēng nǚ’ér /: Con một</t>
        </is>
      </c>
      <c r="F1935" s="115">
        <f>HYPERLINK("https://youglish.com/pronounce/独生儿子独生女儿/chinese","🔍")</f>
        <v/>
      </c>
    </row>
    <row r="1936" ht="28.5" customHeight="1" s="99">
      <c r="A1936" s="92" t="inlineStr">
        <is>
          <t>PDF 300+ Mẫu Câu Giao tiếp theo chủ đề.pdf</t>
        </is>
      </c>
      <c r="B1936" s="93" t="inlineStr">
        <is>
          <t>88</t>
        </is>
      </c>
      <c r="C1936" s="92" t="inlineStr">
        <is>
          <t>兄弟姐妹</t>
        </is>
      </c>
      <c r="D1936" s="92" t="inlineStr">
        <is>
          <t>/xiōngdì jiěmèi /: Anh chị em</t>
        </is>
      </c>
      <c r="E1936" s="92" t="inlineStr">
        <is>
          <t>兄弟姐妹 /xiōngdì jiěmèi /: Anh chị em</t>
        </is>
      </c>
      <c r="F1936" s="114">
        <f>HYPERLINK("https://youglish.com/pronounce/兄弟姐妹/chinese","🔍")</f>
        <v/>
      </c>
    </row>
    <row r="1937" ht="28.5" customHeight="1" s="99">
      <c r="A1937" s="94" t="inlineStr">
        <is>
          <t>PDF 300+ Mẫu Câu Giao tiếp theo chủ đề.pdf</t>
        </is>
      </c>
      <c r="B1937" s="95" t="inlineStr">
        <is>
          <t>89</t>
        </is>
      </c>
      <c r="C1937" s="94" t="inlineStr">
        <is>
          <t>我家/家庭有… 口人</t>
        </is>
      </c>
      <c r="D1937" s="94" t="inlineStr">
        <is>
          <t>: …./wǒ jiā/jiātíng yǒu… kǒu rén: …. /: Nhà tôi có … người: …. (kể tên các thành viên)</t>
        </is>
      </c>
      <c r="E1937" s="94" t="inlineStr">
        <is>
          <t>我家/家庭有… 口人: …./wǒ jiā/jiātíng yǒu… kǒu rén: …. /: Nhà tôi có … người: …. (kể tên các thành viên)</t>
        </is>
      </c>
      <c r="F1937" s="115">
        <f>HYPERLINK("https://youglish.com/pronounce/我家家庭有口人/chinese","🔍")</f>
        <v/>
      </c>
    </row>
    <row r="1938" ht="28.5" customHeight="1" s="99">
      <c r="A1938" s="92" t="inlineStr">
        <is>
          <t>PDF 300+ Mẫu Câu Giao tiếp theo chủ đề.pdf</t>
        </is>
      </c>
      <c r="B1938" s="93" t="inlineStr">
        <is>
          <t>90</t>
        </is>
      </c>
      <c r="C1938" s="92" t="inlineStr">
        <is>
          <t>我有 … 个姐姐和 … 个哥哥</t>
        </is>
      </c>
      <c r="D1938" s="92" t="inlineStr">
        <is>
          <t>/ wǒ yǒu … gè jiějie hé … gè gēge/: Tôi có … chị và có … anh trai.</t>
        </is>
      </c>
      <c r="E1938" s="92" t="inlineStr">
        <is>
          <t>我有 … 个姐姐和 … 个哥哥/ wǒ yǒu … gè jiějie hé … gè gēge/: Tôi có … chị và có … anh trai.</t>
        </is>
      </c>
      <c r="F1938" s="114">
        <f>HYPERLINK("https://youglish.com/pronounce/我有个姐姐和个哥哥/chinese","🔍")</f>
        <v/>
      </c>
    </row>
    <row r="1939" ht="28.5" customHeight="1" s="99">
      <c r="A1939" s="94" t="inlineStr">
        <is>
          <t>PDF 300+ Mẫu Câu Giao tiếp theo chủ đề.pdf</t>
        </is>
      </c>
      <c r="B1939" s="95" t="inlineStr">
        <is>
          <t>91</t>
        </is>
      </c>
      <c r="C1939" s="94" t="inlineStr">
        <is>
          <t>我有三个妹妹</t>
        </is>
      </c>
      <c r="D1939" s="94" t="inlineStr">
        <is>
          <t>Wǒ yǒu sān gè mèimei Tôi có 3 người em gái.</t>
        </is>
      </c>
      <c r="E1939" s="94" t="inlineStr">
        <is>
          <t>我有三个妹妹。 Wǒ yǒu sān gè mèimei Tôi có 3 người em gái.</t>
        </is>
      </c>
      <c r="F1939" s="115">
        <f>HYPERLINK("https://youglish.com/pronounce/我有三个妹妹/chinese","🔍")</f>
        <v/>
      </c>
    </row>
    <row r="1940" ht="28.5" customHeight="1" s="99">
      <c r="A1940" s="92" t="inlineStr">
        <is>
          <t>PDF 300+ Mẫu Câu Giao tiếp theo chủ đề.pdf</t>
        </is>
      </c>
      <c r="B1940" s="93" t="inlineStr">
        <is>
          <t>92</t>
        </is>
      </c>
      <c r="C1940" s="92" t="inlineStr">
        <is>
          <t>我的家庭有6口人：妈</t>
        </is>
      </c>
      <c r="D1940" s="92" t="n"/>
      <c r="E1940" s="92" t="inlineStr">
        <is>
          <t>我的家庭有6口人：妈</t>
        </is>
      </c>
      <c r="F1940" s="114">
        <f>HYPERLINK("https://youglish.com/pronounce/我的家庭有口人妈/chinese","🔍")</f>
        <v/>
      </c>
    </row>
    <row r="1941" ht="28.5" customHeight="1" s="99">
      <c r="A1941" s="94" t="inlineStr">
        <is>
          <t>PDF 300+ Mẫu Câu Giao tiếp theo chủ đề.pdf</t>
        </is>
      </c>
      <c r="B1941" s="95" t="inlineStr">
        <is>
          <t>93</t>
        </is>
      </c>
      <c r="C1941" s="94" t="inlineStr">
        <is>
          <t>妈、爸爸、三个妹妹</t>
        </is>
      </c>
      <c r="D1941" s="94" t="n"/>
      <c r="E1941" s="94" t="inlineStr">
        <is>
          <t>妈、爸爸、三个妹妹。</t>
        </is>
      </c>
      <c r="F1941" s="115">
        <f>HYPERLINK("https://youglish.com/pronounce/妈爸爸三个妹妹/chinese","🔍")</f>
        <v/>
      </c>
    </row>
    <row r="1942" ht="28.5" customHeight="1" s="99">
      <c r="A1942" s="92" t="inlineStr">
        <is>
          <t>PDF 300+ Mẫu Câu Giao tiếp theo chủ đề.pdf</t>
        </is>
      </c>
      <c r="B1942" s="93" t="inlineStr">
        <is>
          <t>94</t>
        </is>
      </c>
      <c r="C1942" s="92" t="inlineStr">
        <is>
          <t>我的爷爷已经去世了</t>
        </is>
      </c>
      <c r="D1942" s="92" t="inlineStr">
        <is>
          <t>Wǒ de yéye yǐjīng qùshìle. Ông tôi đã qua đời rồi.</t>
        </is>
      </c>
      <c r="E1942" s="92" t="inlineStr">
        <is>
          <t>我的爷爷已经去世了。 Wǒ de yéye yǐjīng qùshìle. Ông tôi đã qua đời rồi.</t>
        </is>
      </c>
      <c r="F1942" s="114">
        <f>HYPERLINK("https://youglish.com/pronounce/我的爷爷已经去世了/chinese","🔍")</f>
        <v/>
      </c>
    </row>
    <row r="1943" ht="28.5" customHeight="1" s="99">
      <c r="A1943" s="94" t="inlineStr">
        <is>
          <t>PDF 300+ Mẫu Câu Giao tiếp theo chủ đề.pdf</t>
        </is>
      </c>
      <c r="B1943" s="95" t="inlineStr">
        <is>
          <t>95</t>
        </is>
      </c>
      <c r="C1943" s="94" t="inlineStr">
        <is>
          <t>我没有兄弟姐妹</t>
        </is>
      </c>
      <c r="D1943" s="94" t="inlineStr">
        <is>
          <t>Wǒ méiyǒu xiōngdì jiěmèi Tôi không có anh chị em.</t>
        </is>
      </c>
      <c r="E1943" s="94" t="inlineStr">
        <is>
          <t>我没有兄弟姐妹。 Wǒ méiyǒu xiōngdì jiěmèi Tôi không có anh chị em.</t>
        </is>
      </c>
      <c r="F1943" s="115">
        <f>HYPERLINK("https://youglish.com/pronounce/我没有兄弟姐妹/chinese","🔍")</f>
        <v/>
      </c>
    </row>
    <row r="1944" ht="28.5" customHeight="1" s="99">
      <c r="A1944" s="92" t="inlineStr">
        <is>
          <t>PDF 300+ Mẫu Câu Giao tiếp theo chủ đề.pdf</t>
        </is>
      </c>
      <c r="B1944" s="93" t="inlineStr">
        <is>
          <t>96</t>
        </is>
      </c>
      <c r="C1944" s="92" t="inlineStr">
        <is>
          <t>我是独生儿子</t>
        </is>
      </c>
      <c r="D1944" s="92" t="inlineStr">
        <is>
          <t>Wǒ shì dú shēng érzi Tôi là con một.</t>
        </is>
      </c>
      <c r="E1944" s="92" t="inlineStr">
        <is>
          <t>我是独生儿子。 Wǒ shì dú shēng érzi Tôi là con một.</t>
        </is>
      </c>
      <c r="F1944" s="114">
        <f>HYPERLINK("https://youglish.com/pronounce/我是独生儿子/chinese","🔍")</f>
        <v/>
      </c>
    </row>
    <row r="1945" ht="28.5" customHeight="1" s="99">
      <c r="A1945" s="94" t="inlineStr">
        <is>
          <t>PDF 300+ Mẫu Câu Giao tiếp theo chủ đề.pdf</t>
        </is>
      </c>
      <c r="B1945" s="95" t="inlineStr">
        <is>
          <t>97</t>
        </is>
      </c>
      <c r="C1945" s="94" t="inlineStr">
        <is>
          <t>朋友</t>
        </is>
      </c>
      <c r="D1945" s="94" t="inlineStr">
        <is>
          <t>/péngyou /: Bạn bè</t>
        </is>
      </c>
      <c r="E1945" s="94" t="inlineStr">
        <is>
          <t>朋友/péngyou /: Bạn bè</t>
        </is>
      </c>
      <c r="F1945" s="115">
        <f>HYPERLINK("https://youglish.com/pronounce/朋友/chinese","🔍")</f>
        <v/>
      </c>
    </row>
    <row r="1946" ht="28.5" customHeight="1" s="99">
      <c r="A1946" s="92" t="inlineStr">
        <is>
          <t>PDF 300+ Mẫu Câu Giao tiếp theo chủ đề.pdf</t>
        </is>
      </c>
      <c r="B1946" s="93" t="inlineStr">
        <is>
          <t>98</t>
        </is>
      </c>
      <c r="C1946" s="92" t="inlineStr">
        <is>
          <t>好朋友</t>
        </is>
      </c>
      <c r="D1946" s="92" t="inlineStr">
        <is>
          <t>/hǎo péngyou/: Bạn tốt</t>
        </is>
      </c>
      <c r="E1946" s="92" t="inlineStr">
        <is>
          <t>好朋友 /hǎo péngyou/: Bạn tốt</t>
        </is>
      </c>
      <c r="F1946" s="114">
        <f>HYPERLINK("https://youglish.com/pronounce/好朋友/chinese","🔍")</f>
        <v/>
      </c>
    </row>
    <row r="1947" ht="28.5" customHeight="1" s="99">
      <c r="A1947" s="94" t="inlineStr">
        <is>
          <t>PDF 300+ Mẫu Câu Giao tiếp theo chủ đề.pdf</t>
        </is>
      </c>
      <c r="B1947" s="95" t="inlineStr">
        <is>
          <t>99</t>
        </is>
      </c>
      <c r="C1947" s="94" t="inlineStr">
        <is>
          <t>闺蜜</t>
        </is>
      </c>
      <c r="D1947" s="94" t="inlineStr">
        <is>
          <t>/guīmì/: Bạn thân (Ở nữ với nhau)</t>
        </is>
      </c>
      <c r="E1947" s="94" t="inlineStr">
        <is>
          <t>闺蜜 /guīmì/: Bạn thân (Ở nữ với nhau)</t>
        </is>
      </c>
      <c r="F1947" s="115">
        <f>HYPERLINK("https://youglish.com/pronounce/闺蜜/chinese","🔍")</f>
        <v/>
      </c>
    </row>
    <row r="1948" ht="28.5" customHeight="1" s="99">
      <c r="A1948" s="92" t="inlineStr">
        <is>
          <t>PDF 300+ Mẫu Câu Giao tiếp theo chủ đề.pdf</t>
        </is>
      </c>
      <c r="B1948" s="93" t="inlineStr">
        <is>
          <t>100</t>
        </is>
      </c>
      <c r="C1948" s="92" t="inlineStr">
        <is>
          <t>善良</t>
        </is>
      </c>
      <c r="D1948" s="92" t="inlineStr">
        <is>
          <t>/shānliàng/: Tốt bụng, lương thiện</t>
        </is>
      </c>
      <c r="E1948" s="92" t="inlineStr">
        <is>
          <t>善良 /shānliàng/: Tốt bụng, lương thiện</t>
        </is>
      </c>
      <c r="F1948" s="114">
        <f>HYPERLINK("https://youglish.com/pronounce/善良/chinese","🔍")</f>
        <v/>
      </c>
    </row>
    <row r="1949" ht="28.5" customHeight="1" s="99">
      <c r="A1949" s="94" t="inlineStr">
        <is>
          <t>PDF 300+ Mẫu Câu Giao tiếp theo chủ đề.pdf</t>
        </is>
      </c>
      <c r="B1949" s="95" t="inlineStr">
        <is>
          <t>101</t>
        </is>
      </c>
      <c r="C1949" s="94" t="inlineStr">
        <is>
          <t>漂亮</t>
        </is>
      </c>
      <c r="D1949" s="94" t="inlineStr">
        <is>
          <t>/piàoliang/: Xinh đẹp</t>
        </is>
      </c>
      <c r="E1949" s="94" t="inlineStr">
        <is>
          <t>漂亮 /piàoliang/: Xinh đẹp</t>
        </is>
      </c>
      <c r="F1949" s="115">
        <f>HYPERLINK("https://youglish.com/pronounce/漂亮/chinese","🔍")</f>
        <v/>
      </c>
    </row>
    <row r="1950" ht="28.5" customHeight="1" s="99">
      <c r="A1950" s="92" t="inlineStr">
        <is>
          <t>PDF 300+ Mẫu Câu Giao tiếp theo chủ đề.pdf</t>
        </is>
      </c>
      <c r="B1950" s="93" t="inlineStr">
        <is>
          <t>102</t>
        </is>
      </c>
      <c r="C1950" s="92" t="inlineStr">
        <is>
          <t>帅</t>
        </is>
      </c>
      <c r="D1950" s="92" t="inlineStr">
        <is>
          <t>/shuài/: Đẹp trai</t>
        </is>
      </c>
      <c r="E1950" s="92" t="inlineStr">
        <is>
          <t>帅/shuài/: Đẹp trai</t>
        </is>
      </c>
      <c r="F1950" s="114">
        <f>HYPERLINK("https://youglish.com/pronounce/帅/chinese","🔍")</f>
        <v/>
      </c>
    </row>
    <row r="1951" ht="28.5" customHeight="1" s="99">
      <c r="A1951" s="94" t="inlineStr">
        <is>
          <t>PDF 300+ Mẫu Câu Giao tiếp theo chủ đề.pdf</t>
        </is>
      </c>
      <c r="B1951" s="95" t="inlineStr">
        <is>
          <t>103</t>
        </is>
      </c>
      <c r="C1951" s="94" t="inlineStr">
        <is>
          <t>聪明</t>
        </is>
      </c>
      <c r="D1951" s="94" t="inlineStr">
        <is>
          <t>/cōngmíng/: Thông minh</t>
        </is>
      </c>
      <c r="E1951" s="94" t="inlineStr">
        <is>
          <t>聪明/cōngmíng/: Thông minh</t>
        </is>
      </c>
      <c r="F1951" s="115">
        <f>HYPERLINK("https://youglish.com/pronounce/聪明/chinese","🔍")</f>
        <v/>
      </c>
    </row>
    <row r="1952" ht="28.5" customHeight="1" s="99">
      <c r="A1952" s="92" t="inlineStr">
        <is>
          <t>PDF 300+ Mẫu Câu Giao tiếp theo chủ đề.pdf</t>
        </is>
      </c>
      <c r="B1952" s="93" t="inlineStr">
        <is>
          <t>104</t>
        </is>
      </c>
      <c r="C1952" s="92" t="inlineStr">
        <is>
          <t>我有… 个好朋友</t>
        </is>
      </c>
      <c r="D1952" s="92" t="inlineStr">
        <is>
          <t>/wǒ yǒu… gè hǎo péngyou/: Mình có … người bạn thân</t>
        </is>
      </c>
      <c r="E1952" s="92" t="inlineStr">
        <is>
          <t>我有… 个好朋友/wǒ yǒu… gè hǎo péngyou/: Mình có … người bạn thân</t>
        </is>
      </c>
      <c r="F1952" s="114">
        <f>HYPERLINK("https://youglish.com/pronounce/我有个好朋友/chinese","🔍")</f>
        <v/>
      </c>
    </row>
    <row r="1953" ht="28.5" customHeight="1" s="99">
      <c r="A1953" s="94" t="inlineStr">
        <is>
          <t>PDF 300+ Mẫu Câu Giao tiếp theo chủ đề.pdf</t>
        </is>
      </c>
      <c r="B1953" s="95" t="inlineStr">
        <is>
          <t>105</t>
        </is>
      </c>
      <c r="C1953" s="94" t="inlineStr">
        <is>
          <t>我的闺蜜很</t>
        </is>
      </c>
      <c r="D1953" s="94" t="inlineStr">
        <is>
          <t>/wǒ de guīmì hěn…/: Bạn thân tôi rất…</t>
        </is>
      </c>
      <c r="E1953" s="94" t="inlineStr">
        <is>
          <t>我的闺蜜很… /wǒ de guīmì hěn…/: Bạn thân tôi rất…</t>
        </is>
      </c>
      <c r="F1953" s="115">
        <f>HYPERLINK("https://youglish.com/pronounce/我的闺蜜很/chinese","🔍")</f>
        <v/>
      </c>
    </row>
    <row r="1954" ht="28.5" customHeight="1" s="99">
      <c r="A1954" s="92" t="inlineStr">
        <is>
          <t>PDF 300+ Mẫu Câu Giao tiếp theo chủ đề.pdf</t>
        </is>
      </c>
      <c r="B1954" s="93" t="inlineStr">
        <is>
          <t>106</t>
        </is>
      </c>
      <c r="C1954" s="92" t="inlineStr">
        <is>
          <t>我闺蜜很喜欢</t>
        </is>
      </c>
      <c r="D1954" s="92" t="inlineStr">
        <is>
          <t>/wǒ guīmì hěn xǐhuān…/: Bạn tôi rất thích …</t>
        </is>
      </c>
      <c r="E1954" s="92" t="inlineStr">
        <is>
          <t>我闺蜜很喜欢…/wǒ guīmì hěn xǐhuān…/: Bạn tôi rất thích …</t>
        </is>
      </c>
      <c r="F1954" s="114">
        <f>HYPERLINK("https://youglish.com/pronounce/我闺蜜很喜欢/chinese","🔍")</f>
        <v/>
      </c>
    </row>
    <row r="1955" ht="28.5" customHeight="1" s="99">
      <c r="A1955" s="94" t="inlineStr">
        <is>
          <t>PDF 300+ Mẫu Câu Giao tiếp theo chủ đề.pdf</t>
        </is>
      </c>
      <c r="B1955" s="95" t="inlineStr">
        <is>
          <t>107</t>
        </is>
      </c>
      <c r="C1955" s="94" t="inlineStr">
        <is>
          <t>我跟朋友都很喜欢</t>
        </is>
      </c>
      <c r="D1955" s="94" t="inlineStr">
        <is>
          <t>/wǒ gēn péngyou dōu hěn xǐhuān…/: Tôi và bạn bè đều</t>
        </is>
      </c>
      <c r="E1955" s="94" t="inlineStr">
        <is>
          <t>我跟朋友都很喜欢…/wǒ gēn péngyou dōu hěn xǐhuān…/: Tôi và bạn bè đều</t>
        </is>
      </c>
      <c r="F1955" s="115">
        <f>HYPERLINK("https://youglish.com/pronounce/我跟朋友都很喜欢/chinese","🔍")</f>
        <v/>
      </c>
    </row>
    <row r="1956" ht="28.5" customHeight="1" s="99">
      <c r="A1956" s="92" t="inlineStr">
        <is>
          <t>PDF 300+ Mẫu Câu Giao tiếp theo chủ đề.pdf</t>
        </is>
      </c>
      <c r="B1956" s="93" t="inlineStr">
        <is>
          <t>108</t>
        </is>
      </c>
      <c r="C1956" s="92" t="inlineStr">
        <is>
          <t>现在我有五个好朋友</t>
        </is>
      </c>
      <c r="D1956" s="92" t="inlineStr">
        <is>
          <t>Xiànzài wǒ yǒu wǔ gè hǎo</t>
        </is>
      </c>
      <c r="E1956" s="92" t="inlineStr">
        <is>
          <t>现在我有五个好朋友。 Xiànzài wǒ yǒu wǔ gè hǎo</t>
        </is>
      </c>
      <c r="F1956" s="114">
        <f>HYPERLINK("https://youglish.com/pronounce/现在我有五个好朋友/chinese","🔍")</f>
        <v/>
      </c>
    </row>
    <row r="1957" ht="28.5" customHeight="1" s="99">
      <c r="A1957" s="94" t="inlineStr">
        <is>
          <t>PDF 300+ Mẫu Câu Giao tiếp theo chủ đề.pdf</t>
        </is>
      </c>
      <c r="B1957" s="95" t="inlineStr">
        <is>
          <t>109</t>
        </is>
      </c>
      <c r="C1957" s="94" t="inlineStr">
        <is>
          <t>我的闺蜜很聪明</t>
        </is>
      </c>
      <c r="D1957" s="94" t="inlineStr">
        <is>
          <t>Wǒ de guīmì hěn cōngmíng Bạn thân của tôi rất</t>
        </is>
      </c>
      <c r="E1957" s="94" t="inlineStr">
        <is>
          <t>我的闺蜜很聪明。 Wǒ de guīmì hěn cōngmíng Bạn thân của tôi rất</t>
        </is>
      </c>
      <c r="F1957" s="115">
        <f>HYPERLINK("https://youglish.com/pronounce/我的闺蜜很聪明/chinese","🔍")</f>
        <v/>
      </c>
    </row>
    <row r="1958" ht="28.5" customHeight="1" s="99">
      <c r="A1958" s="92" t="inlineStr">
        <is>
          <t>PDF 300+ Mẫu Câu Giao tiếp theo chủ đề.pdf</t>
        </is>
      </c>
      <c r="B1958" s="93" t="inlineStr">
        <is>
          <t>110</t>
        </is>
      </c>
      <c r="C1958" s="92" t="inlineStr">
        <is>
          <t>我跟好朋友都喜欢听音</t>
        </is>
      </c>
      <c r="D1958" s="92" t="n"/>
      <c r="E1958" s="92" t="inlineStr">
        <is>
          <t>我跟好朋友都喜欢听音</t>
        </is>
      </c>
      <c r="F1958" s="114">
        <f>HYPERLINK("https://youglish.com/pronounce/我跟好朋友都喜欢听音/chinese","🔍")</f>
        <v/>
      </c>
    </row>
    <row r="1959" ht="28.5" customHeight="1" s="99">
      <c r="A1959" s="94" t="inlineStr">
        <is>
          <t>PDF 300+ Mẫu Câu Giao tiếp theo chủ đề.pdf</t>
        </is>
      </c>
      <c r="B1959" s="95" t="inlineStr">
        <is>
          <t>111</t>
        </is>
      </c>
      <c r="C1959" s="94" t="inlineStr">
        <is>
          <t>乐</t>
        </is>
      </c>
      <c r="D1959" s="94" t="inlineStr">
        <is>
          <t>Wǒ gēn hǎo péngyou dōu</t>
        </is>
      </c>
      <c r="E1959" s="94" t="inlineStr">
        <is>
          <t>乐。 Wǒ gēn hǎo péngyou dōu</t>
        </is>
      </c>
      <c r="F1959" s="115">
        <f>HYPERLINK("https://youglish.com/pronounce/乐/chinese","🔍")</f>
        <v/>
      </c>
    </row>
    <row r="1960" ht="28.5" customHeight="1" s="99">
      <c r="A1960" s="92" t="inlineStr">
        <is>
          <t>PDF 300+ Mẫu Câu Giao tiếp theo chủ đề.pdf</t>
        </is>
      </c>
      <c r="B1960" s="93" t="inlineStr">
        <is>
          <t>112</t>
        </is>
      </c>
      <c r="C1960" s="92" t="inlineStr">
        <is>
          <t>我只有一个好朋友</t>
        </is>
      </c>
      <c r="D1960" s="92" t="inlineStr">
        <is>
          <t>Wǒ zhǐyǒu yīgè hǎo</t>
        </is>
      </c>
      <c r="E1960" s="92" t="inlineStr">
        <is>
          <t>我只有一个好朋友。 Wǒ zhǐyǒu yīgè hǎo</t>
        </is>
      </c>
      <c r="F1960" s="114">
        <f>HYPERLINK("https://youglish.com/pronounce/我只有一个好朋友/chinese","🔍")</f>
        <v/>
      </c>
    </row>
    <row r="1961" ht="28.5" customHeight="1" s="99">
      <c r="A1961" s="94" t="inlineStr">
        <is>
          <t>PDF 300+ Mẫu Câu Giao tiếp theo chủ đề.pdf</t>
        </is>
      </c>
      <c r="B1961" s="95" t="inlineStr">
        <is>
          <t>113</t>
        </is>
      </c>
      <c r="C1961" s="94" t="inlineStr">
        <is>
          <t>我的朋友说英语说得很流</t>
        </is>
      </c>
      <c r="D1961" s="94" t="n"/>
      <c r="E1961" s="94" t="inlineStr">
        <is>
          <t>我的朋友说英语说得很流</t>
        </is>
      </c>
      <c r="F1961" s="115">
        <f>HYPERLINK("https://youglish.com/pronounce/我的朋友说英语说得很流/chinese","🔍")</f>
        <v/>
      </c>
    </row>
    <row r="1962" ht="28.5" customHeight="1" s="99">
      <c r="A1962" s="92" t="inlineStr">
        <is>
          <t>PDF 300+ Mẫu Câu Giao tiếp theo chủ đề.pdf</t>
        </is>
      </c>
      <c r="B1962" s="93" t="inlineStr">
        <is>
          <t>114</t>
        </is>
      </c>
      <c r="C1962" s="92" t="inlineStr">
        <is>
          <t>利</t>
        </is>
      </c>
      <c r="D1962" s="92" t="inlineStr">
        <is>
          <t>Wǒ de péngyou shuō yīngyǔ</t>
        </is>
      </c>
      <c r="E1962" s="92" t="inlineStr">
        <is>
          <t>利 Wǒ de péngyou shuō yīngyǔ</t>
        </is>
      </c>
      <c r="F1962" s="114">
        <f>HYPERLINK("https://youglish.com/pronounce/利/chinese","🔍")</f>
        <v/>
      </c>
    </row>
    <row r="1963" ht="28.5" customHeight="1" s="99">
      <c r="A1963" s="94" t="inlineStr">
        <is>
          <t>PDF 300+ Mẫu Câu Giao tiếp theo chủ đề.pdf</t>
        </is>
      </c>
      <c r="B1963" s="95" t="inlineStr">
        <is>
          <t>115</t>
        </is>
      </c>
      <c r="C1963" s="94" t="inlineStr">
        <is>
          <t>喜欢</t>
        </is>
      </c>
      <c r="D1963" s="94" t="inlineStr">
        <is>
          <t>/xǐhuān/: Thích</t>
        </is>
      </c>
      <c r="E1963" s="94" t="inlineStr">
        <is>
          <t>喜欢 /xǐhuān/: Thích</t>
        </is>
      </c>
      <c r="F1963" s="115">
        <f>HYPERLINK("https://youglish.com/pronounce/喜欢/chinese","🔍")</f>
        <v/>
      </c>
    </row>
    <row r="1964" ht="28.5" customHeight="1" s="99">
      <c r="A1964" s="92" t="inlineStr">
        <is>
          <t>PDF 300+ Mẫu Câu Giao tiếp theo chủ đề.pdf</t>
        </is>
      </c>
      <c r="B1964" s="93" t="inlineStr">
        <is>
          <t>116</t>
        </is>
      </c>
      <c r="C1964" s="92" t="inlineStr">
        <is>
          <t>爱好</t>
        </is>
      </c>
      <c r="D1964" s="92" t="inlineStr">
        <is>
          <t>/àihào/: Sở thích</t>
        </is>
      </c>
      <c r="E1964" s="92" t="inlineStr">
        <is>
          <t>爱好 /àihào/: Sở thích</t>
        </is>
      </c>
      <c r="F1964" s="114">
        <f>HYPERLINK("https://youglish.com/pronounce/爱好/chinese","🔍")</f>
        <v/>
      </c>
    </row>
    <row r="1965" ht="28.5" customHeight="1" s="99">
      <c r="A1965" s="94" t="inlineStr">
        <is>
          <t>PDF 300+ Mẫu Câu Giao tiếp theo chủ đề.pdf</t>
        </is>
      </c>
      <c r="B1965" s="95" t="inlineStr">
        <is>
          <t>117</t>
        </is>
      </c>
      <c r="C1965" s="94" t="inlineStr">
        <is>
          <t>感兴趣</t>
        </is>
      </c>
      <c r="D1965" s="94" t="inlineStr">
        <is>
          <t>/gǎn xìngqù/: Hứng thú</t>
        </is>
      </c>
      <c r="E1965" s="94" t="inlineStr">
        <is>
          <t>感兴趣 /gǎn xìngqù/: Hứng thú</t>
        </is>
      </c>
      <c r="F1965" s="115">
        <f>HYPERLINK("https://youglish.com/pronounce/感兴趣/chinese","🔍")</f>
        <v/>
      </c>
    </row>
    <row r="1966" ht="28.5" customHeight="1" s="99">
      <c r="A1966" s="92" t="inlineStr">
        <is>
          <t>PDF 300+ Mẫu Câu Giao tiếp theo chủ đề.pdf</t>
        </is>
      </c>
      <c r="B1966" s="93" t="inlineStr">
        <is>
          <t>118</t>
        </is>
      </c>
      <c r="C1966" s="92" t="inlineStr">
        <is>
          <t>业余时间，空闲时间</t>
        </is>
      </c>
      <c r="D1966" s="92" t="inlineStr">
        <is>
          <t>/yèyú shí jiān, kōng xián shíjiān/: Khi rảnh rỗi, lúc rảnh</t>
        </is>
      </c>
      <c r="E1966" s="92" t="inlineStr">
        <is>
          <t>业余时间，空闲时间 /yèyú shí jiān, kōng xián shíjiān/: Khi rảnh rỗi, lúc rảnh</t>
        </is>
      </c>
      <c r="F1966" s="114">
        <f>HYPERLINK("https://youglish.com/pronounce/业余时间空闲时间/chinese","🔍")</f>
        <v/>
      </c>
    </row>
    <row r="1967" ht="28.5" customHeight="1" s="99">
      <c r="A1967" s="94" t="inlineStr">
        <is>
          <t>PDF 300+ Mẫu Câu Giao tiếp theo chủ đề.pdf</t>
        </is>
      </c>
      <c r="B1967" s="95" t="inlineStr">
        <is>
          <t>119</t>
        </is>
      </c>
      <c r="C1967" s="94" t="inlineStr">
        <is>
          <t>我喜欢</t>
        </is>
      </c>
      <c r="D1967" s="94" t="inlineStr">
        <is>
          <t>/wǒ xǐhuān…/ : Tôi thích…</t>
        </is>
      </c>
      <c r="E1967" s="94" t="inlineStr">
        <is>
          <t>我喜欢…/wǒ xǐhuān…/ : Tôi thích…</t>
        </is>
      </c>
      <c r="F1967" s="115">
        <f>HYPERLINK("https://youglish.com/pronounce/我喜欢/chinese","🔍")</f>
        <v/>
      </c>
    </row>
    <row r="1968" ht="28.5" customHeight="1" s="99">
      <c r="A1968" s="92" t="inlineStr">
        <is>
          <t>PDF 300+ Mẫu Câu Giao tiếp theo chủ đề.pdf</t>
        </is>
      </c>
      <c r="B1968" s="93" t="inlineStr">
        <is>
          <t>120</t>
        </is>
      </c>
      <c r="C1968" s="92" t="inlineStr">
        <is>
          <t>我的爱好是</t>
        </is>
      </c>
      <c r="D1968" s="92" t="inlineStr">
        <is>
          <t>/wǒ de àihào shì…/: Tôi có sở thích là…</t>
        </is>
      </c>
      <c r="E1968" s="92" t="inlineStr">
        <is>
          <t>我的爱好是…/wǒ de àihào shì…/: Tôi có sở thích là…</t>
        </is>
      </c>
      <c r="F1968" s="114">
        <f>HYPERLINK("https://youglish.com/pronounce/我的爱好是/chinese","🔍")</f>
        <v/>
      </c>
    </row>
    <row r="1969" ht="28.5" customHeight="1" s="99">
      <c r="A1969" s="94" t="inlineStr">
        <is>
          <t>PDF 300+ Mẫu Câu Giao tiếp theo chủ đề.pdf</t>
        </is>
      </c>
      <c r="B1969" s="95" t="inlineStr">
        <is>
          <t>121</t>
        </is>
      </c>
      <c r="C1969" s="94" t="inlineStr">
        <is>
          <t>我对… 很感兴趣</t>
        </is>
      </c>
      <c r="D1969" s="94" t="inlineStr">
        <is>
          <t>: /wǒ duì… hěn gǎn xìngqù/: Tôi rất hứng thú với…</t>
        </is>
      </c>
      <c r="E1969" s="94" t="inlineStr">
        <is>
          <t>我对… 很感兴趣: /wǒ duì… hěn gǎn xìngqù/: Tôi rất hứng thú với…</t>
        </is>
      </c>
      <c r="F1969" s="115">
        <f>HYPERLINK("https://youglish.com/pronounce/我对很感兴趣/chinese","🔍")</f>
        <v/>
      </c>
    </row>
    <row r="1970" ht="28.5" customHeight="1" s="99">
      <c r="A1970" s="92" t="inlineStr">
        <is>
          <t>PDF 300+ Mẫu Câu Giao tiếp theo chủ đề.pdf</t>
        </is>
      </c>
      <c r="B1970" s="93" t="inlineStr">
        <is>
          <t>122</t>
        </is>
      </c>
      <c r="C1970" s="92" t="inlineStr">
        <is>
          <t>空闲时间我常</t>
        </is>
      </c>
      <c r="D1970" s="92" t="inlineStr">
        <is>
          <t>/kōng xián shíjiān wǒ cháng…/: Lúc rảnh tôi thường…</t>
        </is>
      </c>
      <c r="E1970" s="92" t="inlineStr">
        <is>
          <t>空闲时间我常…/kōng xián shíjiān wǒ cháng…/: Lúc rảnh tôi thường…</t>
        </is>
      </c>
      <c r="F1970" s="114">
        <f>HYPERLINK("https://youglish.com/pronounce/空闲时间我常/chinese","🔍")</f>
        <v/>
      </c>
    </row>
    <row r="1971" ht="28.5" customHeight="1" s="99">
      <c r="A1971" s="94" t="inlineStr">
        <is>
          <t>PDF 300+ Mẫu Câu Giao tiếp theo chủ đề.pdf</t>
        </is>
      </c>
      <c r="B1971" s="95" t="inlineStr">
        <is>
          <t>123</t>
        </is>
      </c>
      <c r="C1971" s="94" t="inlineStr">
        <is>
          <t>我的爱好是看书和玩游</t>
        </is>
      </c>
      <c r="D1971" s="94" t="n"/>
      <c r="E1971" s="94" t="inlineStr">
        <is>
          <t>我的爱好是看书和玩游</t>
        </is>
      </c>
      <c r="F1971" s="115">
        <f>HYPERLINK("https://youglish.com/pronounce/我的爱好是看书和玩游/chinese","🔍")</f>
        <v/>
      </c>
    </row>
    <row r="1972" ht="28.5" customHeight="1" s="99">
      <c r="A1972" s="92" t="inlineStr">
        <is>
          <t>PDF 300+ Mẫu Câu Giao tiếp theo chủ đề.pdf</t>
        </is>
      </c>
      <c r="B1972" s="93" t="inlineStr">
        <is>
          <t>124</t>
        </is>
      </c>
      <c r="C1972" s="92" t="inlineStr">
        <is>
          <t>戏</t>
        </is>
      </c>
      <c r="D1972" s="92" t="inlineStr">
        <is>
          <t>Wǒ de àihào shì kànshū</t>
        </is>
      </c>
      <c r="E1972" s="92" t="inlineStr">
        <is>
          <t>戏。 Wǒ de àihào shì kànshū</t>
        </is>
      </c>
      <c r="F1972" s="114">
        <f>HYPERLINK("https://youglish.com/pronounce/戏/chinese","🔍")</f>
        <v/>
      </c>
    </row>
    <row r="1973" ht="28.5" customHeight="1" s="99">
      <c r="A1973" s="94" t="inlineStr">
        <is>
          <t>PDF 300+ Mẫu Câu Giao tiếp theo chủ đề.pdf</t>
        </is>
      </c>
      <c r="B1973" s="95" t="inlineStr">
        <is>
          <t>125</t>
        </is>
      </c>
      <c r="C1973" s="94" t="inlineStr">
        <is>
          <t>空闲时间我厂看电影</t>
        </is>
      </c>
      <c r="D1973" s="94" t="inlineStr">
        <is>
          <t>Kòngxián shíjiān wǒ chǎng kàn diànyǐng.</t>
        </is>
      </c>
      <c r="E1973" s="94" t="inlineStr">
        <is>
          <t>空闲时间我厂看电影。 Kòngxián shíjiān wǒ chǎng kàn diànyǐng.</t>
        </is>
      </c>
      <c r="F1973" s="115">
        <f>HYPERLINK("https://youglish.com/pronounce/空闲时间我厂看电影/chinese","🔍")</f>
        <v/>
      </c>
    </row>
    <row r="1974" ht="28.5" customHeight="1" s="99">
      <c r="A1974" s="92" t="inlineStr">
        <is>
          <t>PDF 300+ Mẫu Câu Giao tiếp theo chủ đề.pdf</t>
        </is>
      </c>
      <c r="B1974" s="93" t="inlineStr">
        <is>
          <t>126</t>
        </is>
      </c>
      <c r="C1974" s="92" t="inlineStr">
        <is>
          <t>我喜欢跟好朋友聊聊天</t>
        </is>
      </c>
      <c r="D1974" s="92" t="inlineStr">
        <is>
          <t>Wǒ xǐhuān gēn hǎo</t>
        </is>
      </c>
      <c r="E1974" s="92" t="inlineStr">
        <is>
          <t>我喜欢跟好朋友聊聊天。 Wǒ xǐhuān gēn hǎo</t>
        </is>
      </c>
      <c r="F1974" s="114">
        <f>HYPERLINK("https://youglish.com/pronounce/我喜欢跟好朋友聊聊天/chinese","🔍")</f>
        <v/>
      </c>
    </row>
    <row r="1975" ht="28.5" customHeight="1" s="99">
      <c r="A1975" s="94" t="inlineStr">
        <is>
          <t>PDF 300+ Mẫu Câu Giao tiếp theo chủ đề.pdf</t>
        </is>
      </c>
      <c r="B1975" s="95" t="inlineStr">
        <is>
          <t>127</t>
        </is>
      </c>
      <c r="C1975" s="94" t="inlineStr">
        <is>
          <t>我对京剧感兴趣</t>
        </is>
      </c>
      <c r="D1975" s="94" t="inlineStr">
        <is>
          <t>Wǒ duì jīngjù gǎn xìngqù. Tôi có niềm hứng thú với</t>
        </is>
      </c>
      <c r="E1975" s="94" t="inlineStr">
        <is>
          <t>我对京剧感兴趣。 Wǒ duì jīngjù gǎn xìngqù. Tôi có niềm hứng thú với</t>
        </is>
      </c>
      <c r="F1975" s="115">
        <f>HYPERLINK("https://youglish.com/pronounce/我对京剧感兴趣/chinese","🔍")</f>
        <v/>
      </c>
    </row>
    <row r="1976" ht="28.5" customHeight="1" s="99">
      <c r="A1976" s="92" t="inlineStr">
        <is>
          <t>PDF 300+ Mẫu Câu Giao tiếp theo chủ đề.pdf</t>
        </is>
      </c>
      <c r="B1976" s="93" t="inlineStr">
        <is>
          <t>128</t>
        </is>
      </c>
      <c r="C1976" s="92" t="inlineStr">
        <is>
          <t>单身</t>
        </is>
      </c>
      <c r="D1976" s="92" t="inlineStr">
        <is>
          <t>/dānshēn/: Độc thân, FA</t>
        </is>
      </c>
      <c r="E1976" s="92" t="inlineStr">
        <is>
          <t>单身 /dānshēn/: Độc thân, FA</t>
        </is>
      </c>
      <c r="F1976" s="114">
        <f>HYPERLINK("https://youglish.com/pronounce/单身/chinese","🔍")</f>
        <v/>
      </c>
    </row>
    <row r="1977" ht="28.5" customHeight="1" s="99">
      <c r="A1977" s="94" t="inlineStr">
        <is>
          <t>PDF 300+ Mẫu Câu Giao tiếp theo chủ đề.pdf</t>
        </is>
      </c>
      <c r="B1977" s="95" t="inlineStr">
        <is>
          <t>129</t>
        </is>
      </c>
      <c r="C1977" s="94" t="inlineStr">
        <is>
          <t>女朋友 / 男朋友</t>
        </is>
      </c>
      <c r="D1977" s="94" t="inlineStr">
        <is>
          <t>/nǚ péngyou /nán péngyou /: Bạn gái, bạn trai</t>
        </is>
      </c>
      <c r="E1977" s="94" t="inlineStr">
        <is>
          <t>女朋友 / 男朋友 /nǚ péngyou /nán péngyou /: Bạn gái, bạn trai</t>
        </is>
      </c>
      <c r="F1977" s="115">
        <f>HYPERLINK("https://youglish.com/pronounce/女朋友男朋友/chinese","🔍")</f>
        <v/>
      </c>
    </row>
    <row r="1978" ht="28.5" customHeight="1" s="99">
      <c r="A1978" s="92" t="inlineStr">
        <is>
          <t>PDF 300+ Mẫu Câu Giao tiếp theo chủ đề.pdf</t>
        </is>
      </c>
      <c r="B1978" s="93" t="inlineStr">
        <is>
          <t>130</t>
        </is>
      </c>
      <c r="C1978" s="92" t="inlineStr">
        <is>
          <t>结婚</t>
        </is>
      </c>
      <c r="D1978" s="92" t="inlineStr">
        <is>
          <t>/jiéhūn/: Kết hôn</t>
        </is>
      </c>
      <c r="E1978" s="92" t="inlineStr">
        <is>
          <t>结婚/jiéhūn/: Kết hôn</t>
        </is>
      </c>
      <c r="F1978" s="114">
        <f>HYPERLINK("https://youglish.com/pronounce/结婚/chinese","🔍")</f>
        <v/>
      </c>
    </row>
    <row r="1979" ht="28.5" customHeight="1" s="99">
      <c r="A1979" s="94" t="inlineStr">
        <is>
          <t>PDF 300+ Mẫu Câu Giao tiếp theo chủ đề.pdf</t>
        </is>
      </c>
      <c r="B1979" s="95" t="inlineStr">
        <is>
          <t>131</t>
        </is>
      </c>
      <c r="C1979" s="94" t="inlineStr">
        <is>
          <t>离婚</t>
        </is>
      </c>
      <c r="D1979" s="94" t="inlineStr">
        <is>
          <t>/líhūn/: Ly hôn</t>
        </is>
      </c>
      <c r="E1979" s="94" t="inlineStr">
        <is>
          <t>离婚 /líhūn/: Ly hôn</t>
        </is>
      </c>
      <c r="F1979" s="115">
        <f>HYPERLINK("https://youglish.com/pronounce/离婚/chinese","🔍")</f>
        <v/>
      </c>
    </row>
    <row r="1980" ht="28.5" customHeight="1" s="99">
      <c r="A1980" s="92" t="inlineStr">
        <is>
          <t>PDF 300+ Mẫu Câu Giao tiếp theo chủ đề.pdf</t>
        </is>
      </c>
      <c r="B1980" s="93" t="inlineStr">
        <is>
          <t>132</t>
        </is>
      </c>
      <c r="C1980" s="92" t="inlineStr">
        <is>
          <t>寡妇</t>
        </is>
      </c>
      <c r="D1980" s="92" t="inlineStr">
        <is>
          <t>/guǎfù/: Góa chồng</t>
        </is>
      </c>
      <c r="E1980" s="92" t="inlineStr">
        <is>
          <t>寡妇 /guǎfù/: Góa chồng</t>
        </is>
      </c>
      <c r="F1980" s="114">
        <f>HYPERLINK("https://youglish.com/pronounce/寡妇/chinese","🔍")</f>
        <v/>
      </c>
    </row>
    <row r="1981" ht="28.5" customHeight="1" s="99">
      <c r="A1981" s="94" t="inlineStr">
        <is>
          <t>PDF 300+ Mẫu Câu Giao tiếp theo chủ đề.pdf</t>
        </is>
      </c>
      <c r="B1981" s="95" t="inlineStr">
        <is>
          <t>133</t>
        </is>
      </c>
      <c r="C1981" s="94" t="inlineStr">
        <is>
          <t>我现在</t>
        </is>
      </c>
      <c r="D1981" s="94" t="inlineStr">
        <is>
          <t>/wǒ xiànzài…/: Hiện tại tôi…</t>
        </is>
      </c>
      <c r="E1981" s="94" t="inlineStr">
        <is>
          <t>我现在…/wǒ xiànzài…/: Hiện tại tôi…</t>
        </is>
      </c>
      <c r="F1981" s="115">
        <f>HYPERLINK("https://youglish.com/pronounce/我现在/chinese","🔍")</f>
        <v/>
      </c>
    </row>
    <row r="1982" ht="28.5" customHeight="1" s="99">
      <c r="A1982" s="92" t="inlineStr">
        <is>
          <t>PDF 300+ Mẫu Câu Giao tiếp theo chủ đề.pdf</t>
        </is>
      </c>
      <c r="B1982" s="93" t="inlineStr">
        <is>
          <t>134</t>
        </is>
      </c>
      <c r="C1982" s="92" t="inlineStr">
        <is>
          <t>我已经</t>
        </is>
      </c>
      <c r="D1982" s="92" t="inlineStr">
        <is>
          <t>/wǒ yǐjīng…/: Tôi đã…</t>
        </is>
      </c>
      <c r="E1982" s="92" t="inlineStr">
        <is>
          <t>我已经…/wǒ yǐjīng…/: Tôi đã…</t>
        </is>
      </c>
      <c r="F1982" s="114">
        <f>HYPERLINK("https://youglish.com/pronounce/我已经/chinese","🔍")</f>
        <v/>
      </c>
    </row>
    <row r="1983" ht="28.5" customHeight="1" s="99">
      <c r="A1983" s="94" t="inlineStr">
        <is>
          <t>PDF 300+ Mẫu Câu Giao tiếp theo chủ đề.pdf</t>
        </is>
      </c>
      <c r="B1983" s="95" t="inlineStr">
        <is>
          <t>135</t>
        </is>
      </c>
      <c r="C1983" s="94" t="inlineStr">
        <is>
          <t>我还没</t>
        </is>
      </c>
      <c r="D1983" s="94" t="inlineStr">
        <is>
          <t>/wǒ hái méi…/: Tôi còn chưa…</t>
        </is>
      </c>
      <c r="E1983" s="94" t="inlineStr">
        <is>
          <t>我还没…/wǒ hái méi…/: Tôi còn chưa…</t>
        </is>
      </c>
      <c r="F1983" s="115">
        <f>HYPERLINK("https://youglish.com/pronounce/我还没/chinese","🔍")</f>
        <v/>
      </c>
    </row>
    <row r="1984" ht="28.5" customHeight="1" s="99">
      <c r="A1984" s="92" t="inlineStr">
        <is>
          <t>PDF 300+ Mẫu Câu Giao tiếp theo chủ đề.pdf</t>
        </is>
      </c>
      <c r="B1984" s="93" t="inlineStr">
        <is>
          <t>136</t>
        </is>
      </c>
      <c r="C1984" s="92" t="inlineStr">
        <is>
          <t>我有女朋友了</t>
        </is>
      </c>
      <c r="D1984" s="92" t="inlineStr">
        <is>
          <t>Wǒ yǒu nǚ péngyoule! Tôi có bạn gái rồi!</t>
        </is>
      </c>
      <c r="E1984" s="92" t="inlineStr">
        <is>
          <t>我有女朋友了！ Wǒ yǒu nǚ péngyoule! Tôi có bạn gái rồi!</t>
        </is>
      </c>
      <c r="F1984" s="114">
        <f>HYPERLINK("https://youglish.com/pronounce/我有女朋友了/chinese","🔍")</f>
        <v/>
      </c>
    </row>
    <row r="1985" ht="28.5" customHeight="1" s="99">
      <c r="A1985" s="94" t="inlineStr">
        <is>
          <t>PDF 300+ Mẫu Câu Giao tiếp theo chủ đề.pdf</t>
        </is>
      </c>
      <c r="B1985" s="95" t="inlineStr">
        <is>
          <t>137</t>
        </is>
      </c>
      <c r="C1985" s="94" t="inlineStr">
        <is>
          <t>我还没结婚</t>
        </is>
      </c>
      <c r="D1985" s="94" t="inlineStr">
        <is>
          <t>Wǒ hái méi jiéhūn. Tôi vẫn chưa cưới.</t>
        </is>
      </c>
      <c r="E1985" s="94" t="inlineStr">
        <is>
          <t>我还没结婚。 Wǒ hái méi jiéhūn. Tôi vẫn chưa cưới.</t>
        </is>
      </c>
      <c r="F1985" s="115">
        <f>HYPERLINK("https://youglish.com/pronounce/我还没结婚/chinese","🔍")</f>
        <v/>
      </c>
    </row>
    <row r="1986" ht="28.5" customHeight="1" s="99">
      <c r="A1986" s="92" t="inlineStr">
        <is>
          <t>PDF 300+ Mẫu Câu Giao tiếp theo chủ đề.pdf</t>
        </is>
      </c>
      <c r="B1986" s="93" t="inlineStr">
        <is>
          <t>138</t>
        </is>
      </c>
      <c r="C1986" s="92" t="inlineStr">
        <is>
          <t>我现在还单身</t>
        </is>
      </c>
      <c r="D1986" s="92" t="inlineStr">
        <is>
          <t>Wǒ xiànzài hái dānshēn Hiện tại tôi vẫn còn độc</t>
        </is>
      </c>
      <c r="E1986" s="92" t="inlineStr">
        <is>
          <t>我现在还单身。 Wǒ xiànzài hái dānshēn Hiện tại tôi vẫn còn độc</t>
        </is>
      </c>
      <c r="F1986" s="114">
        <f>HYPERLINK("https://youglish.com/pronounce/我现在还单身/chinese","🔍")</f>
        <v/>
      </c>
    </row>
    <row r="1987" ht="28.5" customHeight="1" s="99">
      <c r="A1987" s="94" t="inlineStr">
        <is>
          <t>PDF 300+ Mẫu Câu Giao tiếp theo chủ đề.pdf</t>
        </is>
      </c>
      <c r="B1987" s="95" t="inlineStr">
        <is>
          <t>139</t>
        </is>
      </c>
      <c r="C1987" s="94" t="inlineStr">
        <is>
          <t>我已经离婚了</t>
        </is>
      </c>
      <c r="D1987" s="94" t="inlineStr">
        <is>
          <t>Wǒ yǐjīng líhūnle! Tôi đã ly hôn rồi.</t>
        </is>
      </c>
      <c r="E1987" s="94" t="inlineStr">
        <is>
          <t>我已经离婚了！ Wǒ yǐjīng líhūnle! Tôi đã ly hôn rồi.</t>
        </is>
      </c>
      <c r="F1987" s="115">
        <f>HYPERLINK("https://youglish.com/pronounce/我已经离婚了/chinese","🔍")</f>
        <v/>
      </c>
    </row>
    <row r="1988" ht="28.5" customHeight="1" s="99">
      <c r="A1988" s="92" t="inlineStr">
        <is>
          <t>PDF 300+ Mẫu Câu Giao tiếp theo chủ đề.pdf</t>
        </is>
      </c>
      <c r="B1988" s="93" t="inlineStr">
        <is>
          <t>140</t>
        </is>
      </c>
      <c r="C1988" s="92" t="inlineStr">
        <is>
          <t>我的老公去世了，我现在</t>
        </is>
      </c>
      <c r="D1988" s="92" t="n"/>
      <c r="E1988" s="92" t="inlineStr">
        <is>
          <t>我的老公去世了，我现在</t>
        </is>
      </c>
      <c r="F1988" s="114">
        <f>HYPERLINK("https://youglish.com/pronounce/我的老公去世了我现在/chinese","🔍")</f>
        <v/>
      </c>
    </row>
    <row r="1989" ht="28.5" customHeight="1" s="99">
      <c r="A1989" s="94" t="inlineStr">
        <is>
          <t>PDF 300+ Mẫu Câu Giao tiếp theo chủ đề.pdf</t>
        </is>
      </c>
      <c r="B1989" s="95" t="inlineStr">
        <is>
          <t>141</t>
        </is>
      </c>
      <c r="C1989" s="94" t="inlineStr">
        <is>
          <t>是寡妇</t>
        </is>
      </c>
      <c r="D1989" s="94" t="inlineStr">
        <is>
          <t>Wǒ de lǎogōng qùshìle, wǒ</t>
        </is>
      </c>
      <c r="E1989" s="94" t="inlineStr">
        <is>
          <t>是寡妇。 Wǒ de lǎogōng qùshìle, wǒ</t>
        </is>
      </c>
      <c r="F1989" s="115">
        <f>HYPERLINK("https://youglish.com/pronounce/是寡妇/chinese","🔍")</f>
        <v/>
      </c>
    </row>
    <row r="1990" ht="28.5" customHeight="1" s="99">
      <c r="A1990" s="92" t="inlineStr">
        <is>
          <t>PDF 300+ Mẫu Câu Giao tiếp theo chủ đề.pdf</t>
        </is>
      </c>
      <c r="B1990" s="93" t="inlineStr">
        <is>
          <t>142</t>
        </is>
      </c>
      <c r="C1990" s="92" t="inlineStr">
        <is>
          <t>优点</t>
        </is>
      </c>
      <c r="D1990" s="92" t="inlineStr">
        <is>
          <t>/yōudiǎn/: Ưu điểm</t>
        </is>
      </c>
      <c r="E1990" s="92" t="inlineStr">
        <is>
          <t>优点 /yōudiǎn/: Ưu điểm</t>
        </is>
      </c>
      <c r="F1990" s="114">
        <f>HYPERLINK("https://youglish.com/pronounce/优点/chinese","🔍")</f>
        <v/>
      </c>
    </row>
    <row r="1991" ht="28.5" customHeight="1" s="99">
      <c r="A1991" s="94" t="inlineStr">
        <is>
          <t>PDF 300+ Mẫu Câu Giao tiếp theo chủ đề.pdf</t>
        </is>
      </c>
      <c r="B1991" s="95" t="inlineStr">
        <is>
          <t>143</t>
        </is>
      </c>
      <c r="C1991" s="94" t="inlineStr">
        <is>
          <t>缺点</t>
        </is>
      </c>
      <c r="D1991" s="94" t="inlineStr">
        <is>
          <t>/quēdiǎn/: Khuyết điểm, nhược điểm</t>
        </is>
      </c>
      <c r="E1991" s="94" t="inlineStr">
        <is>
          <t>缺点 /quēdiǎn/: Khuyết điểm, nhược điểm</t>
        </is>
      </c>
      <c r="F1991" s="115">
        <f>HYPERLINK("https://youglish.com/pronounce/缺点/chinese","🔍")</f>
        <v/>
      </c>
    </row>
    <row r="1992" ht="28.5" customHeight="1" s="99">
      <c r="A1992" s="92" t="inlineStr">
        <is>
          <t>PDF 300+ Mẫu Câu Giao tiếp theo chủ đề.pdf</t>
        </is>
      </c>
      <c r="B1992" s="93" t="inlineStr">
        <is>
          <t>144</t>
        </is>
      </c>
      <c r="C1992" s="92" t="inlineStr">
        <is>
          <t>弱点</t>
        </is>
      </c>
      <c r="D1992" s="92" t="inlineStr">
        <is>
          <t>/ruòdiǎn /: Điểm yếu</t>
        </is>
      </c>
      <c r="E1992" s="92" t="inlineStr">
        <is>
          <t>弱点 /ruòdiǎn /: Điểm yếu</t>
        </is>
      </c>
      <c r="F1992" s="114">
        <f>HYPERLINK("https://youglish.com/pronounce/弱点/chinese","🔍")</f>
        <v/>
      </c>
    </row>
    <row r="1993" ht="28.5" customHeight="1" s="99">
      <c r="A1993" s="94" t="inlineStr">
        <is>
          <t>PDF 300+ Mẫu Câu Giao tiếp theo chủ đề.pdf</t>
        </is>
      </c>
      <c r="B1993" s="95" t="inlineStr">
        <is>
          <t>145</t>
        </is>
      </c>
      <c r="C1993" s="94" t="inlineStr">
        <is>
          <t>长处</t>
        </is>
      </c>
      <c r="D1993" s="94" t="inlineStr">
        <is>
          <t>/chángchù/: Điểm mạnh</t>
        </is>
      </c>
      <c r="E1993" s="94" t="inlineStr">
        <is>
          <t>长处 /chángchù/: Điểm mạnh</t>
        </is>
      </c>
      <c r="F1993" s="115">
        <f>HYPERLINK("https://youglish.com/pronounce/长处/chinese","🔍")</f>
        <v/>
      </c>
    </row>
    <row r="1994" ht="28.5" customHeight="1" s="99">
      <c r="A1994" s="92" t="inlineStr">
        <is>
          <t>PDF 300+ Mẫu Câu Giao tiếp theo chủ đề.pdf</t>
        </is>
      </c>
      <c r="B1994" s="93" t="inlineStr">
        <is>
          <t>146</t>
        </is>
      </c>
      <c r="C1994" s="92" t="inlineStr">
        <is>
          <t>短处</t>
        </is>
      </c>
      <c r="D1994" s="92" t="inlineStr">
        <is>
          <t>/duǎnchù/: Điểm yếu</t>
        </is>
      </c>
      <c r="E1994" s="92" t="inlineStr">
        <is>
          <t>短处 /duǎnchù/: Điểm yếu</t>
        </is>
      </c>
      <c r="F1994" s="114">
        <f>HYPERLINK("https://youglish.com/pronounce/短处/chinese","🔍")</f>
        <v/>
      </c>
    </row>
    <row r="1995" ht="28.5" customHeight="1" s="99">
      <c r="A1995" s="94" t="inlineStr">
        <is>
          <t>PDF 300+ Mẫu Câu Giao tiếp theo chủ đề.pdf</t>
        </is>
      </c>
      <c r="B1995" s="95" t="inlineStr">
        <is>
          <t>147</t>
        </is>
      </c>
      <c r="C1995" s="94" t="inlineStr">
        <is>
          <t>我的优点是</t>
        </is>
      </c>
      <c r="D1995" s="94" t="inlineStr">
        <is>
          <t>/wǒ de yōudiǎn shì…/: Tôi có ưu điểm là…</t>
        </is>
      </c>
      <c r="E1995" s="94" t="inlineStr">
        <is>
          <t>我的优点是… /wǒ de yōudiǎn shì…/: Tôi có ưu điểm là…</t>
        </is>
      </c>
      <c r="F1995" s="115">
        <f>HYPERLINK("https://youglish.com/pronounce/我的优点是/chinese","🔍")</f>
        <v/>
      </c>
    </row>
    <row r="1996" ht="28.5" customHeight="1" s="99">
      <c r="A1996" s="92" t="inlineStr">
        <is>
          <t>PDF 300+ Mẫu Câu Giao tiếp theo chủ đề.pdf</t>
        </is>
      </c>
      <c r="B1996" s="93" t="inlineStr">
        <is>
          <t>148</t>
        </is>
      </c>
      <c r="C1996" s="92" t="inlineStr">
        <is>
          <t>我的缺点是</t>
        </is>
      </c>
      <c r="D1996" s="92" t="inlineStr">
        <is>
          <t>/wǒ de quēdiǎn shì…/: Nhược điểm tôi là…</t>
        </is>
      </c>
      <c r="E1996" s="92" t="inlineStr">
        <is>
          <t>我的缺点是… /wǒ de quēdiǎn shì…/: Nhược điểm tôi là…</t>
        </is>
      </c>
      <c r="F1996" s="114">
        <f>HYPERLINK("https://youglish.com/pronounce/我的缺点是/chinese","🔍")</f>
        <v/>
      </c>
    </row>
    <row r="1997" ht="28.5" customHeight="1" s="99">
      <c r="A1997" s="94" t="inlineStr">
        <is>
          <t>PDF 300+ Mẫu Câu Giao tiếp theo chủ đề.pdf</t>
        </is>
      </c>
      <c r="B1997" s="95" t="inlineStr">
        <is>
          <t>149</t>
        </is>
      </c>
      <c r="C1997" s="94" t="inlineStr">
        <is>
          <t>我的优点是会说流利的中</t>
        </is>
      </c>
      <c r="D1997" s="94" t="n"/>
      <c r="E1997" s="94" t="inlineStr">
        <is>
          <t>我的优点是会说流利的中</t>
        </is>
      </c>
      <c r="F1997" s="115">
        <f>HYPERLINK("https://youglish.com/pronounce/我的优点是会说流利的中/chinese","🔍")</f>
        <v/>
      </c>
    </row>
    <row r="1998" ht="28.5" customHeight="1" s="99">
      <c r="A1998" s="92" t="inlineStr">
        <is>
          <t>PDF 300+ Mẫu Câu Giao tiếp theo chủ đề.pdf</t>
        </is>
      </c>
      <c r="B1998" s="93" t="inlineStr">
        <is>
          <t>150</t>
        </is>
      </c>
      <c r="C1998" s="92" t="inlineStr">
        <is>
          <t>文</t>
        </is>
      </c>
      <c r="D1998" s="92" t="inlineStr">
        <is>
          <t>Wǒ de yōudiǎn shì huì shuō</t>
        </is>
      </c>
      <c r="E1998" s="92" t="inlineStr">
        <is>
          <t>文。 Wǒ de yōudiǎn shì huì shuō</t>
        </is>
      </c>
      <c r="F1998" s="114">
        <f>HYPERLINK("https://youglish.com/pronounce/文/chinese","🔍")</f>
        <v/>
      </c>
    </row>
    <row r="1999" ht="28.5" customHeight="1" s="99">
      <c r="A1999" s="94" t="inlineStr">
        <is>
          <t>PDF 300+ Mẫu Câu Giao tiếp theo chủ đề.pdf</t>
        </is>
      </c>
      <c r="B1999" s="95" t="inlineStr">
        <is>
          <t>151</t>
        </is>
      </c>
      <c r="C1999" s="94" t="inlineStr">
        <is>
          <t>我的缺点是对人群的恐</t>
        </is>
      </c>
      <c r="D1999" s="94" t="n"/>
      <c r="E1999" s="94" t="inlineStr">
        <is>
          <t>我的缺点是对人群的恐</t>
        </is>
      </c>
      <c r="F1999" s="115">
        <f>HYPERLINK("https://youglish.com/pronounce/我的缺点是对人群的恐/chinese","🔍")</f>
        <v/>
      </c>
    </row>
    <row r="2000" ht="28.5" customHeight="1" s="99">
      <c r="A2000" s="92" t="inlineStr">
        <is>
          <t>PDF 300+ Mẫu Câu Giao tiếp theo chủ đề.pdf</t>
        </is>
      </c>
      <c r="B2000" s="93" t="inlineStr">
        <is>
          <t>152</t>
        </is>
      </c>
      <c r="C2000" s="92" t="inlineStr">
        <is>
          <t>惧</t>
        </is>
      </c>
      <c r="D2000" s="92" t="inlineStr">
        <is>
          <t>Wǒ de quēdiǎn shì duì</t>
        </is>
      </c>
      <c r="E2000" s="92" t="inlineStr">
        <is>
          <t>惧。 Wǒ de quēdiǎn shì duì</t>
        </is>
      </c>
      <c r="F2000" s="114">
        <f>HYPERLINK("https://youglish.com/pronounce/惧/chinese","🔍")</f>
        <v/>
      </c>
    </row>
    <row r="2001" ht="28.5" customHeight="1" s="99">
      <c r="A2001" s="94" t="inlineStr">
        <is>
          <t>PDF 300+ Mẫu Câu Giao tiếp theo chủ đề.pdf</t>
        </is>
      </c>
      <c r="B2001" s="95" t="inlineStr">
        <is>
          <t>153</t>
        </is>
      </c>
      <c r="C2001" s="94" t="inlineStr">
        <is>
          <t>认识</t>
        </is>
      </c>
      <c r="D2001" s="94" t="inlineStr">
        <is>
          <t>/rènshi/: Quen biết</t>
        </is>
      </c>
      <c r="E2001" s="94" t="inlineStr">
        <is>
          <t>认识 /rènshi/: Quen biết</t>
        </is>
      </c>
      <c r="F2001" s="115">
        <f>HYPERLINK("https://youglish.com/pronounce/认识/chinese","🔍")</f>
        <v/>
      </c>
    </row>
    <row r="2002" ht="28.5" customHeight="1" s="99">
      <c r="A2002" s="92" t="inlineStr">
        <is>
          <t>PDF 300+ Mẫu Câu Giao tiếp theo chủ đề.pdf</t>
        </is>
      </c>
      <c r="B2002" s="93" t="inlineStr">
        <is>
          <t>154</t>
        </is>
      </c>
      <c r="C2002" s="92" t="inlineStr">
        <is>
          <t>高兴</t>
        </is>
      </c>
      <c r="D2002" s="92" t="inlineStr">
        <is>
          <t>/gāoxìng/: Vui</t>
        </is>
      </c>
      <c r="E2002" s="92" t="inlineStr">
        <is>
          <t>高兴 /gāoxìng/: Vui</t>
        </is>
      </c>
      <c r="F2002" s="114">
        <f>HYPERLINK("https://youglish.com/pronounce/高兴/chinese","🔍")</f>
        <v/>
      </c>
    </row>
    <row r="2003" ht="28.5" customHeight="1" s="99">
      <c r="A2003" s="94" t="inlineStr">
        <is>
          <t>PDF 300+ Mẫu Câu Giao tiếp theo chủ đề.pdf</t>
        </is>
      </c>
      <c r="B2003" s="95" t="inlineStr">
        <is>
          <t>155</t>
        </is>
      </c>
      <c r="C2003" s="94" t="inlineStr">
        <is>
          <t>联系</t>
        </is>
      </c>
      <c r="D2003" s="94" t="inlineStr">
        <is>
          <t>/liánxì/: Liên hệ, liên lạc</t>
        </is>
      </c>
      <c r="E2003" s="94" t="inlineStr">
        <is>
          <t>联系 /liánxì/: Liên hệ, liên lạc</t>
        </is>
      </c>
      <c r="F2003" s="115">
        <f>HYPERLINK("https://youglish.com/pronounce/联系/chinese","🔍")</f>
        <v/>
      </c>
    </row>
    <row r="2004" ht="28.5" customHeight="1" s="99">
      <c r="A2004" s="92" t="inlineStr">
        <is>
          <t>PDF 300+ Mẫu Câu Giao tiếp theo chủ đề.pdf</t>
        </is>
      </c>
      <c r="B2004" s="93" t="inlineStr">
        <is>
          <t>156</t>
        </is>
      </c>
      <c r="C2004" s="92" t="inlineStr">
        <is>
          <t>感谢</t>
        </is>
      </c>
      <c r="D2004" s="92" t="inlineStr">
        <is>
          <t>/gǎnxiè /: Cảm ơn</t>
        </is>
      </c>
      <c r="E2004" s="92" t="inlineStr">
        <is>
          <t>感谢 /gǎnxiè /: Cảm ơn</t>
        </is>
      </c>
      <c r="F2004" s="114">
        <f>HYPERLINK("https://youglish.com/pronounce/感谢/chinese","🔍")</f>
        <v/>
      </c>
    </row>
    <row r="2005" ht="28.5" customHeight="1" s="99">
      <c r="A2005" s="94" t="inlineStr">
        <is>
          <t>PDF 300+ Mẫu Câu Giao tiếp theo chủ đề.pdf</t>
        </is>
      </c>
      <c r="B2005" s="95" t="inlineStr">
        <is>
          <t>157</t>
        </is>
      </c>
      <c r="C2005" s="94" t="inlineStr">
        <is>
          <t>希望</t>
        </is>
      </c>
      <c r="D2005" s="94" t="inlineStr">
        <is>
          <t>/xīwàng/: Hy vọng</t>
        </is>
      </c>
      <c r="E2005" s="94" t="inlineStr">
        <is>
          <t>希望 /xīwàng/: Hy vọng</t>
        </is>
      </c>
      <c r="F2005" s="115">
        <f>HYPERLINK("https://youglish.com/pronounce/希望/chinese","🔍")</f>
        <v/>
      </c>
    </row>
    <row r="2006" ht="28.5" customHeight="1" s="99">
      <c r="A2006" s="92" t="inlineStr">
        <is>
          <t>PDF 300+ Mẫu Câu Giao tiếp theo chủ đề.pdf</t>
        </is>
      </c>
      <c r="B2006" s="93" t="inlineStr">
        <is>
          <t>158</t>
        </is>
      </c>
      <c r="C2006" s="92" t="inlineStr">
        <is>
          <t>我希望</t>
        </is>
      </c>
      <c r="D2006" s="92" t="inlineStr">
        <is>
          <t>... /Wǒ xīwàng…/: Tôi hi vọng,...</t>
        </is>
      </c>
      <c r="E2006" s="92" t="inlineStr">
        <is>
          <t>我希望... /Wǒ xīwàng…/: Tôi hi vọng,...</t>
        </is>
      </c>
      <c r="F2006" s="114">
        <f>HYPERLINK("https://youglish.com/pronounce/我希望/chinese","🔍")</f>
        <v/>
      </c>
    </row>
    <row r="2007" ht="28.5" customHeight="1" s="99">
      <c r="A2007" s="94" t="inlineStr">
        <is>
          <t>PDF 300+ Mẫu Câu Giao tiếp theo chủ đề.pdf</t>
        </is>
      </c>
      <c r="B2007" s="95" t="inlineStr">
        <is>
          <t>159</t>
        </is>
      </c>
      <c r="C2007" s="94" t="inlineStr">
        <is>
          <t>我很高兴/非常感兴趣</t>
        </is>
      </c>
      <c r="D2007" s="94" t="inlineStr">
        <is>
          <t>... / wǒ hěn gāoxìng/Fēicháng gǎn xìngqù/: Tôi rất vui,</t>
        </is>
      </c>
      <c r="E2007" s="94" t="inlineStr">
        <is>
          <t>我很高兴/非常感兴趣... / wǒ hěn gāoxìng/Fēicháng gǎn xìngqù/: Tôi rất vui,</t>
        </is>
      </c>
      <c r="F2007" s="115">
        <f>HYPERLINK("https://youglish.com/pronounce/我很高兴非常感兴趣/chinese","🔍")</f>
        <v/>
      </c>
    </row>
    <row r="2008" ht="28.5" customHeight="1" s="99">
      <c r="A2008" s="92" t="inlineStr">
        <is>
          <t>PDF 300+ Mẫu Câu Giao tiếp theo chủ đề.pdf</t>
        </is>
      </c>
      <c r="B2008" s="93" t="inlineStr">
        <is>
          <t>160</t>
        </is>
      </c>
      <c r="C2008" s="92" t="inlineStr">
        <is>
          <t>认识你我很高兴</t>
        </is>
      </c>
      <c r="D2008" s="92" t="inlineStr">
        <is>
          <t>Rènshi nǐ wǒ hěn gāoxìng Quen được bạn khiến tôi</t>
        </is>
      </c>
      <c r="E2008" s="92" t="inlineStr">
        <is>
          <t>认识你我很高兴。 Rènshi nǐ wǒ hěn gāoxìng Quen được bạn khiến tôi</t>
        </is>
      </c>
      <c r="F2008" s="114">
        <f>HYPERLINK("https://youglish.com/pronounce/认识你我很高兴/chinese","🔍")</f>
        <v/>
      </c>
    </row>
    <row r="2009" ht="28.5" customHeight="1" s="99">
      <c r="A2009" s="94" t="inlineStr">
        <is>
          <t>PDF 300+ Mẫu Câu Giao tiếp theo chủ đề.pdf</t>
        </is>
      </c>
      <c r="B2009" s="95" t="inlineStr">
        <is>
          <t>161</t>
        </is>
      </c>
      <c r="C2009" s="94" t="inlineStr">
        <is>
          <t>彼此多联系</t>
        </is>
      </c>
      <c r="D2009" s="94" t="inlineStr">
        <is>
          <t>! Bǐcǐ duō liánxì! Thường xuyên giữ liên lạc</t>
        </is>
      </c>
      <c r="E2009" s="94" t="inlineStr">
        <is>
          <t>彼此多联系! Bǐcǐ duō liánxì! Thường xuyên giữ liên lạc</t>
        </is>
      </c>
      <c r="F2009" s="115">
        <f>HYPERLINK("https://youglish.com/pronounce/彼此多联系/chinese","🔍")</f>
        <v/>
      </c>
    </row>
    <row r="2010" ht="28.5" customHeight="1" s="99">
      <c r="A2010" s="92" t="inlineStr">
        <is>
          <t>PDF 300+ Mẫu Câu Giao tiếp theo chủ đề.pdf</t>
        </is>
      </c>
      <c r="B2010" s="93" t="inlineStr">
        <is>
          <t>162</t>
        </is>
      </c>
      <c r="C2010" s="92" t="inlineStr">
        <is>
          <t>你使用脸书吗</t>
        </is>
      </c>
      <c r="D2010" s="92" t="inlineStr">
        <is>
          <t>Nǐ shǐyòng liǎn shū ma? Bạn có dùng Facebook</t>
        </is>
      </c>
      <c r="E2010" s="92" t="inlineStr">
        <is>
          <t>你使用脸书吗？ Nǐ shǐyòng liǎn shū ma? Bạn có dùng Facebook</t>
        </is>
      </c>
      <c r="F2010" s="114">
        <f>HYPERLINK("https://youglish.com/pronounce/你使用脸书吗/chinese","🔍")</f>
        <v/>
      </c>
    </row>
    <row r="2011" ht="28.5" customHeight="1" s="99">
      <c r="A2011" s="94" t="inlineStr">
        <is>
          <t>PDF 300+ Mẫu Câu Giao tiếp theo chủ đề.pdf</t>
        </is>
      </c>
      <c r="B2011" s="95" t="inlineStr">
        <is>
          <t>163</t>
        </is>
      </c>
      <c r="C2011" s="94" t="inlineStr">
        <is>
          <t>我很高兴能认识你</t>
        </is>
      </c>
      <c r="D2011" s="94" t="inlineStr">
        <is>
          <t>Wǒ hěn gāoxìng néng rènshí</t>
        </is>
      </c>
      <c r="E2011" s="94" t="inlineStr">
        <is>
          <t>我很高兴能认识你。 Wǒ hěn gāoxìng néng rènshí</t>
        </is>
      </c>
      <c r="F2011" s="115">
        <f>HYPERLINK("https://youglish.com/pronounce/我很高兴能认识你/chinese","🔍")</f>
        <v/>
      </c>
    </row>
    <row r="2012" ht="28.5" customHeight="1" s="99">
      <c r="A2012" s="92" t="inlineStr">
        <is>
          <t>PDF 300+ Mẫu Câu Giao tiếp theo chủ đề.pdf</t>
        </is>
      </c>
      <c r="B2012" s="93" t="inlineStr">
        <is>
          <t>164</t>
        </is>
      </c>
      <c r="C2012" s="92" t="inlineStr">
        <is>
          <t>我非常感谢你跟我聊</t>
        </is>
      </c>
      <c r="D2012" s="92" t="n"/>
      <c r="E2012" s="92" t="inlineStr">
        <is>
          <t>我非常感谢你跟我聊</t>
        </is>
      </c>
      <c r="F2012" s="114">
        <f>HYPERLINK("https://youglish.com/pronounce/我非常感谢你跟我聊/chinese","🔍")</f>
        <v/>
      </c>
    </row>
    <row r="2013" ht="28.5" customHeight="1" s="99">
      <c r="A2013" s="94" t="inlineStr">
        <is>
          <t>PDF 300+ Mẫu Câu Giao tiếp theo chủ đề.pdf</t>
        </is>
      </c>
      <c r="B2013" s="95" t="inlineStr">
        <is>
          <t>165</t>
        </is>
      </c>
      <c r="C2013" s="94" t="inlineStr">
        <is>
          <t>天</t>
        </is>
      </c>
      <c r="D2013" s="94" t="inlineStr">
        <is>
          <t>Wǒ fēicháng gǎnxiè nǐ gēn</t>
        </is>
      </c>
      <c r="E2013" s="94" t="inlineStr">
        <is>
          <t>天。 Wǒ fēicháng gǎnxiè nǐ gēn</t>
        </is>
      </c>
      <c r="F2013" s="115">
        <f>HYPERLINK("https://youglish.com/pronounce/天/chinese","🔍")</f>
        <v/>
      </c>
    </row>
    <row r="2014" ht="28.5" customHeight="1" s="99">
      <c r="A2014" s="92" t="inlineStr">
        <is>
          <t>PDF 300+ Mẫu Câu Giao tiếp theo chủ đề.pdf</t>
        </is>
      </c>
      <c r="B2014" s="93" t="inlineStr">
        <is>
          <t>166</t>
        </is>
      </c>
      <c r="C2014" s="92" t="inlineStr">
        <is>
          <t>我希望遇到你</t>
        </is>
      </c>
      <c r="D2014" s="92" t="inlineStr">
        <is>
          <t>Wǒ xīwàng yù dào nǐ Tôi hi vọng sẽ gặp lại bạn.</t>
        </is>
      </c>
      <c r="E2014" s="92" t="inlineStr">
        <is>
          <t>我希望遇到你。 Wǒ xīwàng yù dào nǐ Tôi hi vọng sẽ gặp lại bạn.</t>
        </is>
      </c>
      <c r="F2014" s="114">
        <f>HYPERLINK("https://youglish.com/pronounce/我希望遇到你/chinese","🔍")</f>
        <v/>
      </c>
    </row>
    <row r="2015" ht="28.5" customHeight="1" s="99">
      <c r="A2015" s="94" t="inlineStr">
        <is>
          <t>PDF 300+ Mẫu Câu Giao tiếp theo chủ đề.pdf</t>
        </is>
      </c>
      <c r="B2015" s="95" t="inlineStr">
        <is>
          <t>167</t>
        </is>
      </c>
      <c r="C2015" s="94" t="inlineStr">
        <is>
          <t>我希望我们能成为好朋</t>
        </is>
      </c>
      <c r="D2015" s="94" t="n"/>
      <c r="E2015" s="94" t="inlineStr">
        <is>
          <t>我希望我们能成为好朋</t>
        </is>
      </c>
      <c r="F2015" s="115">
        <f>HYPERLINK("https://youglish.com/pronounce/我希望我们能成为好朋/chinese","🔍")</f>
        <v/>
      </c>
    </row>
    <row r="2016" ht="28.5" customHeight="1" s="99">
      <c r="A2016" s="92" t="inlineStr">
        <is>
          <t>PDF 300+ Mẫu Câu Giao tiếp theo chủ đề.pdf</t>
        </is>
      </c>
      <c r="B2016" s="93" t="inlineStr">
        <is>
          <t>168</t>
        </is>
      </c>
      <c r="C2016" s="92" t="inlineStr">
        <is>
          <t>友</t>
        </is>
      </c>
      <c r="D2016" s="92" t="inlineStr">
        <is>
          <t>Wǒ xīwàng wǒmen néng chéngwéi hǎo péngyou</t>
        </is>
      </c>
      <c r="E2016" s="92" t="inlineStr">
        <is>
          <t>友。 Wǒ xīwàng wǒmen néng chéngwéi hǎo péngyou</t>
        </is>
      </c>
      <c r="F2016" s="114">
        <f>HYPERLINK("https://youglish.com/pronounce/友/chinese","🔍")</f>
        <v/>
      </c>
    </row>
    <row r="2017" ht="28.5" customHeight="1" s="99">
      <c r="A2017" s="94" t="inlineStr">
        <is>
          <t>PDF 300+ Mẫu Câu Giao tiếp theo chủ đề.pdf</t>
        </is>
      </c>
      <c r="B2017" s="95" t="inlineStr">
        <is>
          <t>169</t>
        </is>
      </c>
      <c r="C2017" s="94" t="inlineStr">
        <is>
          <t>你可以给我电话号码</t>
        </is>
      </c>
      <c r="D2017" s="94" t="n"/>
      <c r="E2017" s="94" t="inlineStr">
        <is>
          <t>你可以给我电话号码</t>
        </is>
      </c>
      <c r="F2017" s="115">
        <f>HYPERLINK("https://youglish.com/pronounce/你可以给我电话号码/chinese","🔍")</f>
        <v/>
      </c>
    </row>
    <row r="2018" ht="28.5" customHeight="1" s="99">
      <c r="A2018" s="92" t="inlineStr">
        <is>
          <t>PDF 300+ Mẫu Câu Giao tiếp theo chủ đề.pdf</t>
        </is>
      </c>
      <c r="B2018" s="93" t="inlineStr">
        <is>
          <t>170</t>
        </is>
      </c>
      <c r="C2018" s="92" t="inlineStr">
        <is>
          <t>码</t>
        </is>
      </c>
      <c r="D2018" s="92" t="inlineStr">
        <is>
          <t>Nǐ kěyǐ gěi wǒ diànhuà</t>
        </is>
      </c>
      <c r="E2018" s="92" t="inlineStr">
        <is>
          <t>码？ Nǐ kěyǐ gěi wǒ diànhuà</t>
        </is>
      </c>
      <c r="F2018" s="114">
        <f>HYPERLINK("https://youglish.com/pronounce/码/chinese","🔍")</f>
        <v/>
      </c>
    </row>
    <row r="2019" ht="28.5" customHeight="1" s="99">
      <c r="A2019" s="94" t="inlineStr">
        <is>
          <t>PDF 300+ Mẫu Câu Giao tiếp theo chủ đề.pdf</t>
        </is>
      </c>
      <c r="B2019" s="95" t="inlineStr">
        <is>
          <t>171</t>
        </is>
      </c>
      <c r="C2019" s="94" t="inlineStr">
        <is>
          <t>你的邮箱是什么？我想</t>
        </is>
      </c>
      <c r="D2019" s="94" t="n"/>
      <c r="E2019" s="94" t="inlineStr">
        <is>
          <t>你的邮箱是什么？我想</t>
        </is>
      </c>
      <c r="F2019" s="115">
        <f>HYPERLINK("https://youglish.com/pronounce/你的邮箱是什么我想/chinese","🔍")</f>
        <v/>
      </c>
    </row>
    <row r="2020" ht="28.5" customHeight="1" s="99">
      <c r="A2020" s="92" t="inlineStr">
        <is>
          <t>PDF 300+ Mẫu Câu Giao tiếp theo chủ đề.pdf</t>
        </is>
      </c>
      <c r="B2020" s="93" t="inlineStr">
        <is>
          <t>172</t>
        </is>
      </c>
      <c r="C2020" s="92" t="inlineStr">
        <is>
          <t>跟你保持联系</t>
        </is>
      </c>
      <c r="D2020" s="92" t="inlineStr">
        <is>
          <t>Nǐ de yóuxiàng shì shénme?</t>
        </is>
      </c>
      <c r="E2020" s="92" t="inlineStr">
        <is>
          <t>跟你保持联系 Nǐ de yóuxiàng shì shénme?</t>
        </is>
      </c>
      <c r="F2020" s="114">
        <f>HYPERLINK("https://youglish.com/pronounce/跟你保持联系/chinese","🔍")</f>
        <v/>
      </c>
    </row>
    <row r="2021" ht="28.5" customHeight="1" s="99">
      <c r="A2021" s="94" t="inlineStr">
        <is>
          <t>PDF 300+ Mẫu Câu Giao tiếp theo chủ đề.pdf</t>
        </is>
      </c>
      <c r="B2021" s="95" t="inlineStr">
        <is>
          <t>173</t>
        </is>
      </c>
      <c r="C2021" s="94" t="inlineStr">
        <is>
          <t>你想买什么</t>
        </is>
      </c>
      <c r="D2021" s="94" t="inlineStr">
        <is>
          <t>?” (Nǐ xiǎng mǎi shénme?)- Bạn muốn mua gì?</t>
        </is>
      </c>
      <c r="E2021" s="94" t="inlineStr">
        <is>
          <t>你想买什么?” (Nǐ xiǎng mǎi shénme?)- Bạn muốn mua gì?</t>
        </is>
      </c>
      <c r="F2021" s="115">
        <f>HYPERLINK("https://youglish.com/pronounce/你想买什么/chinese","🔍")</f>
        <v/>
      </c>
    </row>
    <row r="2022" ht="42.75" customHeight="1" s="99">
      <c r="A2022" s="92" t="inlineStr">
        <is>
          <t>PDF 300+ Mẫu Câu Giao tiếp theo chủ đề.pdf</t>
        </is>
      </c>
      <c r="B2022" s="93" t="inlineStr">
        <is>
          <t>174</t>
        </is>
      </c>
      <c r="C2022" s="92" t="inlineStr">
        <is>
          <t>我想买</t>
        </is>
      </c>
      <c r="D2022" s="92" t="inlineStr">
        <is>
          <t>Lúc này bạn chỉ cần trả lời bằng: 我想买... (Wǒ xiǎng mǎi…) tôi muốn mua… Sau đó bạn gọi trực tiếp đồ dùng bạn muốn. Đây chính là câu trả lời thông dụng nhất mà bạn có thể sử dụng.</t>
        </is>
      </c>
      <c r="E2022" s="92" t="inlineStr">
        <is>
          <t>Lúc này bạn chỉ cần trả lời bằng: 我想买... (Wǒ xiǎng mǎi…) tôi muốn mua… Sau đó bạn gọi trực tiếp đồ dùng bạn muốn. Đây chính là câu trả lời thông dụng nhất mà bạn có thể sử dụng.</t>
        </is>
      </c>
      <c r="F2022" s="114">
        <f>HYPERLINK("https://youglish.com/pronounce/我想买/chinese","🔍")</f>
        <v/>
      </c>
    </row>
    <row r="2023" ht="28.5" customHeight="1" s="99">
      <c r="A2023" s="94" t="inlineStr">
        <is>
          <t>PDF 300+ Mẫu Câu Giao tiếp theo chủ đề.pdf</t>
        </is>
      </c>
      <c r="B2023" s="95" t="inlineStr">
        <is>
          <t>1</t>
        </is>
      </c>
      <c r="C2023" s="94" t="inlineStr">
        <is>
          <t>我想买一个纪念品</t>
        </is>
      </c>
      <c r="D2023" s="94" t="inlineStr">
        <is>
          <t>我 想 买 一 个 纪 念 品. (Wǒ xiǎng mǎi yīgè jìniànpǐn)</t>
        </is>
      </c>
      <c r="E2023" s="94" t="inlineStr">
        <is>
          <t>1. 我 想 买 一 个 纪 念 品. (Wǒ xiǎng mǎi yīgè jìniànpǐn)</t>
        </is>
      </c>
      <c r="F2023" s="115">
        <f>HYPERLINK("https://youglish.com/pronounce/我想买一个纪念品/chinese","🔍")</f>
        <v/>
      </c>
    </row>
    <row r="2024" ht="28.5" customHeight="1" s="99">
      <c r="A2024" s="92" t="inlineStr">
        <is>
          <t>PDF 300+ Mẫu Câu Giao tiếp theo chủ đề.pdf</t>
        </is>
      </c>
      <c r="B2024" s="93" t="inlineStr">
        <is>
          <t>2</t>
        </is>
      </c>
      <c r="C2024" s="92" t="inlineStr">
        <is>
          <t>但不太贵</t>
        </is>
      </c>
      <c r="D2024" s="92" t="inlineStr">
        <is>
          <t>但 不 太 贵 (Dàn bù tài guì)</t>
        </is>
      </c>
      <c r="E2024" s="92" t="inlineStr">
        <is>
          <t>2. 但 不 太 贵 (Dàn bù tài guì)</t>
        </is>
      </c>
      <c r="F2024" s="114">
        <f>HYPERLINK("https://youglish.com/pronounce/但不太贵/chinese","🔍")</f>
        <v/>
      </c>
    </row>
    <row r="2025" ht="28.5" customHeight="1" s="99">
      <c r="A2025" s="94" t="inlineStr">
        <is>
          <t>PDF 300+ Mẫu Câu Giao tiếp theo chủ đề.pdf</t>
        </is>
      </c>
      <c r="B2025" s="95" t="inlineStr">
        <is>
          <t>3</t>
        </is>
      </c>
      <c r="C2025" s="94" t="inlineStr">
        <is>
          <t>也许一个手时钟</t>
        </is>
      </c>
      <c r="D2025" s="94" t="inlineStr">
        <is>
          <t>Yěxǔ yīgè shǒu shízhōng)</t>
        </is>
      </c>
      <c r="E2025" s="94" t="inlineStr">
        <is>
          <t>3. 也许一个手时钟 (Yěxǔ yīgè shǒu shízhōng)</t>
        </is>
      </c>
      <c r="F2025" s="115">
        <f>HYPERLINK("https://youglish.com/pronounce/也许一个手时钟/chinese","🔍")</f>
        <v/>
      </c>
    </row>
    <row r="2026" ht="28.5" customHeight="1" s="99">
      <c r="A2026" s="92" t="inlineStr">
        <is>
          <t>PDF 300+ Mẫu Câu Giao tiếp theo chủ đề.pdf</t>
        </is>
      </c>
      <c r="B2026" s="93" t="inlineStr">
        <is>
          <t>4</t>
        </is>
      </c>
      <c r="C2026" s="92" t="inlineStr">
        <is>
          <t>这个多少钱</t>
        </is>
      </c>
      <c r="D2026" s="92" t="inlineStr">
        <is>
          <t>? (Zhège duōshǎo qián?)</t>
        </is>
      </c>
      <c r="E2026" s="92" t="inlineStr">
        <is>
          <t>4. 这个多少钱? (Zhège duōshǎo qián?)</t>
        </is>
      </c>
      <c r="F2026" s="114">
        <f>HYPERLINK("https://youglish.com/pronounce/这个多少钱/chinese","🔍")</f>
        <v/>
      </c>
    </row>
    <row r="2027" ht="28.5" customHeight="1" s="99">
      <c r="A2027" s="94" t="inlineStr">
        <is>
          <t>PDF 300+ Mẫu Câu Giao tiếp theo chủ đề.pdf</t>
        </is>
      </c>
      <c r="B2027" s="95" t="inlineStr">
        <is>
          <t>5</t>
        </is>
      </c>
      <c r="C2027" s="94" t="inlineStr">
        <is>
          <t>我可以试试吗</t>
        </is>
      </c>
      <c r="D2027" s="94" t="inlineStr">
        <is>
          <t>我 可 以 试 试 吗? ( Wǒ kěyǐ shì shì ma?)</t>
        </is>
      </c>
      <c r="E2027" s="94" t="inlineStr">
        <is>
          <t>5. 我 可 以 试 试 吗? ( Wǒ kěyǐ shì shì ma?)</t>
        </is>
      </c>
      <c r="F2027" s="115">
        <f>HYPERLINK("https://youglish.com/pronounce/我可以试试吗/chinese","🔍")</f>
        <v/>
      </c>
    </row>
    <row r="2028" ht="28.5" customHeight="1" s="99">
      <c r="A2028" s="92" t="inlineStr">
        <is>
          <t>PDF 300+ Mẫu Câu Giao tiếp theo chủ đề.pdf</t>
        </is>
      </c>
      <c r="B2028" s="93" t="inlineStr">
        <is>
          <t>6</t>
        </is>
      </c>
      <c r="C2028" s="92" t="inlineStr">
        <is>
          <t>紫色的, 蓝色的还是粉红色的</t>
        </is>
      </c>
      <c r="D2028" s="92" t="inlineStr">
        <is>
          <t>紫 色 的, 蓝 色 的 还 是 粉 红 色 的 (Zǐsè de, lán sè de háishì fěnhóng sè de)</t>
        </is>
      </c>
      <c r="E2028" s="92" t="inlineStr">
        <is>
          <t>6. 紫 色 的, 蓝 色 的 还 是 粉 红 色 的 (Zǐsè de, lán sè de háishì fěnhóng sè de)</t>
        </is>
      </c>
      <c r="F2028" s="114">
        <f>HYPERLINK("https://youglish.com/pronounce/紫色的蓝色的还是粉红色的/chinese","🔍")</f>
        <v/>
      </c>
    </row>
    <row r="2029" ht="28.5" customHeight="1" s="99">
      <c r="A2029" s="94" t="inlineStr">
        <is>
          <t>PDF 300+ Mẫu Câu Giao tiếp theo chủ đề.pdf</t>
        </is>
      </c>
      <c r="B2029" s="95" t="inlineStr">
        <is>
          <t>7</t>
        </is>
      </c>
      <c r="C2029" s="94" t="inlineStr">
        <is>
          <t>我喜欢这个</t>
        </is>
      </c>
      <c r="D2029" s="94" t="inlineStr">
        <is>
          <t>Wǒ xǐhuān zhège)</t>
        </is>
      </c>
      <c r="E2029" s="94" t="inlineStr">
        <is>
          <t>7. 我喜欢这个 (Wǒ xǐhuān zhège)</t>
        </is>
      </c>
      <c r="F2029" s="115">
        <f>HYPERLINK("https://youglish.com/pronounce/我喜欢这个/chinese","🔍")</f>
        <v/>
      </c>
    </row>
    <row r="2030" ht="28.5" customHeight="1" s="99">
      <c r="A2030" s="92" t="inlineStr">
        <is>
          <t>PDF 300+ Mẫu Câu Giao tiếp theo chủ đề.pdf</t>
        </is>
      </c>
      <c r="B2030" s="93" t="inlineStr">
        <is>
          <t>8</t>
        </is>
      </c>
      <c r="C2030" s="92" t="inlineStr">
        <is>
          <t>我买这个</t>
        </is>
      </c>
      <c r="D2030" s="92" t="inlineStr">
        <is>
          <t>我 买 这 个 (Wǒ mǎi zhège)</t>
        </is>
      </c>
      <c r="E2030" s="92" t="inlineStr">
        <is>
          <t>8. 我 买 这 个 (Wǒ mǎi zhège)</t>
        </is>
      </c>
      <c r="F2030" s="114">
        <f>HYPERLINK("https://youglish.com/pronounce/我买这个/chinese","🔍")</f>
        <v/>
      </c>
    </row>
    <row r="2031" ht="28.5" customHeight="1" s="99">
      <c r="A2031" s="94" t="inlineStr">
        <is>
          <t>PDF 300+ Mẫu Câu Giao tiếp theo chủ đề.pdf</t>
        </is>
      </c>
      <c r="B2031" s="95" t="inlineStr">
        <is>
          <t>183</t>
        </is>
      </c>
      <c r="C2031" s="94" t="inlineStr">
        <is>
          <t>你想要多少钱</t>
        </is>
      </c>
      <c r="D2031" s="94" t="inlineStr">
        <is>
          <t>你 想 要 多 少钱？ Nǐ xiǎng yào duōshǎo qián? Bạn muốn trả giá bao nhiêu?</t>
        </is>
      </c>
      <c r="E2031" s="94" t="inlineStr">
        <is>
          <t>你 想 要 多 少钱？ Nǐ xiǎng yào duōshǎo qián? Bạn muốn trả giá bao nhiêu?</t>
        </is>
      </c>
      <c r="F2031" s="115">
        <f>HYPERLINK("https://youglish.com/pronounce/你想要多少钱/chinese","🔍")</f>
        <v/>
      </c>
    </row>
    <row r="2032" ht="28.5" customHeight="1" s="99">
      <c r="A2032" s="92" t="inlineStr">
        <is>
          <t>PDF 300+ Mẫu Câu Giao tiếp theo chủ đề.pdf</t>
        </is>
      </c>
      <c r="B2032" s="93" t="inlineStr">
        <is>
          <t>184</t>
        </is>
      </c>
      <c r="C2032" s="92" t="inlineStr">
        <is>
          <t>你说多少钱</t>
        </is>
      </c>
      <c r="D2032" s="92" t="inlineStr">
        <is>
          <t>你 说 多 少 钱？ Nǐ shuō duōshǎo qián? Bạn nói bao nhiêu tiền cơ?</t>
        </is>
      </c>
      <c r="E2032" s="92" t="inlineStr">
        <is>
          <t>你 说 多 少 钱？ Nǐ shuō duōshǎo qián? Bạn nói bao nhiêu tiền cơ?</t>
        </is>
      </c>
      <c r="F2032" s="114">
        <f>HYPERLINK("https://youglish.com/pronounce/你说多少钱/chinese","🔍")</f>
        <v/>
      </c>
    </row>
    <row r="2033" ht="28.5" customHeight="1" s="99">
      <c r="A2033" s="94" t="inlineStr">
        <is>
          <t>PDF 300+ Mẫu Câu Giao tiếp theo chủ đề.pdf</t>
        </is>
      </c>
      <c r="B2033" s="95" t="inlineStr">
        <is>
          <t>185</t>
        </is>
      </c>
      <c r="C2033" s="94" t="inlineStr">
        <is>
          <t>可以给我更好的价钱吗</t>
        </is>
      </c>
      <c r="D2033" s="94" t="inlineStr">
        <is>
          <t>可以 给 我 更 好的 价 钱 吗?</t>
        </is>
      </c>
      <c r="E2033" s="94" t="inlineStr">
        <is>
          <t>可以 给 我 更 好的 价 钱 吗?</t>
        </is>
      </c>
      <c r="F2033" s="115">
        <f>HYPERLINK("https://youglish.com/pronounce/可以给我更好的价钱吗/chinese","🔍")</f>
        <v/>
      </c>
    </row>
    <row r="2034" ht="28.5" customHeight="1" s="99">
      <c r="A2034" s="92" t="inlineStr">
        <is>
          <t>PDF 300+ Mẫu Câu Giao tiếp theo chủ đề.pdf</t>
        </is>
      </c>
      <c r="B2034" s="93" t="inlineStr">
        <is>
          <t>186</t>
        </is>
      </c>
      <c r="C2034" s="92" t="inlineStr">
        <is>
          <t>能给我个折扣吗</t>
        </is>
      </c>
      <c r="D2034" s="92" t="inlineStr">
        <is>
          <t>能 给 我 个 折 扣吗? néng gěi wǒ gè zhékòu ma? Có thể giảm giá cho tôi không?</t>
        </is>
      </c>
      <c r="E2034" s="92" t="inlineStr">
        <is>
          <t>能 给 我 个 折 扣吗? néng gěi wǒ gè zhékòu ma? Có thể giảm giá cho tôi không?</t>
        </is>
      </c>
      <c r="F2034" s="114">
        <f>HYPERLINK("https://youglish.com/pronounce/能给我个折扣吗/chinese","🔍")</f>
        <v/>
      </c>
    </row>
    <row r="2035" ht="28.5" customHeight="1" s="99">
      <c r="A2035" s="94" t="inlineStr">
        <is>
          <t>PDF 300+ Mẫu Câu Giao tiếp theo chủ đề.pdf</t>
        </is>
      </c>
      <c r="B2035" s="95" t="inlineStr">
        <is>
          <t>187</t>
        </is>
      </c>
      <c r="C2035" s="94" t="inlineStr">
        <is>
          <t>你想多少钱能成交</t>
        </is>
      </c>
      <c r="D2035" s="94" t="inlineStr">
        <is>
          <t>你 想 多 少 钱 能成 交？</t>
        </is>
      </c>
      <c r="E2035" s="94" t="inlineStr">
        <is>
          <t>你 想 多 少 钱 能成 交？</t>
        </is>
      </c>
      <c r="F2035" s="115">
        <f>HYPERLINK("https://youglish.com/pronounce/你想多少钱能成交/chinese","🔍")</f>
        <v/>
      </c>
    </row>
    <row r="2036" ht="28.5" customHeight="1" s="99">
      <c r="A2036" s="92" t="inlineStr">
        <is>
          <t>PDF 300+ Mẫu Câu Giao tiếp theo chủ đề.pdf</t>
        </is>
      </c>
      <c r="B2036" s="93" t="inlineStr">
        <is>
          <t>188</t>
        </is>
      </c>
      <c r="C2036" s="92" t="inlineStr">
        <is>
          <t>你真会讲价</t>
        </is>
      </c>
      <c r="D2036" s="92" t="inlineStr">
        <is>
          <t>你 真 会 讲 价. Nǐ zhēn huì jiǎngjià. Bạn thật biết mặc cả</t>
        </is>
      </c>
      <c r="E2036" s="92" t="inlineStr">
        <is>
          <t>你 真 会 讲 价. Nǐ zhēn huì jiǎngjià. Bạn thật biết mặc cả</t>
        </is>
      </c>
      <c r="F2036" s="114">
        <f>HYPERLINK("https://youglish.com/pronounce/你真会讲价/chinese","🔍")</f>
        <v/>
      </c>
    </row>
    <row r="2037" ht="28.5" customHeight="1" s="99">
      <c r="A2037" s="94" t="inlineStr">
        <is>
          <t>PDF 300+ Mẫu Câu Giao tiếp theo chủ đề.pdf</t>
        </is>
      </c>
      <c r="B2037" s="95" t="inlineStr">
        <is>
          <t>189</t>
        </is>
      </c>
      <c r="C2037" s="94" t="inlineStr">
        <is>
          <t>我们可以给您打九折</t>
        </is>
      </c>
      <c r="D2037" s="94" t="inlineStr">
        <is>
          <t>我 们 可 以 给 您打 九 折.</t>
        </is>
      </c>
      <c r="E2037" s="94" t="inlineStr">
        <is>
          <t>我 们 可 以 给 您打 九 折.</t>
        </is>
      </c>
      <c r="F2037" s="115">
        <f>HYPERLINK("https://youglish.com/pronounce/我们可以给您打九折/chinese","🔍")</f>
        <v/>
      </c>
    </row>
    <row r="2038" ht="28.5" customHeight="1" s="99">
      <c r="A2038" s="92" t="inlineStr">
        <is>
          <t>PDF 300+ Mẫu Câu Giao tiếp theo chủ đề.pdf</t>
        </is>
      </c>
      <c r="B2038" s="93" t="inlineStr">
        <is>
          <t>190</t>
        </is>
      </c>
      <c r="C2038" s="92" t="inlineStr">
        <is>
          <t>我们已经开出最低价了</t>
        </is>
      </c>
      <c r="D2038" s="92" t="inlineStr">
        <is>
          <t>我 们 已 经 开 出最 低 价 了.</t>
        </is>
      </c>
      <c r="E2038" s="92" t="inlineStr">
        <is>
          <t>我 们 已 经 开 出最 低 价 了.</t>
        </is>
      </c>
      <c r="F2038" s="114">
        <f>HYPERLINK("https://youglish.com/pronounce/我们已经开出最低价了/chinese","🔍")</f>
        <v/>
      </c>
    </row>
    <row r="2039" ht="28.5" customHeight="1" s="99">
      <c r="A2039" s="94" t="inlineStr">
        <is>
          <t>PDF 300+ Mẫu Câu Giao tiếp theo chủ đề.pdf</t>
        </is>
      </c>
      <c r="B2039" s="95" t="inlineStr">
        <is>
          <t>191</t>
        </is>
      </c>
      <c r="C2039" s="94" t="inlineStr">
        <is>
          <t>我们按定价出售</t>
        </is>
      </c>
      <c r="D2039" s="94" t="inlineStr">
        <is>
          <t>我 们 按 定 价 出售. Wǒmen àn dìngjià chūshòu. Giá bán chúng tôi đã niêm yết rồi.</t>
        </is>
      </c>
      <c r="E2039" s="94" t="inlineStr">
        <is>
          <t>我 们 按 定 价 出售. Wǒmen àn dìngjià chūshòu. Giá bán chúng tôi đã niêm yết rồi.</t>
        </is>
      </c>
      <c r="F2039" s="115">
        <f>HYPERLINK("https://youglish.com/pronounce/我们按定价出售/chinese","🔍")</f>
        <v/>
      </c>
    </row>
    <row r="2040" ht="28.5" customHeight="1" s="99">
      <c r="A2040" s="92" t="inlineStr">
        <is>
          <t>PDF 300+ Mẫu Câu Giao tiếp theo chủ đề.pdf</t>
        </is>
      </c>
      <c r="B2040" s="93" t="inlineStr">
        <is>
          <t>192</t>
        </is>
      </c>
      <c r="C2040" s="92" t="inlineStr">
        <is>
          <t>我们没利润了</t>
        </is>
      </c>
      <c r="D2040" s="92" t="inlineStr">
        <is>
          <t>我 们 没 利 润了. Wǒmen méi lìrùnle. Chúng tôi chưa có lãi rồi</t>
        </is>
      </c>
      <c r="E2040" s="92" t="inlineStr">
        <is>
          <t>我 们 没 利 润了. Wǒmen méi lìrùnle. Chúng tôi chưa có lãi rồi</t>
        </is>
      </c>
      <c r="F2040" s="114">
        <f>HYPERLINK("https://youglish.com/pronounce/我们没利润了/chinese","🔍")</f>
        <v/>
      </c>
    </row>
    <row r="2041" ht="28.5" customHeight="1" s="99">
      <c r="A2041" s="94" t="inlineStr">
        <is>
          <t>PDF 300+ Mẫu Câu Giao tiếp theo chủ đề.pdf</t>
        </is>
      </c>
      <c r="B2041" s="95" t="inlineStr">
        <is>
          <t>193</t>
        </is>
      </c>
      <c r="C2041" s="94" t="inlineStr">
        <is>
          <t>我们不能再降价</t>
        </is>
      </c>
      <c r="D2041" s="94" t="inlineStr">
        <is>
          <t>我 们 不 能 再 降价</t>
        </is>
      </c>
      <c r="E2041" s="94" t="inlineStr">
        <is>
          <t>我 们 不 能 再 降价</t>
        </is>
      </c>
      <c r="F2041" s="115">
        <f>HYPERLINK("https://youglish.com/pronounce/我们不能再降价/chinese","🔍")</f>
        <v/>
      </c>
    </row>
    <row r="2042" ht="28.5" customHeight="1" s="99">
      <c r="A2042" s="92" t="inlineStr">
        <is>
          <t>PDF 300+ Mẫu Câu Giao tiếp theo chủ đề.pdf</t>
        </is>
      </c>
      <c r="B2042" s="93" t="inlineStr">
        <is>
          <t>194</t>
        </is>
      </c>
      <c r="C2042" s="92" t="inlineStr">
        <is>
          <t>了</t>
        </is>
      </c>
      <c r="D2042" s="92" t="inlineStr">
        <is>
          <t>. Wǒmen bùnéng zài</t>
        </is>
      </c>
      <c r="E2042" s="92" t="inlineStr">
        <is>
          <t>了. Wǒmen bùnéng zài</t>
        </is>
      </c>
      <c r="F2042" s="114">
        <f>HYPERLINK("https://youglish.com/pronounce/了/chinese","🔍")</f>
        <v/>
      </c>
    </row>
    <row r="2043" ht="28.5" customHeight="1" s="99">
      <c r="A2043" s="94" t="inlineStr">
        <is>
          <t>PDF 300+ Mẫu Câu Giao tiếp theo chủ đề.pdf</t>
        </is>
      </c>
      <c r="B2043" s="95" t="inlineStr">
        <is>
          <t>195</t>
        </is>
      </c>
      <c r="C2043" s="94" t="inlineStr">
        <is>
          <t>已经够便宜了</t>
        </is>
      </c>
      <c r="D2043" s="94" t="inlineStr">
        <is>
          <t>已 经 够 便 宜了. Yǐjīng gòu piányíle. Đã rẻ lắm rồi</t>
        </is>
      </c>
      <c r="E2043" s="94" t="inlineStr">
        <is>
          <t>已 经 够 便 宜了. Yǐjīng gòu piányíle. Đã rẻ lắm rồi</t>
        </is>
      </c>
      <c r="F2043" s="115">
        <f>HYPERLINK("https://youglish.com/pronounce/已经够便宜了/chinese","🔍")</f>
        <v/>
      </c>
    </row>
    <row r="2044" ht="28.5" customHeight="1" s="99">
      <c r="A2044" s="92" t="inlineStr">
        <is>
          <t>PDF 300+ Mẫu Câu Giao tiếp theo chủ đề.pdf</t>
        </is>
      </c>
      <c r="B2044" s="93" t="inlineStr">
        <is>
          <t>196</t>
        </is>
      </c>
      <c r="C2044" s="92" t="inlineStr">
        <is>
          <t>太贵了. 我买不起</t>
        </is>
      </c>
      <c r="D2044" s="92" t="inlineStr">
        <is>
          <t>太 贵 了. 我 买 不起. Tài guìle. Wǒ mǎi bù qǐ. Đắt quá, tôi không thể mua được</t>
        </is>
      </c>
      <c r="E2044" s="92" t="inlineStr">
        <is>
          <t>太 贵 了. 我 买 不起. Tài guìle. Wǒ mǎi bù qǐ. Đắt quá, tôi không thể mua được</t>
        </is>
      </c>
      <c r="F2044" s="114">
        <f>HYPERLINK("https://youglish.com/pronounce/太贵了我买不起/chinese","🔍")</f>
        <v/>
      </c>
    </row>
    <row r="2045" ht="28.5" customHeight="1" s="99">
      <c r="A2045" s="94" t="inlineStr">
        <is>
          <t>PDF 300+ Mẫu Câu Giao tiếp theo chủ đề.pdf</t>
        </is>
      </c>
      <c r="B2045" s="95" t="inlineStr">
        <is>
          <t>197</t>
        </is>
      </c>
      <c r="C2045" s="94" t="inlineStr">
        <is>
          <t>这是我们的最低价了</t>
        </is>
      </c>
      <c r="D2045" s="94" t="inlineStr">
        <is>
          <t>这 是 我 们 的 最低 价了.</t>
        </is>
      </c>
      <c r="E2045" s="94" t="inlineStr">
        <is>
          <t>这 是 我 们 的 最低 价了.</t>
        </is>
      </c>
      <c r="F2045" s="115">
        <f>HYPERLINK("https://youglish.com/pronounce/这是我们的最低价了/chinese","🔍")</f>
        <v/>
      </c>
    </row>
    <row r="2046" ht="28.5" customHeight="1" s="99">
      <c r="A2046" s="92" t="inlineStr">
        <is>
          <t>PDF 300+ Mẫu Câu Giao tiếp theo chủ đề.pdf</t>
        </is>
      </c>
      <c r="B2046" s="93" t="inlineStr">
        <is>
          <t>198</t>
        </is>
      </c>
      <c r="C2046" s="92" t="inlineStr">
        <is>
          <t>这是双方互利的生意</t>
        </is>
      </c>
      <c r="D2046" s="92" t="inlineStr">
        <is>
          <t>这 是 双 方 互 利的 生 意.</t>
        </is>
      </c>
      <c r="E2046" s="92" t="inlineStr">
        <is>
          <t>这 是 双 方 互 利的 生 意.</t>
        </is>
      </c>
      <c r="F2046" s="114">
        <f>HYPERLINK("https://youglish.com/pronounce/这是双方互利的生意/chinese","🔍")</f>
        <v/>
      </c>
    </row>
    <row r="2047" ht="28.5" customHeight="1" s="99">
      <c r="A2047" s="94" t="inlineStr">
        <is>
          <t>PDF 300+ Mẫu Câu Giao tiếp theo chủ đề.pdf</t>
        </is>
      </c>
      <c r="B2047" s="95" t="inlineStr">
        <is>
          <t>199</t>
        </is>
      </c>
      <c r="C2047" s="94" t="inlineStr">
        <is>
          <t>我要先问老板</t>
        </is>
      </c>
      <c r="D2047" s="94" t="inlineStr">
        <is>
          <t>我 要 先问 老 板. Wǒ yào xiān wèn lǎobǎn. Để tôi hỏi ông chủ trước</t>
        </is>
      </c>
      <c r="E2047" s="94" t="inlineStr">
        <is>
          <t>我 要 先问 老 板. Wǒ yào xiān wèn lǎobǎn. Để tôi hỏi ông chủ trước</t>
        </is>
      </c>
      <c r="F2047" s="115">
        <f>HYPERLINK("https://youglish.com/pronounce/我要先问老板/chinese","🔍")</f>
        <v/>
      </c>
    </row>
    <row r="2048" ht="28.5" customHeight="1" s="99">
      <c r="A2048" s="92" t="inlineStr">
        <is>
          <t>PDF 300+ Mẫu Câu Giao tiếp theo chủ đề.pdf</t>
        </is>
      </c>
      <c r="B2048" s="93" t="inlineStr">
        <is>
          <t>200</t>
        </is>
      </c>
      <c r="C2048" s="92" t="inlineStr">
        <is>
          <t>这价钱可以商量吗</t>
        </is>
      </c>
      <c r="D2048" s="92" t="inlineStr">
        <is>
          <t>这 价 钱 可 以 商量 吗?</t>
        </is>
      </c>
      <c r="E2048" s="92" t="inlineStr">
        <is>
          <t>这 价 钱 可 以 商量 吗?</t>
        </is>
      </c>
      <c r="F2048" s="114">
        <f>HYPERLINK("https://youglish.com/pronounce/这价钱可以商量吗/chinese","🔍")</f>
        <v/>
      </c>
    </row>
    <row r="2049" ht="28.5" customHeight="1" s="99">
      <c r="A2049" s="94" t="inlineStr">
        <is>
          <t>PDF 300+ Mẫu Câu Giao tiếp theo chủ đề.pdf</t>
        </is>
      </c>
      <c r="B2049" s="95" t="inlineStr">
        <is>
          <t>201</t>
        </is>
      </c>
      <c r="C2049" s="94" t="inlineStr">
        <is>
          <t>价钱很快将上涨</t>
        </is>
      </c>
      <c r="D2049" s="94" t="inlineStr">
        <is>
          <t>价 钱 很 快 将上涨. Jiàqián hěn kuài jiāng shàngzhǎng.</t>
        </is>
      </c>
      <c r="E2049" s="94" t="inlineStr">
        <is>
          <t>价 钱 很 快 将上涨. Jiàqián hěn kuài jiāng shàngzhǎng.</t>
        </is>
      </c>
      <c r="F2049" s="115">
        <f>HYPERLINK("https://youglish.com/pronounce/价钱很快将上涨/chinese","🔍")</f>
        <v/>
      </c>
    </row>
    <row r="2050" ht="28.5" customHeight="1" s="99">
      <c r="A2050" s="92" t="inlineStr">
        <is>
          <t>PDF 300+ Mẫu Câu Giao tiếp theo chủ đề.pdf</t>
        </is>
      </c>
      <c r="B2050" s="93" t="inlineStr">
        <is>
          <t>202</t>
        </is>
      </c>
      <c r="C2050" s="92" t="inlineStr">
        <is>
          <t>价格太低了, 不能接受</t>
        </is>
      </c>
      <c r="D2050" s="92" t="inlineStr">
        <is>
          <t>价 格 太 低 了, 不能 接 受.</t>
        </is>
      </c>
      <c r="E2050" s="92" t="inlineStr">
        <is>
          <t>价 格 太 低 了, 不能 接 受.</t>
        </is>
      </c>
      <c r="F2050" s="114">
        <f>HYPERLINK("https://youglish.com/pronounce/价格太低了不能接受/chinese","🔍")</f>
        <v/>
      </c>
    </row>
    <row r="2051" ht="28.5" customHeight="1" s="99">
      <c r="A2051" s="94" t="inlineStr">
        <is>
          <t>PDF 300+ Mẫu Câu Giao tiếp theo chủ đề.pdf</t>
        </is>
      </c>
      <c r="B2051" s="95" t="inlineStr">
        <is>
          <t>203</t>
        </is>
      </c>
      <c r="C2051" s="94" t="inlineStr">
        <is>
          <t>这价钱太离谱了吧</t>
        </is>
      </c>
      <c r="D2051" s="94" t="inlineStr">
        <is>
          <t>这 价 钱 太 离 谱了 吧?</t>
        </is>
      </c>
      <c r="E2051" s="94" t="inlineStr">
        <is>
          <t>这 价 钱 太 离 谱了 吧?</t>
        </is>
      </c>
      <c r="F2051" s="115">
        <f>HYPERLINK("https://youglish.com/pronounce/这价钱太离谱了吧/chinese","🔍")</f>
        <v/>
      </c>
    </row>
    <row r="2052" ht="28.5" customHeight="1" s="99">
      <c r="A2052" s="92" t="inlineStr">
        <is>
          <t>PDF 300+ Mẫu Câu Giao tiếp theo chủ đề.pdf</t>
        </is>
      </c>
      <c r="B2052" s="93" t="inlineStr">
        <is>
          <t>204</t>
        </is>
      </c>
      <c r="C2052" s="92" t="inlineStr">
        <is>
          <t>这几乎是成本价了</t>
        </is>
      </c>
      <c r="D2052" s="92" t="inlineStr">
        <is>
          <t>. Zhè jīhū shì chéngběn jiàle. Giá này gần bằng giá vốn rồi</t>
        </is>
      </c>
      <c r="E2052" s="92" t="inlineStr">
        <is>
          <t>这几乎是成本价了. Zhè jīhū shì chéngběn jiàle. Giá này gần bằng giá vốn rồi</t>
        </is>
      </c>
      <c r="F2052" s="114">
        <f>HYPERLINK("https://youglish.com/pronounce/这几乎是成本价了/chinese","🔍")</f>
        <v/>
      </c>
    </row>
    <row r="2053" ht="28.5" customHeight="1" s="99">
      <c r="A2053" s="94" t="inlineStr">
        <is>
          <t>PDF 300+ Mẫu Câu Giao tiếp theo chủ đề.pdf</t>
        </is>
      </c>
      <c r="B2053" s="95" t="inlineStr">
        <is>
          <t>205</t>
        </is>
      </c>
      <c r="C2053" s="94" t="inlineStr">
        <is>
          <t>的折扣是不可能的</t>
        </is>
      </c>
      <c r="D2053" s="94" t="inlineStr">
        <is>
          <t>% 的折 扣 是 不 可能的.</t>
        </is>
      </c>
      <c r="E2053" s="94" t="inlineStr">
        <is>
          <t>40% 的折 扣 是 不 可能的.</t>
        </is>
      </c>
      <c r="F2053" s="115">
        <f>HYPERLINK("https://youglish.com/pronounce/的折扣是不可能的/chinese","🔍")</f>
        <v/>
      </c>
    </row>
    <row r="2054" ht="28.5" customHeight="1" s="99">
      <c r="A2054" s="92" t="inlineStr">
        <is>
          <t>PDF 300+ Mẫu Câu Giao tiếp theo chủ đề.pdf</t>
        </is>
      </c>
      <c r="B2054" s="93" t="inlineStr">
        <is>
          <t>206</t>
        </is>
      </c>
      <c r="C2054" s="92" t="inlineStr">
        <is>
          <t>今天特价</t>
        </is>
      </c>
      <c r="D2054" s="92" t="inlineStr">
        <is>
          <t>今 天 特 价. Jīntiān tèjià. Hôm nay có giảm giá</t>
        </is>
      </c>
      <c r="E2054" s="92" t="inlineStr">
        <is>
          <t>今 天 特 价. Jīntiān tèjià. Hôm nay có giảm giá</t>
        </is>
      </c>
      <c r="F2054" s="114">
        <f>HYPERLINK("https://youglish.com/pronounce/今天特价/chinese","🔍")</f>
        <v/>
      </c>
    </row>
    <row r="2055" ht="28.5" customHeight="1" s="99">
      <c r="A2055" s="94" t="inlineStr">
        <is>
          <t>PDF 300+ Mẫu Câu Giao tiếp theo chủ đề.pdf</t>
        </is>
      </c>
      <c r="B2055" s="95" t="inlineStr">
        <is>
          <t>207</t>
        </is>
      </c>
      <c r="C2055" s="94" t="inlineStr">
        <is>
          <t>不可能! 这个价不够成本</t>
        </is>
      </c>
      <c r="D2055" s="94" t="inlineStr">
        <is>
          <t>不 可 能! 这个价不 够 成 本.</t>
        </is>
      </c>
      <c r="E2055" s="94" t="inlineStr">
        <is>
          <t>不 可 能! 这个价不 够 成 本.</t>
        </is>
      </c>
      <c r="F2055" s="115">
        <f>HYPERLINK("https://youglish.com/pronounce/不可能这个价不够成本/chinese","🔍")</f>
        <v/>
      </c>
    </row>
    <row r="2056" ht="28.5" customHeight="1" s="99">
      <c r="A2056" s="92" t="inlineStr">
        <is>
          <t>PDF 300+ Mẫu Câu Giao tiếp theo chủ đề.pdf</t>
        </is>
      </c>
      <c r="B2056" s="93" t="inlineStr">
        <is>
          <t>208</t>
        </is>
      </c>
      <c r="C2056" s="92" t="inlineStr">
        <is>
          <t>下次我给您补偿</t>
        </is>
      </c>
      <c r="D2056" s="92" t="inlineStr">
        <is>
          <t>下 次 我 给 您 补偿. Xià cì wǒ gěi nín bǔcháng. Lần sau tôi sẽ đền bù cho bạn</t>
        </is>
      </c>
      <c r="E2056" s="92" t="inlineStr">
        <is>
          <t>下 次 我 给 您 补偿. Xià cì wǒ gěi nín bǔcháng. Lần sau tôi sẽ đền bù cho bạn</t>
        </is>
      </c>
      <c r="F2056" s="114">
        <f>HYPERLINK("https://youglish.com/pronounce/下次我给您补偿/chinese","🔍")</f>
        <v/>
      </c>
    </row>
    <row r="2057" ht="28.5" customHeight="1" s="99">
      <c r="A2057" s="94" t="inlineStr">
        <is>
          <t>PDF 300+ Mẫu Câu Giao tiếp theo chủ đề.pdf</t>
        </is>
      </c>
      <c r="B2057" s="95" t="inlineStr">
        <is>
          <t>209</t>
        </is>
      </c>
      <c r="C2057" s="94" t="inlineStr">
        <is>
          <t>买一送一怎么样</t>
        </is>
      </c>
      <c r="D2057" s="94" t="inlineStr">
        <is>
          <t>买 一 送 一 怎 么样? Mǎi yī sòng yī zěnme yàng? Mua một tặng một, được không?</t>
        </is>
      </c>
      <c r="E2057" s="94" t="inlineStr">
        <is>
          <t>买 一 送 一 怎 么样? Mǎi yī sòng yī zěnme yàng? Mua một tặng một, được không?</t>
        </is>
      </c>
      <c r="F2057" s="115">
        <f>HYPERLINK("https://youglish.com/pronounce/买一送一怎么样/chinese","🔍")</f>
        <v/>
      </c>
    </row>
    <row r="2058" ht="28.5" customHeight="1" s="99">
      <c r="A2058" s="92" t="inlineStr">
        <is>
          <t>PDF 300+ Mẫu Câu Giao tiếp theo chủ đề.pdf</t>
        </is>
      </c>
      <c r="B2058" s="93" t="inlineStr">
        <is>
          <t>210</t>
        </is>
      </c>
      <c r="C2058" s="92" t="inlineStr">
        <is>
          <t>五百块我就买</t>
        </is>
      </c>
      <c r="D2058" s="92" t="inlineStr">
        <is>
          <t>五 百 块 我 就买. Wǔbǎi kuài wǒ jiù mǎi. Nếu 500 tệ tôi sẽ mua</t>
        </is>
      </c>
      <c r="E2058" s="92" t="inlineStr">
        <is>
          <t>五 百 块 我 就买. Wǔbǎi kuài wǒ jiù mǎi. Nếu 500 tệ tôi sẽ mua</t>
        </is>
      </c>
      <c r="F2058" s="114">
        <f>HYPERLINK("https://youglish.com/pronounce/五百块我就买/chinese","🔍")</f>
        <v/>
      </c>
    </row>
    <row r="2059" ht="28.5" customHeight="1" s="99">
      <c r="A2059" s="94" t="inlineStr">
        <is>
          <t>PDF 300+ Mẫu Câu Giao tiếp theo chủ đề.pdf</t>
        </is>
      </c>
      <c r="B2059" s="95" t="inlineStr">
        <is>
          <t>211</t>
        </is>
      </c>
      <c r="C2059" s="94" t="inlineStr">
        <is>
          <t>便宜一点的话我马上</t>
        </is>
      </c>
      <c r="D2059" s="94" t="n"/>
      <c r="E2059" s="94" t="inlineStr">
        <is>
          <t>便宜一点的话我马上</t>
        </is>
      </c>
      <c r="F2059" s="115">
        <f>HYPERLINK("https://youglish.com/pronounce/便宜一点的话我马上/chinese","🔍")</f>
        <v/>
      </c>
    </row>
    <row r="2060" ht="28.5" customHeight="1" s="99">
      <c r="A2060" s="92" t="inlineStr">
        <is>
          <t>PDF 300+ Mẫu Câu Giao tiếp theo chủ đề.pdf</t>
        </is>
      </c>
      <c r="B2060" s="93" t="inlineStr">
        <is>
          <t>212</t>
        </is>
      </c>
      <c r="C2060" s="92" t="inlineStr">
        <is>
          <t>买</t>
        </is>
      </c>
      <c r="D2060" s="92" t="inlineStr">
        <is>
          <t>. Piányí yīdiǎn dehuà wǒ</t>
        </is>
      </c>
      <c r="E2060" s="92" t="inlineStr">
        <is>
          <t>买. Piányí yīdiǎn dehuà wǒ</t>
        </is>
      </c>
      <c r="F2060" s="114">
        <f>HYPERLINK("https://youglish.com/pronounce/买/chinese","🔍")</f>
        <v/>
      </c>
    </row>
    <row r="2061" ht="28.5" customHeight="1" s="99">
      <c r="A2061" s="94" t="inlineStr">
        <is>
          <t>PDF 300+ Mẫu Câu Giao tiếp theo chủ đề.pdf</t>
        </is>
      </c>
      <c r="B2061" s="95" t="inlineStr">
        <is>
          <t>213</t>
        </is>
      </c>
      <c r="C2061" s="94" t="inlineStr">
        <is>
          <t>再便宜点您要吗</t>
        </is>
      </c>
      <c r="D2061" s="94" t="inlineStr">
        <is>
          <t>Zài piányí diǎn nín yào ma? Rẻ hơn một chút chị có mua không?</t>
        </is>
      </c>
      <c r="E2061" s="94" t="inlineStr">
        <is>
          <t>再便宜点您要吗？ Zài piányí diǎn nín yào ma? Rẻ hơn một chút chị có mua không?</t>
        </is>
      </c>
      <c r="F2061" s="115">
        <f>HYPERLINK("https://youglish.com/pronounce/再便宜点您要吗/chinese","🔍")</f>
        <v/>
      </c>
    </row>
    <row r="2062" ht="28.5" customHeight="1" s="99">
      <c r="A2062" s="92" t="inlineStr">
        <is>
          <t>PDF 300+ Mẫu Câu Giao tiếp theo chủ đề.pdf</t>
        </is>
      </c>
      <c r="B2062" s="93" t="inlineStr">
        <is>
          <t>214</t>
        </is>
      </c>
      <c r="C2062" s="92" t="inlineStr">
        <is>
          <t>一分钱一分货</t>
        </is>
      </c>
      <c r="D2062" s="92" t="inlineStr">
        <is>
          <t>. Yī fēn qián yī fēn huò. Tiền nào của nấy</t>
        </is>
      </c>
      <c r="E2062" s="92" t="inlineStr">
        <is>
          <t>一分钱一分货. Yī fēn qián yī fēn huò. Tiền nào của nấy</t>
        </is>
      </c>
      <c r="F2062" s="114">
        <f>HYPERLINK("https://youglish.com/pronounce/一分钱一分货/chinese","🔍")</f>
        <v/>
      </c>
    </row>
    <row r="2063" ht="28.5" customHeight="1" s="99">
      <c r="A2063" s="94" t="inlineStr">
        <is>
          <t>PDF 300+ Mẫu Câu Giao tiếp theo chủ đề.pdf</t>
        </is>
      </c>
      <c r="B2063" s="95" t="inlineStr">
        <is>
          <t>215</t>
        </is>
      </c>
      <c r="C2063" s="94" t="inlineStr">
        <is>
          <t>太低了, 高点好吗</t>
        </is>
      </c>
      <c r="D2063" s="94" t="inlineStr">
        <is>
          <t>Tài dīle, gāo diǎn hǎo ma? Thấp quá, giá cao hơn chút được không?</t>
        </is>
      </c>
      <c r="E2063" s="94" t="inlineStr">
        <is>
          <t>太低了, 高点好吗？ Tài dīle, gāo diǎn hǎo ma? Thấp quá, giá cao hơn chút được không?</t>
        </is>
      </c>
      <c r="F2063" s="115">
        <f>HYPERLINK("https://youglish.com/pronounce/太低了高点好吗/chinese","🔍")</f>
        <v/>
      </c>
    </row>
    <row r="2064" ht="28.5" customHeight="1" s="99">
      <c r="A2064" s="92" t="inlineStr">
        <is>
          <t>PDF 300+ Mẫu Câu Giao tiếp theo chủ đề.pdf</t>
        </is>
      </c>
      <c r="B2064" s="93" t="inlineStr">
        <is>
          <t>216</t>
        </is>
      </c>
      <c r="C2064" s="92" t="inlineStr">
        <is>
          <t>那个价, 我们要亏本了</t>
        </is>
      </c>
      <c r="D2064" s="92" t="inlineStr">
        <is>
          <t>那个价, 我们要亏本 了.</t>
        </is>
      </c>
      <c r="E2064" s="92" t="inlineStr">
        <is>
          <t>那个价, 我们要亏本 了.</t>
        </is>
      </c>
      <c r="F2064" s="114">
        <f>HYPERLINK("https://youglish.com/pronounce/那个价我们要亏本了/chinese","🔍")</f>
        <v/>
      </c>
    </row>
    <row r="2065" ht="28.5" customHeight="1" s="99">
      <c r="A2065" s="94" t="inlineStr">
        <is>
          <t>PDF 300+ Mẫu Câu Giao tiếp theo chủ đề.pdf</t>
        </is>
      </c>
      <c r="B2065" s="95" t="inlineStr">
        <is>
          <t>217</t>
        </is>
      </c>
      <c r="C2065" s="94" t="inlineStr">
        <is>
          <t>对不起, 这儿不讲价</t>
        </is>
      </c>
      <c r="D2065" s="94" t="inlineStr">
        <is>
          <t>. Duìbùqǐ, zhè'er bù jiǎngjià. Xin lỗi, ở đây không mặc cả.</t>
        </is>
      </c>
      <c r="E2065" s="94" t="inlineStr">
        <is>
          <t>对不起, 这儿不讲价. Duìbùqǐ, zhè'er bù jiǎngjià. Xin lỗi, ở đây không mặc cả.</t>
        </is>
      </c>
      <c r="F2065" s="115">
        <f>HYPERLINK("https://youglish.com/pronounce/对不起这儿不讲价/chinese","🔍")</f>
        <v/>
      </c>
    </row>
    <row r="2066" ht="28.5" customHeight="1" s="99">
      <c r="A2066" s="92" t="inlineStr">
        <is>
          <t>PDF 300+ Mẫu Câu Giao tiếp theo chủ đề.pdf</t>
        </is>
      </c>
      <c r="B2066" s="93" t="inlineStr">
        <is>
          <t>1</t>
        </is>
      </c>
      <c r="C2066" s="92" t="inlineStr">
        <is>
          <t>餐厅 cāntīng Nhà hàng 我们今晚去餐厅吃饭</t>
        </is>
      </c>
      <c r="D2066" s="92" t="inlineStr">
        <is>
          <t>Wǒmen jīn wǎn qù cāntīng chīfàn) - Hôm nay chúng tôi sẽ đến nhà hàng ăn tối.</t>
        </is>
      </c>
      <c r="E2066" s="92" t="inlineStr">
        <is>
          <t>1 餐厅 cāntīng Nhà hàng 我们今晚去餐厅吃饭。(Wǒmen jīn wǎn qù cāntīng chīfàn) - Hôm nay chúng tôi sẽ đến nhà hàng ăn tối.</t>
        </is>
      </c>
      <c r="F2066" s="114">
        <f>HYPERLINK("https://youglish.com/pronounce/餐厅我们今晚去餐厅吃饭/chinese","🔍")</f>
        <v/>
      </c>
    </row>
    <row r="2067" ht="28.5" customHeight="1" s="99">
      <c r="A2067" s="94" t="inlineStr">
        <is>
          <t>PDF 300+ Mẫu Câu Giao tiếp theo chủ đề.pdf</t>
        </is>
      </c>
      <c r="B2067" s="95" t="inlineStr">
        <is>
          <t>2</t>
        </is>
      </c>
      <c r="C2067" s="94" t="inlineStr">
        <is>
          <t>菜单 càidān Menu 请给我一份菜单</t>
        </is>
      </c>
      <c r="D2067" s="94" t="inlineStr">
        <is>
          <t>Qǐng gěi wǒ yī fèn càidān) - Làm ơn đưa cho tôi thực đơn.</t>
        </is>
      </c>
      <c r="E2067" s="94" t="inlineStr">
        <is>
          <t>2 菜单 càidān Menu 请给我一份菜单。(Qǐng gěi wǒ yī fèn càidān) - Làm ơn đưa cho tôi thực đơn.</t>
        </is>
      </c>
      <c r="F2067" s="115">
        <f>HYPERLINK("https://youglish.com/pronounce/菜单请给我一份菜单/chinese","🔍")</f>
        <v/>
      </c>
    </row>
    <row r="2068" ht="28.5" customHeight="1" s="99">
      <c r="A2068" s="92" t="inlineStr">
        <is>
          <t>PDF 300+ Mẫu Câu Giao tiếp theo chủ đề.pdf</t>
        </is>
      </c>
      <c r="B2068" s="93" t="inlineStr">
        <is>
          <t>3</t>
        </is>
      </c>
      <c r="C2068" s="92" t="inlineStr">
        <is>
          <t>点菜 diǎn cài Gọi món 我们要点菜了</t>
        </is>
      </c>
      <c r="D2068" s="92" t="inlineStr">
        <is>
          <t>Wǒmen yào diǎn cài le) - Chúng tôi sắp gọi món.</t>
        </is>
      </c>
      <c r="E2068" s="92" t="inlineStr">
        <is>
          <t>3 点菜 diǎn cài Gọi món 我们要点菜了。(Wǒmen yào diǎn cài le) - Chúng tôi sắp gọi món.</t>
        </is>
      </c>
      <c r="F2068" s="114">
        <f>HYPERLINK("https://youglish.com/pronounce/点菜我们要点菜了/chinese","🔍")</f>
        <v/>
      </c>
    </row>
    <row r="2069" ht="28.5" customHeight="1" s="99">
      <c r="A2069" s="94" t="inlineStr">
        <is>
          <t>PDF 300+ Mẫu Câu Giao tiếp theo chủ đề.pdf</t>
        </is>
      </c>
      <c r="B2069" s="95" t="inlineStr">
        <is>
          <t>4</t>
        </is>
      </c>
      <c r="C2069" s="94" t="inlineStr">
        <is>
          <t>服务员</t>
        </is>
      </c>
      <c r="D2069" s="94" t="inlineStr">
        <is>
          <t>fúwùyuán Nhân viên phục vụ</t>
        </is>
      </c>
      <c r="E2069" s="94" t="inlineStr">
        <is>
          <t>4 服务员 fúwùyuán Nhân viên phục vụ</t>
        </is>
      </c>
      <c r="F2069" s="115">
        <f>HYPERLINK("https://youglish.com/pronounce/服务员/chinese","🔍")</f>
        <v/>
      </c>
    </row>
    <row r="2070" ht="28.5" customHeight="1" s="99">
      <c r="A2070" s="92" t="inlineStr">
        <is>
          <t>PDF 300+ Mẫu Câu Giao tiếp theo chủ đề.pdf</t>
        </is>
      </c>
      <c r="B2070" s="93" t="inlineStr">
        <is>
          <t>222</t>
        </is>
      </c>
      <c r="C2070" s="92" t="inlineStr">
        <is>
          <t>服务员，请给我们菜单</t>
        </is>
      </c>
      <c r="D2070" s="92" t="inlineStr">
        <is>
          <t>Fúwùyuán, qǐng gěi wǒmen càidān) - Nhân viên phục vụ, xin vui lòng đưa cho chúng tôi thực đơn.</t>
        </is>
      </c>
      <c r="E2070" s="92" t="inlineStr">
        <is>
          <t>服务员，请给我们菜单。(Fúwùyuán, qǐng gěi wǒmen càidān) - Nhân viên phục vụ, xin vui lòng đưa cho chúng tôi thực đơn.</t>
        </is>
      </c>
      <c r="F2070" s="114">
        <f>HYPERLINK("https://youglish.com/pronounce/服务员请给我们菜单/chinese","🔍")</f>
        <v/>
      </c>
    </row>
    <row r="2071" ht="28.5" customHeight="1" s="99">
      <c r="A2071" s="94" t="inlineStr">
        <is>
          <t>PDF 300+ Mẫu Câu Giao tiếp theo chủ đề.pdf</t>
        </is>
      </c>
      <c r="B2071" s="95" t="inlineStr">
        <is>
          <t>5</t>
        </is>
      </c>
      <c r="C2071" s="94" t="inlineStr">
        <is>
          <t>饭店</t>
        </is>
      </c>
      <c r="D2071" s="94" t="inlineStr">
        <is>
          <t>fàndiàn Nhà hàng, khách sạn</t>
        </is>
      </c>
      <c r="E2071" s="94" t="inlineStr">
        <is>
          <t>5 饭店 fàndiàn Nhà hàng, khách sạn</t>
        </is>
      </c>
      <c r="F2071" s="115">
        <f>HYPERLINK("https://youglish.com/pronounce/饭店/chinese","🔍")</f>
        <v/>
      </c>
    </row>
    <row r="2072" ht="28.5" customHeight="1" s="99">
      <c r="A2072" s="92" t="inlineStr">
        <is>
          <t>PDF 300+ Mẫu Câu Giao tiếp theo chủ đề.pdf</t>
        </is>
      </c>
      <c r="B2072" s="93" t="inlineStr">
        <is>
          <t>224</t>
        </is>
      </c>
      <c r="C2072" s="92" t="inlineStr">
        <is>
          <t>这家饭店很有名</t>
        </is>
      </c>
      <c r="D2072" s="92" t="inlineStr">
        <is>
          <t>Zhè jiā fàndiàn hěn yǒumíng) - Nhà hàng này rất nổi tiếng.</t>
        </is>
      </c>
      <c r="E2072" s="92" t="inlineStr">
        <is>
          <t>这家饭店很有名。(Zhè jiā fàndiàn hěn yǒumíng) - Nhà hàng này rất nổi tiếng.</t>
        </is>
      </c>
      <c r="F2072" s="114">
        <f>HYPERLINK("https://youglish.com/pronounce/这家饭店很有名/chinese","🔍")</f>
        <v/>
      </c>
    </row>
    <row r="2073" ht="28.5" customHeight="1" s="99">
      <c r="A2073" s="94" t="inlineStr">
        <is>
          <t>PDF 300+ Mẫu Câu Giao tiếp theo chủ đề.pdf</t>
        </is>
      </c>
      <c r="B2073" s="95" t="inlineStr">
        <is>
          <t>6</t>
        </is>
      </c>
      <c r="C2073" s="94" t="inlineStr">
        <is>
          <t>菜肴 càiyáo Món ăn 这个菜肴很好吃</t>
        </is>
      </c>
      <c r="D2073" s="94" t="inlineStr">
        <is>
          <t>Zhège càiyáo hěn hǎochī) - Món ăn này rất ngon.</t>
        </is>
      </c>
      <c r="E2073" s="94" t="inlineStr">
        <is>
          <t>6 菜肴 càiyáo Món ăn 这个菜肴很好吃。(Zhège càiyáo hěn hǎochī) - Món ăn này rất ngon.</t>
        </is>
      </c>
      <c r="F2073" s="115">
        <f>HYPERLINK("https://youglish.com/pronounce/菜肴这个菜肴很好吃/chinese","🔍")</f>
        <v/>
      </c>
    </row>
    <row r="2074" ht="28.5" customHeight="1" s="99">
      <c r="A2074" s="92" t="inlineStr">
        <is>
          <t>PDF 300+ Mẫu Câu Giao tiếp theo chủ đề.pdf</t>
        </is>
      </c>
      <c r="B2074" s="93" t="inlineStr">
        <is>
          <t>7</t>
        </is>
      </c>
      <c r="C2074" s="92" t="inlineStr">
        <is>
          <t>小费 xiǎofèi Tiền tip 他给了服务员小费</t>
        </is>
      </c>
      <c r="D2074" s="92" t="inlineStr">
        <is>
          <t>Tā gěi le fúwùyuán xiǎofèi) - Anh ấy đã cho nhân viên phục vụ tiền tip.</t>
        </is>
      </c>
      <c r="E2074" s="92" t="inlineStr">
        <is>
          <t>7 小费 xiǎofèi Tiền tip 他给了服务员小费。(Tā gěi le fúwùyuán xiǎofèi) - Anh ấy đã cho nhân viên phục vụ tiền tip.</t>
        </is>
      </c>
      <c r="F2074" s="114">
        <f>HYPERLINK("https://youglish.com/pronounce/小费他给了服务员小费/chinese","🔍")</f>
        <v/>
      </c>
    </row>
    <row r="2075" ht="28.5" customHeight="1" s="99">
      <c r="A2075" s="94" t="inlineStr">
        <is>
          <t>PDF 300+ Mẫu Câu Giao tiếp theo chủ đề.pdf</t>
        </is>
      </c>
      <c r="B2075" s="95" t="inlineStr">
        <is>
          <t>8</t>
        </is>
      </c>
      <c r="C2075" s="94" t="inlineStr">
        <is>
          <t>饭 fàn Cơm 我吃了两碗饭</t>
        </is>
      </c>
      <c r="D2075" s="94" t="inlineStr">
        <is>
          <t>Wǒ chī le liǎng wǎn fàn) - Tôi đã ăn hai bát cơm.</t>
        </is>
      </c>
      <c r="E2075" s="94" t="inlineStr">
        <is>
          <t>8 饭 fàn Cơm 我吃了两碗饭。(Wǒ chī le liǎng wǎn fàn) - Tôi đã ăn hai bát cơm.</t>
        </is>
      </c>
      <c r="F2075" s="115">
        <f>HYPERLINK("https://youglish.com/pronounce/饭我吃了两碗饭/chinese","🔍")</f>
        <v/>
      </c>
    </row>
    <row r="2076" ht="28.5" customHeight="1" s="99">
      <c r="A2076" s="92" t="inlineStr">
        <is>
          <t>PDF 300+ Mẫu Câu Giao tiếp theo chủ đề.pdf</t>
        </is>
      </c>
      <c r="B2076" s="93" t="inlineStr">
        <is>
          <t>9</t>
        </is>
      </c>
      <c r="C2076" s="92" t="inlineStr">
        <is>
          <t>汤 tāng Súp 这汤很美味</t>
        </is>
      </c>
      <c r="D2076" s="92" t="inlineStr">
        <is>
          <t>Zhè tāng hěn měiwèi) - Súp này rất ngon.</t>
        </is>
      </c>
      <c r="E2076" s="92" t="inlineStr">
        <is>
          <t>9 汤 tāng Súp 这汤很美味。(Zhè tāng hěn měiwèi) - Súp này rất ngon.</t>
        </is>
      </c>
      <c r="F2076" s="114">
        <f>HYPERLINK("https://youglish.com/pronounce/汤这汤很美味/chinese","🔍")</f>
        <v/>
      </c>
    </row>
    <row r="2077" ht="28.5" customHeight="1" s="99">
      <c r="A2077" s="94" t="inlineStr">
        <is>
          <t>PDF 300+ Mẫu Câu Giao tiếp theo chủ đề.pdf</t>
        </is>
      </c>
      <c r="B2077" s="95" t="inlineStr">
        <is>
          <t>10</t>
        </is>
      </c>
      <c r="C2077" s="94" t="inlineStr">
        <is>
          <t>结账</t>
        </is>
      </c>
      <c r="D2077" s="94" t="inlineStr">
        <is>
          <t>jiézhàng Thanh toán</t>
        </is>
      </c>
      <c r="E2077" s="94" t="inlineStr">
        <is>
          <t>10 结账 jiézhàng Thanh toán</t>
        </is>
      </c>
      <c r="F2077" s="115">
        <f>HYPERLINK("https://youglish.com/pronounce/结账/chinese","🔍")</f>
        <v/>
      </c>
    </row>
    <row r="2078" ht="28.5" customHeight="1" s="99">
      <c r="A2078" s="92" t="inlineStr">
        <is>
          <t>PDF 300+ Mẫu Câu Giao tiếp theo chủ đề.pdf</t>
        </is>
      </c>
      <c r="B2078" s="93" t="inlineStr">
        <is>
          <t>230</t>
        </is>
      </c>
      <c r="C2078" s="92" t="inlineStr">
        <is>
          <t>我们要结账了</t>
        </is>
      </c>
      <c r="D2078" s="92" t="inlineStr">
        <is>
          <t>Wǒmen yào jiézhàng le) - Chúng tôi muốn thanh toán.</t>
        </is>
      </c>
      <c r="E2078" s="92" t="inlineStr">
        <is>
          <t>我们要结账了。(Wǒmen yào jiézhàng le) - Chúng tôi muốn thanh toán.</t>
        </is>
      </c>
      <c r="F2078" s="114">
        <f>HYPERLINK("https://youglish.com/pronounce/我们要结账了/chinese","🔍")</f>
        <v/>
      </c>
    </row>
    <row r="2079" ht="28.5" customHeight="1" s="99">
      <c r="A2079" s="94" t="inlineStr">
        <is>
          <t>PDF 300+ Mẫu Câu Giao tiếp theo chủ đề.pdf</t>
        </is>
      </c>
      <c r="B2079" s="95" t="inlineStr">
        <is>
          <t>11</t>
        </is>
      </c>
      <c r="C2079" s="94" t="inlineStr">
        <is>
          <t>上菜 shàng cài Dọn món 服务员，请上菜</t>
        </is>
      </c>
      <c r="D2079" s="94" t="inlineStr">
        <is>
          <t>Fúwùyuán, qǐng shàng cài) - Nhân viên phục vụ, hãy mang món lên nhé.</t>
        </is>
      </c>
      <c r="E2079" s="94" t="inlineStr">
        <is>
          <t>11 上菜 shàng cài Dọn món 服务员，请上菜。(Fúwùyuán, qǐng shàng cài) - Nhân viên phục vụ, hãy mang món lên nhé.</t>
        </is>
      </c>
      <c r="F2079" s="115">
        <f>HYPERLINK("https://youglish.com/pronounce/上菜服务员请上菜/chinese","🔍")</f>
        <v/>
      </c>
    </row>
    <row r="2080" ht="28.5" customHeight="1" s="99">
      <c r="A2080" s="92" t="inlineStr">
        <is>
          <t>PDF 300+ Mẫu Câu Giao tiếp theo chủ đề.pdf</t>
        </is>
      </c>
      <c r="B2080" s="93" t="inlineStr">
        <is>
          <t>12</t>
        </is>
      </c>
      <c r="C2080" s="92" t="inlineStr">
        <is>
          <t>预定 yùdìng Đặt trước 我们已经预定了座位</t>
        </is>
      </c>
      <c r="D2080" s="92" t="inlineStr">
        <is>
          <t>Wǒmen yǐjīng yùdìng le zuòwèi) - Chúng tôi đã đặt trước chỗ ngồi.</t>
        </is>
      </c>
      <c r="E2080" s="92" t="inlineStr">
        <is>
          <t>12 预定 yùdìng Đặt trước 我们已经预定了座位。(Wǒmen yǐjīng yùdìng le zuòwèi) - Chúng tôi đã đặt trước chỗ ngồi.</t>
        </is>
      </c>
      <c r="F2080" s="114">
        <f>HYPERLINK("https://youglish.com/pronounce/预定我们已经预定了座位/chinese","🔍")</f>
        <v/>
      </c>
    </row>
    <row r="2081" ht="28.5" customHeight="1" s="99">
      <c r="A2081" s="94" t="inlineStr">
        <is>
          <t>PDF 300+ Mẫu Câu Giao tiếp theo chủ đề.pdf</t>
        </is>
      </c>
      <c r="B2081" s="95" t="inlineStr">
        <is>
          <t>13</t>
        </is>
      </c>
      <c r="C2081" s="94" t="inlineStr">
        <is>
          <t>招牌菜</t>
        </is>
      </c>
      <c r="D2081" s="94" t="inlineStr">
        <is>
          <t>zhāopái cài Món đặc trưng</t>
        </is>
      </c>
      <c r="E2081" s="94" t="inlineStr">
        <is>
          <t>13 招牌菜 zhāopái cài Món đặc trưng</t>
        </is>
      </c>
      <c r="F2081" s="115">
        <f>HYPERLINK("https://youglish.com/pronounce/招牌菜/chinese","🔍")</f>
        <v/>
      </c>
    </row>
    <row r="2082" ht="28.5" customHeight="1" s="99">
      <c r="A2082" s="92" t="inlineStr">
        <is>
          <t>PDF 300+ Mẫu Câu Giao tiếp theo chủ đề.pdf</t>
        </is>
      </c>
      <c r="B2082" s="93" t="inlineStr">
        <is>
          <t>234</t>
        </is>
      </c>
      <c r="C2082" s="92" t="inlineStr">
        <is>
          <t>这家餐厅的招牌菜是北京烤鸭</t>
        </is>
      </c>
      <c r="D2082" s="92" t="inlineStr">
        <is>
          <t>Zhè jiā cāntīng de zhāopái cài shì Běijīng kǎoyā) - Món đặc trưng của nhà hàng này là vịt quay Bắc Kinh.</t>
        </is>
      </c>
      <c r="E2082" s="92" t="inlineStr">
        <is>
          <t>这家餐厅的招牌菜是北京烤鸭。(Zhè jiā cāntīng de zhāopái cài shì Běijīng kǎoyā) - Món đặc trưng của nhà hàng này là vịt quay Bắc Kinh.</t>
        </is>
      </c>
      <c r="F2082" s="114">
        <f>HYPERLINK("https://youglish.com/pronounce/这家餐厅的招牌菜是北京烤鸭/chinese","🔍")</f>
        <v/>
      </c>
    </row>
    <row r="2083" ht="28.5" customHeight="1" s="99">
      <c r="A2083" s="94" t="inlineStr">
        <is>
          <t>PDF 300+ Mẫu Câu Giao tiếp theo chủ đề.pdf</t>
        </is>
      </c>
      <c r="B2083" s="95" t="inlineStr">
        <is>
          <t>14</t>
        </is>
      </c>
      <c r="C2083" s="94" t="inlineStr">
        <is>
          <t>包间</t>
        </is>
      </c>
      <c r="D2083" s="94" t="inlineStr">
        <is>
          <t>bāojiān Phòng riêng</t>
        </is>
      </c>
      <c r="E2083" s="94" t="inlineStr">
        <is>
          <t>14 包间 bāojiān Phòng riêng</t>
        </is>
      </c>
      <c r="F2083" s="115">
        <f>HYPERLINK("https://youglish.com/pronounce/包间/chinese","🔍")</f>
        <v/>
      </c>
    </row>
    <row r="2084" ht="28.5" customHeight="1" s="99">
      <c r="A2084" s="92" t="inlineStr">
        <is>
          <t>PDF 300+ Mẫu Câu Giao tiếp theo chủ đề.pdf</t>
        </is>
      </c>
      <c r="B2084" s="93" t="inlineStr">
        <is>
          <t>236</t>
        </is>
      </c>
      <c r="C2084" s="92" t="inlineStr">
        <is>
          <t>我们预定了一个包间</t>
        </is>
      </c>
      <c r="D2084" s="92" t="inlineStr">
        <is>
          <t>Wǒmen yùdìng le yī gè bāojiān) - Chúng tôi đã đặt một phòng riêng.</t>
        </is>
      </c>
      <c r="E2084" s="92" t="inlineStr">
        <is>
          <t>我们预定了一个包间。(Wǒmen yùdìng le yī gè bāojiān) - Chúng tôi đã đặt một phòng riêng.</t>
        </is>
      </c>
      <c r="F2084" s="114">
        <f>HYPERLINK("https://youglish.com/pronounce/我们预定了一个包间/chinese","🔍")</f>
        <v/>
      </c>
    </row>
    <row r="2085" ht="28.5" customHeight="1" s="99">
      <c r="A2085" s="94" t="inlineStr">
        <is>
          <t>PDF 300+ Mẫu Câu Giao tiếp theo chủ đề.pdf</t>
        </is>
      </c>
      <c r="B2085" s="95" t="inlineStr">
        <is>
          <t>15</t>
        </is>
      </c>
      <c r="C2085" s="94" t="inlineStr">
        <is>
          <t>甜点</t>
        </is>
      </c>
      <c r="D2085" s="94" t="inlineStr">
        <is>
          <t>tiándiǎn Món tráng miệng</t>
        </is>
      </c>
      <c r="E2085" s="94" t="inlineStr">
        <is>
          <t>15 甜点 tiándiǎn Món tráng miệng</t>
        </is>
      </c>
      <c r="F2085" s="115">
        <f>HYPERLINK("https://youglish.com/pronounce/甜点/chinese","🔍")</f>
        <v/>
      </c>
    </row>
    <row r="2086" ht="28.5" customHeight="1" s="99">
      <c r="A2086" s="92" t="inlineStr">
        <is>
          <t>PDF 300+ Mẫu Câu Giao tiếp theo chủ đề.pdf</t>
        </is>
      </c>
      <c r="B2086" s="93" t="inlineStr">
        <is>
          <t>238</t>
        </is>
      </c>
      <c r="C2086" s="92" t="inlineStr">
        <is>
          <t>我喜欢吃甜点</t>
        </is>
      </c>
      <c r="D2086" s="92" t="inlineStr">
        <is>
          <t>Wǒ xǐhuān chī tiándiǎn) - Tôi thích ăn món tráng miệng.</t>
        </is>
      </c>
      <c r="E2086" s="92" t="inlineStr">
        <is>
          <t>我喜欢吃甜点。(Wǒ xǐhuān chī tiándiǎn) - Tôi thích ăn món tráng miệng.</t>
        </is>
      </c>
      <c r="F2086" s="114">
        <f>HYPERLINK("https://youglish.com/pronounce/我喜欢吃甜点/chinese","🔍")</f>
        <v/>
      </c>
    </row>
    <row r="2087" ht="28.5" customHeight="1" s="99">
      <c r="A2087" s="94" t="inlineStr">
        <is>
          <t>PDF 300+ Mẫu Câu Giao tiếp theo chủ đề.pdf</t>
        </is>
      </c>
      <c r="B2087" s="95" t="inlineStr">
        <is>
          <t>16</t>
        </is>
      </c>
      <c r="C2087" s="94" t="inlineStr">
        <is>
          <t>酿酒</t>
        </is>
      </c>
      <c r="D2087" s="94" t="inlineStr">
        <is>
          <t>niàngjiǔ Rượu ngâm</t>
        </is>
      </c>
      <c r="E2087" s="94" t="inlineStr">
        <is>
          <t>16 酿酒 niàngjiǔ Rượu ngâm</t>
        </is>
      </c>
      <c r="F2087" s="115">
        <f>HYPERLINK("https://youglish.com/pronounce/酿酒/chinese","🔍")</f>
        <v/>
      </c>
    </row>
    <row r="2088" ht="28.5" customHeight="1" s="99">
      <c r="A2088" s="92" t="inlineStr">
        <is>
          <t>PDF 300+ Mẫu Câu Giao tiếp theo chủ đề.pdf</t>
        </is>
      </c>
      <c r="B2088" s="93" t="inlineStr">
        <is>
          <t>240</t>
        </is>
      </c>
      <c r="C2088" s="92" t="inlineStr">
        <is>
          <t>这家饭店有很多酿酒</t>
        </is>
      </c>
      <c r="D2088" s="92" t="inlineStr">
        <is>
          <t>Zhè jiā fàndiàn yǒu hěn duō niàngjiǔ) - Nhà hàng này có nhiều loại rượu ngâm.</t>
        </is>
      </c>
      <c r="E2088" s="92" t="inlineStr">
        <is>
          <t>这家饭店有很多酿酒。(Zhè jiā fàndiàn yǒu hěn duō niàngjiǔ) - Nhà hàng này có nhiều loại rượu ngâm.</t>
        </is>
      </c>
      <c r="F2088" s="114">
        <f>HYPERLINK("https://youglish.com/pronounce/这家饭店有很多酿酒/chinese","🔍")</f>
        <v/>
      </c>
    </row>
    <row r="2089" ht="28.5" customHeight="1" s="99">
      <c r="A2089" s="94" t="inlineStr">
        <is>
          <t>PDF 300+ Mẫu Câu Giao tiếp theo chủ đề.pdf</t>
        </is>
      </c>
      <c r="B2089" s="95" t="inlineStr">
        <is>
          <t>17</t>
        </is>
      </c>
      <c r="C2089" s="94" t="inlineStr">
        <is>
          <t>自助餐</t>
        </is>
      </c>
      <c r="D2089" s="94" t="inlineStr">
        <is>
          <t>zìzhùcān Buffet (tiệc tự chọn)</t>
        </is>
      </c>
      <c r="E2089" s="94" t="inlineStr">
        <is>
          <t>17 自助餐 zìzhùcān Buffet (tiệc tự chọn)</t>
        </is>
      </c>
      <c r="F2089" s="115">
        <f>HYPERLINK("https://youglish.com/pronounce/自助餐/chinese","🔍")</f>
        <v/>
      </c>
    </row>
    <row r="2090" ht="28.5" customHeight="1" s="99">
      <c r="A2090" s="92" t="inlineStr">
        <is>
          <t>PDF 300+ Mẫu Câu Giao tiếp theo chủ đề.pdf</t>
        </is>
      </c>
      <c r="B2090" s="93" t="inlineStr">
        <is>
          <t>242</t>
        </is>
      </c>
      <c r="C2090" s="92" t="inlineStr">
        <is>
          <t>这家餐厅有自助餐</t>
        </is>
      </c>
      <c r="D2090" s="92" t="inlineStr">
        <is>
          <t>Zhè jiā cāntīng yǒu zìzhùcān) - Nhà hàng này có buffet.</t>
        </is>
      </c>
      <c r="E2090" s="92" t="inlineStr">
        <is>
          <t>这家餐厅有自助餐。(Zhè jiā cāntīng yǒu zìzhùcān) - Nhà hàng này có buffet.</t>
        </is>
      </c>
      <c r="F2090" s="114">
        <f>HYPERLINK("https://youglish.com/pronounce/这家餐厅有自助餐/chinese","🔍")</f>
        <v/>
      </c>
    </row>
    <row r="2091" ht="28.5" customHeight="1" s="99">
      <c r="A2091" s="94" t="inlineStr">
        <is>
          <t>PDF 300+ Mẫu Câu Giao tiếp theo chủ đề.pdf</t>
        </is>
      </c>
      <c r="B2091" s="95" t="inlineStr">
        <is>
          <t>18</t>
        </is>
      </c>
      <c r="C2091" s="94" t="inlineStr">
        <is>
          <t>外卖 wàimài Mang đi 我们点了外卖</t>
        </is>
      </c>
      <c r="D2091" s="94" t="inlineStr">
        <is>
          <t>Wǒmen diǎn le wàimài) - Chúng tôi đã gọi món mang đi.</t>
        </is>
      </c>
      <c r="E2091" s="94" t="inlineStr">
        <is>
          <t>18 外卖 wàimài Mang đi 我们点了外卖。(Wǒmen diǎn le wàimài) - Chúng tôi đã gọi món mang đi.</t>
        </is>
      </c>
      <c r="F2091" s="115">
        <f>HYPERLINK("https://youglish.com/pronounce/外卖我们点了外卖/chinese","🔍")</f>
        <v/>
      </c>
    </row>
    <row r="2092" ht="28.5" customHeight="1" s="99">
      <c r="A2092" s="92" t="inlineStr">
        <is>
          <t>PDF 300+ Mẫu Câu Giao tiếp theo chủ đề.pdf</t>
        </is>
      </c>
      <c r="B2092" s="93" t="inlineStr">
        <is>
          <t>19</t>
        </is>
      </c>
      <c r="C2092" s="92" t="inlineStr">
        <is>
          <t>火锅 huǒguō Lẩu 我们今天晚上吃火锅</t>
        </is>
      </c>
      <c r="D2092" s="92" t="inlineStr">
        <is>
          <t>Wǒmen jīntiān wǎnshàng chī huǒguō) - Tối nay chúng tôi sẽ ăn lẩu.</t>
        </is>
      </c>
      <c r="E2092" s="92" t="inlineStr">
        <is>
          <t>19 火锅 huǒguō Lẩu 我们今天晚上吃火锅。(Wǒmen jīntiān wǎnshàng chī huǒguō) - Tối nay chúng tôi sẽ ăn lẩu.</t>
        </is>
      </c>
      <c r="F2092" s="114">
        <f>HYPERLINK("https://youglish.com/pronounce/火锅我们今天晚上吃火锅/chinese","🔍")</f>
        <v/>
      </c>
    </row>
    <row r="2093" ht="28.5" customHeight="1" s="99">
      <c r="A2093" s="94" t="inlineStr">
        <is>
          <t>PDF 300+ Mẫu Câu Giao tiếp theo chủ đề.pdf</t>
        </is>
      </c>
      <c r="B2093" s="95" t="inlineStr">
        <is>
          <t>20</t>
        </is>
      </c>
      <c r="C2093" s="94" t="inlineStr">
        <is>
          <t>主食</t>
        </is>
      </c>
      <c r="D2093" s="94" t="inlineStr">
        <is>
          <t>zhǔshí Món chính</t>
        </is>
      </c>
      <c r="E2093" s="94" t="inlineStr">
        <is>
          <t>20 主食 zhǔshí Món chính</t>
        </is>
      </c>
      <c r="F2093" s="115">
        <f>HYPERLINK("https://youglish.com/pronounce/主食/chinese","🔍")</f>
        <v/>
      </c>
    </row>
    <row r="2094" ht="28.5" customHeight="1" s="99">
      <c r="A2094" s="92" t="inlineStr">
        <is>
          <t>PDF 300+ Mẫu Câu Giao tiếp theo chủ đề.pdf</t>
        </is>
      </c>
      <c r="B2094" s="93" t="inlineStr">
        <is>
          <t>246</t>
        </is>
      </c>
      <c r="C2094" s="92" t="inlineStr">
        <is>
          <t>我喜欢吃主食</t>
        </is>
      </c>
      <c r="D2094" s="92" t="inlineStr">
        <is>
          <t>Wǒ xǐhuān chī zhǔshí) - Tôi thích ăn món chính.</t>
        </is>
      </c>
      <c r="E2094" s="92" t="inlineStr">
        <is>
          <t>我喜欢吃主食。(Wǒ xǐhuān chī zhǔshí) - Tôi thích ăn món chính.</t>
        </is>
      </c>
      <c r="F2094" s="114">
        <f>HYPERLINK("https://youglish.com/pronounce/我喜欢吃主食/chinese","🔍")</f>
        <v/>
      </c>
    </row>
    <row r="2095" ht="28.5" customHeight="1" s="99">
      <c r="A2095" s="94" t="inlineStr">
        <is>
          <t>PDF 300+ Mẫu Câu Giao tiếp theo chủ đề.pdf</t>
        </is>
      </c>
      <c r="B2095" s="95" t="inlineStr">
        <is>
          <t>21</t>
        </is>
      </c>
      <c r="C2095" s="94" t="inlineStr">
        <is>
          <t>酒水</t>
        </is>
      </c>
      <c r="D2095" s="94" t="inlineStr">
        <is>
          <t>jiǔshuǐ Đồ uống có cồn</t>
        </is>
      </c>
      <c r="E2095" s="94" t="inlineStr">
        <is>
          <t>21 酒水 jiǔshuǐ Đồ uống có cồn</t>
        </is>
      </c>
      <c r="F2095" s="115">
        <f>HYPERLINK("https://youglish.com/pronounce/酒水/chinese","🔍")</f>
        <v/>
      </c>
    </row>
    <row r="2096" ht="28.5" customHeight="1" s="99">
      <c r="A2096" s="92" t="inlineStr">
        <is>
          <t>PDF 300+ Mẫu Câu Giao tiếp theo chủ đề.pdf</t>
        </is>
      </c>
      <c r="B2096" s="93" t="inlineStr">
        <is>
          <t>248</t>
        </is>
      </c>
      <c r="C2096" s="92" t="inlineStr">
        <is>
          <t>我们点了酒水</t>
        </is>
      </c>
      <c r="D2096" s="92" t="inlineStr">
        <is>
          <t>Wǒmen diǎn le jiǔshuǐ) - Chúng tôi đã gọi đồ uống có cồn.</t>
        </is>
      </c>
      <c r="E2096" s="92" t="inlineStr">
        <is>
          <t>我们点了酒水。(Wǒmen diǎn le jiǔshuǐ) - Chúng tôi đã gọi đồ uống có cồn.</t>
        </is>
      </c>
      <c r="F2096" s="114">
        <f>HYPERLINK("https://youglish.com/pronounce/我们点了酒水/chinese","🔍")</f>
        <v/>
      </c>
    </row>
    <row r="2097" ht="28.5" customHeight="1" s="99">
      <c r="A2097" s="94" t="inlineStr">
        <is>
          <t>PDF 300+ Mẫu Câu Giao tiếp theo chủ đề.pdf</t>
        </is>
      </c>
      <c r="B2097" s="95" t="inlineStr">
        <is>
          <t>22</t>
        </is>
      </c>
      <c r="C2097" s="94" t="inlineStr">
        <is>
          <t>水果 shuǐguǒ Trái cây 这家餐厅的水果很新鲜</t>
        </is>
      </c>
      <c r="D2097" s="94" t="inlineStr">
        <is>
          <t>Zhè jiā cāntīng de shuǐguǒ hěn xīnxiān) - Trái cây ở nhà hàng này rất tươi.</t>
        </is>
      </c>
      <c r="E2097" s="94" t="inlineStr">
        <is>
          <t>22 水果 shuǐguǒ Trái cây 这家餐厅的水果很新鲜。(Zhè jiā cāntīng de shuǐguǒ hěn xīnxiān) - Trái cây ở nhà hàng này rất tươi.</t>
        </is>
      </c>
      <c r="F2097" s="115">
        <f>HYPERLINK("https://youglish.com/pronounce/水果这家餐厅的水果很新鲜/chinese","🔍")</f>
        <v/>
      </c>
    </row>
    <row r="2098" ht="28.5" customHeight="1" s="99">
      <c r="A2098" s="92" t="inlineStr">
        <is>
          <t>PDF 300+ Mẫu Câu Giao tiếp theo chủ đề.pdf</t>
        </is>
      </c>
      <c r="B2098" s="93" t="inlineStr">
        <is>
          <t>23</t>
        </is>
      </c>
      <c r="C2098" s="92" t="inlineStr">
        <is>
          <t>酸辣汤</t>
        </is>
      </c>
      <c r="D2098" s="92" t="inlineStr">
        <is>
          <t>suān là tāng Súp chua cay</t>
        </is>
      </c>
      <c r="E2098" s="92" t="inlineStr">
        <is>
          <t>23 酸辣汤 suān là tāng Súp chua cay</t>
        </is>
      </c>
      <c r="F2098" s="114">
        <f>HYPERLINK("https://youglish.com/pronounce/酸辣汤/chinese","🔍")</f>
        <v/>
      </c>
    </row>
    <row r="2099" ht="28.5" customHeight="1" s="99">
      <c r="A2099" s="94" t="inlineStr">
        <is>
          <t>PDF 300+ Mẫu Câu Giao tiếp theo chủ đề.pdf</t>
        </is>
      </c>
      <c r="B2099" s="95" t="inlineStr">
        <is>
          <t>251</t>
        </is>
      </c>
      <c r="C2099" s="94" t="inlineStr">
        <is>
          <t>我喜欢吃酸辣汤</t>
        </is>
      </c>
      <c r="D2099" s="94" t="inlineStr">
        <is>
          <t>Wǒ xǐhuān chī suān là tāng) - Tôi thích ăn súp chua cay.</t>
        </is>
      </c>
      <c r="E2099" s="94" t="inlineStr">
        <is>
          <t>我喜欢吃酸辣汤。(Wǒ xǐhuān chī suān là tāng) - Tôi thích ăn súp chua cay.</t>
        </is>
      </c>
      <c r="F2099" s="115">
        <f>HYPERLINK("https://youglish.com/pronounce/我喜欢吃酸辣汤/chinese","🔍")</f>
        <v/>
      </c>
    </row>
    <row r="2100" ht="28.5" customHeight="1" s="99">
      <c r="A2100" s="92" t="inlineStr">
        <is>
          <t>PDF 300+ Mẫu Câu Giao tiếp theo chủ đề.pdf</t>
        </is>
      </c>
      <c r="B2100" s="93" t="inlineStr">
        <is>
          <t>24</t>
        </is>
      </c>
      <c r="C2100" s="92" t="inlineStr">
        <is>
          <t>炒饭</t>
        </is>
      </c>
      <c r="D2100" s="92" t="inlineStr">
        <is>
          <t>chǎo fàn Cơm chiên</t>
        </is>
      </c>
      <c r="E2100" s="92" t="inlineStr">
        <is>
          <t>24 炒饭 chǎo fàn Cơm chiên</t>
        </is>
      </c>
      <c r="F2100" s="114">
        <f>HYPERLINK("https://youglish.com/pronounce/炒饭/chinese","🔍")</f>
        <v/>
      </c>
    </row>
    <row r="2101" ht="28.5" customHeight="1" s="99">
      <c r="A2101" s="94" t="inlineStr">
        <is>
          <t>PDF 300+ Mẫu Câu Giao tiếp theo chủ đề.pdf</t>
        </is>
      </c>
      <c r="B2101" s="95" t="inlineStr">
        <is>
          <t>253</t>
        </is>
      </c>
      <c r="C2101" s="94" t="inlineStr">
        <is>
          <t>这个炒饭很好吃</t>
        </is>
      </c>
      <c r="D2101" s="94" t="inlineStr">
        <is>
          <t>Zhège chǎo fàn hěn hǎochī) - Cơm chiên này rất ngon.</t>
        </is>
      </c>
      <c r="E2101" s="94" t="inlineStr">
        <is>
          <t>这个炒饭很好吃。(Zhège chǎo fàn hěn hǎochī) - Cơm chiên này rất ngon.</t>
        </is>
      </c>
      <c r="F2101" s="115">
        <f>HYPERLINK("https://youglish.com/pronounce/这个炒饭很好吃/chinese","🔍")</f>
        <v/>
      </c>
    </row>
    <row r="2102" ht="28.5" customHeight="1" s="99">
      <c r="A2102" s="92" t="inlineStr">
        <is>
          <t>PDF 300+ Mẫu Câu Giao tiếp theo chủ đề.pdf</t>
        </is>
      </c>
      <c r="B2102" s="93" t="inlineStr">
        <is>
          <t>25</t>
        </is>
      </c>
      <c r="C2102" s="92" t="inlineStr">
        <is>
          <t>炖菜 dùn cài Món hầm 这道炖菜很美味</t>
        </is>
      </c>
      <c r="D2102" s="92" t="inlineStr">
        <is>
          <t>Zhè dào dùn cài hěn měiwèi) - Món hầm này rất ngon.</t>
        </is>
      </c>
      <c r="E2102" s="92" t="inlineStr">
        <is>
          <t>25 炖菜 dùn cài Món hầm 这道炖菜很美味。(Zhè dào dùn cài hěn měiwèi) - Món hầm này rất ngon.</t>
        </is>
      </c>
      <c r="F2102" s="114">
        <f>HYPERLINK("https://youglish.com/pronounce/炖菜这道炖菜很美味/chinese","🔍")</f>
        <v/>
      </c>
    </row>
    <row r="2103" ht="28.5" customHeight="1" s="99">
      <c r="A2103" s="94" t="inlineStr">
        <is>
          <t>PDF 300+ Mẫu Câu Giao tiếp theo chủ đề.pdf</t>
        </is>
      </c>
      <c r="B2103" s="95" t="inlineStr">
        <is>
          <t>26</t>
        </is>
      </c>
      <c r="C2103" s="94" t="inlineStr">
        <is>
          <t>鸡肉 jīròu Thịt gà 我点了一份鸡肉</t>
        </is>
      </c>
      <c r="D2103" s="94" t="inlineStr">
        <is>
          <t>Wǒ diǎn le yī fèn jīròu) - Tôi gọi một phần thịt gà.</t>
        </is>
      </c>
      <c r="E2103" s="94" t="inlineStr">
        <is>
          <t>26 鸡肉 jīròu Thịt gà 我点了一份鸡肉。(Wǒ diǎn le yī fèn jīròu) - Tôi gọi một phần thịt gà.</t>
        </is>
      </c>
      <c r="F2103" s="115">
        <f>HYPERLINK("https://youglish.com/pronounce/鸡肉我点了一份鸡肉/chinese","🔍")</f>
        <v/>
      </c>
    </row>
    <row r="2104" ht="28.5" customHeight="1" s="99">
      <c r="A2104" s="92" t="inlineStr">
        <is>
          <t>PDF 300+ Mẫu Câu Giao tiếp theo chủ đề.pdf</t>
        </is>
      </c>
      <c r="B2104" s="93" t="inlineStr">
        <is>
          <t>27</t>
        </is>
      </c>
      <c r="C2104" s="92" t="inlineStr">
        <is>
          <t>牛肉 niúròu Thịt bò 这家餐厅的牛肉很嫩</t>
        </is>
      </c>
      <c r="D2104" s="92" t="inlineStr">
        <is>
          <t>Zhè jiā cāntīng de niúròu hěn nèn) - Thịt bò ở nhà hàng này rất mềm.</t>
        </is>
      </c>
      <c r="E2104" s="92" t="inlineStr">
        <is>
          <t>27 牛肉 niúròu Thịt bò 这家餐厅的牛肉很嫩。(Zhè jiā cāntīng de niúròu hěn nèn) - Thịt bò ở nhà hàng này rất mềm.</t>
        </is>
      </c>
      <c r="F2104" s="114">
        <f>HYPERLINK("https://youglish.com/pronounce/牛肉这家餐厅的牛肉很嫩/chinese","🔍")</f>
        <v/>
      </c>
    </row>
    <row r="2105" ht="28.5" customHeight="1" s="99">
      <c r="A2105" s="94" t="inlineStr">
        <is>
          <t>PDF 300+ Mẫu Câu Giao tiếp theo chủ đề.pdf</t>
        </is>
      </c>
      <c r="B2105" s="95" t="inlineStr">
        <is>
          <t>28</t>
        </is>
      </c>
      <c r="C2105" s="94" t="inlineStr">
        <is>
          <t>羊肉 yángròu Thịt cừu 我不喜欢吃羊肉</t>
        </is>
      </c>
      <c r="D2105" s="94" t="inlineStr">
        <is>
          <t>Wǒ bù xǐhuān chī yángròu) - Tôi không thích ăn thịt cừu.</t>
        </is>
      </c>
      <c r="E2105" s="94" t="inlineStr">
        <is>
          <t>28 羊肉 yángròu Thịt cừu 我不喜欢吃羊肉。(Wǒ bù xǐhuān chī yángròu) - Tôi không thích ăn thịt cừu.</t>
        </is>
      </c>
      <c r="F2105" s="115">
        <f>HYPERLINK("https://youglish.com/pronounce/羊肉我不喜欢吃羊肉/chinese","🔍")</f>
        <v/>
      </c>
    </row>
    <row r="2106" ht="28.5" customHeight="1" s="99">
      <c r="A2106" s="92" t="inlineStr">
        <is>
          <t>PDF 300+ Mẫu Câu Giao tiếp theo chủ đề.pdf</t>
        </is>
      </c>
      <c r="B2106" s="93" t="inlineStr">
        <is>
          <t>29</t>
        </is>
      </c>
      <c r="C2106" s="92" t="inlineStr">
        <is>
          <t>鱼 yú Cá 这条鱼很新鲜</t>
        </is>
      </c>
      <c r="D2106" s="92" t="inlineStr">
        <is>
          <t>Zhè tiáo yú hěn xīnxiān) - Con cá này rất tươi.</t>
        </is>
      </c>
      <c r="E2106" s="92" t="inlineStr">
        <is>
          <t>29 鱼 yú Cá 这条鱼很新鲜。(Zhè tiáo yú hěn xīnxiān) - Con cá này rất tươi.</t>
        </is>
      </c>
      <c r="F2106" s="114">
        <f>HYPERLINK("https://youglish.com/pronounce/鱼这条鱼很新鲜/chinese","🔍")</f>
        <v/>
      </c>
    </row>
    <row r="2107" ht="28.5" customHeight="1" s="99">
      <c r="A2107" s="94" t="inlineStr">
        <is>
          <t>PDF 300+ Mẫu Câu Giao tiếp theo chủ đề.pdf</t>
        </is>
      </c>
      <c r="B2107" s="95" t="inlineStr">
        <is>
          <t>30</t>
        </is>
      </c>
      <c r="C2107" s="94" t="inlineStr">
        <is>
          <t>海鲜 hǎixiān Hải sản 这里的海鲜很好吃</t>
        </is>
      </c>
      <c r="D2107" s="94" t="inlineStr">
        <is>
          <t>Zhèlǐ de hǎixiān hěn hǎochī) - Hải sản ở đây rất ngon.</t>
        </is>
      </c>
      <c r="E2107" s="94" t="inlineStr">
        <is>
          <t>30 海鲜 hǎixiān Hải sản 这里的海鲜很好吃。(Zhèlǐ de hǎixiān hěn hǎochī) - Hải sản ở đây rất ngon.</t>
        </is>
      </c>
      <c r="F2107" s="115">
        <f>HYPERLINK("https://youglish.com/pronounce/海鲜这里的海鲜很好吃/chinese","🔍")</f>
        <v/>
      </c>
    </row>
    <row r="2108" ht="28.5" customHeight="1" s="99">
      <c r="A2108" s="92" t="inlineStr">
        <is>
          <t>PDF 300+ Mẫu Câu Giao tiếp theo chủ đề.pdf</t>
        </is>
      </c>
      <c r="B2108" s="93" t="inlineStr">
        <is>
          <t>31</t>
        </is>
      </c>
      <c r="C2108" s="92" t="inlineStr">
        <is>
          <t>饺子</t>
        </is>
      </c>
      <c r="D2108" s="92" t="inlineStr">
        <is>
          <t>jiǎozi Món sủi cảo</t>
        </is>
      </c>
      <c r="E2108" s="92" t="inlineStr">
        <is>
          <t>31 饺子 jiǎozi Món sủi cảo</t>
        </is>
      </c>
      <c r="F2108" s="114">
        <f>HYPERLINK("https://youglish.com/pronounce/饺子/chinese","🔍")</f>
        <v/>
      </c>
    </row>
    <row r="2109" ht="28.5" customHeight="1" s="99">
      <c r="A2109" s="94" t="inlineStr">
        <is>
          <t>PDF 300+ Mẫu Câu Giao tiếp theo chủ đề.pdf</t>
        </is>
      </c>
      <c r="B2109" s="95" t="inlineStr">
        <is>
          <t>261</t>
        </is>
      </c>
      <c r="C2109" s="94" t="inlineStr">
        <is>
          <t>我们吃了很多饺子</t>
        </is>
      </c>
      <c r="D2109" s="94" t="inlineStr">
        <is>
          <t>Wǒmen chī le hěn duō jiǎozi) - Chúng tôi ăn rất nhiều sủi cảo.</t>
        </is>
      </c>
      <c r="E2109" s="94" t="inlineStr">
        <is>
          <t>我们吃了很多饺子。(Wǒmen chī le hěn duō jiǎozi) - Chúng tôi ăn rất nhiều sủi cảo.</t>
        </is>
      </c>
      <c r="F2109" s="115">
        <f>HYPERLINK("https://youglish.com/pronounce/我们吃了很多饺子/chinese","🔍")</f>
        <v/>
      </c>
    </row>
    <row r="2110" ht="28.5" customHeight="1" s="99">
      <c r="A2110" s="92" t="inlineStr">
        <is>
          <t>PDF 300+ Mẫu Câu Giao tiếp theo chủ đề.pdf</t>
        </is>
      </c>
      <c r="B2110" s="93" t="inlineStr">
        <is>
          <t>32</t>
        </is>
      </c>
      <c r="C2110" s="92" t="inlineStr">
        <is>
          <t>炸鸡 zhá jī Gà rán 我们点了炸鸡</t>
        </is>
      </c>
      <c r="D2110" s="92" t="inlineStr">
        <is>
          <t>Wǒmen diǎn le zhá jī) - Chúng tôi đã gọi gà rán.</t>
        </is>
      </c>
      <c r="E2110" s="92" t="inlineStr">
        <is>
          <t>32 炸鸡 zhá jī Gà rán 我们点了炸鸡。(Wǒmen diǎn le zhá jī) - Chúng tôi đã gọi gà rán.</t>
        </is>
      </c>
      <c r="F2110" s="114">
        <f>HYPERLINK("https://youglish.com/pronounce/炸鸡我们点了炸鸡/chinese","🔍")</f>
        <v/>
      </c>
    </row>
    <row r="2111" ht="28.5" customHeight="1" s="99">
      <c r="A2111" s="94" t="inlineStr">
        <is>
          <t>PDF 300+ Mẫu Câu Giao tiếp theo chủ đề.pdf</t>
        </is>
      </c>
      <c r="B2111" s="95" t="inlineStr">
        <is>
          <t>33</t>
        </is>
      </c>
      <c r="C2111" s="94" t="inlineStr">
        <is>
          <t>面条 miàntiáo Mì 我喜欢吃面条</t>
        </is>
      </c>
      <c r="D2111" s="94" t="inlineStr">
        <is>
          <t>Wǒ xǐhuān chī miàntiáo) - Tôi thích ăn mì.</t>
        </is>
      </c>
      <c r="E2111" s="94" t="inlineStr">
        <is>
          <t>33 面条 miàntiáo Mì 我喜欢吃面条。(Wǒ xǐhuān chī miàntiáo) - Tôi thích ăn mì.</t>
        </is>
      </c>
      <c r="F2111" s="115">
        <f>HYPERLINK("https://youglish.com/pronounce/面条我喜欢吃面条/chinese","🔍")</f>
        <v/>
      </c>
    </row>
    <row r="2112" ht="28.5" customHeight="1" s="99">
      <c r="A2112" s="92" t="inlineStr">
        <is>
          <t>PDF 300+ Mẫu Câu Giao tiếp theo chủ đề.pdf</t>
        </is>
      </c>
      <c r="B2112" s="93" t="inlineStr">
        <is>
          <t>34</t>
        </is>
      </c>
      <c r="C2112" s="92" t="inlineStr">
        <is>
          <t>刀叉</t>
        </is>
      </c>
      <c r="D2112" s="92" t="inlineStr">
        <is>
          <t>dāo chā Dao và nĩa</t>
        </is>
      </c>
      <c r="E2112" s="92" t="inlineStr">
        <is>
          <t>34 刀叉 dāo chā Dao và nĩa</t>
        </is>
      </c>
      <c r="F2112" s="114">
        <f>HYPERLINK("https://youglish.com/pronounce/刀叉/chinese","🔍")</f>
        <v/>
      </c>
    </row>
    <row r="2113" ht="28.5" customHeight="1" s="99">
      <c r="A2113" s="94" t="inlineStr">
        <is>
          <t>PDF 300+ Mẫu Câu Giao tiếp theo chủ đề.pdf</t>
        </is>
      </c>
      <c r="B2113" s="95" t="inlineStr">
        <is>
          <t>265</t>
        </is>
      </c>
      <c r="C2113" s="94" t="inlineStr">
        <is>
          <t>餐厅里提供刀叉</t>
        </is>
      </c>
      <c r="D2113" s="94" t="inlineStr">
        <is>
          <t>Cāntīng lǐ tígōng dāo chā) - Nhà hàng cung cấp dao và nĩa.</t>
        </is>
      </c>
      <c r="E2113" s="94" t="inlineStr">
        <is>
          <t>餐厅里提供刀叉。(Cāntīng lǐ tígōng dāo chā) - Nhà hàng cung cấp dao và nĩa.</t>
        </is>
      </c>
      <c r="F2113" s="115">
        <f>HYPERLINK("https://youglish.com/pronounce/餐厅里提供刀叉/chinese","🔍")</f>
        <v/>
      </c>
    </row>
    <row r="2114" ht="28.5" customHeight="1" s="99">
      <c r="A2114" s="92" t="inlineStr">
        <is>
          <t>PDF 300+ Mẫu Câu Giao tiếp theo chủ đề.pdf</t>
        </is>
      </c>
      <c r="B2114" s="93" t="inlineStr">
        <is>
          <t>35</t>
        </is>
      </c>
      <c r="C2114" s="92" t="inlineStr">
        <is>
          <t>勺子 sháozi Muỗng 我需要一个勺子</t>
        </is>
      </c>
      <c r="D2114" s="92" t="inlineStr">
        <is>
          <t>Wǒ xūyào yī gè sháozi) - Tôi cần một cái muỗng.</t>
        </is>
      </c>
      <c r="E2114" s="92" t="inlineStr">
        <is>
          <t>35 勺子 sháozi Muỗng 我需要一个勺子。(Wǒ xūyào yī gè sháozi) - Tôi cần một cái muỗng.</t>
        </is>
      </c>
      <c r="F2114" s="114">
        <f>HYPERLINK("https://youglish.com/pronounce/勺子我需要一个勺子/chinese","🔍")</f>
        <v/>
      </c>
    </row>
    <row r="2115" ht="28.5" customHeight="1" s="99">
      <c r="A2115" s="94" t="inlineStr">
        <is>
          <t>PDF 300+ Mẫu Câu Giao tiếp theo chủ đề.pdf</t>
        </is>
      </c>
      <c r="B2115" s="95" t="inlineStr">
        <is>
          <t>36</t>
        </is>
      </c>
      <c r="C2115" s="94" t="inlineStr">
        <is>
          <t>盘子 pánzi Đĩa 请给我一个盘子</t>
        </is>
      </c>
      <c r="D2115" s="94" t="inlineStr">
        <is>
          <t>Qǐng gěi wǒ yī gè pánzi) - Làm ơn cho tôi một cái đĩa.</t>
        </is>
      </c>
      <c r="E2115" s="94" t="inlineStr">
        <is>
          <t>36 盘子 pánzi Đĩa 请给我一个盘子。(Qǐng gěi wǒ yī gè pánzi) - Làm ơn cho tôi một cái đĩa.</t>
        </is>
      </c>
      <c r="F2115" s="115">
        <f>HYPERLINK("https://youglish.com/pronounce/盘子请给我一个盘子/chinese","🔍")</f>
        <v/>
      </c>
    </row>
    <row r="2116" ht="28.5" customHeight="1" s="99">
      <c r="A2116" s="92" t="inlineStr">
        <is>
          <t>PDF 300+ Mẫu Câu Giao tiếp theo chủ đề.pdf</t>
        </is>
      </c>
      <c r="B2116" s="93" t="inlineStr">
        <is>
          <t>37</t>
        </is>
      </c>
      <c r="C2116" s="92" t="inlineStr">
        <is>
          <t>玻璃杯</t>
        </is>
      </c>
      <c r="D2116" s="92" t="inlineStr">
        <is>
          <t>bōlí bēi Cốc thủy tinh</t>
        </is>
      </c>
      <c r="E2116" s="92" t="inlineStr">
        <is>
          <t>37 玻璃杯 bōlí bēi Cốc thủy tinh</t>
        </is>
      </c>
      <c r="F2116" s="114">
        <f>HYPERLINK("https://youglish.com/pronounce/玻璃杯/chinese","🔍")</f>
        <v/>
      </c>
    </row>
    <row r="2117" ht="28.5" customHeight="1" s="99">
      <c r="A2117" s="94" t="inlineStr">
        <is>
          <t>PDF 300+ Mẫu Câu Giao tiếp theo chủ đề.pdf</t>
        </is>
      </c>
      <c r="B2117" s="95" t="inlineStr">
        <is>
          <t>269</t>
        </is>
      </c>
      <c r="C2117" s="94" t="inlineStr">
        <is>
          <t>这个玻璃杯很漂亮</t>
        </is>
      </c>
      <c r="D2117" s="94" t="inlineStr">
        <is>
          <t>Zhège bōlí bēi hěn piàoliang) - Cái cốc thủy tinh này rất đẹp.</t>
        </is>
      </c>
      <c r="E2117" s="94" t="inlineStr">
        <is>
          <t>这个玻璃杯很漂亮。(Zhège bōlí bēi hěn piàoliang) - Cái cốc thủy tinh này rất đẹp.</t>
        </is>
      </c>
      <c r="F2117" s="115">
        <f>HYPERLINK("https://youglish.com/pronounce/这个玻璃杯很漂亮/chinese","🔍")</f>
        <v/>
      </c>
    </row>
    <row r="2118" ht="28.5" customHeight="1" s="99">
      <c r="A2118" s="92" t="inlineStr">
        <is>
          <t>PDF 300+ Mẫu Câu Giao tiếp theo chủ đề.pdf</t>
        </is>
      </c>
      <c r="B2118" s="93" t="inlineStr">
        <is>
          <t>38</t>
        </is>
      </c>
      <c r="C2118" s="92" t="inlineStr">
        <is>
          <t>餐具</t>
        </is>
      </c>
      <c r="D2118" s="92" t="inlineStr">
        <is>
          <t>cānjù Dụng cụ ăn uống</t>
        </is>
      </c>
      <c r="E2118" s="92" t="inlineStr">
        <is>
          <t>38 餐具 cānjù Dụng cụ ăn uống</t>
        </is>
      </c>
      <c r="F2118" s="114">
        <f>HYPERLINK("https://youglish.com/pronounce/餐具/chinese","🔍")</f>
        <v/>
      </c>
    </row>
    <row r="2119" ht="28.5" customHeight="1" s="99">
      <c r="A2119" s="94" t="inlineStr">
        <is>
          <t>PDF 300+ Mẫu Câu Giao tiếp theo chủ đề.pdf</t>
        </is>
      </c>
      <c r="B2119" s="95" t="inlineStr">
        <is>
          <t>271</t>
        </is>
      </c>
      <c r="C2119" s="94" t="inlineStr">
        <is>
          <t>餐厅的餐具很干净</t>
        </is>
      </c>
      <c r="D2119" s="94" t="inlineStr">
        <is>
          <t>Cāntīng de cānjù hěn gānjìng) - Dụng cụ ăn uống ở nhà hàng rất sạch sẽ.</t>
        </is>
      </c>
      <c r="E2119" s="94" t="inlineStr">
        <is>
          <t>餐厅的餐具很干净。(Cāntīng de cānjù hěn gānjìng) - Dụng cụ ăn uống ở nhà hàng rất sạch sẽ.</t>
        </is>
      </c>
      <c r="F2119" s="115">
        <f>HYPERLINK("https://youglish.com/pronounce/餐厅的餐具很干净/chinese","🔍")</f>
        <v/>
      </c>
    </row>
    <row r="2120" ht="28.5" customHeight="1" s="99">
      <c r="A2120" s="92" t="inlineStr">
        <is>
          <t>PDF 300+ Mẫu Câu Giao tiếp theo chủ đề.pdf</t>
        </is>
      </c>
      <c r="B2120" s="93" t="inlineStr">
        <is>
          <t>39</t>
        </is>
      </c>
      <c r="C2120" s="92" t="inlineStr">
        <is>
          <t>热菜 rè cài Món nóng 请上热菜</t>
        </is>
      </c>
      <c r="D2120" s="92" t="inlineStr">
        <is>
          <t>Qǐng shàng rè cài) - Xin vui lòng mang món nóng lên.</t>
        </is>
      </c>
      <c r="E2120" s="92" t="inlineStr">
        <is>
          <t>39 热菜 rè cài Món nóng 请上热菜。(Qǐng shàng rè cài) - Xin vui lòng mang món nóng lên.</t>
        </is>
      </c>
      <c r="F2120" s="114">
        <f>HYPERLINK("https://youglish.com/pronounce/热菜请上热菜/chinese","🔍")</f>
        <v/>
      </c>
    </row>
    <row r="2121" ht="28.5" customHeight="1" s="99">
      <c r="A2121" s="94" t="inlineStr">
        <is>
          <t>PDF 300+ Mẫu Câu Giao tiếp theo chủ đề.pdf</t>
        </is>
      </c>
      <c r="B2121" s="95" t="inlineStr">
        <is>
          <t>40</t>
        </is>
      </c>
      <c r="C2121" s="94" t="inlineStr">
        <is>
          <t>凉菜 liáng cài Món lạnh 我喜欢吃凉菜</t>
        </is>
      </c>
      <c r="D2121" s="94" t="inlineStr">
        <is>
          <t>Wǒ xǐhuān chī liáng cài) - Tôi thích ăn món lạnh.</t>
        </is>
      </c>
      <c r="E2121" s="94" t="inlineStr">
        <is>
          <t>40 凉菜 liáng cài Món lạnh 我喜欢吃凉菜。(Wǒ xǐhuān chī liáng cài) - Tôi thích ăn món lạnh.</t>
        </is>
      </c>
      <c r="F2121" s="115">
        <f>HYPERLINK("https://youglish.com/pronounce/凉菜我喜欢吃凉菜/chinese","🔍")</f>
        <v/>
      </c>
    </row>
    <row r="2122" ht="28.5" customHeight="1" s="99">
      <c r="A2122" s="92" t="inlineStr">
        <is>
          <t>PDF 300+ Mẫu Câu Giao tiếp theo chủ đề.pdf</t>
        </is>
      </c>
      <c r="B2122" s="93" t="inlineStr">
        <is>
          <t>41</t>
        </is>
      </c>
      <c r="C2122" s="92" t="inlineStr">
        <is>
          <t>甜品</t>
        </is>
      </c>
      <c r="D2122" s="92" t="inlineStr">
        <is>
          <t>tiánpǐn Món tráng miệng ngọt</t>
        </is>
      </c>
      <c r="E2122" s="92" t="inlineStr">
        <is>
          <t>41 甜品 tiánpǐn Món tráng miệng ngọt</t>
        </is>
      </c>
      <c r="F2122" s="114">
        <f>HYPERLINK("https://youglish.com/pronounce/甜品/chinese","🔍")</f>
        <v/>
      </c>
    </row>
    <row r="2123" ht="28.5" customHeight="1" s="99">
      <c r="A2123" s="94" t="inlineStr">
        <is>
          <t>PDF 300+ Mẫu Câu Giao tiếp theo chủ đề.pdf</t>
        </is>
      </c>
      <c r="B2123" s="95" t="inlineStr">
        <is>
          <t>275</t>
        </is>
      </c>
      <c r="C2123" s="94" t="inlineStr">
        <is>
          <t>我们点了一个甜品</t>
        </is>
      </c>
      <c r="D2123" s="94" t="inlineStr">
        <is>
          <t>Wǒmen diǎn le yī gè tiánpǐn) - Chúng tôi đã gọi một món tráng miệng ngọt.</t>
        </is>
      </c>
      <c r="E2123" s="94" t="inlineStr">
        <is>
          <t>我们点了一个甜品。(Wǒmen diǎn le yī gè tiánpǐn) - Chúng tôi đã gọi một món tráng miệng ngọt.</t>
        </is>
      </c>
      <c r="F2123" s="115">
        <f>HYPERLINK("https://youglish.com/pronounce/我们点了一个甜品/chinese","🔍")</f>
        <v/>
      </c>
    </row>
    <row r="2124" ht="28.5" customHeight="1" s="99">
      <c r="A2124" s="92" t="inlineStr">
        <is>
          <t>PDF 300+ Mẫu Câu Giao tiếp theo chủ đề.pdf</t>
        </is>
      </c>
      <c r="B2124" s="93" t="inlineStr">
        <is>
          <t>42</t>
        </is>
      </c>
      <c r="C2124" s="92" t="inlineStr">
        <is>
          <t>口味 kǒuwèi Hương vị 这个菜的口味很特别</t>
        </is>
      </c>
      <c r="D2124" s="92" t="inlineStr">
        <is>
          <t>Zhège cài de kǒuwèi hěn tèbié) - Hương vị món ăn này rất đặc biệt.</t>
        </is>
      </c>
      <c r="E2124" s="92" t="inlineStr">
        <is>
          <t>42 口味 kǒuwèi Hương vị 这个菜的口味很特别。(Zhège cài de kǒuwèi hěn tèbié) - Hương vị món ăn này rất đặc biệt.</t>
        </is>
      </c>
      <c r="F2124" s="114">
        <f>HYPERLINK("https://youglish.com/pronounce/口味这个菜的口味很特别/chinese","🔍")</f>
        <v/>
      </c>
    </row>
    <row r="2125" ht="28.5" customHeight="1" s="99">
      <c r="A2125" s="94" t="inlineStr">
        <is>
          <t>PDF 300+ Mẫu Câu Giao tiếp theo chủ đề.pdf</t>
        </is>
      </c>
      <c r="B2125" s="95" t="inlineStr">
        <is>
          <t>43</t>
        </is>
      </c>
      <c r="C2125" s="94" t="inlineStr">
        <is>
          <t>咸 xián Mặn 这道菜太咸了</t>
        </is>
      </c>
      <c r="D2125" s="94" t="inlineStr">
        <is>
          <t>Zhè dào cài tài xián le) - Món ăn này quá mặn.</t>
        </is>
      </c>
      <c r="E2125" s="94" t="inlineStr">
        <is>
          <t>43 咸 xián Mặn 这道菜太咸了。(Zhè dào cài tài xián le) - Món ăn này quá mặn.</t>
        </is>
      </c>
      <c r="F2125" s="115">
        <f>HYPERLINK("https://youglish.com/pronounce/咸这道菜太咸了/chinese","🔍")</f>
        <v/>
      </c>
    </row>
    <row r="2126" ht="28.5" customHeight="1" s="99">
      <c r="A2126" s="92" t="inlineStr">
        <is>
          <t>PDF 300+ Mẫu Câu Giao tiếp theo chủ đề.pdf</t>
        </is>
      </c>
      <c r="B2126" s="93" t="inlineStr">
        <is>
          <t>44</t>
        </is>
      </c>
      <c r="C2126" s="92" t="inlineStr">
        <is>
          <t>辣 là Cay 这个菜很辣</t>
        </is>
      </c>
      <c r="D2126" s="92" t="inlineStr">
        <is>
          <t>Zhège cài hěn là) - Món ăn này rất cay.</t>
        </is>
      </c>
      <c r="E2126" s="92" t="inlineStr">
        <is>
          <t>44 辣 là Cay 这个菜很辣。(Zhège cài hěn là) - Món ăn này rất cay.</t>
        </is>
      </c>
      <c r="F2126" s="114">
        <f>HYPERLINK("https://youglish.com/pronounce/辣这个菜很辣/chinese","🔍")</f>
        <v/>
      </c>
    </row>
    <row r="2127" ht="28.5" customHeight="1" s="99">
      <c r="A2127" s="94" t="inlineStr">
        <is>
          <t>PDF 300+ Mẫu Câu Giao tiếp theo chủ đề.pdf</t>
        </is>
      </c>
      <c r="B2127" s="95" t="inlineStr">
        <is>
          <t>45</t>
        </is>
      </c>
      <c r="C2127" s="94" t="inlineStr">
        <is>
          <t>甜 tián Ngọt 这道甜点很甜</t>
        </is>
      </c>
      <c r="D2127" s="94" t="inlineStr">
        <is>
          <t>Zhè dào tiándiǎn hěn tián) - Món tráng miệng này rất ngọt.</t>
        </is>
      </c>
      <c r="E2127" s="94" t="inlineStr">
        <is>
          <t>45 甜 tián Ngọt 这道甜点很甜。(Zhè dào tiándiǎn hěn tián) - Món tráng miệng này rất ngọt.</t>
        </is>
      </c>
      <c r="F2127" s="115">
        <f>HYPERLINK("https://youglish.com/pronounce/甜这道甜点很甜/chinese","🔍")</f>
        <v/>
      </c>
    </row>
    <row r="2128" ht="28.5" customHeight="1" s="99">
      <c r="A2128" s="92" t="inlineStr">
        <is>
          <t>PDF 300+ Mẫu Câu Giao tiếp theo chủ đề.pdf</t>
        </is>
      </c>
      <c r="B2128" s="93" t="inlineStr">
        <is>
          <t>46</t>
        </is>
      </c>
      <c r="C2128" s="92" t="inlineStr">
        <is>
          <t>咖啡 kāfēi Cà phê 我每天喝咖啡</t>
        </is>
      </c>
      <c r="D2128" s="92" t="inlineStr">
        <is>
          <t>Wǒ měitiān hē kāfēi) - Tôi uống cà phê mỗi ngày.</t>
        </is>
      </c>
      <c r="E2128" s="92" t="inlineStr">
        <is>
          <t>46 咖啡 kāfēi Cà phê 我每天喝咖啡。(Wǒ měitiān hē kāfēi) - Tôi uống cà phê mỗi ngày.</t>
        </is>
      </c>
      <c r="F2128" s="114">
        <f>HYPERLINK("https://youglish.com/pronounce/咖啡我每天喝咖啡/chinese","🔍")</f>
        <v/>
      </c>
    </row>
    <row r="2129" ht="28.5" customHeight="1" s="99">
      <c r="A2129" s="94" t="inlineStr">
        <is>
          <t>PDF 300+ Mẫu Câu Giao tiếp theo chủ đề.pdf</t>
        </is>
      </c>
      <c r="B2129" s="95" t="inlineStr">
        <is>
          <t>47</t>
        </is>
      </c>
      <c r="C2129" s="94" t="inlineStr">
        <is>
          <t>茶 chá Trà 这家餐厅的茶很好喝</t>
        </is>
      </c>
      <c r="D2129" s="94" t="inlineStr">
        <is>
          <t>Zhè jiā cāntīng de chá hěn hǎo hē) - Trà ở nhà hàng này rất ngon.</t>
        </is>
      </c>
      <c r="E2129" s="94" t="inlineStr">
        <is>
          <t>47 茶 chá Trà 这家餐厅的茶很好喝。(Zhè jiā cāntīng de chá hěn hǎo hē) - Trà ở nhà hàng này rất ngon.</t>
        </is>
      </c>
      <c r="F2129" s="115">
        <f>HYPERLINK("https://youglish.com/pronounce/茶这家餐厅的茶很好喝/chinese","🔍")</f>
        <v/>
      </c>
    </row>
    <row r="2130" ht="28.5" customHeight="1" s="99">
      <c r="A2130" s="92" t="inlineStr">
        <is>
          <t>PDF 300+ Mẫu Câu Giao tiếp theo chủ đề.pdf</t>
        </is>
      </c>
      <c r="B2130" s="93" t="inlineStr">
        <is>
          <t>48</t>
        </is>
      </c>
      <c r="C2130" s="92" t="inlineStr">
        <is>
          <t>餐后酒</t>
        </is>
      </c>
      <c r="D2130" s="92" t="inlineStr">
        <is>
          <t>cānhòu jiǔ Rượu sau bữa ăn</t>
        </is>
      </c>
      <c r="E2130" s="92" t="inlineStr">
        <is>
          <t>48 餐后酒 cānhòu jiǔ Rượu sau bữa ăn</t>
        </is>
      </c>
      <c r="F2130" s="114">
        <f>HYPERLINK("https://youglish.com/pronounce/餐后酒/chinese","🔍")</f>
        <v/>
      </c>
    </row>
    <row r="2131" ht="28.5" customHeight="1" s="99">
      <c r="A2131" s="94" t="inlineStr">
        <is>
          <t>PDF 300+ Mẫu Câu Giao tiếp theo chủ đề.pdf</t>
        </is>
      </c>
      <c r="B2131" s="95" t="inlineStr">
        <is>
          <t>283</t>
        </is>
      </c>
      <c r="C2131" s="94" t="inlineStr">
        <is>
          <t>我们喝了餐后酒</t>
        </is>
      </c>
      <c r="D2131" s="94" t="inlineStr">
        <is>
          <t>Wǒmen hē le cānhòu jiǔ) - Chúng tôi đã uống rượu sau bữa ăn.</t>
        </is>
      </c>
      <c r="E2131" s="94" t="inlineStr">
        <is>
          <t>我们喝了餐后酒。(Wǒmen hē le cānhòu jiǔ) - Chúng tôi đã uống rượu sau bữa ăn.</t>
        </is>
      </c>
      <c r="F2131" s="115">
        <f>HYPERLINK("https://youglish.com/pronounce/我们喝了餐后酒/chinese","🔍")</f>
        <v/>
      </c>
    </row>
    <row r="2132" ht="28.5" customHeight="1" s="99">
      <c r="A2132" s="92" t="inlineStr">
        <is>
          <t>PDF 300+ Mẫu Câu Giao tiếp theo chủ đề.pdf</t>
        </is>
      </c>
      <c r="B2132" s="93" t="inlineStr">
        <is>
          <t>49</t>
        </is>
      </c>
      <c r="C2132" s="92" t="inlineStr">
        <is>
          <t>酒精 jiǔjīng Cồn 这里有很多酒精饮料</t>
        </is>
      </c>
      <c r="D2132" s="92" t="inlineStr">
        <is>
          <t>Zhèlǐ yǒu hěn duō jiǔjīng yǐnliào) - Ở đây có nhiều đồ uống có cồn.</t>
        </is>
      </c>
      <c r="E2132" s="92" t="inlineStr">
        <is>
          <t>49 酒精 jiǔjīng Cồn 这里有很多酒精饮料。(Zhèlǐ yǒu hěn duō jiǔjīng yǐnliào) - Ở đây có nhiều đồ uống có cồn.</t>
        </is>
      </c>
      <c r="F2132" s="114">
        <f>HYPERLINK("https://youglish.com/pronounce/酒精这里有很多酒精饮料/chinese","🔍")</f>
        <v/>
      </c>
    </row>
    <row r="2133" ht="28.5" customHeight="1" s="99">
      <c r="A2133" s="94" t="inlineStr">
        <is>
          <t>PDF 300+ Mẫu Câu Giao tiếp theo chủ đề.pdf</t>
        </is>
      </c>
      <c r="B2133" s="95" t="inlineStr">
        <is>
          <t>50</t>
        </is>
      </c>
      <c r="C2133" s="94" t="inlineStr">
        <is>
          <t>瓶子 píngzi Chai 我们要一瓶水</t>
        </is>
      </c>
      <c r="D2133" s="94" t="inlineStr">
        <is>
          <t>Wǒmen yào yī píng shuǐ) - Chúng tôi muốn một chai nước.</t>
        </is>
      </c>
      <c r="E2133" s="94" t="inlineStr">
        <is>
          <t>50 瓶子 píngzi Chai 我们要一瓶水。(Wǒmen yào yī píng shuǐ) - Chúng tôi muốn một chai nước.</t>
        </is>
      </c>
      <c r="F2133" s="115">
        <f>HYPERLINK("https://youglish.com/pronounce/瓶子我们要一瓶水/chinese","🔍")</f>
        <v/>
      </c>
    </row>
    <row r="2134" ht="28.5" customHeight="1" s="99">
      <c r="A2134" s="92" t="inlineStr">
        <is>
          <t>PDF 300+ Mẫu Câu Giao tiếp theo chủ đề.pdf</t>
        </is>
      </c>
      <c r="B2134" s="93" t="inlineStr">
        <is>
          <t>51</t>
        </is>
      </c>
      <c r="C2134" s="92" t="inlineStr">
        <is>
          <t>餐厅环</t>
        </is>
      </c>
      <c r="D2134" s="92" t="n"/>
      <c r="E2134" s="92" t="inlineStr">
        <is>
          <t>51 餐厅环</t>
        </is>
      </c>
      <c r="F2134" s="114">
        <f>HYPERLINK("https://youglish.com/pronounce/餐厅环/chinese","🔍")</f>
        <v/>
      </c>
    </row>
    <row r="2135" ht="28.5" customHeight="1" s="99">
      <c r="A2135" s="94" t="inlineStr">
        <is>
          <t>PDF 300+ Mẫu Câu Giao tiếp theo chủ đề.pdf</t>
        </is>
      </c>
      <c r="B2135" s="95" t="inlineStr">
        <is>
          <t>287</t>
        </is>
      </c>
      <c r="C2135" s="94" t="inlineStr">
        <is>
          <t>境</t>
        </is>
      </c>
      <c r="D2135" s="94" t="inlineStr">
        <is>
          <t>cāntīng huánjìng</t>
        </is>
      </c>
      <c r="E2135" s="94" t="inlineStr">
        <is>
          <t>境 cāntīng huánjìng</t>
        </is>
      </c>
      <c r="F2135" s="115">
        <f>HYPERLINK("https://youglish.com/pronounce/境/chinese","🔍")</f>
        <v/>
      </c>
    </row>
    <row r="2136" ht="28.5" customHeight="1" s="99">
      <c r="A2136" s="92" t="inlineStr">
        <is>
          <t>PDF 300+ Mẫu Câu Giao tiếp theo chủ đề.pdf</t>
        </is>
      </c>
      <c r="B2136" s="93" t="inlineStr">
        <is>
          <t>288</t>
        </is>
      </c>
      <c r="C2136" s="92" t="inlineStr">
        <is>
          <t>餐厅环境非常好</t>
        </is>
      </c>
      <c r="D2136" s="92" t="inlineStr">
        <is>
          <t>Cāntīng huánjìng fēicháng hǎo) - Môi trường nhà hàng rất tốt.</t>
        </is>
      </c>
      <c r="E2136" s="92" t="inlineStr">
        <is>
          <t>餐厅环境非常好。(Cāntīng huánjìng fēicháng hǎo) - Môi trường nhà hàng rất tốt.</t>
        </is>
      </c>
      <c r="F2136" s="114">
        <f>HYPERLINK("https://youglish.com/pronounce/餐厅环境非常好/chinese","🔍")</f>
        <v/>
      </c>
    </row>
    <row r="2137" ht="28.5" customHeight="1" s="99">
      <c r="A2137" s="94" t="inlineStr">
        <is>
          <t>PDF 300+ Mẫu Câu Giao tiếp theo chủ đề.pdf</t>
        </is>
      </c>
      <c r="B2137" s="95" t="inlineStr">
        <is>
          <t>52</t>
        </is>
      </c>
      <c r="C2137" s="94" t="inlineStr">
        <is>
          <t>预约 yùyuē Đặt trước 我们提前预约了</t>
        </is>
      </c>
      <c r="D2137" s="94" t="inlineStr">
        <is>
          <t>Wǒmen tíqián yùyuē le) - Chúng tôi đã đặt trước.</t>
        </is>
      </c>
      <c r="E2137" s="94" t="inlineStr">
        <is>
          <t>52 预约 yùyuē Đặt trước 我们提前预约了。(Wǒmen tíqián yùyuē le) - Chúng tôi đã đặt trước.</t>
        </is>
      </c>
      <c r="F2137" s="115">
        <f>HYPERLINK("https://youglish.com/pronounce/预约我们提前预约了/chinese","🔍")</f>
        <v/>
      </c>
    </row>
    <row r="2138" ht="28.5" customHeight="1" s="99">
      <c r="A2138" s="92" t="inlineStr">
        <is>
          <t>PDF 300+ Mẫu Câu Giao tiếp theo chủ đề.pdf</t>
        </is>
      </c>
      <c r="B2138" s="93" t="inlineStr">
        <is>
          <t>53</t>
        </is>
      </c>
      <c r="C2138" s="92" t="inlineStr">
        <is>
          <t>随便 suíbiàn Tùy ý 请随便点菜</t>
        </is>
      </c>
      <c r="D2138" s="92" t="inlineStr">
        <is>
          <t>Qǐng suíbiàn diǎn cài) - Xin mời bạn gọi món tùy ý.</t>
        </is>
      </c>
      <c r="E2138" s="92" t="inlineStr">
        <is>
          <t>53 随便 suíbiàn Tùy ý 请随便点菜。(Qǐng suíbiàn diǎn cài) - Xin mời bạn gọi món tùy ý.</t>
        </is>
      </c>
      <c r="F2138" s="114">
        <f>HYPERLINK("https://youglish.com/pronounce/随便请随便点菜/chinese","🔍")</f>
        <v/>
      </c>
    </row>
    <row r="2139" ht="28.5" customHeight="1" s="99">
      <c r="A2139" s="94" t="inlineStr">
        <is>
          <t>PDF 300+ Mẫu Câu Giao tiếp theo chủ đề.pdf</t>
        </is>
      </c>
      <c r="B2139" s="95" t="inlineStr">
        <is>
          <t>54</t>
        </is>
      </c>
      <c r="C2139" s="94" t="inlineStr">
        <is>
          <t>生日聚</t>
        </is>
      </c>
      <c r="D2139" s="94" t="n"/>
      <c r="E2139" s="94" t="inlineStr">
        <is>
          <t>54 生日聚</t>
        </is>
      </c>
      <c r="F2139" s="115">
        <f>HYPERLINK("https://youglish.com/pronounce/生日聚/chinese","🔍")</f>
        <v/>
      </c>
    </row>
    <row r="2140" ht="28.5" customHeight="1" s="99">
      <c r="A2140" s="92" t="inlineStr">
        <is>
          <t>PDF 300+ Mẫu Câu Giao tiếp theo chủ đề.pdf</t>
        </is>
      </c>
      <c r="B2140" s="93" t="inlineStr">
        <is>
          <t>292</t>
        </is>
      </c>
      <c r="C2140" s="92" t="inlineStr">
        <is>
          <t>会</t>
        </is>
      </c>
      <c r="D2140" s="92" t="inlineStr">
        <is>
          <t>shēngrì jùhuì</t>
        </is>
      </c>
      <c r="E2140" s="92" t="inlineStr">
        <is>
          <t>会 shēngrì jùhuì</t>
        </is>
      </c>
      <c r="F2140" s="114">
        <f>HYPERLINK("https://youglish.com/pronounce/会/chinese","🔍")</f>
        <v/>
      </c>
    </row>
    <row r="2141" ht="28.5" customHeight="1" s="99">
      <c r="A2141" s="94" t="inlineStr">
        <is>
          <t>PDF 300+ Mẫu Câu Giao tiếp theo chủ đề.pdf</t>
        </is>
      </c>
      <c r="B2141" s="95" t="inlineStr">
        <is>
          <t>293</t>
        </is>
      </c>
      <c r="C2141" s="94" t="inlineStr">
        <is>
          <t>这是我的生日聚会</t>
        </is>
      </c>
      <c r="D2141" s="94" t="inlineStr">
        <is>
          <t>Zhè shì wǒ de shēngrì jùhuì) - Đây là tiệc sinh nhật của tôi.</t>
        </is>
      </c>
      <c r="E2141" s="94" t="inlineStr">
        <is>
          <t>这是我的生日聚会。(Zhè shì wǒ de shēngrì jùhuì) - Đây là tiệc sinh nhật của tôi.</t>
        </is>
      </c>
      <c r="F2141" s="115">
        <f>HYPERLINK("https://youglish.com/pronounce/这是我的生日聚会/chinese","🔍")</f>
        <v/>
      </c>
    </row>
    <row r="2142" ht="28.5" customHeight="1" s="99">
      <c r="A2142" s="92" t="inlineStr">
        <is>
          <t>PDF 300+ Mẫu Câu Giao tiếp theo chủ đề.pdf</t>
        </is>
      </c>
      <c r="B2142" s="93" t="inlineStr">
        <is>
          <t>55</t>
        </is>
      </c>
      <c r="C2142" s="92" t="inlineStr">
        <is>
          <t>上菜</t>
        </is>
      </c>
      <c r="D2142" s="92" t="inlineStr">
        <is>
          <t>shàng cài Mang món lên</t>
        </is>
      </c>
      <c r="E2142" s="92" t="inlineStr">
        <is>
          <t>55 上菜 shàng cài Mang món lên</t>
        </is>
      </c>
      <c r="F2142" s="114">
        <f>HYPERLINK("https://youglish.com/pronounce/上菜/chinese","🔍")</f>
        <v/>
      </c>
    </row>
    <row r="2143" ht="28.5" customHeight="1" s="99">
      <c r="A2143" s="94" t="inlineStr">
        <is>
          <t>PDF 300+ Mẫu Câu Giao tiếp theo chủ đề.pdf</t>
        </is>
      </c>
      <c r="B2143" s="95" t="inlineStr">
        <is>
          <t>295</t>
        </is>
      </c>
      <c r="C2143" s="94" t="inlineStr">
        <is>
          <t>请上菜</t>
        </is>
      </c>
      <c r="D2143" s="94" t="inlineStr">
        <is>
          <t>Qǐng shàng cài) - Xin mang món lên.</t>
        </is>
      </c>
      <c r="E2143" s="94" t="inlineStr">
        <is>
          <t>请上菜。(Qǐng shàng cài) - Xin mang món lên.</t>
        </is>
      </c>
      <c r="F2143" s="115">
        <f>HYPERLINK("https://youglish.com/pronounce/请上菜/chinese","🔍")</f>
        <v/>
      </c>
    </row>
    <row r="2144" ht="28.5" customHeight="1" s="99">
      <c r="A2144" s="92" t="inlineStr">
        <is>
          <t>PDF 300+ Mẫu Câu Giao tiếp theo chủ đề.pdf</t>
        </is>
      </c>
      <c r="B2144" s="93" t="inlineStr">
        <is>
          <t>56</t>
        </is>
      </c>
      <c r="C2144" s="92" t="inlineStr">
        <is>
          <t>包子 bāozi Bánh bao 这家餐厅的包子很好吃</t>
        </is>
      </c>
      <c r="D2144" s="92" t="inlineStr">
        <is>
          <t>Zhè jiā cāntīng de bāozi hěn hǎochī) - Bánh bao ở nhà hàng này rất ngon.</t>
        </is>
      </c>
      <c r="E2144" s="92" t="inlineStr">
        <is>
          <t>56 包子 bāozi Bánh bao 这家餐厅的包子很好吃。(Zhè jiā cāntīng de bāozi hěn hǎochī) - Bánh bao ở nhà hàng này rất ngon.</t>
        </is>
      </c>
      <c r="F2144" s="114">
        <f>HYPERLINK("https://youglish.com/pronounce/包子这家餐厅的包子很好吃/chinese","🔍")</f>
        <v/>
      </c>
    </row>
    <row r="2145" ht="28.5" customHeight="1" s="99">
      <c r="A2145" s="94" t="inlineStr">
        <is>
          <t>PDF 300+ Mẫu Câu Giao tiếp theo chủ đề.pdf</t>
        </is>
      </c>
      <c r="B2145" s="95" t="inlineStr">
        <is>
          <t>57</t>
        </is>
      </c>
      <c r="C2145" s="94" t="inlineStr">
        <is>
          <t>锅贴</t>
        </is>
      </c>
      <c r="D2145" s="94" t="inlineStr">
        <is>
          <t>guōtiē Bánh chảo</t>
        </is>
      </c>
      <c r="E2145" s="94" t="inlineStr">
        <is>
          <t>57 锅贴 guōtiē Bánh chảo</t>
        </is>
      </c>
      <c r="F2145" s="115">
        <f>HYPERLINK("https://youglish.com/pronounce/锅贴/chinese","🔍")</f>
        <v/>
      </c>
    </row>
    <row r="2146" ht="28.5" customHeight="1" s="99">
      <c r="A2146" s="92" t="inlineStr">
        <is>
          <t>PDF 300+ Mẫu Câu Giao tiếp theo chủ đề.pdf</t>
        </is>
      </c>
      <c r="B2146" s="93" t="inlineStr">
        <is>
          <t>298</t>
        </is>
      </c>
      <c r="C2146" s="92" t="inlineStr">
        <is>
          <t>我们点了锅贴</t>
        </is>
      </c>
      <c r="D2146" s="92" t="inlineStr">
        <is>
          <t>Wǒmen diǎn le guōtiē) - Chúng tôi đã gọi bánh chảo.</t>
        </is>
      </c>
      <c r="E2146" s="92" t="inlineStr">
        <is>
          <t>我们点了锅贴。(Wǒmen diǎn le guōtiē) - Chúng tôi đã gọi bánh chảo.</t>
        </is>
      </c>
      <c r="F2146" s="114">
        <f>HYPERLINK("https://youglish.com/pronounce/我们点了锅贴/chinese","🔍")</f>
        <v/>
      </c>
    </row>
    <row r="2147" ht="28.5" customHeight="1" s="99">
      <c r="A2147" s="94" t="inlineStr">
        <is>
          <t>PDF 300+ Mẫu Câu Giao tiếp theo chủ đề.pdf</t>
        </is>
      </c>
      <c r="B2147" s="95" t="inlineStr">
        <is>
          <t>58</t>
        </is>
      </c>
      <c r="C2147" s="94" t="inlineStr">
        <is>
          <t>炒面 chǎo miàn Mì xào 我喜欢吃炒面</t>
        </is>
      </c>
      <c r="D2147" s="94" t="inlineStr">
        <is>
          <t>Wǒ xǐhuān chī chǎo miàn) - Tôi thích ăn mì xào.</t>
        </is>
      </c>
      <c r="E2147" s="94" t="inlineStr">
        <is>
          <t>58 炒面 chǎo miàn Mì xào 我喜欢吃炒面。(Wǒ xǐhuān chī chǎo miàn) - Tôi thích ăn mì xào.</t>
        </is>
      </c>
      <c r="F2147" s="115">
        <f>HYPERLINK("https://youglish.com/pronounce/炒面我喜欢吃炒面/chinese","🔍")</f>
        <v/>
      </c>
    </row>
    <row r="2148" ht="28.5" customHeight="1" s="99">
      <c r="A2148" s="92" t="inlineStr">
        <is>
          <t>PDF 300+ Mẫu Câu Giao tiếp theo chủ đề.pdf</t>
        </is>
      </c>
      <c r="B2148" s="93" t="inlineStr">
        <is>
          <t>59</t>
        </is>
      </c>
      <c r="C2148" s="92" t="inlineStr">
        <is>
          <t>盒饭 héfàn Cơm hộp 我带了盒饭</t>
        </is>
      </c>
      <c r="D2148" s="92" t="inlineStr">
        <is>
          <t>Wǒ dàile héfàn) - Tôi mang cơm hộp theo.</t>
        </is>
      </c>
      <c r="E2148" s="92" t="inlineStr">
        <is>
          <t>59 盒饭 héfàn Cơm hộp 我带了盒饭。(Wǒ dàile héfàn) - Tôi mang cơm hộp theo.</t>
        </is>
      </c>
      <c r="F2148" s="114">
        <f>HYPERLINK("https://youglish.com/pronounce/盒饭我带了盒饭/chinese","🔍")</f>
        <v/>
      </c>
    </row>
    <row r="2149" ht="28.5" customHeight="1" s="99">
      <c r="A2149" s="94" t="inlineStr">
        <is>
          <t>PDF 300+ Mẫu Câu Giao tiếp theo chủ đề.pdf</t>
        </is>
      </c>
      <c r="B2149" s="95" t="inlineStr">
        <is>
          <t>60</t>
        </is>
      </c>
      <c r="C2149" s="94" t="inlineStr">
        <is>
          <t>小吃 xiǎochī Đồ ăn vặt 我们去吃小吃</t>
        </is>
      </c>
      <c r="D2149" s="94" t="inlineStr">
        <is>
          <t>Wǒmen qù chī xiǎochī) - Chúng tôi đi ăn đồ ăn vặt.</t>
        </is>
      </c>
      <c r="E2149" s="94" t="inlineStr">
        <is>
          <t>60 小吃 xiǎochī Đồ ăn vặt 我们去吃小吃。(Wǒmen qù chī xiǎochī) - Chúng tôi đi ăn đồ ăn vặt.</t>
        </is>
      </c>
      <c r="F2149" s="115">
        <f>HYPERLINK("https://youglish.com/pronounce/小吃我们去吃小吃/chinese","🔍")</f>
        <v/>
      </c>
    </row>
    <row r="2150" ht="28.5" customHeight="1" s="99">
      <c r="A2150" s="92" t="inlineStr">
        <is>
          <t>PDF 300+ Mẫu Câu Giao tiếp theo chủ đề.pdf</t>
        </is>
      </c>
      <c r="B2150" s="93" t="inlineStr">
        <is>
          <t>61</t>
        </is>
      </c>
      <c r="C2150" s="92" t="inlineStr">
        <is>
          <t>特色 tèsè Đặc sản 这家餐厅的特色菜很有名</t>
        </is>
      </c>
      <c r="D2150" s="92" t="inlineStr">
        <is>
          <t>Zhè jiā cāntīng de tèsè cài hěn yǒumíng) - Món đặc sản của nhà hàng này rất nổi tiếng.</t>
        </is>
      </c>
      <c r="E2150" s="92" t="inlineStr">
        <is>
          <t>61 特色 tèsè Đặc sản 这家餐厅的特色菜很有名。(Zhè jiā cāntīng de tèsè cài hěn yǒumíng) - Món đặc sản của nhà hàng này rất nổi tiếng.</t>
        </is>
      </c>
      <c r="F2150" s="114">
        <f>HYPERLINK("https://youglish.com/pronounce/特色这家餐厅的特色菜很有名/chinese","🔍")</f>
        <v/>
      </c>
    </row>
    <row r="2151" ht="28.5" customHeight="1" s="99">
      <c r="A2151" s="94" t="inlineStr">
        <is>
          <t>PDF 300+ Mẫu Câu Giao tiếp theo chủ đề.pdf</t>
        </is>
      </c>
      <c r="B2151" s="95" t="inlineStr">
        <is>
          <t>62</t>
        </is>
      </c>
      <c r="C2151" s="94" t="inlineStr">
        <is>
          <t>点心</t>
        </is>
      </c>
      <c r="D2151" s="94" t="inlineStr">
        <is>
          <t>diǎnxīn Món điểm tâm</t>
        </is>
      </c>
      <c r="E2151" s="94" t="inlineStr">
        <is>
          <t>62 点心 diǎnxīn Món điểm tâm</t>
        </is>
      </c>
      <c r="F2151" s="115">
        <f>HYPERLINK("https://youglish.com/pronounce/点心/chinese","🔍")</f>
        <v/>
      </c>
    </row>
    <row r="2152" ht="28.5" customHeight="1" s="99">
      <c r="A2152" s="92" t="inlineStr">
        <is>
          <t>PDF 300+ Mẫu Câu Giao tiếp theo chủ đề.pdf</t>
        </is>
      </c>
      <c r="B2152" s="93" t="inlineStr">
        <is>
          <t>304</t>
        </is>
      </c>
      <c r="C2152" s="92" t="inlineStr">
        <is>
          <t>我喜欢吃点心</t>
        </is>
      </c>
      <c r="D2152" s="92" t="inlineStr">
        <is>
          <t>Wǒ xǐhuān chī diǎnxīn) - Tôi thích ăn điểm tâm.</t>
        </is>
      </c>
      <c r="E2152" s="92" t="inlineStr">
        <is>
          <t>我喜欢吃点心。(Wǒ xǐhuān chī diǎnxīn) - Tôi thích ăn điểm tâm.</t>
        </is>
      </c>
      <c r="F2152" s="114">
        <f>HYPERLINK("https://youglish.com/pronounce/我喜欢吃点心/chinese","🔍")</f>
        <v/>
      </c>
    </row>
    <row r="2153" ht="28.5" customHeight="1" s="99">
      <c r="A2153" s="94" t="inlineStr">
        <is>
          <t>PDF 300+ Mẫu Câu Giao tiếp theo chủ đề.pdf</t>
        </is>
      </c>
      <c r="B2153" s="95" t="inlineStr">
        <is>
          <t>63</t>
        </is>
      </c>
      <c r="C2153" s="94" t="inlineStr">
        <is>
          <t>餐具</t>
        </is>
      </c>
      <c r="D2153" s="94" t="inlineStr">
        <is>
          <t>cānjù Dụng cụ ăn uống</t>
        </is>
      </c>
      <c r="E2153" s="94" t="inlineStr">
        <is>
          <t>63 餐具 cānjù Dụng cụ ăn uống</t>
        </is>
      </c>
      <c r="F2153" s="115">
        <f>HYPERLINK("https://youglish.com/pronounce/餐具/chinese","🔍")</f>
        <v/>
      </c>
    </row>
    <row r="2154" ht="28.5" customHeight="1" s="99">
      <c r="A2154" s="92" t="inlineStr">
        <is>
          <t>PDF 300+ Mẫu Câu Giao tiếp theo chủ đề.pdf</t>
        </is>
      </c>
      <c r="B2154" s="93" t="inlineStr">
        <is>
          <t>306</t>
        </is>
      </c>
      <c r="C2154" s="92" t="inlineStr">
        <is>
          <t>这里的餐具很干净</t>
        </is>
      </c>
      <c r="D2154" s="92" t="inlineStr">
        <is>
          <t>Zhèlǐ de cānjù hěn gānjìng) - Dụng cụ ăn uống ở đây rất sạch sẽ.</t>
        </is>
      </c>
      <c r="E2154" s="92" t="inlineStr">
        <is>
          <t>这里的餐具很干净。(Zhèlǐ de cānjù hěn gānjìng) - Dụng cụ ăn uống ở đây rất sạch sẽ.</t>
        </is>
      </c>
      <c r="F2154" s="114">
        <f>HYPERLINK("https://youglish.com/pronounce/这里的餐具很干净/chinese","🔍")</f>
        <v/>
      </c>
    </row>
    <row r="2155" ht="28.5" customHeight="1" s="99">
      <c r="A2155" s="94" t="inlineStr">
        <is>
          <t>PDF 300+ Mẫu Câu Giao tiếp theo chủ đề.pdf</t>
        </is>
      </c>
      <c r="B2155" s="95" t="inlineStr">
        <is>
          <t>64</t>
        </is>
      </c>
      <c r="C2155" s="94" t="inlineStr">
        <is>
          <t>餐后饮</t>
        </is>
      </c>
      <c r="D2155" s="94" t="n"/>
      <c r="E2155" s="94" t="inlineStr">
        <is>
          <t>64 餐后饮</t>
        </is>
      </c>
      <c r="F2155" s="115">
        <f>HYPERLINK("https://youglish.com/pronounce/餐后饮/chinese","🔍")</f>
        <v/>
      </c>
    </row>
    <row r="2156" ht="28.5" customHeight="1" s="99">
      <c r="A2156" s="92" t="inlineStr">
        <is>
          <t>PDF 300+ Mẫu Câu Giao tiếp theo chủ đề.pdf</t>
        </is>
      </c>
      <c r="B2156" s="93" t="inlineStr">
        <is>
          <t>308</t>
        </is>
      </c>
      <c r="C2156" s="92" t="inlineStr">
        <is>
          <t>料</t>
        </is>
      </c>
      <c r="D2156" s="92" t="inlineStr">
        <is>
          <t>cānhòu yǐnliào</t>
        </is>
      </c>
      <c r="E2156" s="92" t="inlineStr">
        <is>
          <t>料 cānhòu yǐnliào</t>
        </is>
      </c>
      <c r="F2156" s="114">
        <f>HYPERLINK("https://youglish.com/pronounce/料/chinese","🔍")</f>
        <v/>
      </c>
    </row>
    <row r="2157" ht="28.5" customHeight="1" s="99">
      <c r="A2157" s="94" t="inlineStr">
        <is>
          <t>PDF 300+ Mẫu Câu Giao tiếp theo chủ đề.pdf</t>
        </is>
      </c>
      <c r="B2157" s="95" t="inlineStr">
        <is>
          <t>309</t>
        </is>
      </c>
      <c r="C2157" s="94" t="inlineStr">
        <is>
          <t>餐后饮料很好喝</t>
        </is>
      </c>
      <c r="D2157" s="94" t="inlineStr">
        <is>
          <t>Cānhòu yǐnliào hěn hǎo hē) - Đồ uống sau bữa ăn rất ngon.</t>
        </is>
      </c>
      <c r="E2157" s="94" t="inlineStr">
        <is>
          <t>餐后饮料很好喝。(Cānhòu yǐnliào hěn hǎo hē) - Đồ uống sau bữa ăn rất ngon.</t>
        </is>
      </c>
      <c r="F2157" s="115">
        <f>HYPERLINK("https://youglish.com/pronounce/餐后饮料很好喝/chinese","🔍")</f>
        <v/>
      </c>
    </row>
    <row r="2158" ht="28.5" customHeight="1" s="99">
      <c r="A2158" s="92" t="inlineStr">
        <is>
          <t>PDF 300+ Mẫu Câu Giao tiếp theo chủ đề.pdf</t>
        </is>
      </c>
      <c r="B2158" s="93" t="inlineStr">
        <is>
          <t>65</t>
        </is>
      </c>
      <c r="C2158" s="92" t="inlineStr">
        <is>
          <t>餐后甜</t>
        </is>
      </c>
      <c r="D2158" s="92" t="n"/>
      <c r="E2158" s="92" t="inlineStr">
        <is>
          <t>65 餐后甜</t>
        </is>
      </c>
      <c r="F2158" s="114">
        <f>HYPERLINK("https://youglish.com/pronounce/餐后甜/chinese","🔍")</f>
        <v/>
      </c>
    </row>
    <row r="2159" ht="28.5" customHeight="1" s="99">
      <c r="A2159" s="94" t="inlineStr">
        <is>
          <t>PDF 300+ Mẫu Câu Giao tiếp theo chủ đề.pdf</t>
        </is>
      </c>
      <c r="B2159" s="95" t="inlineStr">
        <is>
          <t>311</t>
        </is>
      </c>
      <c r="C2159" s="94" t="inlineStr">
        <is>
          <t>点</t>
        </is>
      </c>
      <c r="D2159" s="94" t="inlineStr">
        <is>
          <t>cānhòu tiándiǎn</t>
        </is>
      </c>
      <c r="E2159" s="94" t="inlineStr">
        <is>
          <t>点 cānhòu tiándiǎn</t>
        </is>
      </c>
      <c r="F2159" s="115">
        <f>HYPERLINK("https://youglish.com/pronounce/点/chinese","🔍")</f>
        <v/>
      </c>
    </row>
    <row r="2160" ht="28.5" customHeight="1" s="99">
      <c r="A2160" s="92" t="inlineStr">
        <is>
          <t>PDF 300+ Mẫu Câu Giao tiếp theo chủ đề.pdf</t>
        </is>
      </c>
      <c r="B2160" s="93" t="inlineStr">
        <is>
          <t>312</t>
        </is>
      </c>
      <c r="C2160" s="92" t="inlineStr">
        <is>
          <t>我们吃了餐后甜点</t>
        </is>
      </c>
      <c r="D2160" s="92" t="inlineStr">
        <is>
          <t>Wǒmen chī le cānhòu tiándiǎn) - Chúng tôi ăn tráng miệng sau bữa ăn.</t>
        </is>
      </c>
      <c r="E2160" s="92" t="inlineStr">
        <is>
          <t>我们吃了餐后甜点。(Wǒmen chī le cānhòu tiándiǎn) - Chúng tôi ăn tráng miệng sau bữa ăn.</t>
        </is>
      </c>
      <c r="F2160" s="114">
        <f>HYPERLINK("https://youglish.com/pronounce/我们吃了餐后甜点/chinese","🔍")</f>
        <v/>
      </c>
    </row>
    <row r="2161" ht="28.5" customHeight="1" s="99">
      <c r="A2161" s="94" t="inlineStr">
        <is>
          <t>PDF 300+ Mẫu Câu Giao tiếp theo chủ đề.pdf</t>
        </is>
      </c>
      <c r="B2161" s="95" t="inlineStr">
        <is>
          <t>66</t>
        </is>
      </c>
      <c r="C2161" s="94" t="inlineStr">
        <is>
          <t>热饮</t>
        </is>
      </c>
      <c r="D2161" s="94" t="inlineStr">
        <is>
          <t>rè yǐn Đồ uống nóng</t>
        </is>
      </c>
      <c r="E2161" s="94" t="inlineStr">
        <is>
          <t>66 热饮 rè yǐn Đồ uống nóng</t>
        </is>
      </c>
      <c r="F2161" s="115">
        <f>HYPERLINK("https://youglish.com/pronounce/热饮/chinese","🔍")</f>
        <v/>
      </c>
    </row>
    <row r="2162" ht="28.5" customHeight="1" s="99">
      <c r="A2162" s="92" t="inlineStr">
        <is>
          <t>PDF 300+ Mẫu Câu Giao tiếp theo chủ đề.pdf</t>
        </is>
      </c>
      <c r="B2162" s="93" t="inlineStr">
        <is>
          <t>314</t>
        </is>
      </c>
      <c r="C2162" s="92" t="inlineStr">
        <is>
          <t>这里有很多热饮</t>
        </is>
      </c>
      <c r="D2162" s="92" t="inlineStr">
        <is>
          <t>Zhèlǐ yǒu hěn duō rè yǐn) - Ở đây có rất nhiều đồ uống nóng.</t>
        </is>
      </c>
      <c r="E2162" s="92" t="inlineStr">
        <is>
          <t>这里有很多热饮。(Zhèlǐ yǒu hěn duō rè yǐn) - Ở đây có rất nhiều đồ uống nóng.</t>
        </is>
      </c>
      <c r="F2162" s="114">
        <f>HYPERLINK("https://youglish.com/pronounce/这里有很多热饮/chinese","🔍")</f>
        <v/>
      </c>
    </row>
    <row r="2163" ht="28.5" customHeight="1" s="99">
      <c r="A2163" s="94" t="inlineStr">
        <is>
          <t>PDF 300+ Mẫu Câu Giao tiếp theo chủ đề.pdf</t>
        </is>
      </c>
      <c r="B2163" s="95" t="inlineStr">
        <is>
          <t>67</t>
        </is>
      </c>
      <c r="C2163" s="94" t="inlineStr">
        <is>
          <t>冷饮</t>
        </is>
      </c>
      <c r="D2163" s="94" t="inlineStr">
        <is>
          <t>lěng yǐn Đồ uống lạnh</t>
        </is>
      </c>
      <c r="E2163" s="94" t="inlineStr">
        <is>
          <t>67 冷饮 lěng yǐn Đồ uống lạnh</t>
        </is>
      </c>
      <c r="F2163" s="115">
        <f>HYPERLINK("https://youglish.com/pronounce/冷饮/chinese","🔍")</f>
        <v/>
      </c>
    </row>
    <row r="2164" ht="28.5" customHeight="1" s="99">
      <c r="A2164" s="92" t="inlineStr">
        <is>
          <t>PDF 300+ Mẫu Câu Giao tiếp theo chủ đề.pdf</t>
        </is>
      </c>
      <c r="B2164" s="93" t="inlineStr">
        <is>
          <t>316</t>
        </is>
      </c>
      <c r="C2164" s="92" t="inlineStr">
        <is>
          <t>我喜欢喝冷饮</t>
        </is>
      </c>
      <c r="D2164" s="92" t="inlineStr">
        <is>
          <t>Wǒ xǐhuān hē lěng yǐn) - Tôi thích uống đồ uống lạnh.</t>
        </is>
      </c>
      <c r="E2164" s="92" t="inlineStr">
        <is>
          <t>我喜欢喝冷饮。(Wǒ xǐhuān hē lěng yǐn) - Tôi thích uống đồ uống lạnh.</t>
        </is>
      </c>
      <c r="F2164" s="114">
        <f>HYPERLINK("https://youglish.com/pronounce/我喜欢喝冷饮/chinese","🔍")</f>
        <v/>
      </c>
    </row>
    <row r="2165" ht="28.5" customHeight="1" s="99">
      <c r="A2165" s="94" t="inlineStr">
        <is>
          <t>PDF 300+ Mẫu Câu Giao tiếp theo chủ đề.pdf</t>
        </is>
      </c>
      <c r="B2165" s="95" t="inlineStr">
        <is>
          <t>68</t>
        </is>
      </c>
      <c r="C2165" s="94" t="inlineStr">
        <is>
          <t>特色餐</t>
        </is>
      </c>
      <c r="D2165" s="94" t="inlineStr">
        <is>
          <t>tèsè cān Món ăn đặc sắc</t>
        </is>
      </c>
      <c r="E2165" s="94" t="inlineStr">
        <is>
          <t>68 特色餐 tèsè cān Món ăn đặc sắc</t>
        </is>
      </c>
      <c r="F2165" s="115">
        <f>HYPERLINK("https://youglish.com/pronounce/特色餐/chinese","🔍")</f>
        <v/>
      </c>
    </row>
    <row r="2166" ht="28.5" customHeight="1" s="99">
      <c r="A2166" s="92" t="inlineStr">
        <is>
          <t>PDF 300+ Mẫu Câu Giao tiếp theo chủ đề.pdf</t>
        </is>
      </c>
      <c r="B2166" s="93" t="inlineStr">
        <is>
          <t>318</t>
        </is>
      </c>
      <c r="C2166" s="92" t="inlineStr">
        <is>
          <t>这家餐厅的特色餐很有名</t>
        </is>
      </c>
      <c r="D2166" s="92" t="inlineStr">
        <is>
          <t>Zhè jiā cāntīng de tèsè cān hěn yǒumíng) - Món ăn đặc sắc của nhà hàng này rất nổi tiếng.</t>
        </is>
      </c>
      <c r="E2166" s="92" t="inlineStr">
        <is>
          <t>这家餐厅的特色餐很有名。(Zhè jiā cāntīng de tèsè cān hěn yǒumíng) - Món ăn đặc sắc của nhà hàng này rất nổi tiếng.</t>
        </is>
      </c>
      <c r="F2166" s="114">
        <f>HYPERLINK("https://youglish.com/pronounce/这家餐厅的特色餐很有名/chinese","🔍")</f>
        <v/>
      </c>
    </row>
    <row r="2167" ht="28.5" customHeight="1" s="99">
      <c r="A2167" s="94" t="inlineStr">
        <is>
          <t>PDF 300+ Mẫu Câu Giao tiếp theo chủ đề.pdf</t>
        </is>
      </c>
      <c r="B2167" s="95" t="inlineStr">
        <is>
          <t>69</t>
        </is>
      </c>
      <c r="C2167" s="94" t="inlineStr">
        <is>
          <t>餐桌 cānzhuō Bàn ăn 请坐到餐桌上</t>
        </is>
      </c>
      <c r="D2167" s="94" t="inlineStr">
        <is>
          <t>Qǐng zuò dào cānzhuō shàng) - Xin mời ngồi vào bàn ăn.</t>
        </is>
      </c>
      <c r="E2167" s="94" t="inlineStr">
        <is>
          <t>69 餐桌 cānzhuō Bàn ăn 请坐到餐桌上。(Qǐng zuò dào cānzhuō shàng) - Xin mời ngồi vào bàn ăn.</t>
        </is>
      </c>
      <c r="F2167" s="115">
        <f>HYPERLINK("https://youglish.com/pronounce/餐桌请坐到餐桌上/chinese","🔍")</f>
        <v/>
      </c>
    </row>
    <row r="2168" ht="28.5" customHeight="1" s="99">
      <c r="A2168" s="92" t="inlineStr">
        <is>
          <t>PDF 300+ Mẫu Câu Giao tiếp theo chủ đề.pdf</t>
        </is>
      </c>
      <c r="B2168" s="93" t="inlineStr">
        <is>
          <t>70</t>
        </is>
      </c>
      <c r="C2168" s="92" t="inlineStr">
        <is>
          <t>充电 chōngdiàn Sạc điện 餐厅里有充电插座</t>
        </is>
      </c>
      <c r="D2168" s="92" t="inlineStr">
        <is>
          <t>Cāntīng lǐ yǒu chōngdiàn chāzuò) - Nhà hàng có ổ cắm sạc điện.</t>
        </is>
      </c>
      <c r="E2168" s="92" t="inlineStr">
        <is>
          <t>70 充电 chōngdiàn Sạc điện 餐厅里有充电插座。(Cāntīng lǐ yǒu chōngdiàn chāzuò) - Nhà hàng có ổ cắm sạc điện.</t>
        </is>
      </c>
      <c r="F2168" s="114">
        <f>HYPERLINK("https://youglish.com/pronounce/充电餐厅里有充电插座/chinese","🔍")</f>
        <v/>
      </c>
    </row>
    <row r="2169" ht="28.5" customHeight="1" s="99">
      <c r="A2169" s="94" t="inlineStr">
        <is>
          <t>PDF 300+ Mẫu Câu Giao tiếp theo chủ đề.pdf</t>
        </is>
      </c>
      <c r="B2169" s="95" t="inlineStr">
        <is>
          <t>71</t>
        </is>
      </c>
      <c r="C2169" s="94" t="inlineStr">
        <is>
          <t>牛奶 niúnǎi Sữa bò 我喜欢喝牛奶</t>
        </is>
      </c>
      <c r="D2169" s="94" t="inlineStr">
        <is>
          <t>Wǒ xǐhuān hē niúnǎi) - Tôi thích uống sữa bò.</t>
        </is>
      </c>
      <c r="E2169" s="94" t="inlineStr">
        <is>
          <t>71 牛奶 niúnǎi Sữa bò 我喜欢喝牛奶。(Wǒ xǐhuān hē niúnǎi) - Tôi thích uống sữa bò.</t>
        </is>
      </c>
      <c r="F2169" s="115">
        <f>HYPERLINK("https://youglish.com/pronounce/牛奶我喜欢喝牛奶/chinese","🔍")</f>
        <v/>
      </c>
    </row>
    <row r="2170" ht="28.5" customHeight="1" s="99">
      <c r="A2170" s="92" t="inlineStr">
        <is>
          <t>PDF 300+ Mẫu Câu Giao tiếp theo chủ đề.pdf</t>
        </is>
      </c>
      <c r="B2170" s="93" t="inlineStr">
        <is>
          <t>72</t>
        </is>
      </c>
      <c r="C2170" s="92" t="inlineStr">
        <is>
          <t>豆浆</t>
        </is>
      </c>
      <c r="D2170" s="92" t="inlineStr">
        <is>
          <t>dòujiāng Sữa đậu nành</t>
        </is>
      </c>
      <c r="E2170" s="92" t="inlineStr">
        <is>
          <t>72 豆浆 dòujiāng Sữa đậu nành</t>
        </is>
      </c>
      <c r="F2170" s="114">
        <f>HYPERLINK("https://youglish.com/pronounce/豆浆/chinese","🔍")</f>
        <v/>
      </c>
    </row>
    <row r="2171" ht="28.5" customHeight="1" s="99">
      <c r="A2171" s="94" t="inlineStr">
        <is>
          <t>PDF 300+ Mẫu Câu Giao tiếp theo chủ đề.pdf</t>
        </is>
      </c>
      <c r="B2171" s="95" t="inlineStr">
        <is>
          <t>323</t>
        </is>
      </c>
      <c r="C2171" s="94" t="inlineStr">
        <is>
          <t>我每天喝豆浆</t>
        </is>
      </c>
      <c r="D2171" s="94" t="inlineStr">
        <is>
          <t>Wǒ měitiān hē dòujiāng) - Tôi uống sữa đậu nành mỗi ngày.</t>
        </is>
      </c>
      <c r="E2171" s="94" t="inlineStr">
        <is>
          <t>我每天喝豆浆。(Wǒ měitiān hē dòujiāng) - Tôi uống sữa đậu nành mỗi ngày.</t>
        </is>
      </c>
      <c r="F2171" s="115">
        <f>HYPERLINK("https://youglish.com/pronounce/我每天喝豆浆/chinese","🔍")</f>
        <v/>
      </c>
    </row>
    <row r="2172" ht="28.5" customHeight="1" s="99">
      <c r="A2172" s="92" t="inlineStr">
        <is>
          <t>PDF 300+ Mẫu Câu Giao tiếp theo chủ đề.pdf</t>
        </is>
      </c>
      <c r="B2172" s="93" t="inlineStr">
        <is>
          <t>73</t>
        </is>
      </c>
      <c r="C2172" s="92" t="inlineStr">
        <is>
          <t>饮料 yǐnliào Đồ uống 餐厅有很多饮料</t>
        </is>
      </c>
      <c r="D2172" s="92" t="inlineStr">
        <is>
          <t>Cāntīng yǒu hěn duō yǐnliào) - Nhà hàng có rất nhiều đồ uống.</t>
        </is>
      </c>
      <c r="E2172" s="92" t="inlineStr">
        <is>
          <t>73 饮料 yǐnliào Đồ uống 餐厅有很多饮料。(Cāntīng yǒu hěn duō yǐnliào) - Nhà hàng có rất nhiều đồ uống.</t>
        </is>
      </c>
      <c r="F2172" s="114">
        <f>HYPERLINK("https://youglish.com/pronounce/饮料餐厅有很多饮料/chinese","🔍")</f>
        <v/>
      </c>
    </row>
    <row r="2173" ht="28.5" customHeight="1" s="99">
      <c r="A2173" s="94" t="inlineStr">
        <is>
          <t>PDF 300+ Mẫu Câu Giao tiếp theo chủ đề.pdf</t>
        </is>
      </c>
      <c r="B2173" s="95" t="inlineStr">
        <is>
          <t>74</t>
        </is>
      </c>
      <c r="C2173" s="94" t="inlineStr">
        <is>
          <t>饮品 yǐnpǐn Đồ uống 我喜欢各种饮品</t>
        </is>
      </c>
      <c r="D2173" s="94" t="inlineStr">
        <is>
          <t>Wǒ xǐhuān gèzhǒng yǐnpǐn) - Tôi thích mọi loại đồ uống.</t>
        </is>
      </c>
      <c r="E2173" s="94" t="inlineStr">
        <is>
          <t>74 饮品 yǐnpǐn Đồ uống 我喜欢各种饮品。(Wǒ xǐhuān gèzhǒng yǐnpǐn) - Tôi thích mọi loại đồ uống.</t>
        </is>
      </c>
      <c r="F2173" s="115">
        <f>HYPERLINK("https://youglish.com/pronounce/饮品我喜欢各种饮品/chinese","🔍")</f>
        <v/>
      </c>
    </row>
    <row r="2174" ht="28.5" customHeight="1" s="99">
      <c r="A2174" s="92" t="inlineStr">
        <is>
          <t>PDF 300+ Mẫu Câu Giao tiếp theo chủ đề.pdf</t>
        </is>
      </c>
      <c r="B2174" s="93" t="inlineStr">
        <is>
          <t>75</t>
        </is>
      </c>
      <c r="C2174" s="92" t="inlineStr">
        <is>
          <t>烤肉</t>
        </is>
      </c>
      <c r="D2174" s="92" t="inlineStr">
        <is>
          <t>kǎoròu Thịt nướng</t>
        </is>
      </c>
      <c r="E2174" s="92" t="inlineStr">
        <is>
          <t>75 烤肉 kǎoròu Thịt nướng</t>
        </is>
      </c>
      <c r="F2174" s="114">
        <f>HYPERLINK("https://youglish.com/pronounce/烤肉/chinese","🔍")</f>
        <v/>
      </c>
    </row>
    <row r="2175" ht="28.5" customHeight="1" s="99">
      <c r="A2175" s="94" t="inlineStr">
        <is>
          <t>PDF 300+ Mẫu Câu Giao tiếp theo chủ đề.pdf</t>
        </is>
      </c>
      <c r="B2175" s="95" t="inlineStr">
        <is>
          <t>327</t>
        </is>
      </c>
      <c r="C2175" s="94" t="inlineStr">
        <is>
          <t>我们在烤肉店吃饭</t>
        </is>
      </c>
      <c r="D2175" s="94" t="inlineStr">
        <is>
          <t>Wǒmen zài kǎoròu diàn chīfàn) - Chúng tôi ăn ở quán thịt nướng.</t>
        </is>
      </c>
      <c r="E2175" s="94" t="inlineStr">
        <is>
          <t>我们在烤肉店吃饭。(Wǒmen zài kǎoròu diàn chīfàn) - Chúng tôi ăn ở quán thịt nướng.</t>
        </is>
      </c>
      <c r="F2175" s="115">
        <f>HYPERLINK("https://youglish.com/pronounce/我们在烤肉店吃饭/chinese","🔍")</f>
        <v/>
      </c>
    </row>
    <row r="2176" ht="28.5" customHeight="1" s="99">
      <c r="A2176" s="92" t="inlineStr">
        <is>
          <t>PDF 300+ Mẫu Câu Giao tiếp theo chủ đề.pdf</t>
        </is>
      </c>
      <c r="B2176" s="93" t="inlineStr">
        <is>
          <t>76</t>
        </is>
      </c>
      <c r="C2176" s="92" t="inlineStr">
        <is>
          <t>排骨 páigǔ Sườn heo 这道排骨很嫩</t>
        </is>
      </c>
      <c r="D2176" s="92" t="inlineStr">
        <is>
          <t>Zhè dào páigǔ hěn nèn) - Món sườn heo này rất mềm.</t>
        </is>
      </c>
      <c r="E2176" s="92" t="inlineStr">
        <is>
          <t>76 排骨 páigǔ Sườn heo 这道排骨很嫩。(Zhè dào páigǔ hěn nèn) - Món sườn heo này rất mềm.</t>
        </is>
      </c>
      <c r="F2176" s="114">
        <f>HYPERLINK("https://youglish.com/pronounce/排骨这道排骨很嫩/chinese","🔍")</f>
        <v/>
      </c>
    </row>
    <row r="2177" ht="28.5" customHeight="1" s="99">
      <c r="A2177" s="94" t="inlineStr">
        <is>
          <t>PDF 300+ Mẫu Câu Giao tiếp theo chủ đề.pdf</t>
        </is>
      </c>
      <c r="B2177" s="95" t="inlineStr">
        <is>
          <t>77</t>
        </is>
      </c>
      <c r="C2177" s="94" t="inlineStr">
        <is>
          <t>煮沸 zhǔ fèi Đun sôi 你可以将水煮沸</t>
        </is>
      </c>
      <c r="D2177" s="94" t="inlineStr">
        <is>
          <t>Nǐ kěyǐ jiāng shuǐ zhǔ fèi) - Bạn có thể đun sôi nước.</t>
        </is>
      </c>
      <c r="E2177" s="94" t="inlineStr">
        <is>
          <t>77 煮沸 zhǔ fèi Đun sôi 你可以将水煮沸。(Nǐ kěyǐ jiāng shuǐ zhǔ fèi) - Bạn có thể đun sôi nước.</t>
        </is>
      </c>
      <c r="F2177" s="115">
        <f>HYPERLINK("https://youglish.com/pronounce/煮沸你可以将水煮沸/chinese","🔍")</f>
        <v/>
      </c>
    </row>
    <row r="2178" ht="28.5" customHeight="1" s="99">
      <c r="A2178" s="92" t="inlineStr">
        <is>
          <t>PDF 300+ Mẫu Câu Giao tiếp theo chủ đề.pdf</t>
        </is>
      </c>
      <c r="B2178" s="93" t="inlineStr">
        <is>
          <t>78</t>
        </is>
      </c>
      <c r="C2178" s="92" t="inlineStr">
        <is>
          <t>砂锅 shāguō Nồi đất 我们点了砂锅菜</t>
        </is>
      </c>
      <c r="D2178" s="92" t="inlineStr">
        <is>
          <t>Wǒmen diǎn le shāguō cài) - Chúng tôi đã gọi món nấu trong nồi đất.</t>
        </is>
      </c>
      <c r="E2178" s="92" t="inlineStr">
        <is>
          <t>78 砂锅 shāguō Nồi đất 我们点了砂锅菜。(Wǒmen diǎn le shāguō cài) - Chúng tôi đã gọi món nấu trong nồi đất.</t>
        </is>
      </c>
      <c r="F2178" s="114">
        <f>HYPERLINK("https://youglish.com/pronounce/砂锅我们点了砂锅菜/chinese","🔍")</f>
        <v/>
      </c>
    </row>
    <row r="2179" ht="28.5" customHeight="1" s="99">
      <c r="A2179" s="94" t="inlineStr">
        <is>
          <t>PDF 300+ Mẫu Câu Giao tiếp theo chủ đề.pdf</t>
        </is>
      </c>
      <c r="B2179" s="95" t="inlineStr">
        <is>
          <t>79</t>
        </is>
      </c>
      <c r="C2179" s="94" t="inlineStr">
        <is>
          <t>热气腾</t>
        </is>
      </c>
      <c r="D2179" s="94" t="n"/>
      <c r="E2179" s="94" t="inlineStr">
        <is>
          <t>79 热气腾</t>
        </is>
      </c>
      <c r="F2179" s="115">
        <f>HYPERLINK("https://youglish.com/pronounce/热气腾/chinese","🔍")</f>
        <v/>
      </c>
    </row>
    <row r="2180" ht="28.5" customHeight="1" s="99">
      <c r="A2180" s="92" t="inlineStr">
        <is>
          <t>PDF 300+ Mẫu Câu Giao tiếp theo chủ đề.pdf</t>
        </is>
      </c>
      <c r="B2180" s="93" t="inlineStr">
        <is>
          <t>332</t>
        </is>
      </c>
      <c r="C2180" s="92" t="inlineStr">
        <is>
          <t>腾</t>
        </is>
      </c>
      <c r="D2180" s="92" t="inlineStr">
        <is>
          <t>rè qì téngténg</t>
        </is>
      </c>
      <c r="E2180" s="92" t="inlineStr">
        <is>
          <t>腾 rè qì téngténg</t>
        </is>
      </c>
      <c r="F2180" s="114">
        <f>HYPERLINK("https://youglish.com/pronounce/腾/chinese","🔍")</f>
        <v/>
      </c>
    </row>
    <row r="2181" ht="28.5" customHeight="1" s="99">
      <c r="A2181" s="94" t="inlineStr">
        <is>
          <t>PDF 300+ Mẫu Câu Giao tiếp theo chủ đề.pdf</t>
        </is>
      </c>
      <c r="B2181" s="95" t="inlineStr">
        <is>
          <t>333</t>
        </is>
      </c>
      <c r="C2181" s="94" t="inlineStr">
        <is>
          <t>这锅汤热气腾腾</t>
        </is>
      </c>
      <c r="D2181" s="94" t="inlineStr">
        <is>
          <t>Zhè guō tāng rè qì téngténg) - Nồi súp này bốc hơi nghi ngút.</t>
        </is>
      </c>
      <c r="E2181" s="94" t="inlineStr">
        <is>
          <t>这锅汤热气腾腾。(Zhè guō tāng rè qì téngténg) - Nồi súp này bốc hơi nghi ngút.</t>
        </is>
      </c>
      <c r="F2181" s="115">
        <f>HYPERLINK("https://youglish.com/pronounce/这锅汤热气腾腾/chinese","🔍")</f>
        <v/>
      </c>
    </row>
    <row r="2182" ht="28.5" customHeight="1" s="99">
      <c r="A2182" s="92" t="inlineStr">
        <is>
          <t>PDF 300+ Mẫu Câu Giao tiếp theo chủ đề.pdf</t>
        </is>
      </c>
      <c r="B2182" s="93" t="inlineStr">
        <is>
          <t>80</t>
        </is>
      </c>
      <c r="C2182" s="92" t="inlineStr">
        <is>
          <t>食欲 shíyù Thèm ăn 这道菜让我食欲大开</t>
        </is>
      </c>
      <c r="D2182" s="92" t="inlineStr">
        <is>
          <t>Zhè dào cài ràng wǒ shíyù dà kāi) - Món ăn này khiến tôi rất thèm ăn.</t>
        </is>
      </c>
      <c r="E2182" s="92" t="inlineStr">
        <is>
          <t>80 食欲 shíyù Thèm ăn 这道菜让我食欲大开。(Zhè dào cài ràng wǒ shíyù dà kāi) - Món ăn này khiến tôi rất thèm ăn.</t>
        </is>
      </c>
      <c r="F2182" s="114">
        <f>HYPERLINK("https://youglish.com/pronounce/食欲这道菜让我食欲大开/chinese","🔍")</f>
        <v/>
      </c>
    </row>
    <row r="2183" ht="28.5" customHeight="1" s="99">
      <c r="A2183" s="94" t="inlineStr">
        <is>
          <t>PDF 300+ Mẫu Câu Giao tiếp theo chủ đề.pdf</t>
        </is>
      </c>
      <c r="B2183" s="95" t="inlineStr">
        <is>
          <t>335</t>
        </is>
      </c>
      <c r="C2183" s="94" t="inlineStr">
        <is>
          <t>请给我一份菜单</t>
        </is>
      </c>
      <c r="D2183" s="94" t="inlineStr">
        <is>
          <t>Khách: 请给我一份菜单。(Qǐng gěi wǒ yī fèn càidān.) - Hãy đưa cho tôi thực đơn.</t>
        </is>
      </c>
      <c r="E2183" s="94" t="inlineStr">
        <is>
          <t>Khách: 请给我一份菜单。(Qǐng gěi wǒ yī fèn càidān.) - Hãy đưa cho tôi thực đơn.</t>
        </is>
      </c>
      <c r="F2183" s="115">
        <f>HYPERLINK("https://youglish.com/pronounce/请给我一份菜单/chinese","🔍")</f>
        <v/>
      </c>
    </row>
    <row r="2184" ht="28.5" customHeight="1" s="99">
      <c r="A2184" s="92" t="inlineStr">
        <is>
          <t>PDF 300+ Mẫu Câu Giao tiếp theo chủ đề.pdf</t>
        </is>
      </c>
      <c r="B2184" s="93" t="inlineStr">
        <is>
          <t>336</t>
        </is>
      </c>
      <c r="C2184" s="92" t="inlineStr">
        <is>
          <t>这是菜单。您需要推荐吗</t>
        </is>
      </c>
      <c r="D2184" s="92" t="inlineStr">
        <is>
          <t>Nhân viên: 这是菜单。您需要推荐吗？(Zhè shì càidān. Nín xūyào tuījiàn ma?) - Đây là thực đơn. Bạn cần tôi giới thiệu món nào không?</t>
        </is>
      </c>
      <c r="E2184" s="92" t="inlineStr">
        <is>
          <t>Nhân viên: 这是菜单。您需要推荐吗？(Zhè shì càidān. Nín xūyào tuījiàn ma?) - Đây là thực đơn. Bạn cần tôi giới thiệu món nào không?</t>
        </is>
      </c>
      <c r="F2184" s="114">
        <f>HYPERLINK("https://youglish.com/pronounce/这是菜单您需要推荐吗/chinese","🔍")</f>
        <v/>
      </c>
    </row>
    <row r="2185" ht="28.5" customHeight="1" s="99">
      <c r="A2185" s="94" t="inlineStr">
        <is>
          <t>PDF 300+ Mẫu Câu Giao tiếp theo chủ đề.pdf</t>
        </is>
      </c>
      <c r="B2185" s="95" t="inlineStr">
        <is>
          <t>337</t>
        </is>
      </c>
      <c r="C2185" s="94" t="inlineStr">
        <is>
          <t>是的，请推荐</t>
        </is>
      </c>
      <c r="D2185" s="94" t="inlineStr">
        <is>
          <t>Khách: 是的，请推荐。(Shì de, qǐng tuījiàn.) - Có, hãy giới thiệu cho tôi.</t>
        </is>
      </c>
      <c r="E2185" s="94" t="inlineStr">
        <is>
          <t>Khách: 是的，请推荐。(Shì de, qǐng tuījiàn.) - Có, hãy giới thiệu cho tôi.</t>
        </is>
      </c>
      <c r="F2185" s="115">
        <f>HYPERLINK("https://youglish.com/pronounce/是的请推荐/chinese","🔍")</f>
        <v/>
      </c>
    </row>
    <row r="2186" ht="28.5" customHeight="1" s="99">
      <c r="A2186" s="92" t="inlineStr">
        <is>
          <t>PDF 300+ Mẫu Câu Giao tiếp theo chủ đề.pdf</t>
        </is>
      </c>
      <c r="B2186" s="93" t="inlineStr">
        <is>
          <t>338</t>
        </is>
      </c>
      <c r="C2186" s="92" t="inlineStr">
        <is>
          <t>我们的招牌菜是北京烤鸭</t>
        </is>
      </c>
      <c r="D2186" s="92" t="inlineStr">
        <is>
          <t>Nhân viên: 我们的招牌菜是北京烤鸭。(Wǒmen de zhāopái cài shì Běijīng kǎoyā.) - Món đặc trưng của chúng tôi là vịt quay Bắc Kinh.</t>
        </is>
      </c>
      <c r="E2186" s="92" t="inlineStr">
        <is>
          <t>Nhân viên: 我们的招牌菜是北京烤鸭。(Wǒmen de zhāopái cài shì Běijīng kǎoyā.) - Món đặc trưng của chúng tôi là vịt quay Bắc Kinh.</t>
        </is>
      </c>
      <c r="F2186" s="114">
        <f>HYPERLINK("https://youglish.com/pronounce/我们的招牌菜是北京烤鸭/chinese","🔍")</f>
        <v/>
      </c>
    </row>
    <row r="2187" ht="28.5" customHeight="1" s="99">
      <c r="A2187" s="94" t="inlineStr">
        <is>
          <t>PDF 300+ Mẫu Câu Giao tiếp theo chủ đề.pdf</t>
        </is>
      </c>
      <c r="B2187" s="95" t="inlineStr">
        <is>
          <t>339</t>
        </is>
      </c>
      <c r="C2187" s="94" t="inlineStr">
        <is>
          <t>好的，那我点一份</t>
        </is>
      </c>
      <c r="D2187" s="94" t="inlineStr">
        <is>
          <t>Khách: 好的，那我点一份。(Hǎo de, nà wǒ diǎn yī fèn.) - Được rồi, tôi sẽ gọi một phần.</t>
        </is>
      </c>
      <c r="E2187" s="94" t="inlineStr">
        <is>
          <t>Khách: 好的，那我点一份。(Hǎo de, nà wǒ diǎn yī fèn.) - Được rồi, tôi sẽ gọi một phần.</t>
        </is>
      </c>
      <c r="F2187" s="115">
        <f>HYPERLINK("https://youglish.com/pronounce/好的那我点一份/chinese","🔍")</f>
        <v/>
      </c>
    </row>
    <row r="2188" ht="28.5" customHeight="1" s="99">
      <c r="A2188" s="92" t="inlineStr">
        <is>
          <t>PDF 300+ Mẫu Câu Giao tiếp theo chủ đề.pdf</t>
        </is>
      </c>
      <c r="B2188" s="93" t="inlineStr">
        <is>
          <t>340</t>
        </is>
      </c>
      <c r="C2188" s="92" t="inlineStr">
        <is>
          <t>我们有预定</t>
        </is>
      </c>
      <c r="D2188" s="92" t="inlineStr">
        <is>
          <t>Khách: 我们有预定。(Wǒmen yǒu yùdìng.) - Chúng tôi đã đặt chỗ trước.</t>
        </is>
      </c>
      <c r="E2188" s="92" t="inlineStr">
        <is>
          <t>Khách: 我们有预定。(Wǒmen yǒu yùdìng.) - Chúng tôi đã đặt chỗ trước.</t>
        </is>
      </c>
      <c r="F2188" s="114">
        <f>HYPERLINK("https://youglish.com/pronounce/我们有预定/chinese","🔍")</f>
        <v/>
      </c>
    </row>
    <row r="2189" ht="28.5" customHeight="1" s="99">
      <c r="A2189" s="94" t="inlineStr">
        <is>
          <t>PDF 300+ Mẫu Câu Giao tiếp theo chủ đề.pdf</t>
        </is>
      </c>
      <c r="B2189" s="95" t="inlineStr">
        <is>
          <t>341</t>
        </is>
      </c>
      <c r="C2189" s="94" t="inlineStr">
        <is>
          <t>请问您的名字是</t>
        </is>
      </c>
      <c r="D2189" s="94" t="inlineStr">
        <is>
          <t>Nhân viên: 请问您的名字是？(Qǐngwèn nín de míngzì shì?) - Xin hỏi tên của bạn là gì?</t>
        </is>
      </c>
      <c r="E2189" s="94" t="inlineStr">
        <is>
          <t>Nhân viên: 请问您的名字是？(Qǐngwèn nín de míngzì shì?) - Xin hỏi tên của bạn là gì?</t>
        </is>
      </c>
      <c r="F2189" s="115">
        <f>HYPERLINK("https://youglish.com/pronounce/请问您的名字是/chinese","🔍")</f>
        <v/>
      </c>
    </row>
    <row r="2190" ht="28.5" customHeight="1" s="99">
      <c r="A2190" s="92" t="inlineStr">
        <is>
          <t>PDF 300+ Mẫu Câu Giao tiếp theo chủ đề.pdf</t>
        </is>
      </c>
      <c r="B2190" s="93" t="inlineStr">
        <is>
          <t>342</t>
        </is>
      </c>
      <c r="C2190" s="92" t="inlineStr">
        <is>
          <t>我们预定的是王先生</t>
        </is>
      </c>
      <c r="D2190" s="92" t="inlineStr">
        <is>
          <t>Khách: 我们预定的是王先生。(Wǒmen yùdìng de shì Wáng xiānshēng.) - Chúng tôi đã đặt chỗ dưới tên ông Vương.</t>
        </is>
      </c>
      <c r="E2190" s="92" t="inlineStr">
        <is>
          <t>Khách: 我们预定的是王先生。(Wǒmen yùdìng de shì Wáng xiānshēng.) - Chúng tôi đã đặt chỗ dưới tên ông Vương.</t>
        </is>
      </c>
      <c r="F2190" s="114">
        <f>HYPERLINK("https://youglish.com/pronounce/我们预定的是王先生/chinese","🔍")</f>
        <v/>
      </c>
    </row>
    <row r="2191" ht="28.5" customHeight="1" s="99">
      <c r="A2191" s="94" t="inlineStr">
        <is>
          <t>PDF 300+ Mẫu Câu Giao tiếp theo chủ đề.pdf</t>
        </is>
      </c>
      <c r="B2191" s="95" t="inlineStr">
        <is>
          <t>343</t>
        </is>
      </c>
      <c r="C2191" s="94" t="inlineStr">
        <is>
          <t>好的，您的桌子在那边</t>
        </is>
      </c>
      <c r="D2191" s="94" t="inlineStr">
        <is>
          <t>Nhân viên: 好的，您的桌子在那边。(Hǎo de, nín de zhuōzi zài nà biān.) - Được rồi, bàn của bạn ở bên kia.</t>
        </is>
      </c>
      <c r="E2191" s="94" t="inlineStr">
        <is>
          <t>Nhân viên: 好的，您的桌子在那边。(Hǎo de, nín de zhuōzi zài nà biān.) - Được rồi, bàn của bạn ở bên kia.</t>
        </is>
      </c>
      <c r="F2191" s="115">
        <f>HYPERLINK("https://youglish.com/pronounce/好的您的桌子在那边/chinese","🔍")</f>
        <v/>
      </c>
    </row>
    <row r="2192" ht="28.5" customHeight="1" s="99">
      <c r="A2192" s="92" t="inlineStr">
        <is>
          <t>PDF 300+ Mẫu Câu Giao tiếp theo chủ đề.pdf</t>
        </is>
      </c>
      <c r="B2192" s="93" t="inlineStr">
        <is>
          <t>344</t>
        </is>
      </c>
      <c r="C2192" s="92" t="inlineStr">
        <is>
          <t>这道菜太咸了</t>
        </is>
      </c>
      <c r="D2192" s="92" t="inlineStr">
        <is>
          <t>Khách: 这道菜太咸了。(Zhè dào cài tài xián le.) - Món ăn này quá mặn.</t>
        </is>
      </c>
      <c r="E2192" s="92" t="inlineStr">
        <is>
          <t>Khách: 这道菜太咸了。(Zhè dào cài tài xián le.) - Món ăn này quá mặn.</t>
        </is>
      </c>
      <c r="F2192" s="114">
        <f>HYPERLINK("https://youglish.com/pronounce/这道菜太咸了/chinese","🔍")</f>
        <v/>
      </c>
    </row>
    <row r="2193" ht="28.5" customHeight="1" s="99">
      <c r="A2193" s="94" t="inlineStr">
        <is>
          <t>PDF 300+ Mẫu Câu Giao tiếp theo chủ đề.pdf</t>
        </is>
      </c>
      <c r="B2193" s="95" t="inlineStr">
        <is>
          <t>345</t>
        </is>
      </c>
      <c r="C2193" s="94" t="inlineStr">
        <is>
          <t>很抱歉，我们可以帮您换一道</t>
        </is>
      </c>
      <c r="D2193" s="94" t="inlineStr">
        <is>
          <t>Nhân viên: 很抱歉，我们可以帮您换一道。(Hěn bàoqiàn, wǒmen kěyǐ bāng nín huàn yī dào.) - Xin lỗi, chúng tôi có thể giúp bạn đổi món khác.</t>
        </is>
      </c>
      <c r="E2193" s="94" t="inlineStr">
        <is>
          <t>Nhân viên: 很抱歉，我们可以帮您换一道。(Hěn bàoqiàn, wǒmen kěyǐ bāng nín huàn yī dào.) - Xin lỗi, chúng tôi có thể giúp bạn đổi món khác.</t>
        </is>
      </c>
      <c r="F2193" s="115">
        <f>HYPERLINK("https://youglish.com/pronounce/很抱歉我们可以帮您换一道/chinese","🔍")</f>
        <v/>
      </c>
    </row>
    <row r="2194" ht="28.5" customHeight="1" s="99">
      <c r="A2194" s="92" t="inlineStr">
        <is>
          <t>PDF 300+ Mẫu Câu Giao tiếp theo chủ đề.pdf</t>
        </is>
      </c>
      <c r="B2194" s="93" t="inlineStr">
        <is>
          <t>346</t>
        </is>
      </c>
      <c r="C2194" s="92" t="inlineStr">
        <is>
          <t>那请换一个不辣的</t>
        </is>
      </c>
      <c r="D2194" s="92" t="inlineStr">
        <is>
          <t>Khách: 那请换一个不辣的。(Nà qǐng huàn yī gè bù là de.) - Vậy làm ơn đổi sang món không cay.</t>
        </is>
      </c>
      <c r="E2194" s="92" t="inlineStr">
        <is>
          <t>Khách: 那请换一个不辣的。(Nà qǐng huàn yī gè bù là de.) - Vậy làm ơn đổi sang món không cay.</t>
        </is>
      </c>
      <c r="F2194" s="114">
        <f>HYPERLINK("https://youglish.com/pronounce/那请换一个不辣的/chinese","🔍")</f>
        <v/>
      </c>
    </row>
    <row r="2195" ht="28.5" customHeight="1" s="99">
      <c r="A2195" s="94" t="inlineStr">
        <is>
          <t>PDF 300+ Mẫu Câu Giao tiếp theo chủ đề.pdf</t>
        </is>
      </c>
      <c r="B2195" s="95" t="inlineStr">
        <is>
          <t>347</t>
        </is>
      </c>
      <c r="C2195" s="94" t="inlineStr">
        <is>
          <t>请结账</t>
        </is>
      </c>
      <c r="D2195" s="94" t="inlineStr">
        <is>
          <t>Khách: 请结账。(Qǐng jiézhàng.) - Làm ơn thanh toán.</t>
        </is>
      </c>
      <c r="E2195" s="94" t="inlineStr">
        <is>
          <t>Khách: 请结账。(Qǐng jiézhàng.) - Làm ơn thanh toán.</t>
        </is>
      </c>
      <c r="F2195" s="115">
        <f>HYPERLINK("https://youglish.com/pronounce/请结账/chinese","🔍")</f>
        <v/>
      </c>
    </row>
    <row r="2196" ht="28.5" customHeight="1" s="99">
      <c r="A2196" s="92" t="inlineStr">
        <is>
          <t>PDF 300+ Mẫu Câu Giao tiếp theo chủ đề.pdf</t>
        </is>
      </c>
      <c r="B2196" s="93" t="inlineStr">
        <is>
          <t>348</t>
        </is>
      </c>
      <c r="C2196" s="92" t="inlineStr">
        <is>
          <t>您要刷卡还是现金支付</t>
        </is>
      </c>
      <c r="D2196" s="92" t="inlineStr">
        <is>
          <t>Nhân viên: 您要刷卡还是现金支付？(Nín yào shuākǎ hái shì xiànjīn zhīfù?) - Bạn muốn thanh toán bằng thẻ hay tiền mặt?</t>
        </is>
      </c>
      <c r="E2196" s="92" t="inlineStr">
        <is>
          <t>Nhân viên: 您要刷卡还是现金支付？(Nín yào shuākǎ hái shì xiànjīn zhīfù?) - Bạn muốn thanh toán bằng thẻ hay tiền mặt?</t>
        </is>
      </c>
      <c r="F2196" s="114">
        <f>HYPERLINK("https://youglish.com/pronounce/您要刷卡还是现金支付/chinese","🔍")</f>
        <v/>
      </c>
    </row>
    <row r="2197" ht="28.5" customHeight="1" s="99">
      <c r="A2197" s="94" t="inlineStr">
        <is>
          <t>PDF 300+ Mẫu Câu Giao tiếp theo chủ đề.pdf</t>
        </is>
      </c>
      <c r="B2197" s="95" t="inlineStr">
        <is>
          <t>349</t>
        </is>
      </c>
      <c r="C2197" s="94" t="inlineStr">
        <is>
          <t>我用信用卡支付</t>
        </is>
      </c>
      <c r="D2197" s="94" t="inlineStr">
        <is>
          <t>Khách: 我用信用卡支付。(Wǒ yòng xìnyòngkǎ zhīfù.) - Tôi thanh toán bằng thẻ tín dụng.</t>
        </is>
      </c>
      <c r="E2197" s="94" t="inlineStr">
        <is>
          <t>Khách: 我用信用卡支付。(Wǒ yòng xìnyòngkǎ zhīfù.) - Tôi thanh toán bằng thẻ tín dụng.</t>
        </is>
      </c>
      <c r="F2197" s="115">
        <f>HYPERLINK("https://youglish.com/pronounce/我用信用卡支付/chinese","🔍")</f>
        <v/>
      </c>
    </row>
    <row r="2198" ht="28.5" customHeight="1" s="99">
      <c r="A2198" s="92" t="inlineStr">
        <is>
          <t>PDF 300+ Mẫu Câu Giao tiếp theo chủ đề.pdf</t>
        </is>
      </c>
      <c r="B2198" s="93" t="inlineStr">
        <is>
          <t>350</t>
        </is>
      </c>
      <c r="C2198" s="92" t="inlineStr">
        <is>
          <t>好的，请稍等</t>
        </is>
      </c>
      <c r="D2198" s="92" t="inlineStr">
        <is>
          <t>Nhân viên: 好的，请稍等。(Hǎo de, qǐng shāo děng.) - Được rồi, xin vui lòng đợi một chút.</t>
        </is>
      </c>
      <c r="E2198" s="92" t="inlineStr">
        <is>
          <t>Nhân viên: 好的，请稍等。(Hǎo de, qǐng shāo děng.) - Được rồi, xin vui lòng đợi một chút.</t>
        </is>
      </c>
      <c r="F2198" s="114">
        <f>HYPERLINK("https://youglish.com/pronounce/好的请稍等/chinese","🔍")</f>
        <v/>
      </c>
    </row>
    <row r="2199" ht="28.5" customHeight="1" s="99">
      <c r="A2199" s="94" t="inlineStr">
        <is>
          <t>PDF 300+ Mẫu Câu Giao tiếp theo chủ đề.pdf</t>
        </is>
      </c>
      <c r="B2199" s="95" t="inlineStr">
        <is>
          <t>351</t>
        </is>
      </c>
      <c r="C2199" s="94" t="inlineStr">
        <is>
          <t>这个菜是什么做的</t>
        </is>
      </c>
      <c r="D2199" s="94" t="inlineStr">
        <is>
          <t>Khách: 这个菜是什么做的？(Zhège cài shì shénme zuò de?) - Món ăn này làm từ gì vậy?</t>
        </is>
      </c>
      <c r="E2199" s="94" t="inlineStr">
        <is>
          <t>Khách: 这个菜是什么做的？(Zhège cài shì shénme zuò de?) - Món ăn này làm từ gì vậy?</t>
        </is>
      </c>
      <c r="F2199" s="115">
        <f>HYPERLINK("https://youglish.com/pronounce/这个菜是什么做的/chinese","🔍")</f>
        <v/>
      </c>
    </row>
    <row r="2200" ht="28.5" customHeight="1" s="99">
      <c r="A2200" s="92" t="inlineStr">
        <is>
          <t>PDF 300+ Mẫu Câu Giao tiếp theo chủ đề.pdf</t>
        </is>
      </c>
      <c r="B2200" s="93" t="inlineStr">
        <is>
          <t>352</t>
        </is>
      </c>
      <c r="C2200" s="92" t="inlineStr">
        <is>
          <t>这是用鱼做的</t>
        </is>
      </c>
      <c r="D2200" s="92" t="inlineStr">
        <is>
          <t>Nhân viên: 这是用鱼做的。(Zhè shì yòng yú zuò de.) - Món này được làm từ cá.</t>
        </is>
      </c>
      <c r="E2200" s="92" t="inlineStr">
        <is>
          <t>Nhân viên: 这是用鱼做的。(Zhè shì yòng yú zuò de.) - Món này được làm từ cá.</t>
        </is>
      </c>
      <c r="F2200" s="114">
        <f>HYPERLINK("https://youglish.com/pronounce/这是用鱼做的/chinese","🔍")</f>
        <v/>
      </c>
    </row>
    <row r="2201" ht="28.5" customHeight="1" s="99">
      <c r="A2201" s="94" t="inlineStr">
        <is>
          <t>PDF 300+ Mẫu Câu Giao tiếp theo chủ đề.pdf</t>
        </is>
      </c>
      <c r="B2201" s="95" t="inlineStr">
        <is>
          <t>353</t>
        </is>
      </c>
      <c r="C2201" s="94" t="inlineStr">
        <is>
          <t>听起来很好吃</t>
        </is>
      </c>
      <c r="D2201" s="94" t="inlineStr">
        <is>
          <t>Khách: 听起来很好吃。(Tīng qǐlái hěn hǎochī.) - Nghe có vẻ ngon đấy.</t>
        </is>
      </c>
      <c r="E2201" s="94" t="inlineStr">
        <is>
          <t>Khách: 听起来很好吃。(Tīng qǐlái hěn hǎochī.) - Nghe có vẻ ngon đấy.</t>
        </is>
      </c>
      <c r="F2201" s="115">
        <f>HYPERLINK("https://youglish.com/pronounce/听起来很好吃/chinese","🔍")</f>
        <v/>
      </c>
    </row>
    <row r="2202" ht="28.5" customHeight="1" s="99">
      <c r="A2202" s="92" t="inlineStr">
        <is>
          <t>PDF 300+ Mẫu Câu Giao tiếp theo chủ đề.pdf</t>
        </is>
      </c>
      <c r="B2202" s="93" t="inlineStr">
        <is>
          <t>354</t>
        </is>
      </c>
      <c r="C2202" s="92" t="inlineStr">
        <is>
          <t>你们有素食菜吗</t>
        </is>
      </c>
      <c r="D2202" s="92" t="inlineStr">
        <is>
          <t>Khách: 你们有素食菜吗？(Nǐmen yǒu sùshí cài ma?) - Các bạn có món chay không?</t>
        </is>
      </c>
      <c r="E2202" s="92" t="inlineStr">
        <is>
          <t>Khách: 你们有素食菜吗？(Nǐmen yǒu sùshí cài ma?) - Các bạn có món chay không?</t>
        </is>
      </c>
      <c r="F2202" s="114">
        <f>HYPERLINK("https://youglish.com/pronounce/你们有素食菜吗/chinese","🔍")</f>
        <v/>
      </c>
    </row>
    <row r="2203" ht="28.5" customHeight="1" s="99">
      <c r="A2203" s="94" t="inlineStr">
        <is>
          <t>PDF 300+ Mẫu Câu Giao tiếp theo chủ đề.pdf</t>
        </is>
      </c>
      <c r="B2203" s="95" t="inlineStr">
        <is>
          <t>355</t>
        </is>
      </c>
      <c r="C2203" s="94" t="inlineStr">
        <is>
          <t>有的，这里有几道素食菜</t>
        </is>
      </c>
      <c r="D2203" s="94" t="inlineStr">
        <is>
          <t>Nhân viên: 有的，这里有几道素食菜。(Yǒu de, zhèlǐ yǒu jǐ dào sùshí cài.) - Có, chúng tôi có một vài món chay ở đây.</t>
        </is>
      </c>
      <c r="E2203" s="94" t="inlineStr">
        <is>
          <t>Nhân viên: 有的，这里有几道素食菜。(Yǒu de, zhèlǐ yǒu jǐ dào sùshí cài.) - Có, chúng tôi có một vài món chay ở đây.</t>
        </is>
      </c>
      <c r="F2203" s="115">
        <f>HYPERLINK("https://youglish.com/pronounce/有的这里有几道素食菜/chinese","🔍")</f>
        <v/>
      </c>
    </row>
    <row r="2204" ht="28.5" customHeight="1" s="99">
      <c r="A2204" s="92" t="inlineStr">
        <is>
          <t>PDF 300+ Mẫu Câu Giao tiếp theo chủ đề.pdf</t>
        </is>
      </c>
      <c r="B2204" s="93" t="inlineStr">
        <is>
          <t>356</t>
        </is>
      </c>
      <c r="C2204" s="92" t="inlineStr">
        <is>
          <t>好的，我点一道</t>
        </is>
      </c>
      <c r="D2204" s="92" t="inlineStr">
        <is>
          <t>Khách: 好的，我点一道。(Hǎo de, wǒ diǎn yī dào.) - Được rồi, tôi sẽ gọi một món.</t>
        </is>
      </c>
      <c r="E2204" s="92" t="inlineStr">
        <is>
          <t>Khách: 好的，我点一道。(Hǎo de, wǒ diǎn yī dào.) - Được rồi, tôi sẽ gọi một món.</t>
        </is>
      </c>
      <c r="F2204" s="114">
        <f>HYPERLINK("https://youglish.com/pronounce/好的我点一道/chinese","🔍")</f>
        <v/>
      </c>
    </row>
    <row r="2205" ht="28.5" customHeight="1" s="99">
      <c r="A2205" s="94" t="inlineStr">
        <is>
          <t>PDF 300+ Mẫu Câu Giao tiếp theo chủ đề.pdf</t>
        </is>
      </c>
      <c r="B2205" s="95" t="inlineStr">
        <is>
          <t>357</t>
        </is>
      </c>
      <c r="C2205" s="94" t="inlineStr">
        <is>
          <t>你们有炒米饭吗</t>
        </is>
      </c>
      <c r="D2205" s="94" t="inlineStr">
        <is>
          <t>Khách: 你们有炒米饭吗？(Nǐmen yǒu chǎo mǐfàn ma?) - Các bạn có cơm chiên không?</t>
        </is>
      </c>
      <c r="E2205" s="94" t="inlineStr">
        <is>
          <t>Khách: 你们有炒米饭吗？(Nǐmen yǒu chǎo mǐfàn ma?) - Các bạn có cơm chiên không?</t>
        </is>
      </c>
      <c r="F2205" s="115">
        <f>HYPERLINK("https://youglish.com/pronounce/你们有炒米饭吗/chinese","🔍")</f>
        <v/>
      </c>
    </row>
    <row r="2206" ht="42.75" customHeight="1" s="99">
      <c r="A2206" s="92" t="inlineStr">
        <is>
          <t>PDF 300+ Mẫu Câu Giao tiếp theo chủ đề.pdf</t>
        </is>
      </c>
      <c r="B2206" s="93" t="inlineStr">
        <is>
          <t>358</t>
        </is>
      </c>
      <c r="C2206" s="92" t="inlineStr">
        <is>
          <t>很抱歉，我们今天没有炒米饭</t>
        </is>
      </c>
      <c r="D2206" s="92" t="inlineStr">
        <is>
          <t>Nhân viên: 很抱歉，我们今天没有炒米饭。(Hěn bàoqiàn, wǒmen jīntiān méiyǒu chǎo mǐfàn.) - Xin lỗi, hôm nay chúng tôi không có cơm chiên.</t>
        </is>
      </c>
      <c r="E2206" s="92" t="inlineStr">
        <is>
          <t>Nhân viên: 很抱歉，我们今天没有炒米饭。(Hěn bàoqiàn, wǒmen jīntiān méiyǒu chǎo mǐfàn.) - Xin lỗi, hôm nay chúng tôi không có cơm chiên.</t>
        </is>
      </c>
      <c r="F2206" s="114">
        <f>HYPERLINK("https://youglish.com/pronounce/很抱歉我们今天没有炒米饭/chinese","🔍")</f>
        <v/>
      </c>
    </row>
    <row r="2207" ht="28.5" customHeight="1" s="99">
      <c r="A2207" s="94" t="inlineStr">
        <is>
          <t>PDF 300+ Mẫu Câu Giao tiếp theo chủ đề.pdf</t>
        </is>
      </c>
      <c r="B2207" s="95" t="inlineStr">
        <is>
          <t>359</t>
        </is>
      </c>
      <c r="C2207" s="94" t="inlineStr">
        <is>
          <t>那么我点一个炒面吧</t>
        </is>
      </c>
      <c r="D2207" s="94" t="inlineStr">
        <is>
          <t>Khách: 那么我点一个炒面吧。(Nàme wǒ diǎn yī gè chǎo miàn ba.) - Vậy tôi sẽ gọi một phần mì xào.</t>
        </is>
      </c>
      <c r="E2207" s="94" t="inlineStr">
        <is>
          <t>Khách: 那么我点一个炒面吧。(Nàme wǒ diǎn yī gè chǎo miàn ba.) - Vậy tôi sẽ gọi một phần mì xào.</t>
        </is>
      </c>
      <c r="F2207" s="115">
        <f>HYPERLINK("https://youglish.com/pronounce/那么我点一个炒面吧/chinese","🔍")</f>
        <v/>
      </c>
    </row>
    <row r="2208" ht="28.5" customHeight="1" s="99">
      <c r="A2208" s="92" t="inlineStr">
        <is>
          <t>PDF 300+ Mẫu Câu Giao tiếp theo chủ đề.pdf</t>
        </is>
      </c>
      <c r="B2208" s="93" t="inlineStr">
        <is>
          <t>360</t>
        </is>
      </c>
      <c r="C2208" s="92" t="inlineStr">
        <is>
          <t>请给我一些辣椒</t>
        </is>
      </c>
      <c r="D2208" s="92" t="inlineStr">
        <is>
          <t>Khách: 请给我一些辣椒。(Qǐng gěi wǒ yīxiē làjiāo.) - Làm ơn cho tôi một ít ớt.</t>
        </is>
      </c>
      <c r="E2208" s="92" t="inlineStr">
        <is>
          <t>Khách: 请给我一些辣椒。(Qǐng gěi wǒ yīxiē làjiāo.) - Làm ơn cho tôi một ít ớt.</t>
        </is>
      </c>
      <c r="F2208" s="114">
        <f>HYPERLINK("https://youglish.com/pronounce/请给我一些辣椒/chinese","🔍")</f>
        <v/>
      </c>
    </row>
    <row r="2209" ht="28.5" customHeight="1" s="99">
      <c r="A2209" s="94" t="inlineStr">
        <is>
          <t>PDF 300+ Mẫu Câu Giao tiếp theo chủ đề.pdf</t>
        </is>
      </c>
      <c r="B2209" s="95" t="inlineStr">
        <is>
          <t>361</t>
        </is>
      </c>
      <c r="C2209" s="94" t="inlineStr">
        <is>
          <t>这是辣椒酱</t>
        </is>
      </c>
      <c r="D2209" s="94" t="inlineStr">
        <is>
          <t>Nhân viên: 这是辣椒酱。(Zhè shì làjiāo jiàng.) - Đây là tương ớt.</t>
        </is>
      </c>
      <c r="E2209" s="94" t="inlineStr">
        <is>
          <t>Nhân viên: 这是辣椒酱。(Zhè shì làjiāo jiàng.) - Đây là tương ớt.</t>
        </is>
      </c>
      <c r="F2209" s="115">
        <f>HYPERLINK("https://youglish.com/pronounce/这是辣椒酱/chinese","🔍")</f>
        <v/>
      </c>
    </row>
    <row r="2210" ht="28.5" customHeight="1" s="99">
      <c r="A2210" s="92" t="inlineStr">
        <is>
          <t>PDF 300+ Mẫu Câu Giao tiếp theo chủ đề.pdf</t>
        </is>
      </c>
      <c r="B2210" s="93" t="inlineStr">
        <is>
          <t>362</t>
        </is>
      </c>
      <c r="C2210" s="92" t="inlineStr">
        <is>
          <t>谢谢</t>
        </is>
      </c>
      <c r="D2210" s="92" t="inlineStr">
        <is>
          <t>Khách: 谢谢。(Xièxiè.) - Cảm ơn.</t>
        </is>
      </c>
      <c r="E2210" s="92" t="inlineStr">
        <is>
          <t>Khách: 谢谢。(Xièxiè.) - Cảm ơn.</t>
        </is>
      </c>
      <c r="F2210" s="114">
        <f>HYPERLINK("https://youglish.com/pronounce/谢谢/chinese","🔍")</f>
        <v/>
      </c>
    </row>
    <row r="2211" ht="28.5" customHeight="1" s="99">
      <c r="A2211" s="94" t="inlineStr">
        <is>
          <t>PDF 300+ Mẫu Câu Giao tiếp theo chủ đề.pdf</t>
        </is>
      </c>
      <c r="B2211" s="95" t="inlineStr">
        <is>
          <t>363</t>
        </is>
      </c>
      <c r="C2211" s="94" t="inlineStr">
        <is>
          <t>你们有什么甜点</t>
        </is>
      </c>
      <c r="D2211" s="94" t="inlineStr">
        <is>
          <t>Khách: 你们有什么甜点？(Nǐmen yǒu shénme tiándiǎn?) - Các bạn có món tráng miệng gì?</t>
        </is>
      </c>
      <c r="E2211" s="94" t="inlineStr">
        <is>
          <t>Khách: 你们有什么甜点？(Nǐmen yǒu shénme tiándiǎn?) - Các bạn có món tráng miệng gì?</t>
        </is>
      </c>
      <c r="F2211" s="115">
        <f>HYPERLINK("https://youglish.com/pronounce/你们有什么甜点/chinese","🔍")</f>
        <v/>
      </c>
    </row>
    <row r="2212" ht="28.5" customHeight="1" s="99">
      <c r="A2212" s="92" t="inlineStr">
        <is>
          <t>PDF 300+ Mẫu Câu Giao tiếp theo chủ đề.pdf</t>
        </is>
      </c>
      <c r="B2212" s="93" t="inlineStr">
        <is>
          <t>364</t>
        </is>
      </c>
      <c r="C2212" s="92" t="inlineStr">
        <is>
          <t>我们有冰激凌和水果沙拉</t>
        </is>
      </c>
      <c r="D2212" s="92" t="inlineStr">
        <is>
          <t>Nhân viên: 我们有冰激凌和水果沙拉。(Wǒmen yǒu bīng jīlíng hé shuǐguǒ shālā.) - Chúng tôi có kem và salad trái cây.</t>
        </is>
      </c>
      <c r="E2212" s="92" t="inlineStr">
        <is>
          <t>Nhân viên: 我们有冰激凌和水果沙拉。(Wǒmen yǒu bīng jīlíng hé shuǐguǒ shālā.) - Chúng tôi có kem và salad trái cây.</t>
        </is>
      </c>
      <c r="F2212" s="114">
        <f>HYPERLINK("https://youglish.com/pronounce/我们有冰激凌和水果沙拉/chinese","🔍")</f>
        <v/>
      </c>
    </row>
    <row r="2213" ht="28.5" customHeight="1" s="99">
      <c r="A2213" s="94" t="inlineStr">
        <is>
          <t>PDF 300+ Mẫu Câu Giao tiếp theo chủ đề.pdf</t>
        </is>
      </c>
      <c r="B2213" s="95" t="inlineStr">
        <is>
          <t>365</t>
        </is>
      </c>
      <c r="C2213" s="94" t="inlineStr">
        <is>
          <t>我想要一个冰激凌</t>
        </is>
      </c>
      <c r="D2213" s="94" t="inlineStr">
        <is>
          <t>Khách: 我想要一个冰激凌。(Wǒ xiǎng yào yī gè bīng jīlíng.) - Tôi muốn một phần kem.</t>
        </is>
      </c>
      <c r="E2213" s="94" t="inlineStr">
        <is>
          <t>Khách: 我想要一个冰激凌。(Wǒ xiǎng yào yī gè bīng jīlíng.) - Tôi muốn một phần kem.</t>
        </is>
      </c>
      <c r="F2213" s="115">
        <f>HYPERLINK("https://youglish.com/pronounce/我想要一个冰激凌/chinese","🔍")</f>
        <v/>
      </c>
    </row>
    <row r="2214" ht="28.5" customHeight="1" s="99">
      <c r="A2214" s="92" t="inlineStr">
        <is>
          <t>PDF 300+ Mẫu Câu Giao tiếp theo chủ đề.pdf</t>
        </is>
      </c>
      <c r="B2214" s="93" t="inlineStr">
        <is>
          <t>366</t>
        </is>
      </c>
      <c r="C2214" s="92" t="inlineStr">
        <is>
          <t>我可以点外卖吗</t>
        </is>
      </c>
      <c r="D2214" s="92" t="inlineStr">
        <is>
          <t>Khách: 我可以点外卖吗？(Wǒ kěyǐ diǎn wàimài ma?) - Tôi có thể gọi mang đi không?</t>
        </is>
      </c>
      <c r="E2214" s="92" t="inlineStr">
        <is>
          <t>Khách: 我可以点外卖吗？(Wǒ kěyǐ diǎn wàimài ma?) - Tôi có thể gọi mang đi không?</t>
        </is>
      </c>
      <c r="F2214" s="114">
        <f>HYPERLINK("https://youglish.com/pronounce/我可以点外卖吗/chinese","🔍")</f>
        <v/>
      </c>
    </row>
    <row r="2215" ht="28.5" customHeight="1" s="99">
      <c r="A2215" s="94" t="inlineStr">
        <is>
          <t>PDF 300+ Mẫu Câu Giao tiếp theo chủ đề.pdf</t>
        </is>
      </c>
      <c r="B2215" s="95" t="inlineStr">
        <is>
          <t>367</t>
        </is>
      </c>
      <c r="C2215" s="94" t="inlineStr">
        <is>
          <t>当然可以。您需要什么</t>
        </is>
      </c>
      <c r="D2215" s="94" t="inlineStr">
        <is>
          <t>Nhân viên: 当然可以。您需要什么？(Dāngrán kěyǐ. Nín xūyào shénme?) - Dĩ nhiên là được. Bạn cần gì?</t>
        </is>
      </c>
      <c r="E2215" s="94" t="inlineStr">
        <is>
          <t>Nhân viên: 当然可以。您需要什么？(Dāngrán kěyǐ. Nín xūyào shénme?) - Dĩ nhiên là được. Bạn cần gì?</t>
        </is>
      </c>
      <c r="F2215" s="115">
        <f>HYPERLINK("https://youglish.com/pronounce/当然可以您需要什么/chinese","🔍")</f>
        <v/>
      </c>
    </row>
    <row r="2216" ht="28.5" customHeight="1" s="99">
      <c r="A2216" s="92" t="inlineStr">
        <is>
          <t>PDF 300+ Mẫu Câu Giao tiếp theo chủ đề.pdf</t>
        </is>
      </c>
      <c r="B2216" s="93" t="inlineStr">
        <is>
          <t>368</t>
        </is>
      </c>
      <c r="C2216" s="92" t="inlineStr">
        <is>
          <t>我想点一个炒面和一份春卷</t>
        </is>
      </c>
      <c r="D2216" s="92" t="inlineStr">
        <is>
          <t>Khách: 我想点一个炒面和一份春卷。(Wǒ xiǎng diǎn yī gè chǎo miàn hé yī fèn chūnjuǎn.) - Tôi muốn gọi một phần mì xào và một phần chả giò.</t>
        </is>
      </c>
      <c r="E2216" s="92" t="inlineStr">
        <is>
          <t>Khách: 我想点一个炒面和一份春卷。(Wǒ xiǎng diǎn yī gè chǎo miàn hé yī fèn chūnjuǎn.) - Tôi muốn gọi một phần mì xào và một phần chả giò.</t>
        </is>
      </c>
      <c r="F2216" s="114">
        <f>HYPERLINK("https://youglish.com/pronounce/我想点一个炒面和一份春卷/chinese","🔍")</f>
        <v/>
      </c>
    </row>
    <row r="2217" ht="28.5" customHeight="1" s="99">
      <c r="A2217" s="94" t="inlineStr">
        <is>
          <t>PDF 300+ Mẫu Câu Giao tiếp theo chủ đề.pdf</t>
        </is>
      </c>
      <c r="B2217" s="95" t="inlineStr">
        <is>
          <t>1</t>
        </is>
      </c>
      <c r="C2217" s="94" t="inlineStr">
        <is>
          <t>问路 wèn lù hỏi đường 请问，怎么去火车站</t>
        </is>
      </c>
      <c r="D2217" s="94" t="inlineStr">
        <is>
          <t>Qǐng wèn, zěnme qù huǒchē zhàn? - Xin hỏi, đi đến ga tàu hỏa như thế nào?</t>
        </is>
      </c>
      <c r="E2217" s="94" t="inlineStr">
        <is>
          <t>1 问路 wèn lù hỏi đường 请问，怎么去火车站？Qǐng wèn, zěnme qù huǒchē zhàn? - Xin hỏi, đi đến ga tàu hỏa như thế nào?</t>
        </is>
      </c>
      <c r="F2217" s="115">
        <f>HYPERLINK("https://youglish.com/pronounce/问路请问怎么去火车站/chinese","🔍")</f>
        <v/>
      </c>
    </row>
    <row r="2218" ht="28.5" customHeight="1" s="99">
      <c r="A2218" s="92" t="inlineStr">
        <is>
          <t>PDF 300+ Mẫu Câu Giao tiếp theo chủ đề.pdf</t>
        </is>
      </c>
      <c r="B2218" s="93" t="inlineStr">
        <is>
          <t>2</t>
        </is>
      </c>
      <c r="C2218" s="92" t="inlineStr">
        <is>
          <t>地图 dìtú bản đồ 你可以看看这张地图</t>
        </is>
      </c>
      <c r="D2218" s="92" t="inlineStr">
        <is>
          <t>Nǐ kěyǐ kànkan zhè zhāng dìtú. - Bạn có thể xem bản đồ này.</t>
        </is>
      </c>
      <c r="E2218" s="92" t="inlineStr">
        <is>
          <t>2 地图 dìtú bản đồ 你可以看看这张地图。Nǐ kěyǐ kànkan zhè zhāng dìtú. - Bạn có thể xem bản đồ này.</t>
        </is>
      </c>
      <c r="F2218" s="114">
        <f>HYPERLINK("https://youglish.com/pronounce/地图你可以看看这张地图/chinese","🔍")</f>
        <v/>
      </c>
    </row>
    <row r="2219" ht="28.5" customHeight="1" s="99">
      <c r="A2219" s="94" t="inlineStr">
        <is>
          <t>PDF 300+ Mẫu Câu Giao tiếp theo chủ đề.pdf</t>
        </is>
      </c>
      <c r="B2219" s="95" t="inlineStr">
        <is>
          <t>3</t>
        </is>
      </c>
      <c r="C2219" s="94" t="inlineStr">
        <is>
          <t>附近 fùjìn gần đây 附近有银行吗</t>
        </is>
      </c>
      <c r="D2219" s="94" t="inlineStr">
        <is>
          <t>Fùjìn yǒu yínháng ma? - Gần đây có ngân hàng không?</t>
        </is>
      </c>
      <c r="E2219" s="94" t="inlineStr">
        <is>
          <t>3 附近 fùjìn gần đây 附近有银行吗？Fùjìn yǒu yínháng ma? - Gần đây có ngân hàng không?</t>
        </is>
      </c>
      <c r="F2219" s="115">
        <f>HYPERLINK("https://youglish.com/pronounce/附近附近有银行吗/chinese","🔍")</f>
        <v/>
      </c>
    </row>
    <row r="2220" ht="28.5" customHeight="1" s="99">
      <c r="A2220" s="92" t="inlineStr">
        <is>
          <t>PDF 300+ Mẫu Câu Giao tiếp theo chủ đề.pdf</t>
        </is>
      </c>
      <c r="B2220" s="93" t="inlineStr">
        <is>
          <t>4</t>
        </is>
      </c>
      <c r="C2220" s="92" t="inlineStr">
        <is>
          <t>在哪儿 zài nǎr ở đâu 厕所在哪儿</t>
        </is>
      </c>
      <c r="D2220" s="92" t="inlineStr">
        <is>
          <t>Cèsuǒ zài nǎr? - Nhà vệ sinh ở đâu?</t>
        </is>
      </c>
      <c r="E2220" s="92" t="inlineStr">
        <is>
          <t>4 在哪儿 zài nǎr ở đâu 厕所在哪儿？Cèsuǒ zài nǎr? - Nhà vệ sinh ở đâu?</t>
        </is>
      </c>
      <c r="F2220" s="114">
        <f>HYPERLINK("https://youglish.com/pronounce/在哪儿厕所在哪儿/chinese","🔍")</f>
        <v/>
      </c>
    </row>
    <row r="2221" ht="28.5" customHeight="1" s="99">
      <c r="A2221" s="94" t="inlineStr">
        <is>
          <t>PDF 300+ Mẫu Câu Giao tiếp theo chủ đề.pdf</t>
        </is>
      </c>
      <c r="B2221" s="95" t="inlineStr">
        <is>
          <t>5</t>
        </is>
      </c>
      <c r="C2221" s="94" t="inlineStr">
        <is>
          <t>怎么走</t>
        </is>
      </c>
      <c r="D2221" s="94" t="inlineStr">
        <is>
          <t>zěnme zǒu đi như thế nào</t>
        </is>
      </c>
      <c r="E2221" s="94" t="inlineStr">
        <is>
          <t>5 怎么走 zěnme zǒu đi như thế nào</t>
        </is>
      </c>
      <c r="F2221" s="115">
        <f>HYPERLINK("https://youglish.com/pronounce/怎么走/chinese","🔍")</f>
        <v/>
      </c>
    </row>
    <row r="2222" ht="28.5" customHeight="1" s="99">
      <c r="A2222" s="92" t="inlineStr">
        <is>
          <t>PDF 300+ Mẫu Câu Giao tiếp theo chủ đề.pdf</t>
        </is>
      </c>
      <c r="B2222" s="93" t="inlineStr">
        <is>
          <t>374</t>
        </is>
      </c>
      <c r="C2222" s="92" t="inlineStr">
        <is>
          <t>去机场怎么走</t>
        </is>
      </c>
      <c r="D2222" s="92" t="inlineStr">
        <is>
          <t>Qù jīchǎng zěnme zǒu? - Đi đến sân bay như thế nào?</t>
        </is>
      </c>
      <c r="E2222" s="92" t="inlineStr">
        <is>
          <t>去机场怎么走？Qù jīchǎng zěnme zǒu? - Đi đến sân bay như thế nào?</t>
        </is>
      </c>
      <c r="F2222" s="114">
        <f>HYPERLINK("https://youglish.com/pronounce/去机场怎么走/chinese","🔍")</f>
        <v/>
      </c>
    </row>
    <row r="2223" ht="28.5" customHeight="1" s="99">
      <c r="A2223" s="94" t="inlineStr">
        <is>
          <t>PDF 300+ Mẫu Câu Giao tiếp theo chủ đề.pdf</t>
        </is>
      </c>
      <c r="B2223" s="95" t="inlineStr">
        <is>
          <t>6</t>
        </is>
      </c>
      <c r="C2223" s="94" t="inlineStr">
        <is>
          <t>直走 zhí zǒu đi thẳng 一直直走</t>
        </is>
      </c>
      <c r="D2223" s="94" t="inlineStr">
        <is>
          <t>Yīzhí zhí zǒu. - Cứ đi thẳng.</t>
        </is>
      </c>
      <c r="E2223" s="94" t="inlineStr">
        <is>
          <t>6 直走 zhí zǒu đi thẳng 一直直走。Yīzhí zhí zǒu. - Cứ đi thẳng.</t>
        </is>
      </c>
      <c r="F2223" s="115">
        <f>HYPERLINK("https://youglish.com/pronounce/直走一直直走/chinese","🔍")</f>
        <v/>
      </c>
    </row>
    <row r="2224" ht="28.5" customHeight="1" s="99">
      <c r="A2224" s="92" t="inlineStr">
        <is>
          <t>PDF 300+ Mẫu Câu Giao tiếp theo chủ đề.pdf</t>
        </is>
      </c>
      <c r="B2224" s="93" t="inlineStr">
        <is>
          <t>7</t>
        </is>
      </c>
      <c r="C2224" s="92" t="inlineStr">
        <is>
          <t>左转 zuǒ zhuǎn rẽ trái 到红绿灯左转</t>
        </is>
      </c>
      <c r="D2224" s="92" t="inlineStr">
        <is>
          <t>Dào hónglǜdēng zuǒ zhuǎn. - Đến đèn giao thông thì rẽ trái.</t>
        </is>
      </c>
      <c r="E2224" s="92" t="inlineStr">
        <is>
          <t>7 左转 zuǒ zhuǎn rẽ trái 到红绿灯左转。Dào hónglǜdēng zuǒ zhuǎn. - Đến đèn giao thông thì rẽ trái.</t>
        </is>
      </c>
      <c r="F2224" s="114">
        <f>HYPERLINK("https://youglish.com/pronounce/左转到红绿灯左转/chinese","🔍")</f>
        <v/>
      </c>
    </row>
    <row r="2225" ht="28.5" customHeight="1" s="99">
      <c r="A2225" s="94" t="inlineStr">
        <is>
          <t>PDF 300+ Mẫu Câu Giao tiếp theo chủ đề.pdf</t>
        </is>
      </c>
      <c r="B2225" s="95" t="inlineStr">
        <is>
          <t>8</t>
        </is>
      </c>
      <c r="C2225" s="94" t="inlineStr">
        <is>
          <t>右转 yòu zhuǎn rẽ phải 然后右转</t>
        </is>
      </c>
      <c r="D2225" s="94" t="inlineStr">
        <is>
          <t>Ránhòu yòu zhuǎn. - Sau đó rẽ phải.</t>
        </is>
      </c>
      <c r="E2225" s="94" t="inlineStr">
        <is>
          <t>8 右转 yòu zhuǎn rẽ phải 然后右转。Ránhòu yòu zhuǎn. - Sau đó rẽ phải.</t>
        </is>
      </c>
      <c r="F2225" s="115">
        <f>HYPERLINK("https://youglish.com/pronounce/右转然后右转/chinese","🔍")</f>
        <v/>
      </c>
    </row>
    <row r="2226" ht="28.5" customHeight="1" s="99">
      <c r="A2226" s="92" t="inlineStr">
        <is>
          <t>PDF 300+ Mẫu Câu Giao tiếp theo chủ đề.pdf</t>
        </is>
      </c>
      <c r="B2226" s="93" t="inlineStr">
        <is>
          <t>9</t>
        </is>
      </c>
      <c r="C2226" s="92" t="inlineStr">
        <is>
          <t>红绿灯</t>
        </is>
      </c>
      <c r="D2226" s="92" t="inlineStr">
        <is>
          <t>hónglǜdēng đèn giao thông</t>
        </is>
      </c>
      <c r="E2226" s="92" t="inlineStr">
        <is>
          <t>9 红绿灯 hónglǜdēng đèn giao thông</t>
        </is>
      </c>
      <c r="F2226" s="114">
        <f>HYPERLINK("https://youglish.com/pronounce/红绿灯/chinese","🔍")</f>
        <v/>
      </c>
    </row>
    <row r="2227" ht="28.5" customHeight="1" s="99">
      <c r="A2227" s="94" t="inlineStr">
        <is>
          <t>PDF 300+ Mẫu Câu Giao tiếp theo chủ đề.pdf</t>
        </is>
      </c>
      <c r="B2227" s="95" t="inlineStr">
        <is>
          <t>379</t>
        </is>
      </c>
      <c r="C2227" s="94" t="inlineStr">
        <is>
          <t>红绿灯前面</t>
        </is>
      </c>
      <c r="D2227" s="94" t="inlineStr">
        <is>
          <t>Hónglǜdēng qiánmiàn. - Phía trước đèn giao thông.</t>
        </is>
      </c>
      <c r="E2227" s="94" t="inlineStr">
        <is>
          <t>红绿灯前面。Hónglǜdēng qiánmiàn. - Phía trước đèn giao thông.</t>
        </is>
      </c>
      <c r="F2227" s="115">
        <f>HYPERLINK("https://youglish.com/pronounce/红绿灯前面/chinese","🔍")</f>
        <v/>
      </c>
    </row>
    <row r="2228" ht="28.5" customHeight="1" s="99">
      <c r="A2228" s="92" t="inlineStr">
        <is>
          <t>PDF 300+ Mẫu Câu Giao tiếp theo chủ đề.pdf</t>
        </is>
      </c>
      <c r="B2228" s="93" t="inlineStr">
        <is>
          <t>10</t>
        </is>
      </c>
      <c r="C2228" s="92" t="inlineStr">
        <is>
          <t>路口 lùkǒu ngã tư 在第二个路口右转</t>
        </is>
      </c>
      <c r="D2228" s="92" t="inlineStr">
        <is>
          <t>Zài dì èr gè lùkǒu yòu zhuǎn. - Rẽ phải ở ngã tư thứ hai.</t>
        </is>
      </c>
      <c r="E2228" s="92" t="inlineStr">
        <is>
          <t>10 路口 lùkǒu ngã tư 在第二个路口右转。Zài dì èr gè lùkǒu yòu zhuǎn. - Rẽ phải ở ngã tư thứ hai.</t>
        </is>
      </c>
      <c r="F2228" s="114">
        <f>HYPERLINK("https://youglish.com/pronounce/路口在第二个路口右转/chinese","🔍")</f>
        <v/>
      </c>
    </row>
    <row r="2229" ht="28.5" customHeight="1" s="99">
      <c r="A2229" s="94" t="inlineStr">
        <is>
          <t>PDF 300+ Mẫu Câu Giao tiếp theo chủ đề.pdf</t>
        </is>
      </c>
      <c r="B2229" s="95" t="inlineStr">
        <is>
          <t>11</t>
        </is>
      </c>
      <c r="C2229" s="94" t="inlineStr">
        <is>
          <t>街</t>
        </is>
      </c>
      <c r="D2229" s="94" t="inlineStr">
        <is>
          <t>jiē đường (phố)</t>
        </is>
      </c>
      <c r="E2229" s="94" t="inlineStr">
        <is>
          <t>11 街 jiē đường (phố)</t>
        </is>
      </c>
      <c r="F2229" s="115">
        <f>HYPERLINK("https://youglish.com/pronounce/街/chinese","🔍")</f>
        <v/>
      </c>
    </row>
    <row r="2230" ht="28.5" customHeight="1" s="99">
      <c r="A2230" s="92" t="inlineStr">
        <is>
          <t>PDF 300+ Mẫu Câu Giao tiếp theo chủ đề.pdf</t>
        </is>
      </c>
      <c r="B2230" s="93" t="inlineStr">
        <is>
          <t>382</t>
        </is>
      </c>
      <c r="C2230" s="92" t="inlineStr">
        <is>
          <t>这条街叫什么名字</t>
        </is>
      </c>
      <c r="D2230" s="92" t="inlineStr">
        <is>
          <t>Zhè tiáo jiē jiào shénme míngzì? - Đường này tên là gì?</t>
        </is>
      </c>
      <c r="E2230" s="92" t="inlineStr">
        <is>
          <t>这条街叫什么名字？Zhè tiáo jiē jiào shénme míngzì? - Đường này tên là gì?</t>
        </is>
      </c>
      <c r="F2230" s="114">
        <f>HYPERLINK("https://youglish.com/pronounce/这条街叫什么名字/chinese","🔍")</f>
        <v/>
      </c>
    </row>
    <row r="2231" ht="28.5" customHeight="1" s="99">
      <c r="A2231" s="94" t="inlineStr">
        <is>
          <t>PDF 300+ Mẫu Câu Giao tiếp theo chủ đề.pdf</t>
        </is>
      </c>
      <c r="B2231" s="95" t="inlineStr">
        <is>
          <t>12</t>
        </is>
      </c>
      <c r="C2231" s="94" t="inlineStr">
        <is>
          <t>马路 mǎlù đường lớn 过马路要小心</t>
        </is>
      </c>
      <c r="D2231" s="94" t="inlineStr">
        <is>
          <t>Guò mǎlù yào xiǎoxīn. - Qua đường phải cẩn thận.</t>
        </is>
      </c>
      <c r="E2231" s="94" t="inlineStr">
        <is>
          <t>12 马路 mǎlù đường lớn 过马路要小心。Guò mǎlù yào xiǎoxīn. - Qua đường phải cẩn thận.</t>
        </is>
      </c>
      <c r="F2231" s="115">
        <f>HYPERLINK("https://youglish.com/pronounce/马路过马路要小心/chinese","🔍")</f>
        <v/>
      </c>
    </row>
    <row r="2232" ht="28.5" customHeight="1" s="99">
      <c r="A2232" s="92" t="inlineStr">
        <is>
          <t>PDF 300+ Mẫu Câu Giao tiếp theo chủ đề.pdf</t>
        </is>
      </c>
      <c r="B2232" s="93" t="inlineStr">
        <is>
          <t>13</t>
        </is>
      </c>
      <c r="C2232" s="92" t="inlineStr">
        <is>
          <t>公交车 gōngjiāo chē xe buýt 哪儿可以坐公交车</t>
        </is>
      </c>
      <c r="D2232" s="92" t="inlineStr">
        <is>
          <t>Nǎr kěyǐ zuò gōngjiāo chē? - Ở đâu có thể bắt xe buýt?</t>
        </is>
      </c>
      <c r="E2232" s="92" t="inlineStr">
        <is>
          <t>13 公交车 gōngjiāo chē xe buýt 哪儿可以坐公交车？Nǎr kěyǐ zuò gōngjiāo chē? - Ở đâu có thể bắt xe buýt?</t>
        </is>
      </c>
      <c r="F2232" s="114">
        <f>HYPERLINK("https://youglish.com/pronounce/公交车哪儿可以坐公交车/chinese","🔍")</f>
        <v/>
      </c>
    </row>
    <row r="2233" ht="28.5" customHeight="1" s="99">
      <c r="A2233" s="94" t="inlineStr">
        <is>
          <t>PDF 300+ Mẫu Câu Giao tiếp theo chủ đề.pdf</t>
        </is>
      </c>
      <c r="B2233" s="95" t="inlineStr">
        <is>
          <t>14</t>
        </is>
      </c>
      <c r="C2233" s="94" t="inlineStr">
        <is>
          <t>地铁</t>
        </is>
      </c>
      <c r="D2233" s="94" t="inlineStr">
        <is>
          <t>dìtiě tàu điện ngầm</t>
        </is>
      </c>
      <c r="E2233" s="94" t="inlineStr">
        <is>
          <t>14 地铁 dìtiě tàu điện ngầm</t>
        </is>
      </c>
      <c r="F2233" s="115">
        <f>HYPERLINK("https://youglish.com/pronounce/地铁/chinese","🔍")</f>
        <v/>
      </c>
    </row>
    <row r="2234" ht="28.5" customHeight="1" s="99">
      <c r="A2234" s="92" t="inlineStr">
        <is>
          <t>PDF 300+ Mẫu Câu Giao tiếp theo chủ đề.pdf</t>
        </is>
      </c>
      <c r="B2234" s="93" t="inlineStr">
        <is>
          <t>386</t>
        </is>
      </c>
      <c r="C2234" s="92" t="inlineStr">
        <is>
          <t>附近有地铁站吗</t>
        </is>
      </c>
      <c r="D2234" s="92" t="inlineStr">
        <is>
          <t>Fùjìn yǒu dìtiě zhàn ma? - Gần đây có ga tàu điện ngầm không?</t>
        </is>
      </c>
      <c r="E2234" s="92" t="inlineStr">
        <is>
          <t>附近有地铁站吗？Fùjìn yǒu dìtiě zhàn ma? - Gần đây có ga tàu điện ngầm không?</t>
        </is>
      </c>
      <c r="F2234" s="114">
        <f>HYPERLINK("https://youglish.com/pronounce/附近有地铁站吗/chinese","🔍")</f>
        <v/>
      </c>
    </row>
    <row r="2235" ht="28.5" customHeight="1" s="99">
      <c r="A2235" s="94" t="inlineStr">
        <is>
          <t>PDF 300+ Mẫu Câu Giao tiếp theo chủ đề.pdf</t>
        </is>
      </c>
      <c r="B2235" s="95" t="inlineStr">
        <is>
          <t>15</t>
        </is>
      </c>
      <c r="C2235" s="94" t="inlineStr">
        <is>
          <t>车站 chēzhàn trạm xe 车站在哪里</t>
        </is>
      </c>
      <c r="D2235" s="94" t="inlineStr">
        <is>
          <t>Chēzhàn zài nǎlǐ? - Trạm xe ở đâu?</t>
        </is>
      </c>
      <c r="E2235" s="94" t="inlineStr">
        <is>
          <t>15 车站 chēzhàn trạm xe 车站在哪里？Chēzhàn zài nǎlǐ? - Trạm xe ở đâu?</t>
        </is>
      </c>
      <c r="F2235" s="115">
        <f>HYPERLINK("https://youglish.com/pronounce/车站车站在哪里/chinese","🔍")</f>
        <v/>
      </c>
    </row>
    <row r="2236" ht="28.5" customHeight="1" s="99">
      <c r="A2236" s="92" t="inlineStr">
        <is>
          <t>PDF 300+ Mẫu Câu Giao tiếp theo chủ đề.pdf</t>
        </is>
      </c>
      <c r="B2236" s="93" t="inlineStr">
        <is>
          <t>16</t>
        </is>
      </c>
      <c r="C2236" s="92" t="inlineStr">
        <is>
          <t>出口 chūkǒu lối ra 出口在左边</t>
        </is>
      </c>
      <c r="D2236" s="92" t="inlineStr">
        <is>
          <t>Chūkǒu zài zuǒbiān. - Lối ra ở bên trái.</t>
        </is>
      </c>
      <c r="E2236" s="92" t="inlineStr">
        <is>
          <t>16 出口 chūkǒu lối ra 出口在左边。Chūkǒu zài zuǒbiān. - Lối ra ở bên trái.</t>
        </is>
      </c>
      <c r="F2236" s="114">
        <f>HYPERLINK("https://youglish.com/pronounce/出口出口在左边/chinese","🔍")</f>
        <v/>
      </c>
    </row>
    <row r="2237" ht="28.5" customHeight="1" s="99">
      <c r="A2237" s="94" t="inlineStr">
        <is>
          <t>PDF 300+ Mẫu Câu Giao tiếp theo chủ đề.pdf</t>
        </is>
      </c>
      <c r="B2237" s="95" t="inlineStr">
        <is>
          <t>17</t>
        </is>
      </c>
      <c r="C2237" s="94" t="inlineStr">
        <is>
          <t>入口 rùkǒu lối vào 从这个入口进去</t>
        </is>
      </c>
      <c r="D2237" s="94" t="inlineStr">
        <is>
          <t>Cóng zhège rùkǒu jìnqù. - Đi vào từ lối này.</t>
        </is>
      </c>
      <c r="E2237" s="94" t="inlineStr">
        <is>
          <t>17 入口 rùkǒu lối vào 从这个入口进去。Cóng zhège rùkǒu jìnqù. - Đi vào từ lối này.</t>
        </is>
      </c>
      <c r="F2237" s="115">
        <f>HYPERLINK("https://youglish.com/pronounce/入口从这个入口进去/chinese","🔍")</f>
        <v/>
      </c>
    </row>
    <row r="2238" ht="28.5" customHeight="1" s="99">
      <c r="A2238" s="92" t="inlineStr">
        <is>
          <t>PDF 300+ Mẫu Câu Giao tiếp theo chủ đề.pdf</t>
        </is>
      </c>
      <c r="B2238" s="93" t="inlineStr">
        <is>
          <t>18</t>
        </is>
      </c>
      <c r="C2238" s="92" t="inlineStr">
        <is>
          <t>前面 qiánmiàn phía trước 银行在前面</t>
        </is>
      </c>
      <c r="D2238" s="92" t="inlineStr">
        <is>
          <t>Yínháng zài qiánmiàn. - Ngân hàng ở phía trước.</t>
        </is>
      </c>
      <c r="E2238" s="92" t="inlineStr">
        <is>
          <t>18 前面 qiánmiàn phía trước 银行在前面。Yínháng zài qiánmiàn. - Ngân hàng ở phía trước.</t>
        </is>
      </c>
      <c r="F2238" s="114">
        <f>HYPERLINK("https://youglish.com/pronounce/前面银行在前面/chinese","🔍")</f>
        <v/>
      </c>
    </row>
    <row r="2239" ht="28.5" customHeight="1" s="99">
      <c r="A2239" s="94" t="inlineStr">
        <is>
          <t>PDF 300+ Mẫu Câu Giao tiếp theo chủ đề.pdf</t>
        </is>
      </c>
      <c r="B2239" s="95" t="inlineStr">
        <is>
          <t>19</t>
        </is>
      </c>
      <c r="C2239" s="94" t="inlineStr">
        <is>
          <t>后面 hòumiàn phía sau 厕所在后面</t>
        </is>
      </c>
      <c r="D2239" s="94" t="inlineStr">
        <is>
          <t>Cèsuǒ zài hòumiàn. - Nhà vệ sinh ở phía sau.</t>
        </is>
      </c>
      <c r="E2239" s="94" t="inlineStr">
        <is>
          <t>19 后面 hòumiàn phía sau 厕所在后面。Cèsuǒ zài hòumiàn. - Nhà vệ sinh ở phía sau.</t>
        </is>
      </c>
      <c r="F2239" s="115">
        <f>HYPERLINK("https://youglish.com/pronounce/后面厕所在后面/chinese","🔍")</f>
        <v/>
      </c>
    </row>
    <row r="2240" ht="28.5" customHeight="1" s="99">
      <c r="A2240" s="92" t="inlineStr">
        <is>
          <t>PDF 300+ Mẫu Câu Giao tiếp theo chủ đề.pdf</t>
        </is>
      </c>
      <c r="B2240" s="93" t="inlineStr">
        <is>
          <t>20</t>
        </is>
      </c>
      <c r="C2240" s="92" t="inlineStr">
        <is>
          <t>左边 zuǒbiān bên trái 医院在左边</t>
        </is>
      </c>
      <c r="D2240" s="92" t="inlineStr">
        <is>
          <t>Yīyuàn zài zuǒbiān. - Bệnh viện ở bên trái.</t>
        </is>
      </c>
      <c r="E2240" s="92" t="inlineStr">
        <is>
          <t>20 左边 zuǒbiān bên trái 医院在左边。Yīyuàn zài zuǒbiān. - Bệnh viện ở bên trái.</t>
        </is>
      </c>
      <c r="F2240" s="114">
        <f>HYPERLINK("https://youglish.com/pronounce/左边医院在左边/chinese","🔍")</f>
        <v/>
      </c>
    </row>
    <row r="2241" ht="28.5" customHeight="1" s="99">
      <c r="A2241" s="94" t="inlineStr">
        <is>
          <t>PDF 300+ Mẫu Câu Giao tiếp theo chủ đề.pdf</t>
        </is>
      </c>
      <c r="B2241" s="95" t="inlineStr">
        <is>
          <t>21</t>
        </is>
      </c>
      <c r="C2241" s="94" t="inlineStr">
        <is>
          <t>右边 yòubiān bên phải 学校在右边</t>
        </is>
      </c>
      <c r="D2241" s="94" t="inlineStr">
        <is>
          <t>Xuéxiào zài yòubiān. - Trường học ở bên phải.</t>
        </is>
      </c>
      <c r="E2241" s="94" t="inlineStr">
        <is>
          <t>21 右边 yòubiān bên phải 学校在右边。Xuéxiào zài yòubiān. - Trường học ở bên phải.</t>
        </is>
      </c>
      <c r="F2241" s="115">
        <f>HYPERLINK("https://youglish.com/pronounce/右边学校在右边/chinese","🔍")</f>
        <v/>
      </c>
    </row>
    <row r="2242" ht="28.5" customHeight="1" s="99">
      <c r="A2242" s="92" t="inlineStr">
        <is>
          <t>PDF 300+ Mẫu Câu Giao tiếp theo chủ đề.pdf</t>
        </is>
      </c>
      <c r="B2242" s="93" t="inlineStr">
        <is>
          <t>22</t>
        </is>
      </c>
      <c r="C2242" s="92" t="inlineStr">
        <is>
          <t>对面 duìmiàn đối diện 超市在银行对面</t>
        </is>
      </c>
      <c r="D2242" s="92" t="inlineStr">
        <is>
          <t>Chāoshì zài yínháng duìmiàn. - Siêu thị ở đối diện ngân hàng.</t>
        </is>
      </c>
      <c r="E2242" s="92" t="inlineStr">
        <is>
          <t>22 对面 duìmiàn đối diện 超市在银行对面。Chāoshì zài yínháng duìmiàn. - Siêu thị ở đối diện ngân hàng.</t>
        </is>
      </c>
      <c r="F2242" s="114">
        <f>HYPERLINK("https://youglish.com/pronounce/对面超市在银行对面/chinese","🔍")</f>
        <v/>
      </c>
    </row>
    <row r="2243" ht="28.5" customHeight="1" s="99">
      <c r="A2243" s="94" t="inlineStr">
        <is>
          <t>PDF 300+ Mẫu Câu Giao tiếp theo chủ đề.pdf</t>
        </is>
      </c>
      <c r="B2243" s="95" t="inlineStr">
        <is>
          <t>23</t>
        </is>
      </c>
      <c r="C2243" s="94" t="inlineStr">
        <is>
          <t>附近</t>
        </is>
      </c>
      <c r="D2243" s="94" t="inlineStr">
        <is>
          <t>fùjìn lân cận, gần đây</t>
        </is>
      </c>
      <c r="E2243" s="94" t="inlineStr">
        <is>
          <t>23 附近 fùjìn lân cận, gần đây</t>
        </is>
      </c>
      <c r="F2243" s="115">
        <f>HYPERLINK("https://youglish.com/pronounce/附近/chinese","🔍")</f>
        <v/>
      </c>
    </row>
    <row r="2244" ht="28.5" customHeight="1" s="99">
      <c r="A2244" s="92" t="inlineStr">
        <is>
          <t>PDF 300+ Mẫu Câu Giao tiếp theo chủ đề.pdf</t>
        </is>
      </c>
      <c r="B2244" s="93" t="inlineStr">
        <is>
          <t>396</t>
        </is>
      </c>
      <c r="C2244" s="92" t="inlineStr">
        <is>
          <t>附近有餐厅吗</t>
        </is>
      </c>
      <c r="D2244" s="92" t="inlineStr">
        <is>
          <t>Fùjìn yǒu cāntīng ma? - Gần đây có nhà hàng không?</t>
        </is>
      </c>
      <c r="E2244" s="92" t="inlineStr">
        <is>
          <t>附近有餐厅吗？Fùjìn yǒu cāntīng ma? - Gần đây có nhà hàng không?</t>
        </is>
      </c>
      <c r="F2244" s="114">
        <f>HYPERLINK("https://youglish.com/pronounce/附近有餐厅吗/chinese","🔍")</f>
        <v/>
      </c>
    </row>
    <row r="2245" ht="28.5" customHeight="1" s="99">
      <c r="A2245" s="94" t="inlineStr">
        <is>
          <t>PDF 300+ Mẫu Câu Giao tiếp theo chủ đề.pdf</t>
        </is>
      </c>
      <c r="B2245" s="95" t="inlineStr">
        <is>
          <t>24</t>
        </is>
      </c>
      <c r="C2245" s="94" t="inlineStr">
        <is>
          <t>公园 gōngyuán công viên 公园远不远</t>
        </is>
      </c>
      <c r="D2245" s="94" t="inlineStr">
        <is>
          <t>Gōngyuán yuǎn bù yuǎn? - Công viên có xa không?</t>
        </is>
      </c>
      <c r="E2245" s="94" t="inlineStr">
        <is>
          <t>24 公园 gōngyuán công viên 公园远不远？Gōngyuán yuǎn bù yuǎn? - Công viên có xa không?</t>
        </is>
      </c>
      <c r="F2245" s="115">
        <f>HYPERLINK("https://youglish.com/pronounce/公园公园远不远/chinese","🔍")</f>
        <v/>
      </c>
    </row>
    <row r="2246" ht="28.5" customHeight="1" s="99">
      <c r="A2246" s="92" t="inlineStr">
        <is>
          <t>PDF 300+ Mẫu Câu Giao tiếp theo chủ đề.pdf</t>
        </is>
      </c>
      <c r="B2246" s="93" t="inlineStr">
        <is>
          <t>25</t>
        </is>
      </c>
      <c r="C2246" s="92" t="inlineStr">
        <is>
          <t>医院 yīyuàn bệnh viện 医院怎么走</t>
        </is>
      </c>
      <c r="D2246" s="92" t="inlineStr">
        <is>
          <t>Yīyuàn zěnme zǒu? - Đi bệnh viện như thế nào?</t>
        </is>
      </c>
      <c r="E2246" s="92" t="inlineStr">
        <is>
          <t>25 医院 yīyuàn bệnh viện 医院怎么走？Yīyuàn zěnme zǒu? - Đi bệnh viện như thế nào?</t>
        </is>
      </c>
      <c r="F2246" s="114">
        <f>HYPERLINK("https://youglish.com/pronounce/医院医院怎么走/chinese","🔍")</f>
        <v/>
      </c>
    </row>
    <row r="2247" ht="28.5" customHeight="1" s="99">
      <c r="A2247" s="94" t="inlineStr">
        <is>
          <t>PDF 300+ Mẫu Câu Giao tiếp theo chủ đề.pdf</t>
        </is>
      </c>
      <c r="B2247" s="95" t="inlineStr">
        <is>
          <t>26</t>
        </is>
      </c>
      <c r="C2247" s="94" t="inlineStr">
        <is>
          <t>银行 yínháng ngân hàng 银行离这儿远吗</t>
        </is>
      </c>
      <c r="D2247" s="94" t="inlineStr">
        <is>
          <t>Yínháng lí zhèr yuǎn ma? - Ngân hàng có xa đây không?</t>
        </is>
      </c>
      <c r="E2247" s="94" t="inlineStr">
        <is>
          <t>26 银行 yínháng ngân hàng 银行离这儿远吗？Yínháng lí zhèr yuǎn ma? - Ngân hàng có xa đây không?</t>
        </is>
      </c>
      <c r="F2247" s="115">
        <f>HYPERLINK("https://youglish.com/pronounce/银行银行离这儿远吗/chinese","🔍")</f>
        <v/>
      </c>
    </row>
    <row r="2248" ht="28.5" customHeight="1" s="99">
      <c r="A2248" s="92" t="inlineStr">
        <is>
          <t>PDF 300+ Mẫu Câu Giao tiếp theo chủ đề.pdf</t>
        </is>
      </c>
      <c r="B2248" s="93" t="inlineStr">
        <is>
          <t>27</t>
        </is>
      </c>
      <c r="C2248" s="92" t="inlineStr">
        <is>
          <t>饭店 fàndiàn nhà hàng 这附近有饭店吗</t>
        </is>
      </c>
      <c r="D2248" s="92" t="inlineStr">
        <is>
          <t>Zhè fùjìn yǒu fàndiàn ma? - Gần đây có nhà hàng không?</t>
        </is>
      </c>
      <c r="E2248" s="92" t="inlineStr">
        <is>
          <t>27 饭店 fàndiàn nhà hàng 这附近有饭店吗？Zhè fùjìn yǒu fàndiàn ma? - Gần đây có nhà hàng không?</t>
        </is>
      </c>
      <c r="F2248" s="114">
        <f>HYPERLINK("https://youglish.com/pronounce/饭店这附近有饭店吗/chinese","🔍")</f>
        <v/>
      </c>
    </row>
    <row r="2249" ht="28.5" customHeight="1" s="99">
      <c r="A2249" s="94" t="inlineStr">
        <is>
          <t>PDF 300+ Mẫu Câu Giao tiếp theo chủ đề.pdf</t>
        </is>
      </c>
      <c r="B2249" s="95" t="inlineStr">
        <is>
          <t>28</t>
        </is>
      </c>
      <c r="C2249" s="94" t="inlineStr">
        <is>
          <t>超市 chāoshì siêu thị 超市怎么走</t>
        </is>
      </c>
      <c r="D2249" s="94" t="inlineStr">
        <is>
          <t>Chāoshì zěnme zǒu? - Đi đến siêu thị như thế nào?</t>
        </is>
      </c>
      <c r="E2249" s="94" t="inlineStr">
        <is>
          <t>28 超市 chāoshì siêu thị 超市怎么走？Chāoshì zěnme zǒu? - Đi đến siêu thị như thế nào?</t>
        </is>
      </c>
      <c r="F2249" s="115">
        <f>HYPERLINK("https://youglish.com/pronounce/超市超市怎么走/chinese","🔍")</f>
        <v/>
      </c>
    </row>
    <row r="2250" ht="28.5" customHeight="1" s="99">
      <c r="A2250" s="92" t="inlineStr">
        <is>
          <t>PDF 300+ Mẫu Câu Giao tiếp theo chủ đề.pdf</t>
        </is>
      </c>
      <c r="B2250" s="93" t="inlineStr">
        <is>
          <t>29</t>
        </is>
      </c>
      <c r="C2250" s="92" t="inlineStr">
        <is>
          <t>远 yuǎn xa 离这儿远吗</t>
        </is>
      </c>
      <c r="D2250" s="92" t="inlineStr">
        <is>
          <t>Lí zhèr yuǎn ma? - Có xa đây không?</t>
        </is>
      </c>
      <c r="E2250" s="92" t="inlineStr">
        <is>
          <t>29 远 yuǎn xa 离这儿远吗？Lí zhèr yuǎn ma? - Có xa đây không?</t>
        </is>
      </c>
      <c r="F2250" s="114">
        <f>HYPERLINK("https://youglish.com/pronounce/远离这儿远吗/chinese","🔍")</f>
        <v/>
      </c>
    </row>
    <row r="2251" ht="28.5" customHeight="1" s="99">
      <c r="A2251" s="94" t="inlineStr">
        <is>
          <t>PDF 300+ Mẫu Câu Giao tiếp theo chủ đề.pdf</t>
        </is>
      </c>
      <c r="B2251" s="95" t="inlineStr">
        <is>
          <t>30</t>
        </is>
      </c>
      <c r="C2251" s="94" t="inlineStr">
        <is>
          <t>近 jìn gần 地铁站很近</t>
        </is>
      </c>
      <c r="D2251" s="94" t="inlineStr">
        <is>
          <t>Dìtiě zhàn hěn jìn. - Ga tàu rất gần.</t>
        </is>
      </c>
      <c r="E2251" s="94" t="inlineStr">
        <is>
          <t>30 近 jìn gần 地铁站很近。Dìtiě zhàn hěn jìn. - Ga tàu rất gần.</t>
        </is>
      </c>
      <c r="F2251" s="115">
        <f>HYPERLINK("https://youglish.com/pronounce/近地铁站很近/chinese","🔍")</f>
        <v/>
      </c>
    </row>
    <row r="2252" ht="28.5" customHeight="1" s="99">
      <c r="A2252" s="92" t="inlineStr">
        <is>
          <t>PDF 300+ Mẫu Câu Giao tiếp theo chủ đề.pdf</t>
        </is>
      </c>
      <c r="B2252" s="93" t="inlineStr">
        <is>
          <t>31</t>
        </is>
      </c>
      <c r="C2252" s="92" t="inlineStr">
        <is>
          <t>迷路 mílù lạc đường 我迷路了</t>
        </is>
      </c>
      <c r="D2252" s="92" t="inlineStr">
        <is>
          <t>Wǒ mílù le. - Tôi bị lạc đường.</t>
        </is>
      </c>
      <c r="E2252" s="92" t="inlineStr">
        <is>
          <t>31 迷路 mílù lạc đường 我迷路了。Wǒ mílù le. - Tôi bị lạc đường.</t>
        </is>
      </c>
      <c r="F2252" s="114">
        <f>HYPERLINK("https://youglish.com/pronounce/迷路我迷路了/chinese","🔍")</f>
        <v/>
      </c>
    </row>
    <row r="2253" ht="28.5" customHeight="1" s="99">
      <c r="A2253" s="94" t="inlineStr">
        <is>
          <t>PDF 300+ Mẫu Câu Giao tiếp theo chủ đề.pdf</t>
        </is>
      </c>
      <c r="B2253" s="95" t="inlineStr">
        <is>
          <t>32</t>
        </is>
      </c>
      <c r="C2253" s="94" t="inlineStr">
        <is>
          <t>帮助 bāngzhù giúp đỡ 你能帮助我吗</t>
        </is>
      </c>
      <c r="D2253" s="94" t="inlineStr">
        <is>
          <t>Nǐ néng bāngzhù wǒ ma? - Bạn có thể giúp tôi không?</t>
        </is>
      </c>
      <c r="E2253" s="94" t="inlineStr">
        <is>
          <t>32 帮助 bāngzhù giúp đỡ 你能帮助我吗？Nǐ néng bāngzhù wǒ ma? - Bạn có thể giúp tôi không?</t>
        </is>
      </c>
      <c r="F2253" s="115">
        <f>HYPERLINK("https://youglish.com/pronounce/帮助你能帮助我吗/chinese","🔍")</f>
        <v/>
      </c>
    </row>
    <row r="2254" ht="28.5" customHeight="1" s="99">
      <c r="A2254" s="92" t="inlineStr">
        <is>
          <t>PDF 300+ Mẫu Câu Giao tiếp theo chủ đề.pdf</t>
        </is>
      </c>
      <c r="B2254" s="93" t="inlineStr">
        <is>
          <t>33</t>
        </is>
      </c>
      <c r="C2254" s="92" t="inlineStr">
        <is>
          <t>找到 zhǎodào tìm thấy 我找不到火车站</t>
        </is>
      </c>
      <c r="D2254" s="92" t="inlineStr">
        <is>
          <t>Wǒ zhǎo bù dào huǒchē zhàn. - Tôi không tìm thấy ga tàu.</t>
        </is>
      </c>
      <c r="E2254" s="92" t="inlineStr">
        <is>
          <t>33 找到 zhǎodào tìm thấy 我找不到火车站。Wǒ zhǎo bù dào huǒchē zhàn. - Tôi không tìm thấy ga tàu.</t>
        </is>
      </c>
      <c r="F2254" s="114">
        <f>HYPERLINK("https://youglish.com/pronounce/找到我找不到火车站/chinese","🔍")</f>
        <v/>
      </c>
    </row>
    <row r="2255" ht="28.5" customHeight="1" s="99">
      <c r="A2255" s="94" t="inlineStr">
        <is>
          <t>PDF 300+ Mẫu Câu Giao tiếp theo chủ đề.pdf</t>
        </is>
      </c>
      <c r="B2255" s="95" t="inlineStr">
        <is>
          <t>34</t>
        </is>
      </c>
      <c r="C2255" s="94" t="inlineStr">
        <is>
          <t>走路 zǒulù đi bộ 走路要多长时间</t>
        </is>
      </c>
      <c r="D2255" s="94" t="inlineStr">
        <is>
          <t>Zǒulù yào duō cháng shíjiān? - Đi bộ mất bao lâu?</t>
        </is>
      </c>
      <c r="E2255" s="94" t="inlineStr">
        <is>
          <t>34 走路 zǒulù đi bộ 走路要多长时间？Zǒulù yào duō cháng shíjiān? - Đi bộ mất bao lâu?</t>
        </is>
      </c>
      <c r="F2255" s="115">
        <f>HYPERLINK("https://youglish.com/pronounce/走路走路要多长时间/chinese","🔍")</f>
        <v/>
      </c>
    </row>
    <row r="2256" ht="28.5" customHeight="1" s="99">
      <c r="A2256" s="92" t="inlineStr">
        <is>
          <t>PDF 300+ Mẫu Câu Giao tiếp theo chủ đề.pdf</t>
        </is>
      </c>
      <c r="B2256" s="93" t="inlineStr">
        <is>
          <t>35</t>
        </is>
      </c>
      <c r="C2256" s="92" t="inlineStr">
        <is>
          <t>骑车 qí chē đi xe đạp 骑车可以吗</t>
        </is>
      </c>
      <c r="D2256" s="92" t="inlineStr">
        <is>
          <t>Qí chē kěyǐ ma? - Đi xe đạp được không?</t>
        </is>
      </c>
      <c r="E2256" s="92" t="inlineStr">
        <is>
          <t>35 骑车 qí chē đi xe đạp 骑车可以吗？Qí chē kěyǐ ma? - Đi xe đạp được không?</t>
        </is>
      </c>
      <c r="F2256" s="114">
        <f>HYPERLINK("https://youglish.com/pronounce/骑车骑车可以吗/chinese","🔍")</f>
        <v/>
      </c>
    </row>
    <row r="2257" ht="28.5" customHeight="1" s="99">
      <c r="A2257" s="94" t="inlineStr">
        <is>
          <t>PDF 300+ Mẫu Câu Giao tiếp theo chủ đề.pdf</t>
        </is>
      </c>
      <c r="B2257" s="95" t="inlineStr">
        <is>
          <t>36</t>
        </is>
      </c>
      <c r="C2257" s="94" t="inlineStr">
        <is>
          <t>打车 dǎ chē gọi xe 我可以打车去吗</t>
        </is>
      </c>
      <c r="D2257" s="94" t="inlineStr">
        <is>
          <t>Wǒ kěyǐ dǎ chē qù ma? - Tôi có thể đi taxi không?</t>
        </is>
      </c>
      <c r="E2257" s="94" t="inlineStr">
        <is>
          <t>36 打车 dǎ chē gọi xe 我可以打车去吗？Wǒ kěyǐ dǎ chē qù ma? - Tôi có thể đi taxi không?</t>
        </is>
      </c>
      <c r="F2257" s="115">
        <f>HYPERLINK("https://youglish.com/pronounce/打车我可以打车去吗/chinese","🔍")</f>
        <v/>
      </c>
    </row>
    <row r="2258" ht="28.5" customHeight="1" s="99">
      <c r="A2258" s="92" t="inlineStr">
        <is>
          <t>PDF 300+ Mẫu Câu Giao tiếp theo chủ đề.pdf</t>
        </is>
      </c>
      <c r="B2258" s="93" t="inlineStr">
        <is>
          <t>37</t>
        </is>
      </c>
      <c r="C2258" s="92" t="inlineStr">
        <is>
          <t>坐地铁</t>
        </is>
      </c>
      <c r="D2258" s="92" t="inlineStr">
        <is>
          <t>zuò dìtiě đi tàu điện ngầm</t>
        </is>
      </c>
      <c r="E2258" s="92" t="inlineStr">
        <is>
          <t>37 坐地铁 zuò dìtiě đi tàu điện ngầm</t>
        </is>
      </c>
      <c r="F2258" s="114">
        <f>HYPERLINK("https://youglish.com/pronounce/坐地铁/chinese","🔍")</f>
        <v/>
      </c>
    </row>
    <row r="2259" ht="28.5" customHeight="1" s="99">
      <c r="A2259" s="94" t="inlineStr">
        <is>
          <t>PDF 300+ Mẫu Câu Giao tiếp theo chủ đề.pdf</t>
        </is>
      </c>
      <c r="B2259" s="95" t="inlineStr">
        <is>
          <t>411</t>
        </is>
      </c>
      <c r="C2259" s="94" t="inlineStr">
        <is>
          <t>坐地铁方便吗</t>
        </is>
      </c>
      <c r="D2259" s="94" t="inlineStr">
        <is>
          <t>Zuò dìtiě fāngbiàn ma? - Đi tàu điện có tiện không?</t>
        </is>
      </c>
      <c r="E2259" s="94" t="inlineStr">
        <is>
          <t>坐地铁方便吗？Zuò dìtiě fāngbiàn ma? - Đi tàu điện có tiện không?</t>
        </is>
      </c>
      <c r="F2259" s="115">
        <f>HYPERLINK("https://youglish.com/pronounce/坐地铁方便吗/chinese","🔍")</f>
        <v/>
      </c>
    </row>
    <row r="2260" ht="28.5" customHeight="1" s="99">
      <c r="A2260" s="92" t="inlineStr">
        <is>
          <t>PDF 300+ Mẫu Câu Giao tiếp theo chủ đề.pdf</t>
        </is>
      </c>
      <c r="B2260" s="93" t="inlineStr">
        <is>
          <t>38</t>
        </is>
      </c>
      <c r="C2260" s="92" t="inlineStr">
        <is>
          <t>换乘 huànchéng đổi tuyến 需要换乘吗</t>
        </is>
      </c>
      <c r="D2260" s="92" t="inlineStr">
        <is>
          <t>Xūyào huànchéng ma? - Có cần đổi tuyến không?</t>
        </is>
      </c>
      <c r="E2260" s="92" t="inlineStr">
        <is>
          <t>38 换乘 huànchéng đổi tuyến 需要换乘吗？Xūyào huànchéng ma? - Có cần đổi tuyến không?</t>
        </is>
      </c>
      <c r="F2260" s="114">
        <f>HYPERLINK("https://youglish.com/pronounce/换乘需要换乘吗/chinese","🔍")</f>
        <v/>
      </c>
    </row>
    <row r="2261" ht="28.5" customHeight="1" s="99">
      <c r="A2261" s="94" t="inlineStr">
        <is>
          <t>PDF 300+ Mẫu Câu Giao tiếp theo chủ đề.pdf</t>
        </is>
      </c>
      <c r="B2261" s="95" t="inlineStr">
        <is>
          <t>39</t>
        </is>
      </c>
      <c r="C2261" s="94" t="inlineStr">
        <is>
          <t>楼</t>
        </is>
      </c>
      <c r="D2261" s="94" t="inlineStr">
        <is>
          <t>lóu tầng, tòa nhà</t>
        </is>
      </c>
      <c r="E2261" s="94" t="inlineStr">
        <is>
          <t>39 楼 lóu tầng, tòa nhà</t>
        </is>
      </c>
      <c r="F2261" s="115">
        <f>HYPERLINK("https://youglish.com/pronounce/楼/chinese","🔍")</f>
        <v/>
      </c>
    </row>
    <row r="2262" ht="28.5" customHeight="1" s="99">
      <c r="A2262" s="92" t="inlineStr">
        <is>
          <t>PDF 300+ Mẫu Câu Giao tiếp theo chủ đề.pdf</t>
        </is>
      </c>
      <c r="B2262" s="93" t="inlineStr">
        <is>
          <t>414</t>
        </is>
      </c>
      <c r="C2262" s="92" t="inlineStr">
        <is>
          <t>你要去几楼</t>
        </is>
      </c>
      <c r="D2262" s="92" t="inlineStr">
        <is>
          <t>Nǐ yào qù jǐ lóu? - Bạn muốn đến tầng mấy?</t>
        </is>
      </c>
      <c r="E2262" s="92" t="inlineStr">
        <is>
          <t>你要去几楼？Nǐ yào qù jǐ lóu? - Bạn muốn đến tầng mấy?</t>
        </is>
      </c>
      <c r="F2262" s="114">
        <f>HYPERLINK("https://youglish.com/pronounce/你要去几楼/chinese","🔍")</f>
        <v/>
      </c>
    </row>
    <row r="2263" ht="28.5" customHeight="1" s="99">
      <c r="A2263" s="94" t="inlineStr">
        <is>
          <t>PDF 300+ Mẫu Câu Giao tiếp theo chủ đề.pdf</t>
        </is>
      </c>
      <c r="B2263" s="95" t="inlineStr">
        <is>
          <t>40</t>
        </is>
      </c>
      <c r="C2263" s="94" t="inlineStr">
        <is>
          <t>大厦 dàshà cao ốc 那是办公大厦</t>
        </is>
      </c>
      <c r="D2263" s="94" t="inlineStr">
        <is>
          <t>Nà shì bàngōng dàshà. - Đó là tòa nhà văn phòng.</t>
        </is>
      </c>
      <c r="E2263" s="94" t="inlineStr">
        <is>
          <t>40 大厦 dàshà cao ốc 那是办公大厦。Nà shì bàngōng dàshà. - Đó là tòa nhà văn phòng.</t>
        </is>
      </c>
      <c r="F2263" s="115">
        <f>HYPERLINK("https://youglish.com/pronounce/大厦那是办公大厦/chinese","🔍")</f>
        <v/>
      </c>
    </row>
    <row r="2264" ht="28.5" customHeight="1" s="99">
      <c r="A2264" s="92" t="inlineStr">
        <is>
          <t>PDF 300+ Mẫu Câu Giao tiếp theo chủ đề.pdf</t>
        </is>
      </c>
      <c r="B2264" s="93" t="inlineStr">
        <is>
          <t>41</t>
        </is>
      </c>
      <c r="C2264" s="92" t="inlineStr">
        <is>
          <t>座</t>
        </is>
      </c>
      <c r="D2264" s="92" t="inlineStr">
        <is>
          <t>zuò lượng từ của tòa nhà</t>
        </is>
      </c>
      <c r="E2264" s="92" t="inlineStr">
        <is>
          <t>41 座 zuò lượng từ của tòa nhà</t>
        </is>
      </c>
      <c r="F2264" s="114">
        <f>HYPERLINK("https://youglish.com/pronounce/座/chinese","🔍")</f>
        <v/>
      </c>
    </row>
    <row r="2265" ht="28.5" customHeight="1" s="99">
      <c r="A2265" s="94" t="inlineStr">
        <is>
          <t>PDF 300+ Mẫu Câu Giao tiếp theo chủ đề.pdf</t>
        </is>
      </c>
      <c r="B2265" s="95" t="inlineStr">
        <is>
          <t>417</t>
        </is>
      </c>
      <c r="C2265" s="94" t="inlineStr">
        <is>
          <t>这是一座医院</t>
        </is>
      </c>
      <c r="D2265" s="94" t="inlineStr">
        <is>
          <t>Zhè shì yí zuò yīyuàn. - Đây là một bệnh viện.</t>
        </is>
      </c>
      <c r="E2265" s="94" t="inlineStr">
        <is>
          <t>这是一座医院。Zhè shì yí zuò yīyuàn. - Đây là một bệnh viện.</t>
        </is>
      </c>
      <c r="F2265" s="115">
        <f>HYPERLINK("https://youglish.com/pronounce/这是一座医院/chinese","🔍")</f>
        <v/>
      </c>
    </row>
    <row r="2266" ht="28.5" customHeight="1" s="99">
      <c r="A2266" s="92" t="inlineStr">
        <is>
          <t>PDF 300+ Mẫu Câu Giao tiếp theo chủ đề.pdf</t>
        </is>
      </c>
      <c r="B2266" s="93" t="inlineStr">
        <is>
          <t>42</t>
        </is>
      </c>
      <c r="C2266" s="92" t="inlineStr">
        <is>
          <t>请问 qǐng wèn xin hỏi 请问，您能帮我一下吗</t>
        </is>
      </c>
      <c r="D2266" s="92" t="n"/>
      <c r="E2266" s="92" t="inlineStr">
        <is>
          <t>42 请问 qǐng wèn xin hỏi 请问，您能帮我一下吗？</t>
        </is>
      </c>
      <c r="F2266" s="114">
        <f>HYPERLINK("https://youglish.com/pronounce/请问请问您能帮我一下吗/chinese","🔍")</f>
        <v/>
      </c>
    </row>
    <row r="2267" ht="28.5" customHeight="1" s="99">
      <c r="A2267" s="94" t="inlineStr">
        <is>
          <t>PDF 300+ Mẫu Câu Giao tiếp theo chủ đề.pdf</t>
        </is>
      </c>
      <c r="B2267" s="95" t="inlineStr">
        <is>
          <t>43</t>
        </is>
      </c>
      <c r="C2267" s="94" t="inlineStr">
        <is>
          <t>怎么去</t>
        </is>
      </c>
      <c r="D2267" s="94" t="inlineStr">
        <is>
          <t>zěnme qù đi như thế nào</t>
        </is>
      </c>
      <c r="E2267" s="94" t="inlineStr">
        <is>
          <t>43 怎么去 zěnme qù đi như thế nào</t>
        </is>
      </c>
      <c r="F2267" s="115">
        <f>HYPERLINK("https://youglish.com/pronounce/怎么去/chinese","🔍")</f>
        <v/>
      </c>
    </row>
    <row r="2268" ht="28.5" customHeight="1" s="99">
      <c r="A2268" s="92" t="inlineStr">
        <is>
          <t>PDF 300+ Mẫu Câu Giao tiếp theo chủ đề.pdf</t>
        </is>
      </c>
      <c r="B2268" s="93" t="inlineStr">
        <is>
          <t>420</t>
        </is>
      </c>
      <c r="C2268" s="92" t="inlineStr">
        <is>
          <t>到超市怎么去</t>
        </is>
      </c>
      <c r="D2268" s="92" t="inlineStr">
        <is>
          <t>Dào chāoshì zěnme qù? - Đi đến siêu thị như thế nào?</t>
        </is>
      </c>
      <c r="E2268" s="92" t="inlineStr">
        <is>
          <t>到超市怎么去？Dào chāoshì zěnme qù? - Đi đến siêu thị như thế nào?</t>
        </is>
      </c>
      <c r="F2268" s="114">
        <f>HYPERLINK("https://youglish.com/pronounce/到超市怎么去/chinese","🔍")</f>
        <v/>
      </c>
    </row>
    <row r="2269" ht="28.5" customHeight="1" s="99">
      <c r="A2269" s="94" t="inlineStr">
        <is>
          <t>PDF 300+ Mẫu Câu Giao tiếp theo chủ đề.pdf</t>
        </is>
      </c>
      <c r="B2269" s="95" t="inlineStr">
        <is>
          <t>44</t>
        </is>
      </c>
      <c r="C2269" s="94" t="inlineStr">
        <is>
          <t>到 dào đến, tới 我想去到那边</t>
        </is>
      </c>
      <c r="D2269" s="94" t="inlineStr">
        <is>
          <t>Wǒ xiǎng qù dào nà biān. - Tôi muốn đi tới chỗ kia.</t>
        </is>
      </c>
      <c r="E2269" s="94" t="inlineStr">
        <is>
          <t>44 到 dào đến, tới 我想去到那边。Wǒ xiǎng qù dào nà biān. - Tôi muốn đi tới chỗ kia.</t>
        </is>
      </c>
      <c r="F2269" s="115">
        <f>HYPERLINK("https://youglish.com/pronounce/到我想去到那边/chinese","🔍")</f>
        <v/>
      </c>
    </row>
    <row r="2270" ht="28.5" customHeight="1" s="99">
      <c r="A2270" s="92" t="inlineStr">
        <is>
          <t>PDF 300+ Mẫu Câu Giao tiếp theo chủ đề.pdf</t>
        </is>
      </c>
      <c r="B2270" s="93" t="inlineStr">
        <is>
          <t>45</t>
        </is>
      </c>
      <c r="C2270" s="92" t="inlineStr">
        <is>
          <t>一直</t>
        </is>
      </c>
      <c r="D2270" s="92" t="inlineStr">
        <is>
          <t>yìzhí luôn, thẳng</t>
        </is>
      </c>
      <c r="E2270" s="92" t="inlineStr">
        <is>
          <t>45 一直 yìzhí luôn, thẳng</t>
        </is>
      </c>
      <c r="F2270" s="114">
        <f>HYPERLINK("https://youglish.com/pronounce/一直/chinese","🔍")</f>
        <v/>
      </c>
    </row>
    <row r="2271" ht="28.5" customHeight="1" s="99">
      <c r="A2271" s="94" t="inlineStr">
        <is>
          <t>PDF 300+ Mẫu Câu Giao tiếp theo chủ đề.pdf</t>
        </is>
      </c>
      <c r="B2271" s="95" t="inlineStr">
        <is>
          <t>423</t>
        </is>
      </c>
      <c r="C2271" s="94" t="inlineStr">
        <is>
          <t>一直往前走</t>
        </is>
      </c>
      <c r="D2271" s="94" t="inlineStr">
        <is>
          <t>Yìzhí wǎng qián zǒu. - Cứ đi thẳng về phía trước.</t>
        </is>
      </c>
      <c r="E2271" s="94" t="inlineStr">
        <is>
          <t>一直往前走。Yìzhí wǎng qián zǒu. - Cứ đi thẳng về phía trước.</t>
        </is>
      </c>
      <c r="F2271" s="115">
        <f>HYPERLINK("https://youglish.com/pronounce/一直往前走/chinese","🔍")</f>
        <v/>
      </c>
    </row>
    <row r="2272" ht="28.5" customHeight="1" s="99">
      <c r="A2272" s="92" t="inlineStr">
        <is>
          <t>PDF 300+ Mẫu Câu Giao tiếp theo chủ đề.pdf</t>
        </is>
      </c>
      <c r="B2272" s="93" t="inlineStr">
        <is>
          <t>424</t>
        </is>
      </c>
      <c r="C2272" s="92" t="inlineStr">
        <is>
          <t>你好，请问，厕所在哪儿</t>
        </is>
      </c>
      <c r="D2272" s="92" t="inlineStr">
        <is>
          <t>A：你好，请问，厕所在哪儿？</t>
        </is>
      </c>
      <c r="E2272" s="92" t="inlineStr">
        <is>
          <t>A：你好，请问，厕所在哪儿？</t>
        </is>
      </c>
      <c r="F2272" s="114">
        <f>HYPERLINK("https://youglish.com/pronounce/你好请问厕所在哪儿/chinese","🔍")</f>
        <v/>
      </c>
    </row>
    <row r="2273" ht="28.5" customHeight="1" s="99">
      <c r="A2273" s="94" t="inlineStr">
        <is>
          <t>PDF 300+ Mẫu Câu Giao tiếp theo chủ đề.pdf</t>
        </is>
      </c>
      <c r="B2273" s="95" t="inlineStr">
        <is>
          <t>425</t>
        </is>
      </c>
      <c r="C2273" s="94" t="inlineStr">
        <is>
          <t>在前面，右边拐角</t>
        </is>
      </c>
      <c r="D2273" s="94" t="inlineStr">
        <is>
          <t>B：在前面，右边拐角。</t>
        </is>
      </c>
      <c r="E2273" s="94" t="inlineStr">
        <is>
          <t>B：在前面，右边拐角。</t>
        </is>
      </c>
      <c r="F2273" s="115">
        <f>HYPERLINK("https://youglish.com/pronounce/在前面右边拐角/chinese","🔍")</f>
        <v/>
      </c>
    </row>
    <row r="2274" ht="28.5" customHeight="1" s="99">
      <c r="A2274" s="92" t="inlineStr">
        <is>
          <t>PDF 300+ Mẫu Câu Giao tiếp theo chủ đề.pdf</t>
        </is>
      </c>
      <c r="B2274" s="93" t="inlineStr">
        <is>
          <t>426</t>
        </is>
      </c>
      <c r="C2274" s="92" t="inlineStr">
        <is>
          <t>谢谢你</t>
        </is>
      </c>
      <c r="D2274" s="92" t="inlineStr">
        <is>
          <t>A：谢谢你！</t>
        </is>
      </c>
      <c r="E2274" s="92" t="inlineStr">
        <is>
          <t>A：谢谢你！</t>
        </is>
      </c>
      <c r="F2274" s="114">
        <f>HYPERLINK("https://youglish.com/pronounce/谢谢你/chinese","🔍")</f>
        <v/>
      </c>
    </row>
    <row r="2275" ht="28.5" customHeight="1" s="99">
      <c r="A2275" s="94" t="inlineStr">
        <is>
          <t>PDF 300+ Mẫu Câu Giao tiếp theo chủ đề.pdf</t>
        </is>
      </c>
      <c r="B2275" s="95" t="inlineStr">
        <is>
          <t>427</t>
        </is>
      </c>
      <c r="C2275" s="94" t="inlineStr">
        <is>
          <t>不客气</t>
        </is>
      </c>
      <c r="D2275" s="94" t="inlineStr">
        <is>
          <t>B：不客气。</t>
        </is>
      </c>
      <c r="E2275" s="94" t="inlineStr">
        <is>
          <t>B：不客气。</t>
        </is>
      </c>
      <c r="F2275" s="115">
        <f>HYPERLINK("https://youglish.com/pronounce/不客气/chinese","🔍")</f>
        <v/>
      </c>
    </row>
    <row r="2276" ht="28.5" customHeight="1" s="99">
      <c r="A2276" s="92" t="inlineStr">
        <is>
          <t>PDF 300+ Mẫu Câu Giao tiếp theo chủ đề.pdf</t>
        </is>
      </c>
      <c r="B2276" s="93" t="inlineStr">
        <is>
          <t>428</t>
        </is>
      </c>
      <c r="C2276" s="92" t="inlineStr">
        <is>
          <t>请问，附近有超市吗</t>
        </is>
      </c>
      <c r="D2276" s="92" t="inlineStr">
        <is>
          <t>A：请问，附近有超市吗？</t>
        </is>
      </c>
      <c r="E2276" s="92" t="inlineStr">
        <is>
          <t>A：请问，附近有超市吗？</t>
        </is>
      </c>
      <c r="F2276" s="114">
        <f>HYPERLINK("https://youglish.com/pronounce/请问附近有超市吗/chinese","🔍")</f>
        <v/>
      </c>
    </row>
    <row r="2277" ht="28.5" customHeight="1" s="99">
      <c r="A2277" s="94" t="inlineStr">
        <is>
          <t>PDF 300+ Mẫu Câu Giao tiếp theo chủ đề.pdf</t>
        </is>
      </c>
      <c r="B2277" s="95" t="inlineStr">
        <is>
          <t>429</t>
        </is>
      </c>
      <c r="C2277" s="94" t="inlineStr">
        <is>
          <t>有，就在这条街的左边，走三分钟就到了</t>
        </is>
      </c>
      <c r="D2277" s="94" t="inlineStr">
        <is>
          <t>B：有，就在这条街的左边，走三分钟就到了。</t>
        </is>
      </c>
      <c r="E2277" s="94" t="inlineStr">
        <is>
          <t>B：有，就在这条街的左边，走三分钟就到了。</t>
        </is>
      </c>
      <c r="F2277" s="115">
        <f>HYPERLINK("https://youglish.com/pronounce/有就在这条街的左边走三分钟就到了/chinese","🔍")</f>
        <v/>
      </c>
    </row>
    <row r="2278" ht="28.5" customHeight="1" s="99">
      <c r="A2278" s="92" t="inlineStr">
        <is>
          <t>PDF 300+ Mẫu Câu Giao tiếp theo chủ đề.pdf</t>
        </is>
      </c>
      <c r="B2278" s="93" t="inlineStr">
        <is>
          <t>430</t>
        </is>
      </c>
      <c r="C2278" s="92" t="inlineStr">
        <is>
          <t>谢谢你的指路</t>
        </is>
      </c>
      <c r="D2278" s="92" t="inlineStr">
        <is>
          <t>A：谢谢你的指路。</t>
        </is>
      </c>
      <c r="E2278" s="92" t="inlineStr">
        <is>
          <t>A：谢谢你的指路。</t>
        </is>
      </c>
      <c r="F2278" s="114">
        <f>HYPERLINK("https://youglish.com/pronounce/谢谢你的指路/chinese","🔍")</f>
        <v/>
      </c>
    </row>
    <row r="2279" ht="28.5" customHeight="1" s="99">
      <c r="A2279" s="94" t="inlineStr">
        <is>
          <t>PDF 300+ Mẫu Câu Giao tiếp theo chủ đề.pdf</t>
        </is>
      </c>
      <c r="B2279" s="95" t="inlineStr">
        <is>
          <t>431</t>
        </is>
      </c>
      <c r="C2279" s="94" t="inlineStr">
        <is>
          <t>不用谢，祝你购物愉快</t>
        </is>
      </c>
      <c r="D2279" s="94" t="inlineStr">
        <is>
          <t>B：不用谢，祝你购物愉快！</t>
        </is>
      </c>
      <c r="E2279" s="94" t="inlineStr">
        <is>
          <t>B：不用谢，祝你购物愉快！</t>
        </is>
      </c>
      <c r="F2279" s="115">
        <f>HYPERLINK("https://youglish.com/pronounce/不用谢祝你购物愉快/chinese","🔍")</f>
        <v/>
      </c>
    </row>
    <row r="2280" ht="28.5" customHeight="1" s="99">
      <c r="A2280" s="92" t="inlineStr">
        <is>
          <t>PDF 300+ Mẫu Câu Giao tiếp theo chủ đề.pdf</t>
        </is>
      </c>
      <c r="B2280" s="93" t="inlineStr">
        <is>
          <t>432</t>
        </is>
      </c>
      <c r="C2280" s="92" t="inlineStr">
        <is>
          <t>你好，我想去公交车站，请问怎么走</t>
        </is>
      </c>
      <c r="D2280" s="92" t="inlineStr">
        <is>
          <t>A：你好，我想去公交车站，请问怎么走？</t>
        </is>
      </c>
      <c r="E2280" s="92" t="inlineStr">
        <is>
          <t>A：你好，我想去公交车站，请问怎么走？</t>
        </is>
      </c>
      <c r="F2280" s="114">
        <f>HYPERLINK("https://youglish.com/pronounce/你好我想去公交车站请问怎么走/chinese","🔍")</f>
        <v/>
      </c>
    </row>
    <row r="2281" ht="28.5" customHeight="1" s="99">
      <c r="A2281" s="94" t="inlineStr">
        <is>
          <t>PDF 300+ Mẫu Câu Giao tiếp theo chủ đề.pdf</t>
        </is>
      </c>
      <c r="B2281" s="95" t="inlineStr">
        <is>
          <t>433</t>
        </is>
      </c>
      <c r="C2281" s="94" t="inlineStr">
        <is>
          <t>一直往前走，到第一个红绿灯右转，就能看见了</t>
        </is>
      </c>
      <c r="D2281" s="94" t="inlineStr">
        <is>
          <t>B：一直往前走，到第一个红绿灯右转，就能看见了。</t>
        </is>
      </c>
      <c r="E2281" s="94" t="inlineStr">
        <is>
          <t>B：一直往前走，到第一个红绿灯右转，就能看见了。</t>
        </is>
      </c>
      <c r="F2281" s="115">
        <f>HYPERLINK("https://youglish.com/pronounce/一直往前走到第一个红绿灯右转就能看见了/chinese","🔍")</f>
        <v/>
      </c>
    </row>
    <row r="2282" ht="28.5" customHeight="1" s="99">
      <c r="A2282" s="92" t="inlineStr">
        <is>
          <t>PDF 300+ Mẫu Câu Giao tiếp theo chủ đề.pdf</t>
        </is>
      </c>
      <c r="B2282" s="93" t="inlineStr">
        <is>
          <t>434</t>
        </is>
      </c>
      <c r="C2282" s="92" t="inlineStr">
        <is>
          <t>大概要走多久</t>
        </is>
      </c>
      <c r="D2282" s="92" t="inlineStr">
        <is>
          <t>A：大概要走多久？</t>
        </is>
      </c>
      <c r="E2282" s="92" t="inlineStr">
        <is>
          <t>A：大概要走多久？</t>
        </is>
      </c>
      <c r="F2282" s="114">
        <f>HYPERLINK("https://youglish.com/pronounce/大概要走多久/chinese","🔍")</f>
        <v/>
      </c>
    </row>
    <row r="2283" ht="28.5" customHeight="1" s="99">
      <c r="A2283" s="94" t="inlineStr">
        <is>
          <t>PDF 300+ Mẫu Câu Giao tiếp theo chủ đề.pdf</t>
        </is>
      </c>
      <c r="B2283" s="95" t="inlineStr">
        <is>
          <t>435</t>
        </is>
      </c>
      <c r="C2283" s="94" t="inlineStr">
        <is>
          <t>五分钟左右，很近</t>
        </is>
      </c>
      <c r="D2283" s="94" t="inlineStr">
        <is>
          <t>B：五分钟左右，很近。</t>
        </is>
      </c>
      <c r="E2283" s="94" t="inlineStr">
        <is>
          <t>B：五分钟左右，很近。</t>
        </is>
      </c>
      <c r="F2283" s="115">
        <f>HYPERLINK("https://youglish.com/pronounce/五分钟左右很近/chinese","🔍")</f>
        <v/>
      </c>
    </row>
    <row r="2284" ht="28.5" customHeight="1" s="99">
      <c r="A2284" s="92" t="inlineStr">
        <is>
          <t>PDF 300+ Mẫu Câu Giao tiếp theo chủ đề.pdf</t>
        </is>
      </c>
      <c r="B2284" s="93" t="inlineStr">
        <is>
          <t>436</t>
        </is>
      </c>
      <c r="C2284" s="92" t="inlineStr">
        <is>
          <t>请问，最近的地铁站在哪里</t>
        </is>
      </c>
      <c r="D2284" s="92" t="inlineStr">
        <is>
          <t>A：请问，最近的地铁站在哪里？</t>
        </is>
      </c>
      <c r="E2284" s="92" t="inlineStr">
        <is>
          <t>A：请问，最近的地铁站在哪里？</t>
        </is>
      </c>
      <c r="F2284" s="114">
        <f>HYPERLINK("https://youglish.com/pronounce/请问最近的地铁站在哪里/chinese","🔍")</f>
        <v/>
      </c>
    </row>
    <row r="2285" ht="28.5" customHeight="1" s="99">
      <c r="A2285" s="94" t="inlineStr">
        <is>
          <t>PDF 300+ Mẫu Câu Giao tiếp theo chủ đề.pdf</t>
        </is>
      </c>
      <c r="B2285" s="95" t="inlineStr">
        <is>
          <t>437</t>
        </is>
      </c>
      <c r="C2285" s="94" t="inlineStr">
        <is>
          <t>从这儿出发，往右走五百米，在商场旁边</t>
        </is>
      </c>
      <c r="D2285" s="94" t="inlineStr">
        <is>
          <t>B：从这儿出发，往右走五百米，在商场旁边。</t>
        </is>
      </c>
      <c r="E2285" s="94" t="inlineStr">
        <is>
          <t>B：从这儿出发，往右走五百米，在商场旁边。</t>
        </is>
      </c>
      <c r="F2285" s="115">
        <f>HYPERLINK("https://youglish.com/pronounce/从这儿出发往右走五百米在商场旁边/chinese","🔍")</f>
        <v/>
      </c>
    </row>
    <row r="2286" ht="28.5" customHeight="1" s="99">
      <c r="A2286" s="92" t="inlineStr">
        <is>
          <t>PDF 300+ Mẫu Câu Giao tiếp theo chủ đề.pdf</t>
        </is>
      </c>
      <c r="B2286" s="93" t="inlineStr">
        <is>
          <t>438</t>
        </is>
      </c>
      <c r="C2286" s="92" t="inlineStr">
        <is>
          <t>需要过马路吗</t>
        </is>
      </c>
      <c r="D2286" s="92" t="inlineStr">
        <is>
          <t>A：需要过马路吗？</t>
        </is>
      </c>
      <c r="E2286" s="92" t="inlineStr">
        <is>
          <t>A：需要过马路吗？</t>
        </is>
      </c>
      <c r="F2286" s="114">
        <f>HYPERLINK("https://youglish.com/pronounce/需要过马路吗/chinese","🔍")</f>
        <v/>
      </c>
    </row>
    <row r="2287" ht="28.5" customHeight="1" s="99">
      <c r="A2287" s="94" t="inlineStr">
        <is>
          <t>PDF 300+ Mẫu Câu Giao tiếp theo chủ đề.pdf</t>
        </is>
      </c>
      <c r="B2287" s="95" t="inlineStr">
        <is>
          <t>439</t>
        </is>
      </c>
      <c r="C2287" s="94" t="inlineStr">
        <is>
          <t>不需要，就在这边的人行道上</t>
        </is>
      </c>
      <c r="D2287" s="94" t="inlineStr">
        <is>
          <t>B：不需要，就在这边的人行道上。</t>
        </is>
      </c>
      <c r="E2287" s="94" t="inlineStr">
        <is>
          <t>B：不需要，就在这边的人行道上。</t>
        </is>
      </c>
      <c r="F2287" s="115">
        <f>HYPERLINK("https://youglish.com/pronounce/不需要就在这边的人行道上/chinese","🔍")</f>
        <v/>
      </c>
    </row>
    <row r="2288" ht="28.5" customHeight="1" s="99">
      <c r="A2288" s="92" t="inlineStr">
        <is>
          <t>PDF 300+ Mẫu Câu Giao tiếp theo chủ đề.pdf</t>
        </is>
      </c>
      <c r="B2288" s="93" t="inlineStr">
        <is>
          <t>440</t>
        </is>
      </c>
      <c r="C2288" s="92" t="inlineStr">
        <is>
          <t>你好，我想去博物馆，应该坐哪路公交车</t>
        </is>
      </c>
      <c r="D2288" s="92" t="inlineStr">
        <is>
          <t>A：你好，我想去博物馆，应该坐哪路公交车？</t>
        </is>
      </c>
      <c r="E2288" s="92" t="inlineStr">
        <is>
          <t>A：你好，我想去博物馆，应该坐哪路公交车？</t>
        </is>
      </c>
      <c r="F2288" s="114">
        <f>HYPERLINK("https://youglish.com/pronounce/你好我想去博物馆应该坐哪路公交车/chinese","🔍")</f>
        <v/>
      </c>
    </row>
    <row r="2289" ht="42.75" customHeight="1" s="99">
      <c r="A2289" s="94" t="inlineStr">
        <is>
          <t>PDF 300+ Mẫu Câu Giao tiếp theo chủ đề.pdf</t>
        </is>
      </c>
      <c r="B2289" s="95" t="inlineStr">
        <is>
          <t>441</t>
        </is>
      </c>
      <c r="C2289" s="94" t="inlineStr">
        <is>
          <t>你可以坐302路，在文化广场站下车，然后走两百米就到了</t>
        </is>
      </c>
      <c r="D2289" s="94" t="inlineStr">
        <is>
          <t>B：你可以坐302路，在文化广场站下车，然后走两百米就到了。</t>
        </is>
      </c>
      <c r="E2289" s="94" t="inlineStr">
        <is>
          <t>B：你可以坐302路，在文化广场站下车，然后走两百米就到了。</t>
        </is>
      </c>
      <c r="F2289" s="115">
        <f>HYPERLINK("https://youglish.com/pronounce/你可以坐路在文化广场站下车然后走两百米就到了/chinese","🔍")</f>
        <v/>
      </c>
    </row>
    <row r="2290" ht="28.5" customHeight="1" s="99">
      <c r="A2290" s="92" t="inlineStr">
        <is>
          <t>PDF 300+ Mẫu Câu Giao tiếp theo chủ đề.pdf</t>
        </is>
      </c>
      <c r="B2290" s="93" t="inlineStr">
        <is>
          <t>442</t>
        </is>
      </c>
      <c r="C2290" s="92" t="inlineStr">
        <is>
          <t>谢谢，我现在就去</t>
        </is>
      </c>
      <c r="D2290" s="92" t="inlineStr">
        <is>
          <t>A：谢谢，我现在就去。</t>
        </is>
      </c>
      <c r="E2290" s="92" t="inlineStr">
        <is>
          <t>A：谢谢，我现在就去。</t>
        </is>
      </c>
      <c r="F2290" s="114">
        <f>HYPERLINK("https://youglish.com/pronounce/谢谢我现在就去/chinese","🔍")</f>
        <v/>
      </c>
    </row>
    <row r="2291" ht="42.75" customHeight="1" s="99">
      <c r="A2291" s="94" t="inlineStr">
        <is>
          <t>PDF 300+ Mẫu Câu Giao tiếp theo chủ đề.pdf</t>
        </is>
      </c>
      <c r="B2291" s="95" t="inlineStr">
        <is>
          <t>443</t>
        </is>
      </c>
      <c r="C2291" s="94" t="inlineStr">
        <is>
          <t>不好意思，我第一次来这儿，好像迷路了。你能帮我看看怎么去市政府吗</t>
        </is>
      </c>
      <c r="D2291" s="94" t="inlineStr">
        <is>
          <t>A：不好意思，我第一次来这儿，好像迷路了。你能帮我看看怎么去市政府吗？</t>
        </is>
      </c>
      <c r="E2291" s="94" t="inlineStr">
        <is>
          <t>A：不好意思，我第一次来这儿，好像迷路了。你能帮我看看怎么去市政府吗？</t>
        </is>
      </c>
      <c r="F2291" s="115">
        <f>HYPERLINK("https://youglish.com/pronounce/不好意思我第一次来这儿好像迷路了你能帮我看看怎么去市政府吗/chinese","🔍")</f>
        <v/>
      </c>
    </row>
    <row r="2292" ht="28.5" customHeight="1" s="99">
      <c r="A2292" s="92" t="inlineStr">
        <is>
          <t>PDF 300+ Mẫu Câu Giao tiếp theo chủ đề.pdf</t>
        </is>
      </c>
      <c r="B2292" s="93" t="inlineStr">
        <is>
          <t>444</t>
        </is>
      </c>
      <c r="C2292" s="92" t="inlineStr">
        <is>
          <t>当然可以，你打开地图应用，我帮你看路线</t>
        </is>
      </c>
      <c r="D2292" s="92" t="inlineStr">
        <is>
          <t>B：当然可以，你打开地图应用，我帮你看路线。</t>
        </is>
      </c>
      <c r="E2292" s="92" t="inlineStr">
        <is>
          <t>B：当然可以，你打开地图应用，我帮你看路线。</t>
        </is>
      </c>
      <c r="F2292" s="114">
        <f>HYPERLINK("https://youglish.com/pronounce/当然可以你打开地图应用我帮你看路线/chinese","🔍")</f>
        <v/>
      </c>
    </row>
    <row r="2293" ht="28.5" customHeight="1" s="99">
      <c r="A2293" s="94" t="inlineStr">
        <is>
          <t>PDF 300+ Mẫu Câu Giao tiếp theo chủ đề.pdf</t>
        </is>
      </c>
      <c r="B2293" s="95" t="inlineStr">
        <is>
          <t>445</t>
        </is>
      </c>
      <c r="C2293" s="94" t="inlineStr">
        <is>
          <t>你好，请问从这儿到动物园要怎么走？走路多久</t>
        </is>
      </c>
      <c r="D2293" s="94" t="inlineStr">
        <is>
          <t>A：你好，请问从这儿到动物园要怎么走？走路多久？</t>
        </is>
      </c>
      <c r="E2293" s="94" t="inlineStr">
        <is>
          <t>A：你好，请问从这儿到动物园要怎么走？走路多久？</t>
        </is>
      </c>
      <c r="F2293" s="115">
        <f>HYPERLINK("https://youglish.com/pronounce/你好请问从这儿到动物园要怎么走走路多久/chinese","🔍")</f>
        <v/>
      </c>
    </row>
    <row r="2294" ht="28.5" customHeight="1" s="99">
      <c r="A2294" s="92" t="inlineStr">
        <is>
          <t>PDF 300+ Mẫu Câu Giao tiếp theo chủ đề.pdf</t>
        </is>
      </c>
      <c r="B2294" s="93" t="inlineStr">
        <is>
          <t>446</t>
        </is>
      </c>
      <c r="C2294" s="92" t="inlineStr">
        <is>
          <t>走路大概十五分钟，你也可以坐地铁一站，更快</t>
        </is>
      </c>
      <c r="D2294" s="92" t="inlineStr">
        <is>
          <t>B：走路大概十五分钟，你也可以坐地铁一站，更快。</t>
        </is>
      </c>
      <c r="E2294" s="92" t="inlineStr">
        <is>
          <t>B：走路大概十五分钟，你也可以坐地铁一站，更快。</t>
        </is>
      </c>
      <c r="F2294" s="114">
        <f>HYPERLINK("https://youglish.com/pronounce/走路大概十五分钟你也可以坐地铁一站更快/chinese","🔍")</f>
        <v/>
      </c>
    </row>
    <row r="2295" ht="28.5" customHeight="1" s="99">
      <c r="A2295" s="94" t="inlineStr">
        <is>
          <t>PDF 300+ Mẫu Câu Giao tiếp theo chủ đề.pdf</t>
        </is>
      </c>
      <c r="B2295" s="95" t="inlineStr">
        <is>
          <t>447</t>
        </is>
      </c>
      <c r="C2295" s="94" t="inlineStr">
        <is>
          <t>太好了，谢谢你的建议</t>
        </is>
      </c>
      <c r="D2295" s="94" t="inlineStr">
        <is>
          <t>A：太好了，谢谢你的建议！</t>
        </is>
      </c>
      <c r="E2295" s="94" t="inlineStr">
        <is>
          <t>A：太好了，谢谢你的建议！</t>
        </is>
      </c>
      <c r="F2295" s="115">
        <f>HYPERLINK("https://youglish.com/pronounce/太好了谢谢你的建议/chinese","🔍")</f>
        <v/>
      </c>
    </row>
    <row r="2296" ht="28.5" customHeight="1" s="99">
      <c r="A2296" s="92" t="inlineStr">
        <is>
          <t>PDF 300+ Mẫu Câu Giao tiếp theo chủ đề.pdf</t>
        </is>
      </c>
      <c r="B2296" s="93" t="inlineStr">
        <is>
          <t>448</t>
        </is>
      </c>
      <c r="C2296" s="92" t="inlineStr">
        <is>
          <t>请问我怎么从这儿去美术馆？听说不太好找</t>
        </is>
      </c>
      <c r="D2296" s="92" t="inlineStr">
        <is>
          <t>A：请问我怎么从这儿去美术馆？听说不太好找？</t>
        </is>
      </c>
      <c r="E2296" s="92" t="inlineStr">
        <is>
          <t>A：请问我怎么从这儿去美术馆？听说不太好找？</t>
        </is>
      </c>
      <c r="F2296" s="114">
        <f>HYPERLINK("https://youglish.com/pronounce/请问我怎么从这儿去美术馆听说不太好找/chinese","🔍")</f>
        <v/>
      </c>
    </row>
    <row r="2297" ht="42.75" customHeight="1" s="99">
      <c r="A2297" s="94" t="inlineStr">
        <is>
          <t>PDF 300+ Mẫu Câu Giao tiếp theo chủ đề.pdf</t>
        </is>
      </c>
      <c r="B2297" s="95" t="inlineStr">
        <is>
          <t>449</t>
        </is>
      </c>
      <c r="C2297" s="94" t="inlineStr">
        <is>
          <t>你得先坐公交到市图书馆，下车后往东走两个路口，再往左拐，到第二栋大楼就是</t>
        </is>
      </c>
      <c r="D2297" s="94" t="inlineStr">
        <is>
          <t>B：你得先坐公交到市图书馆，下车后往东走两个路口，再往左拐，到第二栋大楼就是。</t>
        </is>
      </c>
      <c r="E2297" s="94" t="inlineStr">
        <is>
          <t>B：你得先坐公交到市图书馆，下车后往东走两个路口，再往左拐，到第二栋大楼就是。</t>
        </is>
      </c>
      <c r="F2297" s="115">
        <f>HYPERLINK("https://youglish.com/pronounce/你得先坐公交到市图书馆下车后往东走两个路口再往左拐到第二栋大楼就是/chinese","🔍")</f>
        <v/>
      </c>
    </row>
    <row r="2298" ht="28.5" customHeight="1" s="99">
      <c r="A2298" s="92" t="inlineStr">
        <is>
          <t>PDF 300+ Mẫu Câu Giao tiếp theo chủ đề.pdf</t>
        </is>
      </c>
      <c r="B2298" s="93" t="inlineStr">
        <is>
          <t>450</t>
        </is>
      </c>
      <c r="C2298" s="92" t="inlineStr">
        <is>
          <t>你好，我要去虹桥机场，地铁怎么换乘最方便</t>
        </is>
      </c>
      <c r="D2298" s="92" t="inlineStr">
        <is>
          <t>A：你好，我要去虹桥机场，地铁怎么换乘最方便？</t>
        </is>
      </c>
      <c r="E2298" s="92" t="inlineStr">
        <is>
          <t>A：你好，我要去虹桥机场，地铁怎么换乘最方便？</t>
        </is>
      </c>
      <c r="F2298" s="114">
        <f>HYPERLINK("https://youglish.com/pronounce/你好我要去虹桥机场地铁怎么换乘最方便/chinese","🔍")</f>
        <v/>
      </c>
    </row>
    <row r="2299" ht="42.75" customHeight="1" s="99">
      <c r="A2299" s="94" t="inlineStr">
        <is>
          <t>PDF 300+ Mẫu Câu Giao tiếp theo chủ đề.pdf</t>
        </is>
      </c>
      <c r="B2299" s="95" t="inlineStr">
        <is>
          <t>451</t>
        </is>
      </c>
      <c r="C2299" s="94" t="inlineStr">
        <is>
          <t>你先坐2号线到静安寺，然后换乘10号线，直达虹桥机场二号航站楼</t>
        </is>
      </c>
      <c r="D2299" s="94" t="inlineStr">
        <is>
          <t>B：你先坐2号线到静安寺，然后换乘10号线，直达虹桥机场二号航站楼。</t>
        </is>
      </c>
      <c r="E2299" s="94" t="inlineStr">
        <is>
          <t>B：你先坐2号线到静安寺，然后换乘10号线，直达虹桥机场二号航站楼。</t>
        </is>
      </c>
      <c r="F2299" s="115">
        <f>HYPERLINK("https://youglish.com/pronounce/你先坐号线到静安寺然后换乘号线直达虹桥机场二号航站楼/chinese","🔍")</f>
        <v/>
      </c>
    </row>
    <row r="2300" ht="57" customHeight="1" s="99">
      <c r="A2300" s="92" t="inlineStr">
        <is>
          <t>PDF 300+ Mẫu Câu Giao tiếp theo chủ đề.pdf</t>
        </is>
      </c>
      <c r="B2300" s="93" t="inlineStr">
        <is>
          <t>452</t>
        </is>
      </c>
      <c r="C2300" s="92" t="inlineStr">
        <is>
          <t>对不起，打扰一下。我第一次来北京，对地铁不太熟悉。您能告诉我怎么从这里去天</t>
        </is>
      </c>
      <c r="D2300" s="92" t="inlineStr">
        <is>
          <t>A：对不起，打扰一下。我第一次来北京，对地铁不太熟悉。您能告诉我怎么从这里去天</t>
        </is>
      </c>
      <c r="E2300" s="92" t="inlineStr">
        <is>
          <t>A：对不起，打扰一下。我第一次来北京，对地铁不太熟悉。您能告诉我怎么从这里去天</t>
        </is>
      </c>
      <c r="F2300" s="114">
        <f>HYPERLINK("https://youglish.com/pronounce/对不起打扰一下我第一次来北京对地铁不太熟悉您能告诉我怎么从这里去天/chinese","🔍")</f>
        <v/>
      </c>
    </row>
    <row r="2301" ht="28.5" customHeight="1" s="99">
      <c r="A2301" s="94" t="inlineStr">
        <is>
          <t>PDF 300+ Mẫu Câu Giao tiếp theo chủ đề.pdf</t>
        </is>
      </c>
      <c r="B2301" s="95" t="inlineStr">
        <is>
          <t>453</t>
        </is>
      </c>
      <c r="C2301" s="94" t="inlineStr">
        <is>
          <t>坛公园吗？我想坐地铁</t>
        </is>
      </c>
      <c r="D2301" s="94" t="n"/>
      <c r="E2301" s="94" t="inlineStr">
        <is>
          <t>坛公园吗？我想坐地铁。</t>
        </is>
      </c>
      <c r="F2301" s="115">
        <f>HYPERLINK("https://youglish.com/pronounce/坛公园吗我想坐地铁/chinese","🔍")</f>
        <v/>
      </c>
    </row>
    <row r="2302" ht="42.75" customHeight="1" s="99">
      <c r="A2302" s="92" t="inlineStr">
        <is>
          <t>PDF 300+ Mẫu Câu Giao tiếp theo chủ đề.pdf</t>
        </is>
      </c>
      <c r="B2302" s="93" t="inlineStr">
        <is>
          <t>454</t>
        </is>
      </c>
      <c r="C2302" s="92" t="inlineStr">
        <is>
          <t>没问题。你从这儿坐5号线，在天坛东门站下车，出站后步行五分钟就到公园正门</t>
        </is>
      </c>
      <c r="D2302" s="92" t="inlineStr">
        <is>
          <t>B：没问题。你从这儿坐5号线，在天坛东门站下车，出站后步行五分钟就到公园正门</t>
        </is>
      </c>
      <c r="E2302" s="92" t="inlineStr">
        <is>
          <t>B：没问题。你从这儿坐5号线，在天坛东门站下车，出站后步行五分钟就到公园正门</t>
        </is>
      </c>
      <c r="F2302" s="114">
        <f>HYPERLINK("https://youglish.com/pronounce/没问题你从这儿坐号线在天坛东门站下车出站后步行五分钟就到公园正门/chinese","🔍")</f>
        <v/>
      </c>
    </row>
    <row r="2303" ht="28.5" customHeight="1" s="99">
      <c r="A2303" s="94" t="inlineStr">
        <is>
          <t>PDF 300+ Mẫu Câu Giao tiếp theo chủ đề.pdf</t>
        </is>
      </c>
      <c r="B2303" s="95" t="inlineStr">
        <is>
          <t>455</t>
        </is>
      </c>
      <c r="C2303" s="94" t="inlineStr">
        <is>
          <t>了。如果你使用“地铁通”App，会更方便导航</t>
        </is>
      </c>
      <c r="D2303" s="94" t="n"/>
      <c r="E2303" s="94" t="inlineStr">
        <is>
          <t>了。如果你使用“地铁通”App，会更方便导航。</t>
        </is>
      </c>
      <c r="F2303" s="115">
        <f>HYPERLINK("https://youglish.com/pronounce/了如果你使用地铁通会更方便导航/chinese","🔍")</f>
        <v/>
      </c>
    </row>
    <row r="2304" ht="28.5" customHeight="1" s="99">
      <c r="A2304" s="92" t="inlineStr">
        <is>
          <t>PDF 300+ Mẫu Câu Giao tiếp theo chủ đề.pdf</t>
        </is>
      </c>
      <c r="B2304" s="93" t="inlineStr">
        <is>
          <t>456</t>
        </is>
      </c>
      <c r="C2304" s="92" t="inlineStr">
        <is>
          <t>周经理，您好</t>
        </is>
      </c>
      <c r="D2304" s="92" t="inlineStr">
        <is>
          <t>! Zhōu jīnglǐ, nín hǎo! Xin chào giám đốc Châu!</t>
        </is>
      </c>
      <c r="E2304" s="92" t="inlineStr">
        <is>
          <t>周经理，您好! Zhōu jīnglǐ, nín hǎo! Xin chào giám đốc Châu!</t>
        </is>
      </c>
      <c r="F2304" s="114">
        <f>HYPERLINK("https://youglish.com/pronounce/周经理您好/chinese","🔍")</f>
        <v/>
      </c>
    </row>
    <row r="2305" ht="28.5" customHeight="1" s="99">
      <c r="A2305" s="94" t="inlineStr">
        <is>
          <t>PDF 300+ Mẫu Câu Giao tiếp theo chủ đề.pdf</t>
        </is>
      </c>
      <c r="B2305" s="95" t="inlineStr">
        <is>
          <t>457</t>
        </is>
      </c>
      <c r="C2305" s="94" t="inlineStr">
        <is>
          <t>张厂长，您好</t>
        </is>
      </c>
      <c r="D2305" s="94" t="inlineStr">
        <is>
          <t>Zhāng chǎng zhǎng, nín</t>
        </is>
      </c>
      <c r="E2305" s="94" t="inlineStr">
        <is>
          <t>张厂长，您好！ Zhāng chǎng zhǎng, nín</t>
        </is>
      </c>
      <c r="F2305" s="115">
        <f>HYPERLINK("https://youglish.com/pronounce/张厂长您好/chinese","🔍")</f>
        <v/>
      </c>
    </row>
    <row r="2306" ht="28.5" customHeight="1" s="99">
      <c r="A2306" s="92" t="inlineStr">
        <is>
          <t>PDF 300+ Mẫu Câu Giao tiếp theo chủ đề.pdf</t>
        </is>
      </c>
      <c r="B2306" s="93" t="inlineStr">
        <is>
          <t>458</t>
        </is>
      </c>
      <c r="C2306" s="92" t="inlineStr">
        <is>
          <t>老板，早上好</t>
        </is>
      </c>
      <c r="D2306" s="92" t="inlineStr">
        <is>
          <t>Lǎobǎn, zǎoshang hǎo! Sếp, chào buổi sáng!</t>
        </is>
      </c>
      <c r="E2306" s="92" t="inlineStr">
        <is>
          <t>老板，早上好！ Lǎobǎn, zǎoshang hǎo! Sếp, chào buổi sáng!</t>
        </is>
      </c>
      <c r="F2306" s="114">
        <f>HYPERLINK("https://youglish.com/pronounce/老板早上好/chinese","🔍")</f>
        <v/>
      </c>
    </row>
    <row r="2307" ht="28.5" customHeight="1" s="99">
      <c r="A2307" s="94" t="inlineStr">
        <is>
          <t>PDF 300+ Mẫu Câu Giao tiếp theo chủ đề.pdf</t>
        </is>
      </c>
      <c r="B2307" s="95" t="inlineStr">
        <is>
          <t>459</t>
        </is>
      </c>
      <c r="C2307" s="94" t="inlineStr">
        <is>
          <t>我要向领导报告一下</t>
        </is>
      </c>
      <c r="D2307" s="94" t="inlineStr">
        <is>
          <t>Wǒ yào xiàng lǐngdǎo</t>
        </is>
      </c>
      <c r="E2307" s="94" t="inlineStr">
        <is>
          <t>我要向领导报告一下 。 Wǒ yào xiàng lǐngdǎo</t>
        </is>
      </c>
      <c r="F2307" s="115">
        <f>HYPERLINK("https://youglish.com/pronounce/我要向领导报告一下/chinese","🔍")</f>
        <v/>
      </c>
    </row>
    <row r="2308" ht="28.5" customHeight="1" s="99">
      <c r="A2308" s="92" t="inlineStr">
        <is>
          <t>PDF 300+ Mẫu Câu Giao tiếp theo chủ đề.pdf</t>
        </is>
      </c>
      <c r="B2308" s="93" t="inlineStr">
        <is>
          <t>460</t>
        </is>
      </c>
      <c r="C2308" s="92" t="inlineStr">
        <is>
          <t>周经理，很抱歉，我今</t>
        </is>
      </c>
      <c r="D2308" s="92" t="n"/>
      <c r="E2308" s="92" t="inlineStr">
        <is>
          <t>周经理，很抱歉，我今</t>
        </is>
      </c>
      <c r="F2308" s="114">
        <f>HYPERLINK("https://youglish.com/pronounce/周经理很抱歉我今/chinese","🔍")</f>
        <v/>
      </c>
    </row>
    <row r="2309" ht="28.5" customHeight="1" s="99">
      <c r="A2309" s="94" t="inlineStr">
        <is>
          <t>PDF 300+ Mẫu Câu Giao tiếp theo chủ đề.pdf</t>
        </is>
      </c>
      <c r="B2309" s="95" t="inlineStr">
        <is>
          <t>461</t>
        </is>
      </c>
      <c r="C2309" s="94" t="inlineStr">
        <is>
          <t>天不能上班。家里没有</t>
        </is>
      </c>
      <c r="D2309" s="94" t="n"/>
      <c r="E2309" s="94" t="inlineStr">
        <is>
          <t>天不能上班。家里没有</t>
        </is>
      </c>
      <c r="F2309" s="115">
        <f>HYPERLINK("https://youglish.com/pronounce/天不能上班家里没有/chinese","🔍")</f>
        <v/>
      </c>
    </row>
    <row r="2310" ht="28.5" customHeight="1" s="99">
      <c r="A2310" s="92" t="inlineStr">
        <is>
          <t>PDF 300+ Mẫu Câu Giao tiếp theo chủ đề.pdf</t>
        </is>
      </c>
      <c r="B2310" s="93" t="inlineStr">
        <is>
          <t>462</t>
        </is>
      </c>
      <c r="C2310" s="92" t="inlineStr">
        <is>
          <t>人照看孩子</t>
        </is>
      </c>
      <c r="D2310" s="92" t="n"/>
      <c r="E2310" s="92" t="inlineStr">
        <is>
          <t>人照看孩子。</t>
        </is>
      </c>
      <c r="F2310" s="114">
        <f>HYPERLINK("https://youglish.com/pronounce/人照看孩子/chinese","🔍")</f>
        <v/>
      </c>
    </row>
    <row r="2311" ht="28.5" customHeight="1" s="99">
      <c r="A2311" s="94" t="inlineStr">
        <is>
          <t>PDF 300+ Mẫu Câu Giao tiếp theo chủ đề.pdf</t>
        </is>
      </c>
      <c r="B2311" s="95" t="inlineStr">
        <is>
          <t>463</t>
        </is>
      </c>
      <c r="C2311" s="94" t="inlineStr">
        <is>
          <t>老板，很抱歉。明天我</t>
        </is>
      </c>
      <c r="D2311" s="94" t="n"/>
      <c r="E2311" s="94" t="inlineStr">
        <is>
          <t>老板，很抱歉。明天我</t>
        </is>
      </c>
      <c r="F2311" s="115">
        <f>HYPERLINK("https://youglish.com/pronounce/老板很抱歉明天我/chinese","🔍")</f>
        <v/>
      </c>
    </row>
    <row r="2312" ht="28.5" customHeight="1" s="99">
      <c r="A2312" s="92" t="inlineStr">
        <is>
          <t>PDF 300+ Mẫu Câu Giao tiếp theo chủ đề.pdf</t>
        </is>
      </c>
      <c r="B2312" s="93" t="inlineStr">
        <is>
          <t>464</t>
        </is>
      </c>
      <c r="C2312" s="92" t="inlineStr">
        <is>
          <t>没办法早来</t>
        </is>
      </c>
      <c r="D2312" s="92" t="n"/>
      <c r="E2312" s="92" t="inlineStr">
        <is>
          <t>没办法早来。</t>
        </is>
      </c>
      <c r="F2312" s="114">
        <f>HYPERLINK("https://youglish.com/pronounce/没办法早来/chinese","🔍")</f>
        <v/>
      </c>
    </row>
    <row r="2313" ht="28.5" customHeight="1" s="99">
      <c r="A2313" s="94" t="inlineStr">
        <is>
          <t>PDF 300+ Mẫu Câu Giao tiếp theo chủ đề.pdf</t>
        </is>
      </c>
      <c r="B2313" s="95" t="inlineStr">
        <is>
          <t>465</t>
        </is>
      </c>
      <c r="C2313" s="94" t="inlineStr">
        <is>
          <t>老板，不好意思，我迟</t>
        </is>
      </c>
      <c r="D2313" s="94" t="n"/>
      <c r="E2313" s="94" t="inlineStr">
        <is>
          <t>老板，不好意思，我迟</t>
        </is>
      </c>
      <c r="F2313" s="115">
        <f>HYPERLINK("https://youglish.com/pronounce/老板不好意思我迟/chinese","🔍")</f>
        <v/>
      </c>
    </row>
    <row r="2314" ht="28.5" customHeight="1" s="99">
      <c r="A2314" s="92" t="inlineStr">
        <is>
          <t>PDF 300+ Mẫu Câu Giao tiếp theo chủ đề.pdf</t>
        </is>
      </c>
      <c r="B2314" s="93" t="inlineStr">
        <is>
          <t>466</t>
        </is>
      </c>
      <c r="C2314" s="92" t="inlineStr">
        <is>
          <t>到了，今天堵车堵得很</t>
        </is>
      </c>
      <c r="D2314" s="92" t="n"/>
      <c r="E2314" s="92" t="inlineStr">
        <is>
          <t>到了，今天堵车堵得很</t>
        </is>
      </c>
      <c r="F2314" s="114">
        <f>HYPERLINK("https://youglish.com/pronounce/到了今天堵车堵得很/chinese","🔍")</f>
        <v/>
      </c>
    </row>
    <row r="2315" ht="28.5" customHeight="1" s="99">
      <c r="A2315" s="94" t="inlineStr">
        <is>
          <t>PDF 300+ Mẫu Câu Giao tiếp theo chủ đề.pdf</t>
        </is>
      </c>
      <c r="B2315" s="95" t="inlineStr">
        <is>
          <t>467</t>
        </is>
      </c>
      <c r="C2315" s="94" t="inlineStr">
        <is>
          <t>厉害</t>
        </is>
      </c>
      <c r="D2315" s="94" t="n"/>
      <c r="E2315" s="94" t="inlineStr">
        <is>
          <t>厉害。</t>
        </is>
      </c>
      <c r="F2315" s="115">
        <f>HYPERLINK("https://youglish.com/pronounce/厉害/chinese","🔍")</f>
        <v/>
      </c>
    </row>
    <row r="2316" ht="28.5" customHeight="1" s="99">
      <c r="A2316" s="92" t="inlineStr">
        <is>
          <t>PDF 300+ Mẫu Câu Giao tiếp theo chủ đề.pdf</t>
        </is>
      </c>
      <c r="B2316" s="93" t="inlineStr">
        <is>
          <t>468</t>
        </is>
      </c>
      <c r="C2316" s="92" t="inlineStr">
        <is>
          <t>小王，你可以帮我把这</t>
        </is>
      </c>
      <c r="D2316" s="92" t="n"/>
      <c r="E2316" s="92" t="inlineStr">
        <is>
          <t>小王，你可以帮我把这</t>
        </is>
      </c>
      <c r="F2316" s="114">
        <f>HYPERLINK("https://youglish.com/pronounce/小王你可以帮我把这/chinese","🔍")</f>
        <v/>
      </c>
    </row>
    <row r="2317" ht="28.5" customHeight="1" s="99">
      <c r="A2317" s="94" t="inlineStr">
        <is>
          <t>PDF 300+ Mẫu Câu Giao tiếp theo chủ đề.pdf</t>
        </is>
      </c>
      <c r="B2317" s="95" t="inlineStr">
        <is>
          <t>469</t>
        </is>
      </c>
      <c r="C2317" s="94" t="inlineStr">
        <is>
          <t>份文件交给周经理</t>
        </is>
      </c>
      <c r="D2317" s="94" t="n"/>
      <c r="E2317" s="94" t="inlineStr">
        <is>
          <t>份文件交给周经理</t>
        </is>
      </c>
      <c r="F2317" s="115">
        <f>HYPERLINK("https://youglish.com/pronounce/份文件交给周经理/chinese","🔍")</f>
        <v/>
      </c>
    </row>
    <row r="2318" ht="28.5" customHeight="1" s="99">
      <c r="A2318" s="92" t="inlineStr">
        <is>
          <t>PDF 300+ Mẫu Câu Giao tiếp theo chủ đề.pdf</t>
        </is>
      </c>
      <c r="B2318" s="93" t="inlineStr">
        <is>
          <t>470</t>
        </is>
      </c>
      <c r="C2318" s="92" t="inlineStr">
        <is>
          <t>吗</t>
        </is>
      </c>
      <c r="D2318" s="92" t="n"/>
      <c r="E2318" s="92" t="inlineStr">
        <is>
          <t>吗？。</t>
        </is>
      </c>
      <c r="F2318" s="114">
        <f>HYPERLINK("https://youglish.com/pronounce/吗/chinese","🔍")</f>
        <v/>
      </c>
    </row>
    <row r="2319" ht="28.5" customHeight="1" s="99">
      <c r="A2319" s="94" t="inlineStr">
        <is>
          <t>PDF 300+ Mẫu Câu Giao tiếp theo chủ đề.pdf</t>
        </is>
      </c>
      <c r="B2319" s="95" t="inlineStr">
        <is>
          <t>471</t>
        </is>
      </c>
      <c r="C2319" s="94" t="inlineStr">
        <is>
          <t>明明，你能来一下办公</t>
        </is>
      </c>
      <c r="D2319" s="94" t="n"/>
      <c r="E2319" s="94" t="inlineStr">
        <is>
          <t>明明，你能来一下办公</t>
        </is>
      </c>
      <c r="F2319" s="115">
        <f>HYPERLINK("https://youglish.com/pronounce/明明你能来一下办公/chinese","🔍")</f>
        <v/>
      </c>
    </row>
    <row r="2320" ht="28.5" customHeight="1" s="99">
      <c r="A2320" s="92" t="inlineStr">
        <is>
          <t>PDF 300+ Mẫu Câu Giao tiếp theo chủ đề.pdf</t>
        </is>
      </c>
      <c r="B2320" s="93" t="inlineStr">
        <is>
          <t>472</t>
        </is>
      </c>
      <c r="C2320" s="92" t="inlineStr">
        <is>
          <t>室吗</t>
        </is>
      </c>
      <c r="D2320" s="92" t="inlineStr">
        <is>
          <t>Míngmíng, nǐ néng lái yīxià</t>
        </is>
      </c>
      <c r="E2320" s="92" t="inlineStr">
        <is>
          <t>室吗？ Míngmíng, nǐ néng lái yīxià</t>
        </is>
      </c>
      <c r="F2320" s="114">
        <f>HYPERLINK("https://youglish.com/pronounce/室吗/chinese","🔍")</f>
        <v/>
      </c>
    </row>
    <row r="2321" ht="28.5" customHeight="1" s="99">
      <c r="A2321" s="94" t="inlineStr">
        <is>
          <t>PDF 300+ Mẫu Câu Giao tiếp theo chủ đề.pdf</t>
        </is>
      </c>
      <c r="B2321" s="95" t="inlineStr">
        <is>
          <t>473</t>
        </is>
      </c>
      <c r="C2321" s="94" t="inlineStr">
        <is>
          <t>大家作完报告就发到我</t>
        </is>
      </c>
      <c r="D2321" s="94" t="n"/>
      <c r="E2321" s="94" t="inlineStr">
        <is>
          <t>大家作完报告就发到我</t>
        </is>
      </c>
      <c r="F2321" s="115">
        <f>HYPERLINK("https://youglish.com/pronounce/大家作完报告就发到我/chinese","🔍")</f>
        <v/>
      </c>
    </row>
    <row r="2322" ht="28.5" customHeight="1" s="99">
      <c r="A2322" s="92" t="inlineStr">
        <is>
          <t>PDF 300+ Mẫu Câu Giao tiếp theo chủ đề.pdf</t>
        </is>
      </c>
      <c r="B2322" s="93" t="inlineStr">
        <is>
          <t>474</t>
        </is>
      </c>
      <c r="C2322" s="92" t="inlineStr">
        <is>
          <t>的邮箱</t>
        </is>
      </c>
      <c r="D2322" s="92" t="inlineStr">
        <is>
          <t>Dà jiā zuò wán bào gào jiù</t>
        </is>
      </c>
      <c r="E2322" s="92" t="inlineStr">
        <is>
          <t>的邮箱。 Dà jiā zuò wán bào gào jiù</t>
        </is>
      </c>
      <c r="F2322" s="114">
        <f>HYPERLINK("https://youglish.com/pronounce/的邮箱/chinese","🔍")</f>
        <v/>
      </c>
    </row>
    <row r="2323" ht="28.5" customHeight="1" s="99">
      <c r="A2323" s="94" t="inlineStr">
        <is>
          <t>PDF 300+ Mẫu Câu Giao tiếp theo chủ đề.pdf</t>
        </is>
      </c>
      <c r="B2323" s="95" t="inlineStr">
        <is>
          <t>475</t>
        </is>
      </c>
      <c r="C2323" s="94" t="inlineStr">
        <is>
          <t>大家向我报告工作吧</t>
        </is>
      </c>
      <c r="D2323" s="94" t="inlineStr">
        <is>
          <t>Dà jiā xiàng wǒ bàogào</t>
        </is>
      </c>
      <c r="E2323" s="94" t="inlineStr">
        <is>
          <t>大家向我报告工作吧。 Dà jiā xiàng wǒ bàogào</t>
        </is>
      </c>
      <c r="F2323" s="115">
        <f>HYPERLINK("https://youglish.com/pronounce/大家向我报告工作吧/chinese","🔍")</f>
        <v/>
      </c>
    </row>
    <row r="2324" ht="28.5" customHeight="1" s="99">
      <c r="A2324" s="92" t="inlineStr">
        <is>
          <t>PDF 300+ Mẫu Câu Giao tiếp theo chủ đề.pdf</t>
        </is>
      </c>
      <c r="B2324" s="93" t="inlineStr">
        <is>
          <t>476</t>
        </is>
      </c>
      <c r="C2324" s="92" t="inlineStr">
        <is>
          <t>大家提出建议吧</t>
        </is>
      </c>
      <c r="D2324" s="92" t="inlineStr">
        <is>
          <t>Dàjiā tíchū jiànyì ba. Tất cả cho ý kiến đi.</t>
        </is>
      </c>
      <c r="E2324" s="92" t="inlineStr">
        <is>
          <t>大家提出建议吧 。 Dàjiā tíchū jiànyì ba. Tất cả cho ý kiến đi.</t>
        </is>
      </c>
      <c r="F2324" s="114">
        <f>HYPERLINK("https://youglish.com/pronounce/大家提出建议吧/chinese","🔍")</f>
        <v/>
      </c>
    </row>
    <row r="2325" ht="28.5" customHeight="1" s="99">
      <c r="A2325" s="94" t="inlineStr">
        <is>
          <t>PDF 300+ Mẫu Câu Giao tiếp theo chủ đề.pdf</t>
        </is>
      </c>
      <c r="B2325" s="95" t="inlineStr">
        <is>
          <t>477</t>
        </is>
      </c>
      <c r="C2325" s="94" t="inlineStr">
        <is>
          <t>请给我一杯茶</t>
        </is>
      </c>
      <c r="D2325" s="94" t="inlineStr">
        <is>
          <t>Qǐng gěi wǒ yībēi chá. Mang cho tôi một tách trà.</t>
        </is>
      </c>
      <c r="E2325" s="94" t="inlineStr">
        <is>
          <t>请给我一杯茶。 Qǐng gěi wǒ yībēi chá. Mang cho tôi một tách trà.</t>
        </is>
      </c>
      <c r="F2325" s="115">
        <f>HYPERLINK("https://youglish.com/pronounce/请给我一杯茶/chinese","🔍")</f>
        <v/>
      </c>
    </row>
    <row r="2326" ht="28.5" customHeight="1" s="99">
      <c r="A2326" s="92" t="inlineStr">
        <is>
          <t>PDF 300+ Mẫu Câu Giao tiếp theo chủ đề.pdf</t>
        </is>
      </c>
      <c r="B2326" s="93" t="inlineStr">
        <is>
          <t>478</t>
        </is>
      </c>
      <c r="C2326" s="92" t="inlineStr">
        <is>
          <t>我宣布会议开始</t>
        </is>
      </c>
      <c r="D2326" s="92" t="inlineStr">
        <is>
          <t>Wǒ xuānbù huìyì kāishǐ. Tôi tuyên bố cuộc họp bắt</t>
        </is>
      </c>
      <c r="E2326" s="92" t="inlineStr">
        <is>
          <t>我宣布会议开始。 Wǒ xuānbù huìyì kāishǐ. Tôi tuyên bố cuộc họp bắt</t>
        </is>
      </c>
      <c r="F2326" s="114">
        <f>HYPERLINK("https://youglish.com/pronounce/我宣布会议开始/chinese","🔍")</f>
        <v/>
      </c>
    </row>
    <row r="2327" ht="28.5" customHeight="1" s="99">
      <c r="A2327" s="94" t="inlineStr">
        <is>
          <t>PDF 300+ Mẫu Câu Giao tiếp theo chủ đề.pdf</t>
        </is>
      </c>
      <c r="B2327" s="95" t="inlineStr">
        <is>
          <t>479</t>
        </is>
      </c>
      <c r="C2327" s="94" t="inlineStr">
        <is>
          <t>开会了，大家请安静， 关上电话</t>
        </is>
      </c>
      <c r="D2327" s="94" t="n"/>
      <c r="E2327" s="94" t="inlineStr">
        <is>
          <t>开会了，大家请安静， 关上电话。</t>
        </is>
      </c>
      <c r="F2327" s="115">
        <f>HYPERLINK("https://youglish.com/pronounce/开会了大家请安静关上电话/chinese","🔍")</f>
        <v/>
      </c>
    </row>
    <row r="2328" ht="28.5" customHeight="1" s="99">
      <c r="A2328" s="92" t="inlineStr">
        <is>
          <t>PDF 300+ Mẫu Câu Giao tiếp theo chủ đề.pdf</t>
        </is>
      </c>
      <c r="B2328" s="93" t="inlineStr">
        <is>
          <t>480</t>
        </is>
      </c>
      <c r="C2328" s="92" t="inlineStr">
        <is>
          <t>小青，你能给我复印这</t>
        </is>
      </c>
      <c r="D2328" s="92" t="n"/>
      <c r="E2328" s="92" t="inlineStr">
        <is>
          <t>小青，你能给我复印这</t>
        </is>
      </c>
      <c r="F2328" s="114">
        <f>HYPERLINK("https://youglish.com/pronounce/小青你能给我复印这/chinese","🔍")</f>
        <v/>
      </c>
    </row>
    <row r="2329" ht="28.5" customHeight="1" s="99">
      <c r="A2329" s="94" t="inlineStr">
        <is>
          <t>PDF 300+ Mẫu Câu Giao tiếp theo chủ đề.pdf</t>
        </is>
      </c>
      <c r="B2329" s="95" t="inlineStr">
        <is>
          <t>481</t>
        </is>
      </c>
      <c r="C2329" s="94" t="inlineStr">
        <is>
          <t>份文件吗</t>
        </is>
      </c>
      <c r="D2329" s="94" t="inlineStr">
        <is>
          <t>Xiǎo Qīng, nǐ néng gěi wǒ fùyìn zhè fèn wénjiàn ma?</t>
        </is>
      </c>
      <c r="E2329" s="94" t="inlineStr">
        <is>
          <t>份文件吗？ Xiǎo Qīng, nǐ néng gěi wǒ fùyìn zhè fèn wénjiàn ma?</t>
        </is>
      </c>
      <c r="F2329" s="115">
        <f>HYPERLINK("https://youglish.com/pronounce/份文件吗/chinese","🔍")</f>
        <v/>
      </c>
    </row>
    <row r="2330" ht="28.5" customHeight="1" s="99">
      <c r="A2330" s="92" t="inlineStr">
        <is>
          <t>PDF 300+ Mẫu Câu Giao tiếp theo chủ đề.pdf</t>
        </is>
      </c>
      <c r="B2330" s="93" t="inlineStr">
        <is>
          <t>482</t>
        </is>
      </c>
      <c r="C2330" s="92" t="inlineStr">
        <is>
          <t>你帮我做一下投资计划</t>
        </is>
      </c>
      <c r="D2330" s="92" t="n"/>
      <c r="E2330" s="92" t="inlineStr">
        <is>
          <t>你帮我做一下投资计划</t>
        </is>
      </c>
      <c r="F2330" s="114">
        <f>HYPERLINK("https://youglish.com/pronounce/你帮我做一下投资计划/chinese","🔍")</f>
        <v/>
      </c>
    </row>
    <row r="2331" ht="28.5" customHeight="1" s="99">
      <c r="A2331" s="94" t="inlineStr">
        <is>
          <t>PDF 300+ Mẫu Câu Giao tiếp theo chủ đề.pdf</t>
        </is>
      </c>
      <c r="B2331" s="95" t="inlineStr">
        <is>
          <t>483</t>
        </is>
      </c>
      <c r="C2331" s="94" t="inlineStr">
        <is>
          <t>明天我要出差了，所</t>
        </is>
      </c>
      <c r="D2331" s="94" t="inlineStr">
        <is>
          <t>明天我要出差了，所</t>
        </is>
      </c>
      <c r="E2331" s="94" t="inlineStr">
        <is>
          <t>，明天我要出差了，所</t>
        </is>
      </c>
      <c r="F2331" s="115">
        <f>HYPERLINK("https://youglish.com/pronounce/明天我要出差了所/chinese","🔍")</f>
        <v/>
      </c>
    </row>
    <row r="2332" ht="28.5" customHeight="1" s="99">
      <c r="A2332" s="92" t="inlineStr">
        <is>
          <t>PDF 300+ Mẫu Câu Giao tiếp theo chủ đề.pdf</t>
        </is>
      </c>
      <c r="B2332" s="93" t="inlineStr">
        <is>
          <t>484</t>
        </is>
      </c>
      <c r="C2332" s="92" t="inlineStr">
        <is>
          <t>以你快点给我</t>
        </is>
      </c>
      <c r="D2332" s="92" t="n"/>
      <c r="E2332" s="92" t="inlineStr">
        <is>
          <t>以你快点给我。</t>
        </is>
      </c>
      <c r="F2332" s="114">
        <f>HYPERLINK("https://youglish.com/pronounce/以你快点给我/chinese","🔍")</f>
        <v/>
      </c>
    </row>
    <row r="2333" ht="28.5" customHeight="1" s="99">
      <c r="A2333" s="94" t="inlineStr">
        <is>
          <t>PDF 300+ Mẫu Câu Giao tiếp theo chủ đề.pdf</t>
        </is>
      </c>
      <c r="B2333" s="95" t="inlineStr">
        <is>
          <t>485</t>
        </is>
      </c>
      <c r="C2333" s="94" t="inlineStr">
        <is>
          <t>太累了！最近总是加</t>
        </is>
      </c>
      <c r="D2333" s="94" t="n"/>
      <c r="E2333" s="94" t="inlineStr">
        <is>
          <t>太累了！最近总是加</t>
        </is>
      </c>
      <c r="F2333" s="115">
        <f>HYPERLINK("https://youglish.com/pronounce/太累了最近总是加/chinese","🔍")</f>
        <v/>
      </c>
    </row>
    <row r="2334" ht="28.5" customHeight="1" s="99">
      <c r="A2334" s="92" t="inlineStr">
        <is>
          <t>PDF 300+ Mẫu Câu Giao tiếp theo chủ đề.pdf</t>
        </is>
      </c>
      <c r="B2334" s="93" t="inlineStr">
        <is>
          <t>486</t>
        </is>
      </c>
      <c r="C2334" s="92" t="inlineStr">
        <is>
          <t>班</t>
        </is>
      </c>
      <c r="D2334" s="92" t="inlineStr">
        <is>
          <t>Tài lèi le! Zuìjìn zǒng shì</t>
        </is>
      </c>
      <c r="E2334" s="92" t="inlineStr">
        <is>
          <t>班。 Tài lèi le! Zuìjìn zǒng shì</t>
        </is>
      </c>
      <c r="F2334" s="114">
        <f>HYPERLINK("https://youglish.com/pronounce/班/chinese","🔍")</f>
        <v/>
      </c>
    </row>
    <row r="2335" ht="28.5" customHeight="1" s="99">
      <c r="A2335" s="94" t="inlineStr">
        <is>
          <t>PDF 300+ Mẫu Câu Giao tiếp theo chủ đề.pdf</t>
        </is>
      </c>
      <c r="B2335" s="95" t="inlineStr">
        <is>
          <t>487</t>
        </is>
      </c>
      <c r="C2335" s="94" t="inlineStr">
        <is>
          <t>这份工作比以前的工</t>
        </is>
      </c>
      <c r="D2335" s="94" t="n"/>
      <c r="E2335" s="94" t="inlineStr">
        <is>
          <t>这份工作比以前的工</t>
        </is>
      </c>
      <c r="F2335" s="115">
        <f>HYPERLINK("https://youglish.com/pronounce/这份工作比以前的工/chinese","🔍")</f>
        <v/>
      </c>
    </row>
    <row r="2336" ht="28.5" customHeight="1" s="99">
      <c r="A2336" s="92" t="inlineStr">
        <is>
          <t>PDF 300+ Mẫu Câu Giao tiếp theo chủ đề.pdf</t>
        </is>
      </c>
      <c r="B2336" s="93" t="inlineStr">
        <is>
          <t>488</t>
        </is>
      </c>
      <c r="C2336" s="92" t="inlineStr">
        <is>
          <t>作好多了</t>
        </is>
      </c>
      <c r="D2336" s="92" t="inlineStr">
        <is>
          <t>Zhè fèn gōngzuò bǐ yǐqián</t>
        </is>
      </c>
      <c r="E2336" s="92" t="inlineStr">
        <is>
          <t>作好多了。 Zhè fèn gōngzuò bǐ yǐqián</t>
        </is>
      </c>
      <c r="F2336" s="114">
        <f>HYPERLINK("https://youglish.com/pronounce/作好多了/chinese","🔍")</f>
        <v/>
      </c>
    </row>
    <row r="2337" ht="28.5" customHeight="1" s="99">
      <c r="A2337" s="94" t="inlineStr">
        <is>
          <t>PDF 300+ Mẫu Câu Giao tiếp theo chủ đề.pdf</t>
        </is>
      </c>
      <c r="B2337" s="95" t="inlineStr">
        <is>
          <t>489</t>
        </is>
      </c>
      <c r="C2337" s="94" t="inlineStr">
        <is>
          <t>王凤到分公司一趟再</t>
        </is>
      </c>
      <c r="D2337" s="94" t="n"/>
      <c r="E2337" s="94" t="inlineStr">
        <is>
          <t>王凤到分公司一趟再</t>
        </is>
      </c>
      <c r="F2337" s="115">
        <f>HYPERLINK("https://youglish.com/pronounce/王凤到分公司一趟再/chinese","🔍")</f>
        <v/>
      </c>
    </row>
    <row r="2338" ht="28.5" customHeight="1" s="99">
      <c r="A2338" s="92" t="inlineStr">
        <is>
          <t>PDF 300+ Mẫu Câu Giao tiếp theo chủ đề.pdf</t>
        </is>
      </c>
      <c r="B2338" s="93" t="inlineStr">
        <is>
          <t>490</t>
        </is>
      </c>
      <c r="C2338" s="92" t="inlineStr">
        <is>
          <t>来上班</t>
        </is>
      </c>
      <c r="D2338" s="92" t="inlineStr">
        <is>
          <t>Wángfèng dào fēn gōngsī yī tàng zàilái shàngbān.</t>
        </is>
      </c>
      <c r="E2338" s="92" t="inlineStr">
        <is>
          <t>来上班。 Wángfèng dào fēn gōngsī yī tàng zàilái shàngbān.</t>
        </is>
      </c>
      <c r="F2338" s="114">
        <f>HYPERLINK("https://youglish.com/pronounce/来上班/chinese","🔍")</f>
        <v/>
      </c>
    </row>
    <row r="2339" ht="28.5" customHeight="1" s="99">
      <c r="A2339" s="94" t="inlineStr">
        <is>
          <t>PDF 300+ Mẫu Câu Giao tiếp theo chủ đề.pdf</t>
        </is>
      </c>
      <c r="B2339" s="95" t="inlineStr">
        <is>
          <t>491</t>
        </is>
      </c>
      <c r="C2339" s="94" t="inlineStr">
        <is>
          <t>我和老板一起去韩国</t>
        </is>
      </c>
      <c r="D2339" s="94" t="n"/>
      <c r="E2339" s="94" t="inlineStr">
        <is>
          <t>我和老板一起去韩国</t>
        </is>
      </c>
      <c r="F2339" s="115">
        <f>HYPERLINK("https://youglish.com/pronounce/我和老板一起去韩国/chinese","🔍")</f>
        <v/>
      </c>
    </row>
    <row r="2340" ht="28.5" customHeight="1" s="99">
      <c r="A2340" s="92" t="inlineStr">
        <is>
          <t>PDF 300+ Mẫu Câu Giao tiếp theo chủ đề.pdf</t>
        </is>
      </c>
      <c r="B2340" s="93" t="inlineStr">
        <is>
          <t>492</t>
        </is>
      </c>
      <c r="C2340" s="92" t="inlineStr">
        <is>
          <t>出差</t>
        </is>
      </c>
      <c r="D2340" s="92" t="inlineStr">
        <is>
          <t>Wǒ hé lǎobǎn yīqǐ qù</t>
        </is>
      </c>
      <c r="E2340" s="92" t="inlineStr">
        <is>
          <t>出差。 Wǒ hé lǎobǎn yīqǐ qù</t>
        </is>
      </c>
      <c r="F2340" s="114">
        <f>HYPERLINK("https://youglish.com/pronounce/出差/chinese","🔍")</f>
        <v/>
      </c>
    </row>
    <row r="2341" ht="28.5" customHeight="1" s="99">
      <c r="A2341" s="94" t="inlineStr">
        <is>
          <t>PDF 300+ Mẫu Câu Giao tiếp theo chủ đề.pdf</t>
        </is>
      </c>
      <c r="B2341" s="95" t="inlineStr">
        <is>
          <t>493</t>
        </is>
      </c>
      <c r="C2341" s="94" t="inlineStr">
        <is>
          <t>我们公司打卡上班。所</t>
        </is>
      </c>
      <c r="D2341" s="94" t="n"/>
      <c r="E2341" s="94" t="inlineStr">
        <is>
          <t>我们公司打卡上班。所</t>
        </is>
      </c>
      <c r="F2341" s="115">
        <f>HYPERLINK("https://youglish.com/pronounce/我们公司打卡上班所/chinese","🔍")</f>
        <v/>
      </c>
    </row>
    <row r="2342" ht="28.5" customHeight="1" s="99">
      <c r="A2342" s="92" t="inlineStr">
        <is>
          <t>PDF 300+ Mẫu Câu Giao tiếp theo chủ đề.pdf</t>
        </is>
      </c>
      <c r="B2342" s="93" t="inlineStr">
        <is>
          <t>494</t>
        </is>
      </c>
      <c r="C2342" s="92" t="inlineStr">
        <is>
          <t>以迟到一分钟也会罚</t>
        </is>
      </c>
      <c r="D2342" s="92" t="n"/>
      <c r="E2342" s="92" t="inlineStr">
        <is>
          <t>以迟到一分钟也会罚</t>
        </is>
      </c>
      <c r="F2342" s="114">
        <f>HYPERLINK("https://youglish.com/pronounce/以迟到一分钟也会罚/chinese","🔍")</f>
        <v/>
      </c>
    </row>
    <row r="2343" ht="28.5" customHeight="1" s="99">
      <c r="A2343" s="94" t="inlineStr">
        <is>
          <t>PDF 300+ Mẫu Câu Giao tiếp theo chủ đề.pdf</t>
        </is>
      </c>
      <c r="B2343" s="95" t="inlineStr">
        <is>
          <t>495</t>
        </is>
      </c>
      <c r="C2343" s="94" t="inlineStr">
        <is>
          <t>款</t>
        </is>
      </c>
      <c r="D2343" s="94" t="n"/>
      <c r="E2343" s="94" t="inlineStr">
        <is>
          <t>款。</t>
        </is>
      </c>
      <c r="F2343" s="115">
        <f>HYPERLINK("https://youglish.com/pronounce/款/chinese","🔍")</f>
        <v/>
      </c>
    </row>
    <row r="2344" ht="28.5" customHeight="1" s="99">
      <c r="A2344" s="92" t="inlineStr">
        <is>
          <t>PDF 300+ Mẫu Câu Giao tiếp theo chủ đề.pdf</t>
        </is>
      </c>
      <c r="B2344" s="93" t="inlineStr">
        <is>
          <t>496</t>
        </is>
      </c>
      <c r="C2344" s="92" t="inlineStr">
        <is>
          <t>小林，社长正在等你</t>
        </is>
      </c>
      <c r="D2344" s="92" t="n"/>
      <c r="E2344" s="92" t="inlineStr">
        <is>
          <t>小林，社长正在等你</t>
        </is>
      </c>
      <c r="F2344" s="114">
        <f>HYPERLINK("https://youglish.com/pronounce/小林社长正在等你/chinese","🔍")</f>
        <v/>
      </c>
    </row>
    <row r="2345" ht="28.5" customHeight="1" s="99">
      <c r="A2345" s="94" t="inlineStr">
        <is>
          <t>PDF 300+ Mẫu Câu Giao tiếp theo chủ đề.pdf</t>
        </is>
      </c>
      <c r="B2345" s="95" t="inlineStr">
        <is>
          <t>497</t>
        </is>
      </c>
      <c r="C2345" s="94" t="inlineStr">
        <is>
          <t>呢</t>
        </is>
      </c>
      <c r="D2345" s="94" t="inlineStr">
        <is>
          <t>Xiǎolín, shè zhǎng</t>
        </is>
      </c>
      <c r="E2345" s="94" t="inlineStr">
        <is>
          <t>呢。 Xiǎolín, shè zhǎng</t>
        </is>
      </c>
      <c r="F2345" s="115">
        <f>HYPERLINK("https://youglish.com/pronounce/呢/chinese","🔍")</f>
        <v/>
      </c>
    </row>
    <row r="2346" ht="28.5" customHeight="1" s="99">
      <c r="A2346" s="92" t="inlineStr">
        <is>
          <t>PDF 300+ Mẫu Câu Giao tiếp theo chủ đề.pdf</t>
        </is>
      </c>
      <c r="B2346" s="93" t="inlineStr">
        <is>
          <t>498</t>
        </is>
      </c>
      <c r="C2346" s="92" t="inlineStr">
        <is>
          <t>该下班了</t>
        </is>
      </c>
      <c r="D2346" s="92" t="inlineStr">
        <is>
          <t>Gāi xiàbānle. Tan ca thôi.</t>
        </is>
      </c>
      <c r="E2346" s="92" t="inlineStr">
        <is>
          <t>该下班了。 Gāi xiàbānle. Tan ca thôi.</t>
        </is>
      </c>
      <c r="F2346" s="114">
        <f>HYPERLINK("https://youglish.com/pronounce/该下班了/chinese","🔍")</f>
        <v/>
      </c>
    </row>
    <row r="2347" ht="28.5" customHeight="1" s="99">
      <c r="A2347" s="94" t="inlineStr">
        <is>
          <t>PDF 300+ Mẫu Câu Giao tiếp theo chủ đề.pdf</t>
        </is>
      </c>
      <c r="B2347" s="95" t="inlineStr">
        <is>
          <t>499</t>
        </is>
      </c>
      <c r="C2347" s="94" t="inlineStr">
        <is>
          <t>王管理，今天我要做什</t>
        </is>
      </c>
      <c r="D2347" s="94" t="n"/>
      <c r="E2347" s="94" t="inlineStr">
        <is>
          <t>王管理，今天我要做什</t>
        </is>
      </c>
      <c r="F2347" s="115">
        <f>HYPERLINK("https://youglish.com/pronounce/王管理今天我要做什/chinese","🔍")</f>
        <v/>
      </c>
    </row>
    <row r="2348" ht="28.5" customHeight="1" s="99">
      <c r="A2348" s="92" t="inlineStr">
        <is>
          <t>PDF 300+ Mẫu Câu Giao tiếp theo chủ đề.pdf</t>
        </is>
      </c>
      <c r="B2348" s="93" t="inlineStr">
        <is>
          <t>500</t>
        </is>
      </c>
      <c r="C2348" s="92" t="inlineStr">
        <is>
          <t>么</t>
        </is>
      </c>
      <c r="D2348" s="92" t="inlineStr">
        <is>
          <t>Wáng guǎnlǐ, jīntiān wǒ</t>
        </is>
      </c>
      <c r="E2348" s="92" t="inlineStr">
        <is>
          <t>么？ Wáng guǎnlǐ, jīntiān wǒ</t>
        </is>
      </c>
      <c r="F2348" s="114">
        <f>HYPERLINK("https://youglish.com/pronounce/么/chinese","🔍")</f>
        <v/>
      </c>
    </row>
    <row r="2349" ht="28.5" customHeight="1" s="99">
      <c r="A2349" s="94" t="inlineStr">
        <is>
          <t>PDF 300+ Mẫu Câu Giao tiếp theo chủ đề.pdf</t>
        </is>
      </c>
      <c r="B2349" s="95" t="inlineStr">
        <is>
          <t>501</t>
        </is>
      </c>
      <c r="C2349" s="94" t="inlineStr">
        <is>
          <t>小红，我的工作计划获</t>
        </is>
      </c>
      <c r="D2349" s="94" t="n"/>
      <c r="E2349" s="94" t="inlineStr">
        <is>
          <t>小红，我的工作计划获</t>
        </is>
      </c>
      <c r="F2349" s="115">
        <f>HYPERLINK("https://youglish.com/pronounce/小红我的工作计划获/chinese","🔍")</f>
        <v/>
      </c>
    </row>
    <row r="2350" ht="28.5" customHeight="1" s="99">
      <c r="A2350" s="92" t="inlineStr">
        <is>
          <t>PDF 300+ Mẫu Câu Giao tiếp theo chủ đề.pdf</t>
        </is>
      </c>
      <c r="B2350" s="93" t="inlineStr">
        <is>
          <t>502</t>
        </is>
      </c>
      <c r="C2350" s="92" t="inlineStr">
        <is>
          <t>得老板的批准了。太好</t>
        </is>
      </c>
      <c r="D2350" s="92" t="n"/>
      <c r="E2350" s="92" t="inlineStr">
        <is>
          <t>得老板的批准了。太好</t>
        </is>
      </c>
      <c r="F2350" s="114">
        <f>HYPERLINK("https://youglish.com/pronounce/得老板的批准了太好/chinese","🔍")</f>
        <v/>
      </c>
    </row>
    <row r="2351" ht="28.5" customHeight="1" s="99">
      <c r="A2351" s="94" t="inlineStr">
        <is>
          <t>PDF 300+ Mẫu Câu Giao tiếp theo chủ đề.pdf</t>
        </is>
      </c>
      <c r="B2351" s="95" t="inlineStr">
        <is>
          <t>503</t>
        </is>
      </c>
      <c r="C2351" s="94" t="inlineStr">
        <is>
          <t>了</t>
        </is>
      </c>
      <c r="D2351" s="94" t="n"/>
      <c r="E2351" s="94" t="inlineStr">
        <is>
          <t>了！</t>
        </is>
      </c>
      <c r="F2351" s="115">
        <f>HYPERLINK("https://youglish.com/pronounce/了/chinese","🔍")</f>
        <v/>
      </c>
    </row>
    <row r="2352" ht="28.5" customHeight="1" s="99">
      <c r="A2352" s="92" t="inlineStr">
        <is>
          <t>PDF 300+ Mẫu Câu Giao tiếp theo chủ đề.pdf</t>
        </is>
      </c>
      <c r="B2352" s="93" t="inlineStr">
        <is>
          <t>504</t>
        </is>
      </c>
      <c r="C2352" s="92" t="inlineStr">
        <is>
          <t>会议几点开始</t>
        </is>
      </c>
      <c r="D2352" s="92" t="inlineStr">
        <is>
          <t>? Huìyì jǐ diǎn kāishǐ? Cuộc họp bắt đầu mấy giờ?</t>
        </is>
      </c>
      <c r="E2352" s="92" t="inlineStr">
        <is>
          <t>会议几点开始? Huìyì jǐ diǎn kāishǐ? Cuộc họp bắt đầu mấy giờ?</t>
        </is>
      </c>
      <c r="F2352" s="114">
        <f>HYPERLINK("https://youglish.com/pronounce/会议几点开始/chinese","🔍")</f>
        <v/>
      </c>
    </row>
    <row r="2353" ht="28.5" customHeight="1" s="99">
      <c r="A2353" s="94" t="inlineStr">
        <is>
          <t>PDF 300+ Mẫu Câu Giao tiếp theo chủ đề.pdf</t>
        </is>
      </c>
      <c r="B2353" s="95" t="inlineStr">
        <is>
          <t>505</t>
        </is>
      </c>
      <c r="C2353" s="94" t="inlineStr">
        <is>
          <t>会议几点结束</t>
        </is>
      </c>
      <c r="D2353" s="94" t="inlineStr">
        <is>
          <t>? Huìyì jǐ diǎn jiéshù? Cuộc họp kết thúc mấy giờ?</t>
        </is>
      </c>
      <c r="E2353" s="94" t="inlineStr">
        <is>
          <t>会议几点结束? Huìyì jǐ diǎn jiéshù? Cuộc họp kết thúc mấy giờ?</t>
        </is>
      </c>
      <c r="F2353" s="115">
        <f>HYPERLINK("https://youglish.com/pronounce/会议几点结束/chinese","🔍")</f>
        <v/>
      </c>
    </row>
    <row r="2354" ht="28.5" customHeight="1" s="99">
      <c r="A2354" s="92" t="inlineStr">
        <is>
          <t>PDF 300+ Mẫu Câu Giao tiếp theo chủ đề.pdf</t>
        </is>
      </c>
      <c r="B2354" s="93" t="inlineStr">
        <is>
          <t>506</t>
        </is>
      </c>
      <c r="C2354" s="92" t="inlineStr">
        <is>
          <t>下午几点开会</t>
        </is>
      </c>
      <c r="D2354" s="92" t="inlineStr">
        <is>
          <t>? Xiàwǔ jǐ diǎn kāihuì? Buổi chiều mấy giờ họp?</t>
        </is>
      </c>
      <c r="E2354" s="92" t="inlineStr">
        <is>
          <t>下午几点开会? Xiàwǔ jǐ diǎn kāihuì? Buổi chiều mấy giờ họp?</t>
        </is>
      </c>
      <c r="F2354" s="114">
        <f>HYPERLINK("https://youglish.com/pronounce/下午几点开会/chinese","🔍")</f>
        <v/>
      </c>
    </row>
    <row r="2355" ht="28.5" customHeight="1" s="99">
      <c r="A2355" s="94" t="inlineStr">
        <is>
          <t>PDF 300+ Mẫu Câu Giao tiếp theo chủ đề.pdf</t>
        </is>
      </c>
      <c r="B2355" s="95" t="inlineStr">
        <is>
          <t>507</t>
        </is>
      </c>
      <c r="C2355" s="94" t="inlineStr">
        <is>
          <t>李明，你最近工作顺利</t>
        </is>
      </c>
      <c r="D2355" s="94" t="n"/>
      <c r="E2355" s="94" t="inlineStr">
        <is>
          <t>李明，你最近工作顺利</t>
        </is>
      </c>
      <c r="F2355" s="115">
        <f>HYPERLINK("https://youglish.com/pronounce/李明你最近工作顺利/chinese","🔍")</f>
        <v/>
      </c>
    </row>
    <row r="2356" ht="28.5" customHeight="1" s="99">
      <c r="A2356" s="92" t="inlineStr">
        <is>
          <t>PDF 300+ Mẫu Câu Giao tiếp theo chủ đề.pdf</t>
        </is>
      </c>
      <c r="B2356" s="93" t="inlineStr">
        <is>
          <t>508</t>
        </is>
      </c>
      <c r="C2356" s="92" t="inlineStr">
        <is>
          <t>吗</t>
        </is>
      </c>
      <c r="D2356" s="92" t="inlineStr">
        <is>
          <t>? Lǐ Míng, nǐ zuìjìn gōngzuò</t>
        </is>
      </c>
      <c r="E2356" s="92" t="inlineStr">
        <is>
          <t>吗? Lǐ Míng, nǐ zuìjìn gōngzuò</t>
        </is>
      </c>
      <c r="F2356" s="114">
        <f>HYPERLINK("https://youglish.com/pronounce/吗/chinese","🔍")</f>
        <v/>
      </c>
    </row>
    <row r="2357" ht="28.5" customHeight="1" s="99">
      <c r="A2357" s="94" t="inlineStr">
        <is>
          <t>PDF 300+ Mẫu Câu Giao tiếp theo chủ đề.pdf</t>
        </is>
      </c>
      <c r="B2357" s="95" t="inlineStr">
        <is>
          <t>509</t>
        </is>
      </c>
      <c r="C2357" s="94" t="inlineStr">
        <is>
          <t>你在哪个部门工作</t>
        </is>
      </c>
      <c r="D2357" s="94" t="inlineStr">
        <is>
          <t>? Nǐ zài nǎ gè bùmén</t>
        </is>
      </c>
      <c r="E2357" s="94" t="inlineStr">
        <is>
          <t>你在哪个部门工作? Nǐ zài nǎ gè bùmén</t>
        </is>
      </c>
      <c r="F2357" s="115">
        <f>HYPERLINK("https://youglish.com/pronounce/你在哪个部门工作/chinese","🔍")</f>
        <v/>
      </c>
    </row>
    <row r="2358" ht="28.5" customHeight="1" s="99">
      <c r="A2358" s="92" t="inlineStr">
        <is>
          <t>PDF 300+ Mẫu Câu Giao tiếp theo chủ đề.pdf</t>
        </is>
      </c>
      <c r="B2358" s="93" t="inlineStr">
        <is>
          <t>510</t>
        </is>
      </c>
      <c r="C2358" s="92" t="inlineStr">
        <is>
          <t>最近总是加班, 累死我</t>
        </is>
      </c>
      <c r="D2358" s="92" t="n"/>
      <c r="E2358" s="92" t="inlineStr">
        <is>
          <t>最近总是加班, 累死我</t>
        </is>
      </c>
      <c r="F2358" s="114">
        <f>HYPERLINK("https://youglish.com/pronounce/最近总是加班累死我/chinese","🔍")</f>
        <v/>
      </c>
    </row>
    <row r="2359" ht="28.5" customHeight="1" s="99">
      <c r="A2359" s="94" t="inlineStr">
        <is>
          <t>PDF 300+ Mẫu Câu Giao tiếp theo chủ đề.pdf</t>
        </is>
      </c>
      <c r="B2359" s="95" t="inlineStr">
        <is>
          <t>511</t>
        </is>
      </c>
      <c r="C2359" s="94" t="inlineStr">
        <is>
          <t>了</t>
        </is>
      </c>
      <c r="D2359" s="94" t="inlineStr">
        <is>
          <t>Zuìjìn zǒng shì jiābān, lèi</t>
        </is>
      </c>
      <c r="E2359" s="94" t="inlineStr">
        <is>
          <t>了！ Zuìjìn zǒng shì jiābān, lèi</t>
        </is>
      </c>
      <c r="F2359" s="115">
        <f>HYPERLINK("https://youglish.com/pronounce/了/chinese","🔍")</f>
        <v/>
      </c>
    </row>
    <row r="2360" ht="28.5" customHeight="1" s="99">
      <c r="A2360" s="92" t="inlineStr">
        <is>
          <t>PDF 300+ Mẫu Câu Giao tiếp theo chủ đề.pdf</t>
        </is>
      </c>
      <c r="B2360" s="93" t="inlineStr">
        <is>
          <t>512</t>
        </is>
      </c>
      <c r="C2360" s="92" t="inlineStr">
        <is>
          <t>我要复印一些东西, 请问复印机在哪里</t>
        </is>
      </c>
      <c r="D2360" s="92" t="inlineStr">
        <is>
          <t>我要复印一些东西, 请 问复印机在哪里?</t>
        </is>
      </c>
      <c r="E2360" s="92" t="inlineStr">
        <is>
          <t>我要复印一些东西, 请 问复印机在哪里?</t>
        </is>
      </c>
      <c r="F2360" s="114">
        <f>HYPERLINK("https://youglish.com/pronounce/我要复印一些东西请问复印机在哪里/chinese","🔍")</f>
        <v/>
      </c>
    </row>
    <row r="2361" ht="28.5" customHeight="1" s="99">
      <c r="A2361" s="94" t="inlineStr">
        <is>
          <t>PDF 300+ Mẫu Câu Giao tiếp theo chủ đề.pdf</t>
        </is>
      </c>
      <c r="B2361" s="95" t="inlineStr">
        <is>
          <t>513</t>
        </is>
      </c>
      <c r="C2361" s="94" t="inlineStr">
        <is>
          <t>复印机卡纸了你帮我</t>
        </is>
      </c>
      <c r="D2361" s="94" t="n"/>
      <c r="E2361" s="94" t="inlineStr">
        <is>
          <t>复印机卡纸了你帮我</t>
        </is>
      </c>
      <c r="F2361" s="115">
        <f>HYPERLINK("https://youglish.com/pronounce/复印机卡纸了你帮我/chinese","🔍")</f>
        <v/>
      </c>
    </row>
    <row r="2362" ht="28.5" customHeight="1" s="99">
      <c r="A2362" s="92" t="inlineStr">
        <is>
          <t>PDF 300+ Mẫu Câu Giao tiếp theo chủ đề.pdf</t>
        </is>
      </c>
      <c r="B2362" s="93" t="inlineStr">
        <is>
          <t>514</t>
        </is>
      </c>
      <c r="C2362" s="92" t="inlineStr">
        <is>
          <t>看一下</t>
        </is>
      </c>
      <c r="D2362" s="92" t="inlineStr">
        <is>
          <t>! Fùyìnjī kǎ zhǐle nǐ bāng wǒ</t>
        </is>
      </c>
      <c r="E2362" s="92" t="inlineStr">
        <is>
          <t>看一下! Fùyìnjī kǎ zhǐle nǐ bāng wǒ</t>
        </is>
      </c>
      <c r="F2362" s="114">
        <f>HYPERLINK("https://youglish.com/pronounce/看一下/chinese","🔍")</f>
        <v/>
      </c>
    </row>
    <row r="2363" ht="28.5" customHeight="1" s="99">
      <c r="A2363" s="94" t="inlineStr">
        <is>
          <t>PDF 300+ Mẫu Câu Giao tiếp theo chủ đề.pdf</t>
        </is>
      </c>
      <c r="B2363" s="95" t="inlineStr">
        <is>
          <t>515</t>
        </is>
      </c>
      <c r="C2363" s="94" t="inlineStr">
        <is>
          <t>我的电脑出问题了, 你能不能过来帮我看一</t>
        </is>
      </c>
      <c r="D2363" s="94" t="inlineStr">
        <is>
          <t>我的电脑出问题了, 你 能不能过来帮我看一</t>
        </is>
      </c>
      <c r="E2363" s="94" t="inlineStr">
        <is>
          <t>我的电脑出问题了, 你 能不能过来帮我看一</t>
        </is>
      </c>
      <c r="F2363" s="115">
        <f>HYPERLINK("https://youglish.com/pronounce/我的电脑出问题了你能不能过来帮我看一/chinese","🔍")</f>
        <v/>
      </c>
    </row>
    <row r="2364" ht="28.5" customHeight="1" s="99">
      <c r="A2364" s="92" t="inlineStr">
        <is>
          <t>PDF 300+ Mẫu Câu Giao tiếp theo chủ đề.pdf</t>
        </is>
      </c>
      <c r="B2364" s="93" t="inlineStr">
        <is>
          <t>516</t>
        </is>
      </c>
      <c r="C2364" s="92" t="inlineStr">
        <is>
          <t>下</t>
        </is>
      </c>
      <c r="D2364" s="92" t="inlineStr">
        <is>
          <t>?</t>
        </is>
      </c>
      <c r="E2364" s="92" t="inlineStr">
        <is>
          <t>下?</t>
        </is>
      </c>
      <c r="F2364" s="114">
        <f>HYPERLINK("https://youglish.com/pronounce/下/chinese","🔍")</f>
        <v/>
      </c>
    </row>
    <row r="2365" ht="28.5" customHeight="1" s="99">
      <c r="A2365" s="94" t="inlineStr">
        <is>
          <t>PDF 300+ Mẫu Câu Giao tiếp theo chủ đề.pdf</t>
        </is>
      </c>
      <c r="B2365" s="95" t="inlineStr">
        <is>
          <t>517</t>
        </is>
      </c>
      <c r="C2365" s="94" t="inlineStr">
        <is>
          <t>文件打不开, 你过来看</t>
        </is>
      </c>
      <c r="D2365" s="94" t="n"/>
      <c r="E2365" s="94" t="inlineStr">
        <is>
          <t>文件打不开, 你过来看</t>
        </is>
      </c>
      <c r="F2365" s="115">
        <f>HYPERLINK("https://youglish.com/pronounce/文件打不开你过来看/chinese","🔍")</f>
        <v/>
      </c>
    </row>
    <row r="2366" ht="28.5" customHeight="1" s="99">
      <c r="A2366" s="92" t="inlineStr">
        <is>
          <t>PDF 300+ Mẫu Câu Giao tiếp theo chủ đề.pdf</t>
        </is>
      </c>
      <c r="B2366" s="93" t="inlineStr">
        <is>
          <t>518</t>
        </is>
      </c>
      <c r="C2366" s="92" t="inlineStr">
        <is>
          <t>看怎么回事</t>
        </is>
      </c>
      <c r="D2366" s="92" t="inlineStr">
        <is>
          <t>? Wén jiàn dǎ bù kāi, nǐ guò lái kànkàn zěnme huíshì?</t>
        </is>
      </c>
      <c r="E2366" s="92" t="inlineStr">
        <is>
          <t>看怎么回事? Wén jiàn dǎ bù kāi, nǐ guò lái kànkàn zěnme huíshì?</t>
        </is>
      </c>
      <c r="F2366" s="114">
        <f>HYPERLINK("https://youglish.com/pronounce/看怎么回事/chinese","🔍")</f>
        <v/>
      </c>
    </row>
    <row r="2367" ht="28.5" customHeight="1" s="99">
      <c r="A2367" s="94" t="inlineStr">
        <is>
          <t>PDF 300+ Mẫu Câu Giao tiếp theo chủ đề.pdf</t>
        </is>
      </c>
      <c r="B2367" s="95" t="inlineStr">
        <is>
          <t>519</t>
        </is>
      </c>
      <c r="C2367" s="94" t="inlineStr">
        <is>
          <t>下周六我想请假, 可以</t>
        </is>
      </c>
      <c r="D2367" s="94" t="n"/>
      <c r="E2367" s="94" t="inlineStr">
        <is>
          <t>下周六我想请假, 可以</t>
        </is>
      </c>
      <c r="F2367" s="115">
        <f>HYPERLINK("https://youglish.com/pronounce/下周六我想请假可以/chinese","🔍")</f>
        <v/>
      </c>
    </row>
    <row r="2368" ht="28.5" customHeight="1" s="99">
      <c r="A2368" s="92" t="inlineStr">
        <is>
          <t>PDF 300+ Mẫu Câu Giao tiếp theo chủ đề.pdf</t>
        </is>
      </c>
      <c r="B2368" s="93" t="inlineStr">
        <is>
          <t>520</t>
        </is>
      </c>
      <c r="C2368" s="92" t="inlineStr">
        <is>
          <t>吗</t>
        </is>
      </c>
      <c r="D2368" s="92" t="inlineStr">
        <is>
          <t>? Xià zhōu liù wǒ xiǎng</t>
        </is>
      </c>
      <c r="E2368" s="92" t="inlineStr">
        <is>
          <t>吗? Xià zhōu liù wǒ xiǎng</t>
        </is>
      </c>
      <c r="F2368" s="114">
        <f>HYPERLINK("https://youglish.com/pronounce/吗/chinese","🔍")</f>
        <v/>
      </c>
    </row>
    <row r="2369" ht="28.5" customHeight="1" s="99">
      <c r="A2369" s="94" t="inlineStr">
        <is>
          <t>PDF 300+ Mẫu Câu Giao tiếp theo chủ đề.pdf</t>
        </is>
      </c>
      <c r="B2369" s="95" t="inlineStr">
        <is>
          <t>521</t>
        </is>
      </c>
      <c r="C2369" s="94" t="inlineStr">
        <is>
          <t>老板，您可以让我请</t>
        </is>
      </c>
      <c r="D2369" s="94" t="n"/>
      <c r="E2369" s="94" t="inlineStr">
        <is>
          <t>老板，您可以让我请</t>
        </is>
      </c>
      <c r="F2369" s="115">
        <f>HYPERLINK("https://youglish.com/pronounce/老板您可以让我请/chinese","🔍")</f>
        <v/>
      </c>
    </row>
    <row r="2370" ht="28.5" customHeight="1" s="99">
      <c r="A2370" s="92" t="inlineStr">
        <is>
          <t>PDF 300+ Mẫu Câu Giao tiếp theo chủ đề.pdf</t>
        </is>
      </c>
      <c r="B2370" s="93" t="inlineStr">
        <is>
          <t>522</t>
        </is>
      </c>
      <c r="C2370" s="92" t="inlineStr">
        <is>
          <t>一天假吗？我有家</t>
        </is>
      </c>
      <c r="D2370" s="92" t="n"/>
      <c r="E2370" s="92" t="inlineStr">
        <is>
          <t>一天假吗？我有家</t>
        </is>
      </c>
      <c r="F2370" s="114">
        <f>HYPERLINK("https://youglish.com/pronounce/一天假吗我有家/chinese","🔍")</f>
        <v/>
      </c>
    </row>
    <row r="2371" ht="28.5" customHeight="1" s="99">
      <c r="A2371" s="94" t="inlineStr">
        <is>
          <t>PDF 300+ Mẫu Câu Giao tiếp theo chủ đề.pdf</t>
        </is>
      </c>
      <c r="B2371" s="95" t="inlineStr">
        <is>
          <t>523</t>
        </is>
      </c>
      <c r="C2371" s="94" t="inlineStr">
        <is>
          <t>事</t>
        </is>
      </c>
      <c r="D2371" s="94" t="n"/>
      <c r="E2371" s="94" t="inlineStr">
        <is>
          <t>事。</t>
        </is>
      </c>
      <c r="F2371" s="115">
        <f>HYPERLINK("https://youglish.com/pronounce/事/chinese","🔍")</f>
        <v/>
      </c>
    </row>
    <row r="2372" ht="28.5" customHeight="1" s="99">
      <c r="A2372" s="92" t="inlineStr">
        <is>
          <t>PDF 300+ Mẫu Câu Giao tiếp theo chủ đề.pdf</t>
        </is>
      </c>
      <c r="B2372" s="93" t="inlineStr">
        <is>
          <t>524</t>
        </is>
      </c>
      <c r="C2372" s="92" t="inlineStr">
        <is>
          <t>管理，我可以请几天</t>
        </is>
      </c>
      <c r="D2372" s="92" t="n"/>
      <c r="E2372" s="92" t="inlineStr">
        <is>
          <t>管理，我可以请几天</t>
        </is>
      </c>
      <c r="F2372" s="114">
        <f>HYPERLINK("https://youglish.com/pronounce/管理我可以请几天/chinese","🔍")</f>
        <v/>
      </c>
    </row>
    <row r="2373" ht="28.5" customHeight="1" s="99">
      <c r="A2373" s="94" t="inlineStr">
        <is>
          <t>PDF 300+ Mẫu Câu Giao tiếp theo chủ đề.pdf</t>
        </is>
      </c>
      <c r="B2373" s="95" t="inlineStr">
        <is>
          <t>525</t>
        </is>
      </c>
      <c r="C2373" s="94" t="inlineStr">
        <is>
          <t>假吗</t>
        </is>
      </c>
      <c r="D2373" s="94" t="inlineStr">
        <is>
          <t>? Guǎnlǐ, wǒ kěyǐ qǐng jǐ tiān</t>
        </is>
      </c>
      <c r="E2373" s="94" t="inlineStr">
        <is>
          <t>假吗? Guǎnlǐ, wǒ kěyǐ qǐng jǐ tiān</t>
        </is>
      </c>
      <c r="F2373" s="115">
        <f>HYPERLINK("https://youglish.com/pronounce/假吗/chinese","🔍")</f>
        <v/>
      </c>
    </row>
    <row r="2374" ht="28.5" customHeight="1" s="99">
      <c r="A2374" s="92" t="inlineStr">
        <is>
          <t>PDF 300+ Mẫu Câu Giao tiếp theo chủ đề.pdf</t>
        </is>
      </c>
      <c r="B2374" s="93" t="inlineStr">
        <is>
          <t>526</t>
        </is>
      </c>
      <c r="C2374" s="92" t="inlineStr">
        <is>
          <t>明经理，我身体不舒</t>
        </is>
      </c>
      <c r="D2374" s="92" t="n"/>
      <c r="E2374" s="92" t="inlineStr">
        <is>
          <t>明经理，我身体不舒</t>
        </is>
      </c>
      <c r="F2374" s="114">
        <f>HYPERLINK("https://youglish.com/pronounce/明经理我身体不舒/chinese","🔍")</f>
        <v/>
      </c>
    </row>
    <row r="2375" ht="28.5" customHeight="1" s="99">
      <c r="A2375" s="94" t="inlineStr">
        <is>
          <t>PDF 300+ Mẫu Câu Giao tiếp theo chủ đề.pdf</t>
        </is>
      </c>
      <c r="B2375" s="95" t="inlineStr">
        <is>
          <t>527</t>
        </is>
      </c>
      <c r="C2375" s="94" t="inlineStr">
        <is>
          <t>服，我今天想请假</t>
        </is>
      </c>
      <c r="D2375" s="94" t="n"/>
      <c r="E2375" s="94" t="inlineStr">
        <is>
          <t>服，我今天想请假。</t>
        </is>
      </c>
      <c r="F2375" s="115">
        <f>HYPERLINK("https://youglish.com/pronounce/服我今天想请假/chinese","🔍")</f>
        <v/>
      </c>
    </row>
    <row r="2376" ht="28.5" customHeight="1" s="99">
      <c r="A2376" s="92" t="inlineStr">
        <is>
          <t>PDF 300+ Mẫu Câu Giao tiếp theo chủ đề.pdf</t>
        </is>
      </c>
      <c r="B2376" s="93" t="inlineStr">
        <is>
          <t>528</t>
        </is>
      </c>
      <c r="C2376" s="92" t="inlineStr">
        <is>
          <t>王经理，我儿子生病</t>
        </is>
      </c>
      <c r="D2376" s="92" t="n"/>
      <c r="E2376" s="92" t="inlineStr">
        <is>
          <t>王经理，我儿子生病</t>
        </is>
      </c>
      <c r="F2376" s="114">
        <f>HYPERLINK("https://youglish.com/pronounce/王经理我儿子生病/chinese","🔍")</f>
        <v/>
      </c>
    </row>
    <row r="2377" ht="28.5" customHeight="1" s="99">
      <c r="A2377" s="94" t="inlineStr">
        <is>
          <t>PDF 300+ Mẫu Câu Giao tiếp theo chủ đề.pdf</t>
        </is>
      </c>
      <c r="B2377" s="95" t="inlineStr">
        <is>
          <t>529</t>
        </is>
      </c>
      <c r="C2377" s="94" t="inlineStr">
        <is>
          <t>了，所以我想请三天</t>
        </is>
      </c>
      <c r="D2377" s="94" t="n"/>
      <c r="E2377" s="94" t="inlineStr">
        <is>
          <t>了，所以我想请三天</t>
        </is>
      </c>
      <c r="F2377" s="115">
        <f>HYPERLINK("https://youglish.com/pronounce/了所以我想请三天/chinese","🔍")</f>
        <v/>
      </c>
    </row>
    <row r="2378" ht="28.5" customHeight="1" s="99">
      <c r="A2378" s="92" t="inlineStr">
        <is>
          <t>PDF 300+ Mẫu Câu Giao tiếp theo chủ đề.pdf</t>
        </is>
      </c>
      <c r="B2378" s="93" t="inlineStr">
        <is>
          <t>530</t>
        </is>
      </c>
      <c r="C2378" s="92" t="inlineStr">
        <is>
          <t>假</t>
        </is>
      </c>
      <c r="D2378" s="92" t="n"/>
      <c r="E2378" s="92" t="inlineStr">
        <is>
          <t>假。</t>
        </is>
      </c>
      <c r="F2378" s="114">
        <f>HYPERLINK("https://youglish.com/pronounce/假/chinese","🔍")</f>
        <v/>
      </c>
    </row>
    <row r="2379" ht="28.5" customHeight="1" s="99">
      <c r="A2379" s="94" t="inlineStr">
        <is>
          <t>PDF 300+ Mẫu Câu Giao tiếp theo chủ đề.pdf</t>
        </is>
      </c>
      <c r="B2379" s="95" t="inlineStr">
        <is>
          <t>531</t>
        </is>
      </c>
      <c r="C2379" s="94" t="inlineStr">
        <is>
          <t>老板，请允许我今天</t>
        </is>
      </c>
      <c r="D2379" s="94" t="n"/>
      <c r="E2379" s="94" t="inlineStr">
        <is>
          <t>老板，请允许我今天</t>
        </is>
      </c>
      <c r="F2379" s="115">
        <f>HYPERLINK("https://youglish.com/pronounce/老板请允许我今天/chinese","🔍")</f>
        <v/>
      </c>
    </row>
    <row r="2380" ht="28.5" customHeight="1" s="99">
      <c r="A2380" s="92" t="inlineStr">
        <is>
          <t>PDF 300+ Mẫu Câu Giao tiếp theo chủ đề.pdf</t>
        </is>
      </c>
      <c r="B2380" s="93" t="inlineStr">
        <is>
          <t>532</t>
        </is>
      </c>
      <c r="C2380" s="92" t="inlineStr">
        <is>
          <t>要晚三十分钟</t>
        </is>
      </c>
      <c r="D2380" s="92" t="n"/>
      <c r="E2380" s="92" t="inlineStr">
        <is>
          <t>要晚三十分钟。</t>
        </is>
      </c>
      <c r="F2380" s="114">
        <f>HYPERLINK("https://youglish.com/pronounce/要晚三十分钟/chinese","🔍")</f>
        <v/>
      </c>
    </row>
    <row r="2381" ht="28.5" customHeight="1" s="99">
      <c r="A2381" s="94" t="inlineStr">
        <is>
          <t>PDF 300+ Mẫu Câu Giao tiếp theo chủ đề.pdf</t>
        </is>
      </c>
      <c r="B2381" s="95" t="inlineStr">
        <is>
          <t>533</t>
        </is>
      </c>
      <c r="C2381" s="94" t="inlineStr">
        <is>
          <t>管理，我晚点来可以</t>
        </is>
      </c>
      <c r="D2381" s="94" t="n"/>
      <c r="E2381" s="94" t="inlineStr">
        <is>
          <t>管理，我晚点来可以</t>
        </is>
      </c>
      <c r="F2381" s="115">
        <f>HYPERLINK("https://youglish.com/pronounce/管理我晚点来可以/chinese","🔍")</f>
        <v/>
      </c>
    </row>
    <row r="2382" ht="28.5" customHeight="1" s="99">
      <c r="A2382" s="92" t="inlineStr">
        <is>
          <t>PDF 300+ Mẫu Câu Giao tiếp theo chủ đề.pdf</t>
        </is>
      </c>
      <c r="B2382" s="93" t="inlineStr">
        <is>
          <t>534</t>
        </is>
      </c>
      <c r="C2382" s="92" t="inlineStr">
        <is>
          <t>吗？我只会晚一个小</t>
        </is>
      </c>
      <c r="D2382" s="92" t="n"/>
      <c r="E2382" s="92" t="inlineStr">
        <is>
          <t>吗？我只会晚一个小</t>
        </is>
      </c>
      <c r="F2382" s="114">
        <f>HYPERLINK("https://youglish.com/pronounce/吗我只会晚一个小/chinese","🔍")</f>
        <v/>
      </c>
    </row>
    <row r="2383" ht="28.5" customHeight="1" s="99">
      <c r="A2383" s="94" t="inlineStr">
        <is>
          <t>PDF 300+ Mẫu Câu Giao tiếp theo chủ đề.pdf</t>
        </is>
      </c>
      <c r="B2383" s="95" t="inlineStr">
        <is>
          <t>535</t>
        </is>
      </c>
      <c r="C2383" s="94" t="inlineStr">
        <is>
          <t>时</t>
        </is>
      </c>
      <c r="D2383" s="94" t="n"/>
      <c r="E2383" s="94" t="inlineStr">
        <is>
          <t>时。</t>
        </is>
      </c>
      <c r="F2383" s="115">
        <f>HYPERLINK("https://youglish.com/pronounce/时/chinese","🔍")</f>
        <v/>
      </c>
    </row>
    <row r="2384" ht="28.5" customHeight="1" s="99">
      <c r="A2384" s="92" t="inlineStr">
        <is>
          <t>PDF 300+ Mẫu Câu Giao tiếp theo chủ đề.pdf</t>
        </is>
      </c>
      <c r="B2384" s="93" t="inlineStr">
        <is>
          <t>536</t>
        </is>
      </c>
      <c r="C2384" s="92" t="inlineStr">
        <is>
          <t>请允许我来晚一个小</t>
        </is>
      </c>
      <c r="D2384" s="92" t="n"/>
      <c r="E2384" s="92" t="inlineStr">
        <is>
          <t>请允许我来晚一个小</t>
        </is>
      </c>
      <c r="F2384" s="114">
        <f>HYPERLINK("https://youglish.com/pronounce/请允许我来晚一个小/chinese","🔍")</f>
        <v/>
      </c>
    </row>
    <row r="2385" ht="28.5" customHeight="1" s="99">
      <c r="A2385" s="94" t="inlineStr">
        <is>
          <t>PDF 300+ Mẫu Câu Giao tiếp theo chủ đề.pdf</t>
        </is>
      </c>
      <c r="B2385" s="95" t="inlineStr">
        <is>
          <t>537</t>
        </is>
      </c>
      <c r="C2385" s="94" t="inlineStr">
        <is>
          <t>时来好吗</t>
        </is>
      </c>
      <c r="D2385" s="94" t="inlineStr">
        <is>
          <t>Qǐng yǔnxǔ wǒ lái wǎn yí gè xiǎoshí lái hǎo ma?</t>
        </is>
      </c>
      <c r="E2385" s="94" t="inlineStr">
        <is>
          <t>时来好吗？ Qǐng yǔnxǔ wǒ lái wǎn yí gè xiǎoshí lái hǎo ma?</t>
        </is>
      </c>
      <c r="F2385" s="115">
        <f>HYPERLINK("https://youglish.com/pronounce/时来好吗/chinese","🔍")</f>
        <v/>
      </c>
    </row>
    <row r="2386" ht="28.5" customHeight="1" s="99">
      <c r="A2386" s="92" t="inlineStr">
        <is>
          <t>PDF 300+ Mẫu Câu Giao tiếp theo chủ đề.pdf</t>
        </is>
      </c>
      <c r="B2386" s="93" t="inlineStr">
        <is>
          <t>538</t>
        </is>
      </c>
      <c r="C2386" s="92" t="inlineStr">
        <is>
          <t>老板，不知道我明天</t>
        </is>
      </c>
      <c r="D2386" s="92" t="n"/>
      <c r="E2386" s="92" t="inlineStr">
        <is>
          <t>老板，不知道我明天</t>
        </is>
      </c>
      <c r="F2386" s="114">
        <f>HYPERLINK("https://youglish.com/pronounce/老板不知道我明天/chinese","🔍")</f>
        <v/>
      </c>
    </row>
    <row r="2387" ht="28.5" customHeight="1" s="99">
      <c r="A2387" s="94" t="inlineStr">
        <is>
          <t>PDF 300+ Mẫu Câu Giao tiếp theo chủ đề.pdf</t>
        </is>
      </c>
      <c r="B2387" s="95" t="inlineStr">
        <is>
          <t>539</t>
        </is>
      </c>
      <c r="C2387" s="94" t="inlineStr">
        <is>
          <t>可不可以稍微晚一点</t>
        </is>
      </c>
      <c r="D2387" s="94" t="n"/>
      <c r="E2387" s="94" t="inlineStr">
        <is>
          <t>可不可以稍微晚一点</t>
        </is>
      </c>
      <c r="F2387" s="115">
        <f>HYPERLINK("https://youglish.com/pronounce/可不可以稍微晚一点/chinese","🔍")</f>
        <v/>
      </c>
    </row>
    <row r="2388" ht="28.5" customHeight="1" s="99">
      <c r="A2388" s="92" t="inlineStr">
        <is>
          <t>PDF 300+ Mẫu Câu Giao tiếp theo chủ đề.pdf</t>
        </is>
      </c>
      <c r="B2388" s="93" t="inlineStr">
        <is>
          <t>540</t>
        </is>
      </c>
      <c r="C2388" s="92" t="inlineStr">
        <is>
          <t>来</t>
        </is>
      </c>
      <c r="D2388" s="92" t="inlineStr">
        <is>
          <t>?</t>
        </is>
      </c>
      <c r="E2388" s="92" t="inlineStr">
        <is>
          <t>来?</t>
        </is>
      </c>
      <c r="F2388" s="114">
        <f>HYPERLINK("https://youglish.com/pronounce/来/chinese","🔍")</f>
        <v/>
      </c>
    </row>
    <row r="2389" ht="28.5" customHeight="1" s="99">
      <c r="A2389" s="94" t="inlineStr">
        <is>
          <t>PDF 300+ Mẫu Câu Giao tiếp theo chủ đề.pdf</t>
        </is>
      </c>
      <c r="B2389" s="95" t="inlineStr">
        <is>
          <t>541</t>
        </is>
      </c>
      <c r="C2389" s="94" t="inlineStr">
        <is>
          <t>我家里有一件急事, 我早点走可以吗</t>
        </is>
      </c>
      <c r="D2389" s="94" t="inlineStr">
        <is>
          <t>我家里有一件急事, 我 早点走可以吗？</t>
        </is>
      </c>
      <c r="E2389" s="94" t="inlineStr">
        <is>
          <t>我家里有一件急事, 我 早点走可以吗？</t>
        </is>
      </c>
      <c r="F2389" s="115">
        <f>HYPERLINK("https://youglish.com/pronounce/我家里有一件急事我早点走可以吗/chinese","🔍")</f>
        <v/>
      </c>
    </row>
    <row r="2390" ht="28.5" customHeight="1" s="99">
      <c r="A2390" s="92" t="inlineStr">
        <is>
          <t>PDF 300+ Mẫu Câu Giao tiếp theo chủ đề.pdf</t>
        </is>
      </c>
      <c r="B2390" s="93" t="inlineStr">
        <is>
          <t>542</t>
        </is>
      </c>
      <c r="C2390" s="92" t="inlineStr">
        <is>
          <t>我肚子疼得厉害。我</t>
        </is>
      </c>
      <c r="D2390" s="92" t="n"/>
      <c r="E2390" s="92" t="inlineStr">
        <is>
          <t>我肚子疼得厉害。我</t>
        </is>
      </c>
      <c r="F2390" s="114">
        <f>HYPERLINK("https://youglish.com/pronounce/我肚子疼得厉害我/chinese","🔍")</f>
        <v/>
      </c>
    </row>
    <row r="2391" ht="28.5" customHeight="1" s="99">
      <c r="A2391" s="94" t="inlineStr">
        <is>
          <t>PDF 300+ Mẫu Câu Giao tiếp theo chủ đề.pdf</t>
        </is>
      </c>
      <c r="B2391" s="95" t="inlineStr">
        <is>
          <t>543</t>
        </is>
      </c>
      <c r="C2391" s="94" t="inlineStr">
        <is>
          <t>今天早点下班可以</t>
        </is>
      </c>
      <c r="D2391" s="94" t="n"/>
      <c r="E2391" s="94" t="inlineStr">
        <is>
          <t>今天早点下班可以</t>
        </is>
      </c>
      <c r="F2391" s="115">
        <f>HYPERLINK("https://youglish.com/pronounce/今天早点下班可以/chinese","🔍")</f>
        <v/>
      </c>
    </row>
    <row r="2392" ht="28.5" customHeight="1" s="99">
      <c r="A2392" s="92" t="inlineStr">
        <is>
          <t>PDF 300+ Mẫu Câu Giao tiếp theo chủ đề.pdf</t>
        </is>
      </c>
      <c r="B2392" s="93" t="inlineStr">
        <is>
          <t>544</t>
        </is>
      </c>
      <c r="C2392" s="92" t="inlineStr">
        <is>
          <t>吗</t>
        </is>
      </c>
      <c r="D2392" s="92" t="n"/>
      <c r="E2392" s="92" t="inlineStr">
        <is>
          <t>吗？</t>
        </is>
      </c>
      <c r="F2392" s="114">
        <f>HYPERLINK("https://youglish.com/pronounce/吗/chinese","🔍")</f>
        <v/>
      </c>
    </row>
    <row r="2393" ht="28.5" customHeight="1" s="99">
      <c r="A2393" s="94" t="inlineStr">
        <is>
          <t>PDF 300+ Mẫu Câu Giao tiếp theo chủ đề.pdf</t>
        </is>
      </c>
      <c r="B2393" s="95" t="inlineStr">
        <is>
          <t>545</t>
        </is>
      </c>
      <c r="C2393" s="94" t="inlineStr">
        <is>
          <t>我觉得身体不好。我</t>
        </is>
      </c>
      <c r="D2393" s="94" t="n"/>
      <c r="E2393" s="94" t="inlineStr">
        <is>
          <t>我觉得身体不好。我</t>
        </is>
      </c>
      <c r="F2393" s="115">
        <f>HYPERLINK("https://youglish.com/pronounce/我觉得身体不好我/chinese","🔍")</f>
        <v/>
      </c>
    </row>
    <row r="2394" ht="28.5" customHeight="1" s="99">
      <c r="A2394" s="92" t="inlineStr">
        <is>
          <t>PDF 300+ Mẫu Câu Giao tiếp theo chủ đề.pdf</t>
        </is>
      </c>
      <c r="B2394" s="93" t="inlineStr">
        <is>
          <t>546</t>
        </is>
      </c>
      <c r="C2394" s="92" t="inlineStr">
        <is>
          <t>想我应该休息一下</t>
        </is>
      </c>
      <c r="D2394" s="92" t="n"/>
      <c r="E2394" s="92" t="inlineStr">
        <is>
          <t>想我应该休息一下。</t>
        </is>
      </c>
      <c r="F2394" s="114">
        <f>HYPERLINK("https://youglish.com/pronounce/想我应该休息一下/chinese","🔍")</f>
        <v/>
      </c>
    </row>
    <row r="2395" ht="28.5" customHeight="1" s="99">
      <c r="A2395" s="94" t="inlineStr">
        <is>
          <t>PDF 300+ Mẫu Câu Giao tiếp theo chủ đề.pdf</t>
        </is>
      </c>
      <c r="B2395" s="95" t="inlineStr">
        <is>
          <t>547</t>
        </is>
      </c>
      <c r="C2395" s="94" t="inlineStr">
        <is>
          <t>我今天早点回家可以</t>
        </is>
      </c>
      <c r="D2395" s="94" t="n"/>
      <c r="E2395" s="94" t="inlineStr">
        <is>
          <t>我今天早点回家可以</t>
        </is>
      </c>
      <c r="F2395" s="115">
        <f>HYPERLINK("https://youglish.com/pronounce/我今天早点回家可以/chinese","🔍")</f>
        <v/>
      </c>
    </row>
    <row r="2396" ht="28.5" customHeight="1" s="99">
      <c r="A2396" s="92" t="inlineStr">
        <is>
          <t>PDF 300+ Mẫu Câu Giao tiếp theo chủ đề.pdf</t>
        </is>
      </c>
      <c r="B2396" s="93" t="inlineStr">
        <is>
          <t>548</t>
        </is>
      </c>
      <c r="C2396" s="92" t="inlineStr">
        <is>
          <t>吗</t>
        </is>
      </c>
      <c r="D2396" s="92" t="n"/>
      <c r="E2396" s="92" t="inlineStr">
        <is>
          <t>吗？</t>
        </is>
      </c>
      <c r="F2396" s="114">
        <f>HYPERLINK("https://youglish.com/pronounce/吗/chinese","🔍")</f>
        <v/>
      </c>
    </row>
    <row r="2397" ht="28.5" customHeight="1" s="99">
      <c r="A2397" s="94" t="inlineStr">
        <is>
          <t>PDF 300+ Mẫu Câu Giao tiếp theo chủ đề.pdf</t>
        </is>
      </c>
      <c r="B2397" s="95" t="inlineStr">
        <is>
          <t>549</t>
        </is>
      </c>
      <c r="C2397" s="94" t="inlineStr">
        <is>
          <t>我一直在努力，但我</t>
        </is>
      </c>
      <c r="D2397" s="94" t="n"/>
      <c r="E2397" s="94" t="inlineStr">
        <is>
          <t>我一直在努力，但我</t>
        </is>
      </c>
      <c r="F2397" s="115">
        <f>HYPERLINK("https://youglish.com/pronounce/我一直在努力但我/chinese","🔍")</f>
        <v/>
      </c>
    </row>
    <row r="2398" ht="28.5" customHeight="1" s="99">
      <c r="A2398" s="92" t="inlineStr">
        <is>
          <t>PDF 300+ Mẫu Câu Giao tiếp theo chủ đề.pdf</t>
        </is>
      </c>
      <c r="B2398" s="93" t="inlineStr">
        <is>
          <t>550</t>
        </is>
      </c>
      <c r="C2398" s="92" t="inlineStr">
        <is>
          <t>觉得我做不好这份工</t>
        </is>
      </c>
      <c r="D2398" s="92" t="n"/>
      <c r="E2398" s="92" t="inlineStr">
        <is>
          <t>觉得我做不好这份工</t>
        </is>
      </c>
      <c r="F2398" s="114">
        <f>HYPERLINK("https://youglish.com/pronounce/觉得我做不好这份工/chinese","🔍")</f>
        <v/>
      </c>
    </row>
    <row r="2399" ht="28.5" customHeight="1" s="99">
      <c r="A2399" s="94" t="inlineStr">
        <is>
          <t>PDF 300+ Mẫu Câu Giao tiếp theo chủ đề.pdf</t>
        </is>
      </c>
      <c r="B2399" s="95" t="inlineStr">
        <is>
          <t>551</t>
        </is>
      </c>
      <c r="C2399" s="94" t="inlineStr">
        <is>
          <t>作</t>
        </is>
      </c>
      <c r="D2399" s="94" t="n"/>
      <c r="E2399" s="94" t="inlineStr">
        <is>
          <t>作。</t>
        </is>
      </c>
      <c r="F2399" s="115">
        <f>HYPERLINK("https://youglish.com/pronounce/作/chinese","🔍")</f>
        <v/>
      </c>
    </row>
    <row r="2400" ht="28.5" customHeight="1" s="99">
      <c r="A2400" s="92" t="inlineStr">
        <is>
          <t>PDF 300+ Mẫu Câu Giao tiếp theo chủ đề.pdf</t>
        </is>
      </c>
      <c r="B2400" s="93" t="inlineStr">
        <is>
          <t>552</t>
        </is>
      </c>
      <c r="C2400" s="92" t="inlineStr">
        <is>
          <t>我很喜欢和你一起工</t>
        </is>
      </c>
      <c r="D2400" s="92" t="n"/>
      <c r="E2400" s="92" t="inlineStr">
        <is>
          <t>我很喜欢和你一起工</t>
        </is>
      </c>
      <c r="F2400" s="114">
        <f>HYPERLINK("https://youglish.com/pronounce/我很喜欢和你一起工/chinese","🔍")</f>
        <v/>
      </c>
    </row>
    <row r="2401" ht="28.5" customHeight="1" s="99">
      <c r="A2401" s="94" t="inlineStr">
        <is>
          <t>PDF 300+ Mẫu Câu Giao tiếp theo chủ đề.pdf</t>
        </is>
      </c>
      <c r="B2401" s="95" t="inlineStr">
        <is>
          <t>553</t>
        </is>
      </c>
      <c r="C2401" s="94" t="inlineStr">
        <is>
          <t>作。但是，出于个人原</t>
        </is>
      </c>
      <c r="D2401" s="94" t="n"/>
      <c r="E2401" s="94" t="inlineStr">
        <is>
          <t>作。但是，出于个人原</t>
        </is>
      </c>
      <c r="F2401" s="115">
        <f>HYPERLINK("https://youglish.com/pronounce/作但是出于个人原/chinese","🔍")</f>
        <v/>
      </c>
    </row>
    <row r="2402" ht="28.5" customHeight="1" s="99">
      <c r="A2402" s="92" t="inlineStr">
        <is>
          <t>PDF 300+ Mẫu Câu Giao tiếp theo chủ đề.pdf</t>
        </is>
      </c>
      <c r="B2402" s="93" t="inlineStr">
        <is>
          <t>554</t>
        </is>
      </c>
      <c r="C2402" s="92" t="inlineStr">
        <is>
          <t>因，我不能继续在这</t>
        </is>
      </c>
      <c r="D2402" s="92" t="n"/>
      <c r="E2402" s="92" t="inlineStr">
        <is>
          <t>因，我不能继续在这</t>
        </is>
      </c>
      <c r="F2402" s="114">
        <f>HYPERLINK("https://youglish.com/pronounce/因我不能继续在这/chinese","🔍")</f>
        <v/>
      </c>
    </row>
    <row r="2403" ht="28.5" customHeight="1" s="99">
      <c r="A2403" s="94" t="inlineStr">
        <is>
          <t>PDF 300+ Mẫu Câu Giao tiếp theo chủ đề.pdf</t>
        </is>
      </c>
      <c r="B2403" s="95" t="inlineStr">
        <is>
          <t>555</t>
        </is>
      </c>
      <c r="C2403" s="94" t="inlineStr">
        <is>
          <t>里工作了</t>
        </is>
      </c>
      <c r="D2403" s="94" t="n"/>
      <c r="E2403" s="94" t="inlineStr">
        <is>
          <t>里工作了。</t>
        </is>
      </c>
      <c r="F2403" s="115">
        <f>HYPERLINK("https://youglish.com/pronounce/里工作了/chinese","🔍")</f>
        <v/>
      </c>
    </row>
    <row r="2404" ht="28.5" customHeight="1" s="99">
      <c r="A2404" s="92" t="inlineStr">
        <is>
          <t>PDF 300+ Mẫu Câu Giao tiếp theo chủ đề.pdf</t>
        </is>
      </c>
      <c r="B2404" s="93" t="inlineStr">
        <is>
          <t>556</t>
        </is>
      </c>
      <c r="C2404" s="92" t="inlineStr">
        <is>
          <t>我辞职是因为我想尝</t>
        </is>
      </c>
      <c r="D2404" s="92" t="n"/>
      <c r="E2404" s="92" t="inlineStr">
        <is>
          <t>我辞职是因为我想尝</t>
        </is>
      </c>
      <c r="F2404" s="114">
        <f>HYPERLINK("https://youglish.com/pronounce/我辞职是因为我想尝/chinese","🔍")</f>
        <v/>
      </c>
    </row>
    <row r="2405" ht="28.5" customHeight="1" s="99">
      <c r="A2405" s="94" t="inlineStr">
        <is>
          <t>PDF 300+ Mẫu Câu Giao tiếp theo chủ đề.pdf</t>
        </is>
      </c>
      <c r="B2405" s="95" t="inlineStr">
        <is>
          <t>557</t>
        </is>
      </c>
      <c r="C2405" s="94" t="inlineStr">
        <is>
          <t>试一些不同的东西</t>
        </is>
      </c>
      <c r="D2405" s="94" t="n"/>
      <c r="E2405" s="94" t="inlineStr">
        <is>
          <t>试一些不同的东西。</t>
        </is>
      </c>
      <c r="F2405" s="115">
        <f>HYPERLINK("https://youglish.com/pronounce/试一些不同的东西/chinese","🔍")</f>
        <v/>
      </c>
    </row>
    <row r="2406" ht="28.5" customHeight="1" s="99">
      <c r="A2406" s="92" t="inlineStr">
        <is>
          <t>PDF 300+ Mẫu Câu Giao tiếp theo chủ đề.pdf</t>
        </is>
      </c>
      <c r="B2406" s="93" t="inlineStr">
        <is>
          <t>1</t>
        </is>
      </c>
      <c r="C2406" s="92" t="inlineStr">
        <is>
          <t>请问，您有没有看到我的钱包</t>
        </is>
      </c>
      <c r="D2406" s="92" t="n"/>
      <c r="E2406" s="92" t="inlineStr">
        <is>
          <t>1. 请问，您有没有看到我的钱包？</t>
        </is>
      </c>
      <c r="F2406" s="114">
        <f>HYPERLINK("https://youglish.com/pronounce/请问您有没有看到我的钱包/chinese","🔍")</f>
        <v/>
      </c>
    </row>
    <row r="2407" ht="28.5" customHeight="1" s="99">
      <c r="A2407" s="94" t="inlineStr">
        <is>
          <t>PDF 300+ Mẫu Câu Giao tiếp theo chủ đề.pdf</t>
        </is>
      </c>
      <c r="B2407" s="95" t="inlineStr">
        <is>
          <t>2</t>
        </is>
      </c>
      <c r="C2407" s="94" t="inlineStr">
        <is>
          <t>服务员，我的钱包不见了</t>
        </is>
      </c>
      <c r="D2407" s="94" t="n"/>
      <c r="E2407" s="94" t="inlineStr">
        <is>
          <t>2. 服务员，我的钱包不见了。</t>
        </is>
      </c>
      <c r="F2407" s="115">
        <f>HYPERLINK("https://youglish.com/pronounce/服务员我的钱包不见了/chinese","🔍")</f>
        <v/>
      </c>
    </row>
    <row r="2408" ht="28.5" customHeight="1" s="99">
      <c r="A2408" s="92" t="inlineStr">
        <is>
          <t>PDF 300+ Mẫu Câu Giao tiếp theo chủ đề.pdf</t>
        </is>
      </c>
      <c r="B2408" s="93" t="inlineStr">
        <is>
          <t>3</t>
        </is>
      </c>
      <c r="C2408" s="92" t="inlineStr">
        <is>
          <t>你的钱包是什么时候丢的</t>
        </is>
      </c>
      <c r="D2408" s="92" t="n"/>
      <c r="E2408" s="92" t="inlineStr">
        <is>
          <t>3. 你的钱包是什么时候丢的？</t>
        </is>
      </c>
      <c r="F2408" s="114">
        <f>HYPERLINK("https://youglish.com/pronounce/你的钱包是什么时候丢的/chinese","🔍")</f>
        <v/>
      </c>
    </row>
    <row r="2409" ht="28.5" customHeight="1" s="99">
      <c r="A2409" s="94" t="inlineStr">
        <is>
          <t>PDF 300+ Mẫu Câu Giao tiếp theo chủ đề.pdf</t>
        </is>
      </c>
      <c r="B2409" s="95" t="inlineStr">
        <is>
          <t>4</t>
        </is>
      </c>
      <c r="C2409" s="94" t="inlineStr">
        <is>
          <t>你把钱包丢在哪儿</t>
        </is>
      </c>
      <c r="D2409" s="94" t="inlineStr">
        <is>
          <t>?</t>
        </is>
      </c>
      <c r="E2409" s="94" t="inlineStr">
        <is>
          <t>4. 你把钱包丢在哪儿?</t>
        </is>
      </c>
      <c r="F2409" s="115">
        <f>HYPERLINK("https://youglish.com/pronounce/你把钱包丢在哪儿/chinese","🔍")</f>
        <v/>
      </c>
    </row>
    <row r="2410" ht="28.5" customHeight="1" s="99">
      <c r="A2410" s="92" t="inlineStr">
        <is>
          <t>PDF 300+ Mẫu Câu Giao tiếp theo chủ đề.pdf</t>
        </is>
      </c>
      <c r="B2410" s="93" t="inlineStr">
        <is>
          <t>5</t>
        </is>
      </c>
      <c r="C2410" s="92" t="inlineStr">
        <is>
          <t>可能丢在食堂了</t>
        </is>
      </c>
      <c r="D2410" s="92" t="n"/>
      <c r="E2410" s="92" t="inlineStr">
        <is>
          <t>5. 可能丢在食堂了。</t>
        </is>
      </c>
      <c r="F2410" s="114">
        <f>HYPERLINK("https://youglish.com/pronounce/可能丢在食堂了/chinese","🔍")</f>
        <v/>
      </c>
    </row>
    <row r="2411" ht="28.5" customHeight="1" s="99">
      <c r="A2411" s="94" t="inlineStr">
        <is>
          <t>PDF 300+ Mẫu Câu Giao tiếp theo chủ đề.pdf</t>
        </is>
      </c>
      <c r="B2411" s="95" t="inlineStr">
        <is>
          <t>6</t>
        </is>
      </c>
      <c r="C2411" s="94" t="inlineStr">
        <is>
          <t>你能不能帮我找一下</t>
        </is>
      </c>
      <c r="D2411" s="94" t="n"/>
      <c r="E2411" s="94" t="inlineStr">
        <is>
          <t>6. 你能不能帮我找一下。</t>
        </is>
      </c>
      <c r="F2411" s="115">
        <f>HYPERLINK("https://youglish.com/pronounce/你能不能帮我找一下/chinese","🔍")</f>
        <v/>
      </c>
    </row>
    <row r="2412" ht="28.5" customHeight="1" s="99">
      <c r="A2412" s="92" t="inlineStr">
        <is>
          <t>PDF 300+ Mẫu Câu Giao tiếp theo chủ đề.pdf</t>
        </is>
      </c>
      <c r="B2412" s="93" t="inlineStr">
        <is>
          <t>7</t>
        </is>
      </c>
      <c r="C2412" s="92" t="inlineStr">
        <is>
          <t>钱包里面有什么重要的吗</t>
        </is>
      </c>
      <c r="D2412" s="92" t="n"/>
      <c r="E2412" s="92" t="inlineStr">
        <is>
          <t>7. 钱包里面有什么重要的吗？</t>
        </is>
      </c>
      <c r="F2412" s="114">
        <f>HYPERLINK("https://youglish.com/pronounce/钱包里面有什么重要的吗/chinese","🔍")</f>
        <v/>
      </c>
    </row>
    <row r="2413" ht="28.5" customHeight="1" s="99">
      <c r="A2413" s="94" t="inlineStr">
        <is>
          <t>PDF 300+ Mẫu Câu Giao tiếp theo chủ đề.pdf</t>
        </is>
      </c>
      <c r="B2413" s="95" t="inlineStr">
        <is>
          <t>8</t>
        </is>
      </c>
      <c r="C2413" s="94" t="inlineStr">
        <is>
          <t>钱包里面有 3000 块，身份证和护照</t>
        </is>
      </c>
      <c r="D2413" s="94" t="n"/>
      <c r="E2413" s="94" t="inlineStr">
        <is>
          <t>8. 钱包里面有 3000 块，身份证和护照。</t>
        </is>
      </c>
      <c r="F2413" s="115">
        <f>HYPERLINK("https://youglish.com/pronounce/钱包里面有块身份证和护照/chinese","🔍")</f>
        <v/>
      </c>
    </row>
    <row r="2414" ht="28.5" customHeight="1" s="99">
      <c r="A2414" s="92" t="inlineStr">
        <is>
          <t>PDF 300+ Mẫu Câu Giao tiếp theo chủ đề.pdf</t>
        </is>
      </c>
      <c r="B2414" s="93" t="inlineStr">
        <is>
          <t>9</t>
        </is>
      </c>
      <c r="C2414" s="92" t="inlineStr">
        <is>
          <t>请稍等，我检查一下</t>
        </is>
      </c>
      <c r="D2414" s="92" t="n"/>
      <c r="E2414" s="92" t="inlineStr">
        <is>
          <t>9. 请稍等，我检查一下。</t>
        </is>
      </c>
      <c r="F2414" s="114">
        <f>HYPERLINK("https://youglish.com/pronounce/请稍等我检查一下/chinese","🔍")</f>
        <v/>
      </c>
    </row>
    <row r="2415" ht="28.5" customHeight="1" s="99">
      <c r="A2415" s="94" t="inlineStr">
        <is>
          <t>PDF 300+ Mẫu Câu Giao tiếp theo chủ đề.pdf</t>
        </is>
      </c>
      <c r="B2415" s="95" t="inlineStr">
        <is>
          <t>10</t>
        </is>
      </c>
      <c r="C2415" s="94" t="inlineStr">
        <is>
          <t>这是你的钱包吗</t>
        </is>
      </c>
      <c r="D2415" s="94" t="n"/>
      <c r="E2415" s="94" t="inlineStr">
        <is>
          <t>10. 这是你的钱包吗？</t>
        </is>
      </c>
      <c r="F2415" s="115">
        <f>HYPERLINK("https://youglish.com/pronounce/这是你的钱包吗/chinese","🔍")</f>
        <v/>
      </c>
    </row>
    <row r="2416" ht="28.5" customHeight="1" s="99">
      <c r="A2416" s="92" t="inlineStr">
        <is>
          <t>PDF 300+ Mẫu Câu Giao tiếp theo chủ đề.pdf</t>
        </is>
      </c>
      <c r="B2416" s="93" t="inlineStr">
        <is>
          <t>11</t>
        </is>
      </c>
      <c r="C2416" s="92" t="inlineStr">
        <is>
          <t>请你检查一下</t>
        </is>
      </c>
      <c r="D2416" s="92" t="n"/>
      <c r="E2416" s="92" t="inlineStr">
        <is>
          <t>11.请你检查一下。</t>
        </is>
      </c>
      <c r="F2416" s="114">
        <f>HYPERLINK("https://youglish.com/pronounce/请你检查一下/chinese","🔍")</f>
        <v/>
      </c>
    </row>
    <row r="2417" ht="28.5" customHeight="1" s="99">
      <c r="A2417" s="94" t="inlineStr">
        <is>
          <t>PDF 300+ Mẫu Câu Giao tiếp theo chủ đề.pdf</t>
        </is>
      </c>
      <c r="B2417" s="95" t="inlineStr">
        <is>
          <t>12</t>
        </is>
      </c>
      <c r="C2417" s="94" t="inlineStr">
        <is>
          <t>东西都在，没少一件儿</t>
        </is>
      </c>
      <c r="D2417" s="94" t="n"/>
      <c r="E2417" s="94" t="inlineStr">
        <is>
          <t>12.东西都在，没少一件儿。</t>
        </is>
      </c>
      <c r="F2417" s="115">
        <f>HYPERLINK("https://youglish.com/pronounce/东西都在没少一件儿/chinese","🔍")</f>
        <v/>
      </c>
    </row>
    <row r="2418" ht="28.5" customHeight="1" s="99">
      <c r="A2418" s="92" t="inlineStr">
        <is>
          <t>PDF 300+ Mẫu Câu Giao tiếp theo chủ đề.pdf</t>
        </is>
      </c>
      <c r="B2418" s="93" t="inlineStr">
        <is>
          <t>13</t>
        </is>
      </c>
      <c r="C2418" s="92" t="inlineStr">
        <is>
          <t>警察，请您帮我找手提包</t>
        </is>
      </c>
      <c r="D2418" s="92" t="n"/>
      <c r="E2418" s="92" t="inlineStr">
        <is>
          <t>13.警察，请您帮我找手提包。</t>
        </is>
      </c>
      <c r="F2418" s="114">
        <f>HYPERLINK("https://youglish.com/pronounce/警察请您帮我找手提包/chinese","🔍")</f>
        <v/>
      </c>
    </row>
    <row r="2419" ht="28.5" customHeight="1" s="99">
      <c r="A2419" s="94" t="inlineStr">
        <is>
          <t>PDF 300+ Mẫu Câu Giao tiếp theo chủ đề.pdf</t>
        </is>
      </c>
      <c r="B2419" s="95" t="inlineStr">
        <is>
          <t>14</t>
        </is>
      </c>
      <c r="C2419" s="94" t="inlineStr">
        <is>
          <t>你的手提包丢在哪儿</t>
        </is>
      </c>
      <c r="D2419" s="94" t="n"/>
      <c r="E2419" s="94" t="inlineStr">
        <is>
          <t>14.你的手提包丢在哪儿？</t>
        </is>
      </c>
      <c r="F2419" s="115">
        <f>HYPERLINK("https://youglish.com/pronounce/你的手提包丢在哪儿/chinese","🔍")</f>
        <v/>
      </c>
    </row>
    <row r="2420" ht="28.5" customHeight="1" s="99">
      <c r="A2420" s="92" t="inlineStr">
        <is>
          <t>PDF 300+ Mẫu Câu Giao tiếp theo chủ đề.pdf</t>
        </is>
      </c>
      <c r="B2420" s="93" t="inlineStr">
        <is>
          <t>15</t>
        </is>
      </c>
      <c r="C2420" s="92" t="inlineStr">
        <is>
          <t>在车上还在，但下车后就不见了</t>
        </is>
      </c>
      <c r="D2420" s="92" t="n"/>
      <c r="E2420" s="92" t="inlineStr">
        <is>
          <t>15.在车上还在，但下车后就不见了。</t>
        </is>
      </c>
      <c r="F2420" s="114">
        <f>HYPERLINK("https://youglish.com/pronounce/在车上还在但下车后就不见了/chinese","🔍")</f>
        <v/>
      </c>
    </row>
    <row r="2421" ht="28.5" customHeight="1" s="99">
      <c r="A2421" s="94" t="inlineStr">
        <is>
          <t>PDF 300+ Mẫu Câu Giao tiếp theo chủ đề.pdf</t>
        </is>
      </c>
      <c r="B2421" s="95" t="inlineStr">
        <is>
          <t>16</t>
        </is>
      </c>
      <c r="C2421" s="94" t="inlineStr">
        <is>
          <t>请留下您的姓名和电话号码</t>
        </is>
      </c>
      <c r="D2421" s="94" t="n"/>
      <c r="E2421" s="94" t="inlineStr">
        <is>
          <t>16.请留下您的姓名和电话号码。</t>
        </is>
      </c>
      <c r="F2421" s="115">
        <f>HYPERLINK("https://youglish.com/pronounce/请留下您的姓名和电话号码/chinese","🔍")</f>
        <v/>
      </c>
    </row>
    <row r="2422" ht="28.5" customHeight="1" s="99">
      <c r="A2422" s="92" t="inlineStr">
        <is>
          <t>PDF 300+ Mẫu Câu Giao tiếp theo chủ đề.pdf</t>
        </is>
      </c>
      <c r="B2422" s="93" t="inlineStr">
        <is>
          <t>17</t>
        </is>
      </c>
      <c r="C2422" s="92" t="inlineStr">
        <is>
          <t>你记得你坐的车的牌儿吗</t>
        </is>
      </c>
      <c r="D2422" s="92" t="n"/>
      <c r="E2422" s="92" t="inlineStr">
        <is>
          <t>17.你记得你坐的车的牌儿吗？</t>
        </is>
      </c>
      <c r="F2422" s="114">
        <f>HYPERLINK("https://youglish.com/pronounce/你记得你坐的车的牌儿吗/chinese","🔍")</f>
        <v/>
      </c>
    </row>
    <row r="2423" ht="28.5" customHeight="1" s="99">
      <c r="A2423" s="94" t="inlineStr">
        <is>
          <t>PDF 300+ Mẫu Câu Giao tiếp theo chủ đề.pdf</t>
        </is>
      </c>
      <c r="B2423" s="95" t="inlineStr">
        <is>
          <t>18</t>
        </is>
      </c>
      <c r="C2423" s="94" t="inlineStr">
        <is>
          <t>如果找到，请你马上通知我</t>
        </is>
      </c>
      <c r="D2423" s="94" t="n"/>
      <c r="E2423" s="94" t="inlineStr">
        <is>
          <t>18.如果找到，请你马上通知我。</t>
        </is>
      </c>
      <c r="F2423" s="115">
        <f>HYPERLINK("https://youglish.com/pronounce/如果找到请你马上通知我/chinese","🔍")</f>
        <v/>
      </c>
    </row>
    <row r="2424" ht="28.5" customHeight="1" s="99">
      <c r="A2424" s="92" t="inlineStr">
        <is>
          <t>PDF 300+ Mẫu Câu Giao tiếp theo chủ đề.pdf</t>
        </is>
      </c>
      <c r="B2424" s="93" t="inlineStr">
        <is>
          <t>576</t>
        </is>
      </c>
      <c r="C2424" s="92" t="inlineStr">
        <is>
          <t>但是我能找到丢失的桶吗</t>
        </is>
      </c>
      <c r="D2424" s="92" t="inlineStr">
        <is>
          <t>Dànshì wǒ néng zhǎodào diūshī de tǒng ma? Nhưng tôi có thể tìm thấy cái xô bị mất không?</t>
        </is>
      </c>
      <c r="E2424" s="92" t="inlineStr">
        <is>
          <t>但是我能找到丢失的桶吗？ Dànshì wǒ néng zhǎodào diūshī de tǒng ma? Nhưng tôi có thể tìm thấy cái xô bị mất không?</t>
        </is>
      </c>
      <c r="F2424" s="114">
        <f>HYPERLINK("https://youglish.com/pronounce/但是我能找到丢失的桶吗/chinese","🔍")</f>
        <v/>
      </c>
    </row>
    <row r="2425" ht="28.5" customHeight="1" s="99">
      <c r="A2425" s="94" t="inlineStr">
        <is>
          <t>PDF 300+ Mẫu Câu Giao tiếp theo chủ đề.pdf</t>
        </is>
      </c>
      <c r="B2425" s="95" t="inlineStr">
        <is>
          <t>577</t>
        </is>
      </c>
      <c r="C2425" s="94" t="inlineStr">
        <is>
          <t>我到处寻找丢失的钢笔</t>
        </is>
      </c>
      <c r="D2425" s="94" t="inlineStr">
        <is>
          <t>Wǒ dàochù xúnzhǎo diūshī de gāngbǐ. Tôi tìm kiếm khắp nơi để tìm những chiếc bút bị mất.</t>
        </is>
      </c>
      <c r="E2425" s="94" t="inlineStr">
        <is>
          <t>我到处寻找丢失的钢笔。 Wǒ dàochù xúnzhǎo diūshī de gāngbǐ. Tôi tìm kiếm khắp nơi để tìm những chiếc bút bị mất.</t>
        </is>
      </c>
      <c r="F2425" s="115">
        <f>HYPERLINK("https://youglish.com/pronounce/我到处寻找丢失的钢笔/chinese","🔍")</f>
        <v/>
      </c>
    </row>
    <row r="2426" ht="28.5" customHeight="1" s="99">
      <c r="A2426" s="92" t="inlineStr">
        <is>
          <t>PDF 300+ Mẫu Câu Giao tiếp theo chủ đề.pdf</t>
        </is>
      </c>
      <c r="B2426" s="93" t="inlineStr">
        <is>
          <t>578</t>
        </is>
      </c>
      <c r="C2426" s="92" t="inlineStr">
        <is>
          <t>检点一下工具，看有无丢失</t>
        </is>
      </c>
      <c r="D2426" s="92" t="inlineStr">
        <is>
          <t>Jiǎndiǎn yīxià gōngjù, kàn yǒu wú diūshī. Kiểm tra công cụ để xem nó có bị thiếu không.</t>
        </is>
      </c>
      <c r="E2426" s="92" t="inlineStr">
        <is>
          <t>检点一下工具，看有无丢失。 Jiǎndiǎn yīxià gōngjù, kàn yǒu wú diūshī. Kiểm tra công cụ để xem nó có bị thiếu không.</t>
        </is>
      </c>
      <c r="F2426" s="114">
        <f>HYPERLINK("https://youglish.com/pronounce/检点一下工具看有无丢失/chinese","🔍")</f>
        <v/>
      </c>
    </row>
    <row r="2427" ht="28.5" customHeight="1" s="99">
      <c r="A2427" s="94" t="inlineStr">
        <is>
          <t>PDF 300+ Mẫu Câu Giao tiếp theo chủ đề.pdf</t>
        </is>
      </c>
      <c r="B2427" s="95" t="inlineStr">
        <is>
          <t>579</t>
        </is>
      </c>
      <c r="C2427" s="94" t="inlineStr">
        <is>
          <t>材料丢失，不予补发</t>
        </is>
      </c>
      <c r="D2427" s="94" t="inlineStr">
        <is>
          <t>Cáiliào diūshī, bù yǔ bǔ fā. Các tài liệu bị mất sẽ không được cấp lại.</t>
        </is>
      </c>
      <c r="E2427" s="94" t="inlineStr">
        <is>
          <t>材料丢失，不予补发。 Cáiliào diūshī, bù yǔ bǔ fā. Các tài liệu bị mất sẽ không được cấp lại.</t>
        </is>
      </c>
      <c r="F2427" s="115">
        <f>HYPERLINK("https://youglish.com/pronounce/材料丢失不予补发/chinese","🔍")</f>
        <v/>
      </c>
    </row>
    <row r="2428" ht="28.5" customHeight="1" s="99">
      <c r="A2428" s="92" t="inlineStr">
        <is>
          <t>PDF 300+ Mẫu Câu Giao tiếp theo chủ đề.pdf</t>
        </is>
      </c>
      <c r="B2428" s="93" t="inlineStr">
        <is>
          <t>580</t>
        </is>
      </c>
      <c r="C2428" s="92" t="inlineStr">
        <is>
          <t>这是无法夺走，也不会丢失的</t>
        </is>
      </c>
      <c r="D2428" s="92" t="inlineStr">
        <is>
          <t>Zhè shì wúfǎ duó zǒu, yě bù huì diūshī de. Nó không thể được lấy đi, cũng không thể bị mất.</t>
        </is>
      </c>
      <c r="E2428" s="92" t="inlineStr">
        <is>
          <t>这是无法夺走，也不会丢失的。 Zhè shì wúfǎ duó zǒu, yě bù huì diūshī de. Nó không thể được lấy đi, cũng không thể bị mất.</t>
        </is>
      </c>
      <c r="F2428" s="114">
        <f>HYPERLINK("https://youglish.com/pronounce/这是无法夺走也不会丢失的/chinese","🔍")</f>
        <v/>
      </c>
    </row>
    <row r="2429" ht="28.5" customHeight="1" s="99">
      <c r="A2429" s="94" t="inlineStr">
        <is>
          <t>PDF 300+ Mẫu Câu Giao tiếp theo chủ đề.pdf</t>
        </is>
      </c>
      <c r="B2429" s="95" t="inlineStr">
        <is>
          <t>581</t>
        </is>
      </c>
      <c r="C2429" s="94" t="inlineStr">
        <is>
          <t>图书馆丢失了几本书</t>
        </is>
      </c>
      <c r="D2429" s="94" t="inlineStr">
        <is>
          <t>Túshū guǎn diūshīle jǐ běn shū. Thư viện bị mất một số cuốn sách.</t>
        </is>
      </c>
      <c r="E2429" s="94" t="inlineStr">
        <is>
          <t>图书馆丢失了几本书。 Túshū guǎn diūshīle jǐ běn shū. Thư viện bị mất một số cuốn sách.</t>
        </is>
      </c>
      <c r="F2429" s="115">
        <f>HYPERLINK("https://youglish.com/pronounce/图书馆丢失了几本书/chinese","🔍")</f>
        <v/>
      </c>
    </row>
    <row r="2430" ht="28.5" customHeight="1" s="99">
      <c r="A2430" s="92" t="inlineStr">
        <is>
          <t>PDF 300+ Mẫu Câu Giao tiếp theo chủ đề.pdf</t>
        </is>
      </c>
      <c r="B2430" s="93" t="inlineStr">
        <is>
          <t>582</t>
        </is>
      </c>
      <c r="C2430" s="92" t="inlineStr">
        <is>
          <t>蓝本是去年丢失的</t>
        </is>
      </c>
      <c r="D2430" s="92" t="inlineStr">
        <is>
          <t>Lánběn shì qùnián diūshī de. Bản thiết kế đã bị thất lạc vào năm ngoái.</t>
        </is>
      </c>
      <c r="E2430" s="92" t="inlineStr">
        <is>
          <t>蓝本是去年丢失的。 Lánběn shì qùnián diūshī de. Bản thiết kế đã bị thất lạc vào năm ngoái.</t>
        </is>
      </c>
      <c r="F2430" s="114">
        <f>HYPERLINK("https://youglish.com/pronounce/蓝本是去年丢失的/chinese","🔍")</f>
        <v/>
      </c>
    </row>
    <row r="2431" ht="42.75" customHeight="1" s="99">
      <c r="A2431" s="94" t="inlineStr">
        <is>
          <t>PDF 300+ Mẫu Câu Giao tiếp theo chủ đề.pdf</t>
        </is>
      </c>
      <c r="B2431" s="95" t="inlineStr">
        <is>
          <t>583</t>
        </is>
      </c>
      <c r="C2431" s="94" t="inlineStr">
        <is>
          <t>普遍认为那东西在战争期间丢失了</t>
        </is>
      </c>
      <c r="D2431" s="94" t="inlineStr">
        <is>
          <t>Pǔbiàn rènwéi nà dōngxī zài zhànzhēng qíjiān diūshīle. Người ta tin rằng nó đã bị mất trong chiến tranh.</t>
        </is>
      </c>
      <c r="E2431" s="94" t="inlineStr">
        <is>
          <t>普遍认为那东西在战争期间丢失了。 Pǔbiàn rènwéi nà dōngxī zài zhànzhēng qíjiān diūshīle. Người ta tin rằng nó đã bị mất trong chiến tranh.</t>
        </is>
      </c>
      <c r="F2431" s="115">
        <f>HYPERLINK("https://youglish.com/pronounce/普遍认为那东西在战争期间丢失了/chinese","🔍")</f>
        <v/>
      </c>
    </row>
    <row r="2432" ht="42.75" customHeight="1" s="99">
      <c r="A2432" s="92" t="inlineStr">
        <is>
          <t>PDF 300+ Mẫu Câu Giao tiếp theo chủ đề.pdf</t>
        </is>
      </c>
      <c r="B2432" s="93" t="inlineStr">
        <is>
          <t>584</t>
        </is>
      </c>
      <c r="C2432" s="92" t="inlineStr">
        <is>
          <t>视频驱动程序损坏，丢失或被禁用</t>
        </is>
      </c>
      <c r="D2432" s="92" t="inlineStr">
        <is>
          <t>Shìpín qūdòng chéngxù sǔnhuài, diūshī huò bèi jìnyòng. Trình điều khiển video bị hỏng, bị thiếu hoặc bị vô hiệu hóa.</t>
        </is>
      </c>
      <c r="E2432" s="92" t="inlineStr">
        <is>
          <t>视频驱动程序损坏，丢失或被禁用。 Shìpín qūdòng chéngxù sǔnhuài, diūshī huò bèi jìnyòng. Trình điều khiển video bị hỏng, bị thiếu hoặc bị vô hiệu hóa.</t>
        </is>
      </c>
      <c r="F2432" s="114">
        <f>HYPERLINK("https://youglish.com/pronounce/视频驱动程序损坏丢失或被禁用/chinese","🔍")</f>
        <v/>
      </c>
    </row>
    <row r="2433" ht="42.75" customHeight="1" s="99">
      <c r="A2433" s="94" t="inlineStr">
        <is>
          <t>PDF 300+ Mẫu Câu Giao tiếp theo chủ đề.pdf</t>
        </is>
      </c>
      <c r="B2433" s="95" t="inlineStr">
        <is>
          <t>585</t>
        </is>
      </c>
      <c r="C2433" s="94" t="inlineStr">
        <is>
          <t>重复上次安装，恢复丢失的文件和设置</t>
        </is>
      </c>
      <c r="D2433" s="94" t="inlineStr">
        <is>
          <t>Chóngfù shàng cì ānzhuāng, huīfù diūshī de wénjiàn hé shèzhì. Lặp lại cài đặt cuối cùng để khôi phục các tệp và cài đặt bị mất.</t>
        </is>
      </c>
      <c r="E2433" s="94" t="inlineStr">
        <is>
          <t>重复上次安装，恢复丢失的文件和设置。 Chóngfù shàng cì ānzhuāng, huīfù diūshī de wénjiàn hé shèzhì. Lặp lại cài đặt cuối cùng để khôi phục các tệp và cài đặt bị mất.</t>
        </is>
      </c>
      <c r="F2433" s="115">
        <f>HYPERLINK("https://youglish.com/pronounce/重复上次安装恢复丢失的文件和设置/chinese","🔍")</f>
        <v/>
      </c>
    </row>
    <row r="2434" ht="42.75" customHeight="1" s="99">
      <c r="A2434" s="92" t="inlineStr">
        <is>
          <t>PDF 300+ Mẫu Câu Giao tiếp theo chủ đề.pdf</t>
        </is>
      </c>
      <c r="B2434" s="93" t="inlineStr">
        <is>
          <t>586</t>
        </is>
      </c>
      <c r="C2434" s="92" t="inlineStr">
        <is>
          <t>全村的人很快都知道有人丢失了一大笔钱</t>
        </is>
      </c>
      <c r="D2434" s="92" t="inlineStr">
        <is>
          <t>Quán cūn de rén hěn kuài dōu zhīdào yǒurén diūshīle yī dà bǐ qián. Cả làng sớm biết tin có người bị mất một số tiền lớn.</t>
        </is>
      </c>
      <c r="E2434" s="92" t="inlineStr">
        <is>
          <t>全村的人很快都知道有人丢失了一大笔钱。 Quán cūn de rén hěn kuài dōu zhīdào yǒurén diūshīle yī dà bǐ qián. Cả làng sớm biết tin có người bị mất một số tiền lớn.</t>
        </is>
      </c>
      <c r="F2434" s="114">
        <f>HYPERLINK("https://youglish.com/pronounce/全村的人很快都知道有人丢失了一大笔钱/chinese","🔍")</f>
        <v/>
      </c>
    </row>
    <row r="2435" ht="42.75" customHeight="1" s="99">
      <c r="A2435" s="94" t="inlineStr">
        <is>
          <t>PDF 300+ Mẫu Câu Giao tiếp theo chủ đề.pdf</t>
        </is>
      </c>
      <c r="B2435" s="95" t="inlineStr">
        <is>
          <t>587</t>
        </is>
      </c>
      <c r="C2435" s="94" t="inlineStr">
        <is>
          <t>我们新招揽的生意会远远超过丢失的那部分</t>
        </is>
      </c>
      <c r="D2435" s="94" t="inlineStr">
        <is>
          <t>Wǒmen xīn zhāolǎn de shēngyì huì yuǎn yuǎn chāoguò diūshī dì nà bùfèn. Doanh nghiệp mới của chúng tôi sẽ vượt xa phần đã mất.</t>
        </is>
      </c>
      <c r="E2435" s="94" t="inlineStr">
        <is>
          <t>我们新招揽的生意会远远超过丢失的那部分。 Wǒmen xīn zhāolǎn de shēngyì huì yuǎn yuǎn chāoguò diūshī dì nà bùfèn. Doanh nghiệp mới của chúng tôi sẽ vượt xa phần đã mất.</t>
        </is>
      </c>
      <c r="F2435" s="115">
        <f>HYPERLINK("https://youglish.com/pronounce/我们新招揽的生意会远远超过丢失的那部分/chinese","🔍")</f>
        <v/>
      </c>
    </row>
    <row r="2436" ht="42.75" customHeight="1" s="99">
      <c r="A2436" s="92" t="inlineStr">
        <is>
          <t>PDF 300+ Mẫu Câu Giao tiếp theo chủ đề.pdf</t>
        </is>
      </c>
      <c r="B2436" s="93" t="inlineStr">
        <is>
          <t>588</t>
        </is>
      </c>
      <c r="C2436" s="92" t="inlineStr">
        <is>
          <t>服务员小姐，你们捡到一个背包没有</t>
        </is>
      </c>
      <c r="D2436" s="92" t="inlineStr">
        <is>
          <t>Fúwùyuán xiǎojiě, nǐmen jiǎn dào yí ge bèibāo méi yǒu? Cô phục vụ ơi, các cô có nhặt được cái ba lô không?</t>
        </is>
      </c>
      <c r="E2436" s="92" t="inlineStr">
        <is>
          <t>服务员小姐，你们捡到一个背包没有？ Fúwùyuán xiǎojiě, nǐmen jiǎn dào yí ge bèibāo méi yǒu? Cô phục vụ ơi, các cô có nhặt được cái ba lô không?</t>
        </is>
      </c>
      <c r="F2436" s="114">
        <f>HYPERLINK("https://youglish.com/pronounce/服务员小姐你们捡到一个背包没有/chinese","🔍")</f>
        <v/>
      </c>
    </row>
    <row r="2437" ht="42.75" customHeight="1" s="99">
      <c r="A2437" s="94" t="inlineStr">
        <is>
          <t>PDF 300+ Mẫu Câu Giao tiếp theo chủ đề.pdf</t>
        </is>
      </c>
      <c r="B2437" s="95" t="inlineStr">
        <is>
          <t>589</t>
        </is>
      </c>
      <c r="C2437" s="94" t="inlineStr">
        <is>
          <t>你的背包是什么时候丢的？你把背包丢在哪儿了</t>
        </is>
      </c>
      <c r="D2437" s="94" t="inlineStr">
        <is>
          <t>Nǐ de bèibāo shì shénme shíhòu diū de? Nǐ bǎ bèibāo diū zài nǎr le? Ba lô của anh mất lúc nào? Anh để quên ba lô ở đâu?</t>
        </is>
      </c>
      <c r="E2437" s="94" t="inlineStr">
        <is>
          <t>你的背包是什么时候丢的？你把背包丢在哪儿了？ Nǐ de bèibāo shì shénme shíhòu diū de? Nǐ bǎ bèibāo diū zài nǎr le? Ba lô của anh mất lúc nào? Anh để quên ba lô ở đâu?</t>
        </is>
      </c>
      <c r="F2437" s="115">
        <f>HYPERLINK("https://youglish.com/pronounce/你的背包是什么时候丢的你把背包丢在哪儿了/chinese","🔍")</f>
        <v/>
      </c>
    </row>
    <row r="2438" ht="42.75" customHeight="1" s="99">
      <c r="A2438" s="92" t="inlineStr">
        <is>
          <t>PDF 300+ Mẫu Câu Giao tiếp theo chủ đề.pdf</t>
        </is>
      </c>
      <c r="B2438" s="93" t="inlineStr">
        <is>
          <t>590</t>
        </is>
      </c>
      <c r="C2438" s="92" t="inlineStr">
        <is>
          <t>我刚才在食堂喝茶，可能丢在那儿了</t>
        </is>
      </c>
      <c r="D2438" s="92" t="inlineStr">
        <is>
          <t>Wǒ gāngcái zài shítáng hè chá, kěnéng diū zài nàr le. Tôi vừa uống trà ở nhà ăn, có khả năng để quên ở đó.</t>
        </is>
      </c>
      <c r="E2438" s="92" t="inlineStr">
        <is>
          <t>我刚才在食堂喝茶，可能丢在那儿了。 Wǒ gāngcái zài shítáng hè chá, kěnéng diū zài nàr le. Tôi vừa uống trà ở nhà ăn, có khả năng để quên ở đó.</t>
        </is>
      </c>
      <c r="F2438" s="114">
        <f>HYPERLINK("https://youglish.com/pronounce/我刚才在食堂喝茶可能丢在那儿了/chinese","🔍")</f>
        <v/>
      </c>
    </row>
    <row r="2439" ht="28.5" customHeight="1" s="99">
      <c r="A2439" s="94" t="inlineStr">
        <is>
          <t>PDF 300+ Mẫu Câu Giao tiếp theo chủ đề.pdf</t>
        </is>
      </c>
      <c r="B2439" s="95" t="inlineStr">
        <is>
          <t>591</t>
        </is>
      </c>
      <c r="C2439" s="94" t="inlineStr">
        <is>
          <t>背包里面有什么东西</t>
        </is>
      </c>
      <c r="D2439" s="94" t="inlineStr">
        <is>
          <t>Bèibāo lǐmiàn yǒu shénme dōngxi? Trong ba lô có những đồ gì?</t>
        </is>
      </c>
      <c r="E2439" s="94" t="inlineStr">
        <is>
          <t>背包里面有什么东西？ Bèibāo lǐmiàn yǒu shénme dōngxi? Trong ba lô có những đồ gì?</t>
        </is>
      </c>
      <c r="F2439" s="115">
        <f>HYPERLINK("https://youglish.com/pronounce/背包里面有什么东西/chinese","🔍")</f>
        <v/>
      </c>
    </row>
    <row r="2440" ht="42.75" customHeight="1" s="99">
      <c r="A2440" s="92" t="inlineStr">
        <is>
          <t>PDF 300+ Mẫu Câu Giao tiếp theo chủ đề.pdf</t>
        </is>
      </c>
      <c r="B2440" s="93" t="inlineStr">
        <is>
          <t>592</t>
        </is>
      </c>
      <c r="C2440" s="92" t="inlineStr">
        <is>
          <t>在背包里有我的护照，身份证，照相机，我叫蓝天</t>
        </is>
      </c>
      <c r="D2440" s="92" t="inlineStr">
        <is>
          <t>Zài bèibāo li yǒu wǒ de hùzhào, shēnfènzhèng, zhàoxiàngjī, wǒ jiào Lán Tiān. Trong ba lô có hộ chiếu, chứng minh thư, máy ảnh. Tôi tên là Lam Thiên.</t>
        </is>
      </c>
      <c r="E2440" s="92" t="inlineStr">
        <is>
          <t>在背包里有我的护照，身份证，照相机，我叫蓝天。 Zài bèibāo li yǒu wǒ de hùzhào, shēnfènzhèng, zhàoxiàngjī, wǒ jiào Lán Tiān. Trong ba lô có hộ chiếu, chứng minh thư, máy ảnh. Tôi tên là Lam Thiên.</t>
        </is>
      </c>
      <c r="F2440" s="114">
        <f>HYPERLINK("https://youglish.com/pronounce/在背包里有我的护照身份证照相机我叫蓝天/chinese","🔍")</f>
        <v/>
      </c>
    </row>
    <row r="2441" ht="28.5" customHeight="1" s="99">
      <c r="A2441" s="94" t="inlineStr">
        <is>
          <t>PDF 300+ Mẫu Câu Giao tiếp theo chủ đề.pdf</t>
        </is>
      </c>
      <c r="B2441" s="95" t="inlineStr">
        <is>
          <t>593</t>
        </is>
      </c>
      <c r="C2441" s="94" t="inlineStr">
        <is>
          <t>你看这个是你的背包吗</t>
        </is>
      </c>
      <c r="D2441" s="94" t="inlineStr">
        <is>
          <t>Nǐ kàn zhè ge shì nǐ de bèibāo ma? Anh xem đây có phải là ba lô của anh không?</t>
        </is>
      </c>
      <c r="E2441" s="94" t="inlineStr">
        <is>
          <t>你看这个是你的背包吗？ Nǐ kàn zhè ge shì nǐ de bèibāo ma? Anh xem đây có phải là ba lô của anh không?</t>
        </is>
      </c>
      <c r="F2441" s="115">
        <f>HYPERLINK("https://youglish.com/pronounce/你看这个是你的背包吗/chinese","🔍")</f>
        <v/>
      </c>
    </row>
    <row r="2442" ht="28.5" customHeight="1" s="99">
      <c r="A2442" s="92" t="inlineStr">
        <is>
          <t>PDF 300+ Mẫu Câu Giao tiếp theo chủ đề.pdf</t>
        </is>
      </c>
      <c r="B2442" s="93" t="inlineStr">
        <is>
          <t>594</t>
        </is>
      </c>
      <c r="C2442" s="92" t="inlineStr">
        <is>
          <t>没错，这是我的背包</t>
        </is>
      </c>
      <c r="D2442" s="92" t="inlineStr">
        <is>
          <t>Méi cuò, zhè shì wǒ de bèibāo. Đúng rồi, đây là ba lô của tôi.</t>
        </is>
      </c>
      <c r="E2442" s="92" t="inlineStr">
        <is>
          <t>没错，这是我的背包。 Méi cuò, zhè shì wǒ de bèibāo. Đúng rồi, đây là ba lô của tôi.</t>
        </is>
      </c>
      <c r="F2442" s="114">
        <f>HYPERLINK("https://youglish.com/pronounce/没错这是我的背包/chinese","🔍")</f>
        <v/>
      </c>
    </row>
    <row r="2443" ht="28.5" customHeight="1" s="99">
      <c r="A2443" s="94" t="inlineStr">
        <is>
          <t>PDF 300+ Mẫu Câu Giao tiếp theo chủ đề.pdf</t>
        </is>
      </c>
      <c r="B2443" s="95" t="inlineStr">
        <is>
          <t>595</t>
        </is>
      </c>
      <c r="C2443" s="94" t="inlineStr">
        <is>
          <t>请你检查东西在吗</t>
        </is>
      </c>
      <c r="D2443" s="94" t="inlineStr">
        <is>
          <t>Qǐng nǐ jiǎnchá dōngxi zài ma? Anh kiểm tra xem còn đủ đồ không?</t>
        </is>
      </c>
      <c r="E2443" s="94" t="inlineStr">
        <is>
          <t>请你检查东西在吗？ Qǐng nǐ jiǎnchá dōngxi zài ma? Anh kiểm tra xem còn đủ đồ không?</t>
        </is>
      </c>
      <c r="F2443" s="115">
        <f>HYPERLINK("https://youglish.com/pronounce/请你检查东西在吗/chinese","🔍")</f>
        <v/>
      </c>
    </row>
    <row r="2444" ht="28.5" customHeight="1" s="99">
      <c r="A2444" s="92" t="inlineStr">
        <is>
          <t>PDF 300+ Mẫu Câu Giao tiếp theo chủ đề.pdf</t>
        </is>
      </c>
      <c r="B2444" s="93" t="inlineStr">
        <is>
          <t>596</t>
        </is>
      </c>
      <c r="C2444" s="92" t="inlineStr">
        <is>
          <t>都在，一件也不少</t>
        </is>
      </c>
      <c r="D2444" s="92" t="inlineStr">
        <is>
          <t>Dōu zài, yí jiàn yě bù shǎo. Đều đủ cả, không thiếu thứ gì.</t>
        </is>
      </c>
      <c r="E2444" s="92" t="inlineStr">
        <is>
          <t>都在，一件也不少。 Dōu zài, yí jiàn yě bù shǎo. Đều đủ cả, không thiếu thứ gì.</t>
        </is>
      </c>
      <c r="F2444" s="114">
        <f>HYPERLINK("https://youglish.com/pronounce/都在一件也不少/chinese","🔍")</f>
        <v/>
      </c>
    </row>
    <row r="2445" ht="28.5" customHeight="1" s="99">
      <c r="A2445" s="94" t="inlineStr">
        <is>
          <t>PDF 300+ Mẫu Câu Giao tiếp theo chủ đề.pdf</t>
        </is>
      </c>
      <c r="B2445" s="95" t="inlineStr">
        <is>
          <t>597</t>
        </is>
      </c>
      <c r="C2445" s="94" t="inlineStr">
        <is>
          <t>真不知道怎么感谢才好</t>
        </is>
      </c>
      <c r="D2445" s="94" t="inlineStr">
        <is>
          <t>Zhēn bù zhīdào zěnme gǎnxiè cái hǎo. Thật không biết cảm ơn cô như thế nào.</t>
        </is>
      </c>
      <c r="E2445" s="94" t="inlineStr">
        <is>
          <t>真不知道怎么感谢才好。 Zhēn bù zhīdào zěnme gǎnxiè cái hǎo. Thật không biết cảm ơn cô như thế nào.</t>
        </is>
      </c>
      <c r="F2445" s="115">
        <f>HYPERLINK("https://youglish.com/pronounce/真不知道怎么感谢才好/chinese","🔍")</f>
        <v/>
      </c>
    </row>
    <row r="2446" ht="28.5" customHeight="1" s="99">
      <c r="A2446" s="92" t="inlineStr">
        <is>
          <t>PDF 300+ Mẫu Câu Giao tiếp theo chủ đề.pdf</t>
        </is>
      </c>
      <c r="B2446" s="93" t="inlineStr">
        <is>
          <t>598</t>
        </is>
      </c>
      <c r="C2446" s="92" t="inlineStr">
        <is>
          <t>没什么，这是我们应该做的</t>
        </is>
      </c>
      <c r="D2446" s="92" t="inlineStr">
        <is>
          <t>Méishénme, zhè shì wǒmen yīnggāi zuò de. Không có gì, đây là việc chúng tôi nên làm.</t>
        </is>
      </c>
      <c r="E2446" s="92" t="inlineStr">
        <is>
          <t>没什么，这是我们应该做的。 Méishénme, zhè shì wǒmen yīnggāi zuò de. Không có gì, đây là việc chúng tôi nên làm.</t>
        </is>
      </c>
      <c r="F2446" s="114">
        <f>HYPERLINK("https://youglish.com/pronounce/没什么这是我们应该做的/chinese","🔍")</f>
        <v/>
      </c>
    </row>
    <row r="2447" ht="28.5" customHeight="1" s="99">
      <c r="A2447" s="94" t="inlineStr">
        <is>
          <t>PDF 300+ Mẫu Câu Giao tiếp theo chủ đề.pdf</t>
        </is>
      </c>
      <c r="B2447" s="95" t="inlineStr">
        <is>
          <t>599</t>
        </is>
      </c>
      <c r="C2447" s="94" t="inlineStr">
        <is>
          <t>老板，你在找什么</t>
        </is>
      </c>
      <c r="D2447" s="94" t="inlineStr">
        <is>
          <t>Lǎobǎn, nǐ zài zhǎo shénme? Ông chủ, ông tìm cái gì?</t>
        </is>
      </c>
      <c r="E2447" s="94" t="inlineStr">
        <is>
          <t>老板，你在找什么？ Lǎobǎn, nǐ zài zhǎo shénme? Ông chủ, ông tìm cái gì?</t>
        </is>
      </c>
      <c r="F2447" s="115">
        <f>HYPERLINK("https://youglish.com/pronounce/老板你在找什么/chinese","🔍")</f>
        <v/>
      </c>
    </row>
    <row r="2448" ht="28.5" customHeight="1" s="99">
      <c r="A2448" s="92" t="inlineStr">
        <is>
          <t>PDF 300+ Mẫu Câu Giao tiếp theo chủ đề.pdf</t>
        </is>
      </c>
      <c r="B2448" s="93" t="inlineStr">
        <is>
          <t>600</t>
        </is>
      </c>
      <c r="C2448" s="92" t="inlineStr">
        <is>
          <t>我在寻找我的手提包，刚才丢去</t>
        </is>
      </c>
      <c r="D2448" s="92" t="inlineStr">
        <is>
          <t>Wǒ zài xúnzhǎo wǒ de shǒutíbāo, gāngcái diū qù. Tôi đang tìm cái tui xách tay, vừa mới mất.</t>
        </is>
      </c>
      <c r="E2448" s="92" t="inlineStr">
        <is>
          <t>我在寻找我的手提包，刚才丢去。 Wǒ zài xúnzhǎo wǒ de shǒutíbāo, gāngcái diū qù. Tôi đang tìm cái tui xách tay, vừa mới mất.</t>
        </is>
      </c>
      <c r="F2448" s="114">
        <f>HYPERLINK("https://youglish.com/pronounce/我在寻找我的手提包刚才丢去/chinese","🔍")</f>
        <v/>
      </c>
    </row>
    <row r="2449" ht="28.5" customHeight="1" s="99">
      <c r="A2449" s="94" t="inlineStr">
        <is>
          <t>PDF 300+ Mẫu Câu Giao tiếp theo chủ đề.pdf</t>
        </is>
      </c>
      <c r="B2449" s="95" t="inlineStr">
        <is>
          <t>601</t>
        </is>
      </c>
      <c r="C2449" s="94" t="inlineStr">
        <is>
          <t>你在哪儿丢的</t>
        </is>
      </c>
      <c r="D2449" s="94" t="inlineStr">
        <is>
          <t>Nǐ zài nǎr diū de? Anh để quên ở đâu?</t>
        </is>
      </c>
      <c r="E2449" s="94" t="inlineStr">
        <is>
          <t>你在哪儿丢的？ Nǐ zài nǎr diū de? Anh để quên ở đâu?</t>
        </is>
      </c>
      <c r="F2449" s="115">
        <f>HYPERLINK("https://youglish.com/pronounce/你在哪儿丢的/chinese","🔍")</f>
        <v/>
      </c>
    </row>
    <row r="2450" ht="42.75" customHeight="1" s="99">
      <c r="A2450" s="92" t="inlineStr">
        <is>
          <t>PDF 300+ Mẫu Câu Giao tiếp theo chủ đề.pdf</t>
        </is>
      </c>
      <c r="B2450" s="93" t="inlineStr">
        <is>
          <t>602</t>
        </is>
      </c>
      <c r="C2450" s="92" t="inlineStr">
        <is>
          <t>可能在服务台，我在那儿买过食票</t>
        </is>
      </c>
      <c r="D2450" s="92" t="inlineStr">
        <is>
          <t>Kě néng zài fúwùtái, wǒ zài nàr mǎi guo shípiào. Có khả năng để quên ở quầy phục vụ, tôi mua vé ăn ở đó.</t>
        </is>
      </c>
      <c r="E2450" s="92" t="inlineStr">
        <is>
          <t>可能在服务台，我在那儿买过食票。 Kě néng zài fúwùtái, wǒ zài nàr mǎi guo shípiào. Có khả năng để quên ở quầy phục vụ, tôi mua vé ăn ở đó.</t>
        </is>
      </c>
      <c r="F2450" s="114">
        <f>HYPERLINK("https://youglish.com/pronounce/可能在服务台我在那儿买过食票/chinese","🔍")</f>
        <v/>
      </c>
    </row>
    <row r="2451" ht="28.5" customHeight="1" s="99">
      <c r="A2451" s="94" t="inlineStr">
        <is>
          <t>PDF 300+ Mẫu Câu Giao tiếp theo chủ đề.pdf</t>
        </is>
      </c>
      <c r="B2451" s="95" t="inlineStr">
        <is>
          <t>603</t>
        </is>
      </c>
      <c r="C2451" s="94" t="inlineStr">
        <is>
          <t>你的手提包是什么颜色</t>
        </is>
      </c>
      <c r="D2451" s="94" t="inlineStr">
        <is>
          <t>Nǐ de shǒutíbāo shì shénme yánsè? Túi xách tay của anh màu gì?</t>
        </is>
      </c>
      <c r="E2451" s="94" t="inlineStr">
        <is>
          <t>你的手提包是什么颜色？ Nǐ de shǒutíbāo shì shénme yánsè? Túi xách tay của anh màu gì?</t>
        </is>
      </c>
      <c r="F2451" s="115">
        <f>HYPERLINK("https://youglish.com/pronounce/你的手提包是什么颜色/chinese","🔍")</f>
        <v/>
      </c>
    </row>
    <row r="2452" ht="28.5" customHeight="1" s="99">
      <c r="A2452" s="92" t="inlineStr">
        <is>
          <t>PDF 300+ Mẫu Câu Giao tiếp theo chủ đề.pdf</t>
        </is>
      </c>
      <c r="B2452" s="93" t="inlineStr">
        <is>
          <t>604</t>
        </is>
      </c>
      <c r="C2452" s="92" t="inlineStr">
        <is>
          <t>是黑色的</t>
        </is>
      </c>
      <c r="D2452" s="92" t="inlineStr">
        <is>
          <t>Shì hēisè de. Màu đen.</t>
        </is>
      </c>
      <c r="E2452" s="92" t="inlineStr">
        <is>
          <t>是黑色的。 Shì hēisè de. Màu đen.</t>
        </is>
      </c>
      <c r="F2452" s="114">
        <f>HYPERLINK("https://youglish.com/pronounce/是黑色的/chinese","🔍")</f>
        <v/>
      </c>
    </row>
    <row r="2453" ht="28.5" customHeight="1" s="99">
      <c r="A2453" s="94" t="inlineStr">
        <is>
          <t>PDF 300+ Mẫu Câu Giao tiếp theo chủ đề.pdf</t>
        </is>
      </c>
      <c r="B2453" s="95" t="inlineStr">
        <is>
          <t>605</t>
        </is>
      </c>
      <c r="C2453" s="94" t="inlineStr">
        <is>
          <t>刚才服务员送到一个手提包</t>
        </is>
      </c>
      <c r="D2453" s="94" t="inlineStr">
        <is>
          <t>Gāngcái fúwùyuán sòng dào yí ge shǒutíbāo. Lúc nãy nhân viên phục vụ nhặt được một cái túi xách tay.</t>
        </is>
      </c>
      <c r="E2453" s="94" t="inlineStr">
        <is>
          <t>刚才服务员送到一个手提包。 Gāngcái fúwùyuán sòng dào yí ge shǒutíbāo. Lúc nãy nhân viên phục vụ nhặt được một cái túi xách tay.</t>
        </is>
      </c>
      <c r="F2453" s="115">
        <f>HYPERLINK("https://youglish.com/pronounce/刚才服务员送到一个手提包/chinese","🔍")</f>
        <v/>
      </c>
    </row>
    <row r="2454" ht="28.5" customHeight="1" s="99">
      <c r="A2454" s="92" t="inlineStr">
        <is>
          <t>PDF 300+ Mẫu Câu Giao tiếp theo chủ đề.pdf</t>
        </is>
      </c>
      <c r="B2454" s="93" t="inlineStr">
        <is>
          <t>606</t>
        </is>
      </c>
      <c r="C2454" s="92" t="inlineStr">
        <is>
          <t>真的</t>
        </is>
      </c>
      <c r="D2454" s="92" t="inlineStr">
        <is>
          <t>Zhēn de? Thật ư?</t>
        </is>
      </c>
      <c r="E2454" s="92" t="inlineStr">
        <is>
          <t>真的？ Zhēn de? Thật ư?</t>
        </is>
      </c>
      <c r="F2454" s="114">
        <f>HYPERLINK("https://youglish.com/pronounce/真的/chinese","🔍")</f>
        <v/>
      </c>
    </row>
    <row r="2455" ht="28.5" customHeight="1" s="99">
      <c r="A2455" s="94" t="inlineStr">
        <is>
          <t>PDF 300+ Mẫu Câu Giao tiếp theo chủ đề.pdf</t>
        </is>
      </c>
      <c r="B2455" s="95" t="inlineStr">
        <is>
          <t>607</t>
        </is>
      </c>
      <c r="C2455" s="94" t="inlineStr">
        <is>
          <t>你看是不是你的</t>
        </is>
      </c>
      <c r="D2455" s="94" t="inlineStr">
        <is>
          <t>Nǐ kàn shì bú shì nǐ de? Anh xem có phải của anh không?</t>
        </is>
      </c>
      <c r="E2455" s="94" t="inlineStr">
        <is>
          <t>你看是不是你的？ Nǐ kàn shì bú shì nǐ de? Anh xem có phải của anh không?</t>
        </is>
      </c>
      <c r="F2455" s="115">
        <f>HYPERLINK("https://youglish.com/pronounce/你看是不是你的/chinese","🔍")</f>
        <v/>
      </c>
    </row>
    <row r="2456" ht="28.5" customHeight="1" s="99">
      <c r="A2456" s="92" t="inlineStr">
        <is>
          <t>PDF 300+ Mẫu Câu Giao tiếp theo chủ đề.pdf</t>
        </is>
      </c>
      <c r="B2456" s="93" t="inlineStr">
        <is>
          <t>608</t>
        </is>
      </c>
      <c r="C2456" s="92" t="inlineStr">
        <is>
          <t>就是它，哎呀，总算找到了，太好了</t>
        </is>
      </c>
      <c r="D2456" s="92" t="inlineStr">
        <is>
          <t>Jiù shì tā, āiyā, zǒngsuàn zhǎodào le, tài hǎo le. Đúng là của tôi rồi, thật may vì đã tìm lại được.</t>
        </is>
      </c>
      <c r="E2456" s="92" t="inlineStr">
        <is>
          <t>就是它，哎呀，总算找到了，太好了。 Jiù shì tā, āiyā, zǒngsuàn zhǎodào le, tài hǎo le. Đúng là của tôi rồi, thật may vì đã tìm lại được.</t>
        </is>
      </c>
      <c r="F2456" s="114">
        <f>HYPERLINK("https://youglish.com/pronounce/就是它哎呀总算找到了太好了/chinese","🔍")</f>
        <v/>
      </c>
    </row>
    <row r="2457" ht="28.5" customHeight="1" s="99">
      <c r="A2457" s="94" t="inlineStr">
        <is>
          <t>PDF 300+ Mẫu Câu Giao tiếp theo chủ đề.pdf</t>
        </is>
      </c>
      <c r="B2457" s="95" t="inlineStr">
        <is>
          <t>609</t>
        </is>
      </c>
      <c r="C2457" s="94" t="inlineStr">
        <is>
          <t>检查一下，东西不是都在吗</t>
        </is>
      </c>
      <c r="D2457" s="94" t="inlineStr">
        <is>
          <t>Jiǎnchá yí xià, dōngxi bú shì dōu zài ma? Anh kiểm tra lại xem có bị thiếu cái gì bên trong túi không?</t>
        </is>
      </c>
      <c r="E2457" s="94" t="inlineStr">
        <is>
          <t>检查一下，东西不是都在吗？ Jiǎnchá yí xià, dōngxi bú shì dōu zài ma? Anh kiểm tra lại xem có bị thiếu cái gì bên trong túi không?</t>
        </is>
      </c>
      <c r="F2457" s="115">
        <f>HYPERLINK("https://youglish.com/pronounce/检查一下东西不是都在吗/chinese","🔍")</f>
        <v/>
      </c>
    </row>
    <row r="2458" ht="42.75" customHeight="1" s="99">
      <c r="A2458" s="92" t="inlineStr">
        <is>
          <t>PDF 300+ Mẫu Câu Giao tiếp theo chủ đề.pdf</t>
        </is>
      </c>
      <c r="B2458" s="93" t="inlineStr">
        <is>
          <t>610</t>
        </is>
      </c>
      <c r="C2458" s="92" t="inlineStr">
        <is>
          <t>钱包，照相机，银行卡都在，一个也不少</t>
        </is>
      </c>
      <c r="D2458" s="92" t="inlineStr">
        <is>
          <t>Qiánbāo, zhàoxiàngjī, yínhángkǎ dōu zài, yí ge yě bù shǎo. Ví tiền, máy ảnh, thẻ ngân hàng đều có, không thiếu cái gì.</t>
        </is>
      </c>
      <c r="E2458" s="92" t="inlineStr">
        <is>
          <t>钱包，照相机，银行卡都在，一个也不少。 Qiánbāo, zhàoxiàngjī, yínhángkǎ dōu zài, yí ge yě bù shǎo. Ví tiền, máy ảnh, thẻ ngân hàng đều có, không thiếu cái gì.</t>
        </is>
      </c>
      <c r="F2458" s="114">
        <f>HYPERLINK("https://youglish.com/pronounce/钱包照相机银行卡都在一个也不少/chinese","🔍")</f>
        <v/>
      </c>
    </row>
    <row r="2459">
      <c r="A2459" s="94" t="inlineStr">
        <is>
          <t>PDF 500 mẫu câu thông dụng.pdf</t>
        </is>
      </c>
      <c r="B2459" s="95" t="inlineStr">
        <is>
          <t>1</t>
        </is>
      </c>
      <c r="C2459" s="94" t="inlineStr">
        <is>
          <t>别急</t>
        </is>
      </c>
      <c r="D2459" s="94" t="inlineStr">
        <is>
          <t>Bié jí! Đừng lo lắng!/Đừng cuống!</t>
        </is>
      </c>
      <c r="E2459" s="94" t="inlineStr">
        <is>
          <t>1 别急！ Bié jí! Đừng lo lắng!/Đừng cuống!</t>
        </is>
      </c>
      <c r="F2459" s="115">
        <f>HYPERLINK("https://youglish.com/pronounce/别急/chinese","🔍")</f>
        <v/>
      </c>
    </row>
    <row r="2460">
      <c r="A2460" s="92" t="inlineStr">
        <is>
          <t>PDF 500 mẫu câu thông dụng.pdf</t>
        </is>
      </c>
      <c r="B2460" s="93" t="inlineStr">
        <is>
          <t>2</t>
        </is>
      </c>
      <c r="C2460" s="92" t="inlineStr">
        <is>
          <t>不行</t>
        </is>
      </c>
      <c r="D2460" s="92" t="inlineStr">
        <is>
          <t>Bù xíng. Không được.</t>
        </is>
      </c>
      <c r="E2460" s="92" t="inlineStr">
        <is>
          <t>2 不行 Bù xíng. Không được.</t>
        </is>
      </c>
      <c r="F2460" s="114">
        <f>HYPERLINK("https://youglish.com/pronounce/不行/chinese","🔍")</f>
        <v/>
      </c>
    </row>
    <row r="2461">
      <c r="A2461" s="94" t="inlineStr">
        <is>
          <t>PDF 500 mẫu câu thông dụng.pdf</t>
        </is>
      </c>
      <c r="B2461" s="95" t="inlineStr">
        <is>
          <t>3</t>
        </is>
      </c>
      <c r="C2461" s="94" t="inlineStr">
        <is>
          <t>多谢</t>
        </is>
      </c>
      <c r="D2461" s="94" t="inlineStr">
        <is>
          <t>Duō xiè. Cảm ơn nhiều, đa tạ.</t>
        </is>
      </c>
      <c r="E2461" s="94" t="inlineStr">
        <is>
          <t>3 多谢。 Duō xiè. Cảm ơn nhiều, đa tạ.</t>
        </is>
      </c>
      <c r="F2461" s="115">
        <f>HYPERLINK("https://youglish.com/pronounce/多谢/chinese","🔍")</f>
        <v/>
      </c>
    </row>
    <row r="2462">
      <c r="A2462" s="92" t="inlineStr">
        <is>
          <t>PDF 500 mẫu câu thông dụng.pdf</t>
        </is>
      </c>
      <c r="B2462" s="93" t="inlineStr">
        <is>
          <t>4</t>
        </is>
      </c>
      <c r="C2462" s="92" t="inlineStr">
        <is>
          <t>干杯</t>
        </is>
      </c>
      <c r="D2462" s="92" t="inlineStr">
        <is>
          <t>Gān bēi. Cạn ly!</t>
        </is>
      </c>
      <c r="E2462" s="92" t="inlineStr">
        <is>
          <t>4 干杯！ Gān bēi. Cạn ly!</t>
        </is>
      </c>
      <c r="F2462" s="114">
        <f>HYPERLINK("https://youglish.com/pronounce/干杯/chinese","🔍")</f>
        <v/>
      </c>
    </row>
    <row r="2463">
      <c r="A2463" s="94" t="inlineStr">
        <is>
          <t>PDF 500 mẫu câu thông dụng.pdf</t>
        </is>
      </c>
      <c r="B2463" s="95" t="inlineStr">
        <is>
          <t>5</t>
        </is>
      </c>
      <c r="C2463" s="94" t="inlineStr">
        <is>
          <t>还没</t>
        </is>
      </c>
      <c r="D2463" s="94" t="inlineStr">
        <is>
          <t>Hái méi. Vẫn chưa.</t>
        </is>
      </c>
      <c r="E2463" s="94" t="inlineStr">
        <is>
          <t>5 还没。 Hái méi. Vẫn chưa.</t>
        </is>
      </c>
      <c r="F2463" s="115">
        <f>HYPERLINK("https://youglish.com/pronounce/还没/chinese","🔍")</f>
        <v/>
      </c>
    </row>
    <row r="2464">
      <c r="A2464" s="92" t="inlineStr">
        <is>
          <t>PDF 500 mẫu câu thông dụng.pdf</t>
        </is>
      </c>
      <c r="B2464" s="93" t="inlineStr">
        <is>
          <t>6</t>
        </is>
      </c>
      <c r="C2464" s="92" t="inlineStr">
        <is>
          <t>好的</t>
        </is>
      </c>
      <c r="D2464" s="92" t="inlineStr">
        <is>
          <t>Hǎo de. Được rồi, OK.</t>
        </is>
      </c>
      <c r="E2464" s="92" t="inlineStr">
        <is>
          <t>6 好的。 Hǎo de. Được rồi, OK.</t>
        </is>
      </c>
      <c r="F2464" s="114">
        <f>HYPERLINK("https://youglish.com/pronounce/好的/chinese","🔍")</f>
        <v/>
      </c>
    </row>
    <row r="2465">
      <c r="A2465" s="94" t="inlineStr">
        <is>
          <t>PDF 500 mẫu câu thông dụng.pdf</t>
        </is>
      </c>
      <c r="B2465" s="95" t="inlineStr">
        <is>
          <t>7</t>
        </is>
      </c>
      <c r="C2465" s="94" t="inlineStr">
        <is>
          <t>很好</t>
        </is>
      </c>
      <c r="D2465" s="94" t="inlineStr">
        <is>
          <t>Hěn hǎo. Rất tốt.</t>
        </is>
      </c>
      <c r="E2465" s="94" t="inlineStr">
        <is>
          <t>7 很好。 Hěn hǎo. Rất tốt.</t>
        </is>
      </c>
      <c r="F2465" s="115">
        <f>HYPERLINK("https://youglish.com/pronounce/很好/chinese","🔍")</f>
        <v/>
      </c>
    </row>
    <row r="2466">
      <c r="A2466" s="92" t="inlineStr">
        <is>
          <t>PDF 500 mẫu câu thông dụng.pdf</t>
        </is>
      </c>
      <c r="B2466" s="93" t="inlineStr">
        <is>
          <t>8</t>
        </is>
      </c>
      <c r="C2466" s="92" t="inlineStr">
        <is>
          <t>加油</t>
        </is>
      </c>
      <c r="D2466" s="92" t="inlineStr">
        <is>
          <t>Jiāyóu! Cố lên!</t>
        </is>
      </c>
      <c r="E2466" s="92" t="inlineStr">
        <is>
          <t>8 加油！ Jiāyóu! Cố lên!</t>
        </is>
      </c>
      <c r="F2466" s="114">
        <f>HYPERLINK("https://youglish.com/pronounce/加油/chinese","🔍")</f>
        <v/>
      </c>
    </row>
    <row r="2467">
      <c r="A2467" s="94" t="inlineStr">
        <is>
          <t>PDF 500 mẫu câu thông dụng.pdf</t>
        </is>
      </c>
      <c r="B2467" s="95" t="inlineStr">
        <is>
          <t>9</t>
        </is>
      </c>
      <c r="C2467" s="94" t="inlineStr">
        <is>
          <t>慢点</t>
        </is>
      </c>
      <c r="D2467" s="94" t="inlineStr">
        <is>
          <t>Màn diǎn. Chậm thôi.</t>
        </is>
      </c>
      <c r="E2467" s="94" t="inlineStr">
        <is>
          <t>9 慢点。 Màn diǎn. Chậm thôi.</t>
        </is>
      </c>
      <c r="F2467" s="115">
        <f>HYPERLINK("https://youglish.com/pronounce/慢点/chinese","🔍")</f>
        <v/>
      </c>
    </row>
    <row r="2468">
      <c r="A2468" s="92" t="inlineStr">
        <is>
          <t>PDF 500 mẫu câu thông dụng.pdf</t>
        </is>
      </c>
      <c r="B2468" s="93" t="inlineStr">
        <is>
          <t>10</t>
        </is>
      </c>
      <c r="C2468" s="92" t="inlineStr">
        <is>
          <t>慢走</t>
        </is>
      </c>
      <c r="D2468" s="92" t="inlineStr">
        <is>
          <t>Màn zǒu. Đi thong thả.</t>
        </is>
      </c>
      <c r="E2468" s="92" t="inlineStr">
        <is>
          <t>10 慢走。 Màn zǒu. Đi thong thả.</t>
        </is>
      </c>
      <c r="F2468" s="114">
        <f>HYPERLINK("https://youglish.com/pronounce/慢走/chinese","🔍")</f>
        <v/>
      </c>
    </row>
    <row r="2469">
      <c r="A2469" s="94" t="inlineStr">
        <is>
          <t>PDF 500 mẫu câu thông dụng.pdf</t>
        </is>
      </c>
      <c r="B2469" s="95" t="inlineStr">
        <is>
          <t>11</t>
        </is>
      </c>
      <c r="C2469" s="94" t="inlineStr">
        <is>
          <t>你敢</t>
        </is>
      </c>
      <c r="D2469" s="94" t="inlineStr">
        <is>
          <t>Nǐ gǎn! Bạn dám!</t>
        </is>
      </c>
      <c r="E2469" s="94" t="inlineStr">
        <is>
          <t>11 你敢！ Nǐ gǎn! Bạn dám!</t>
        </is>
      </c>
      <c r="F2469" s="115">
        <f>HYPERLINK("https://youglish.com/pronounce/你敢/chinese","🔍")</f>
        <v/>
      </c>
    </row>
    <row r="2470">
      <c r="A2470" s="92" t="inlineStr">
        <is>
          <t>PDF 500 mẫu câu thông dụng.pdf</t>
        </is>
      </c>
      <c r="B2470" s="93" t="inlineStr">
        <is>
          <t>12</t>
        </is>
      </c>
      <c r="C2470" s="92" t="inlineStr">
        <is>
          <t>你好</t>
        </is>
      </c>
      <c r="D2470" s="92" t="inlineStr">
        <is>
          <t>Nǐ hǎo! Xin chào!</t>
        </is>
      </c>
      <c r="E2470" s="92" t="inlineStr">
        <is>
          <t>12 你好！ Nǐ hǎo! Xin chào!</t>
        </is>
      </c>
      <c r="F2470" s="114">
        <f>HYPERLINK("https://youglish.com/pronounce/你好/chinese","🔍")</f>
        <v/>
      </c>
    </row>
    <row r="2471">
      <c r="A2471" s="94" t="inlineStr">
        <is>
          <t>PDF 500 mẫu câu thông dụng.pdf</t>
        </is>
      </c>
      <c r="B2471" s="95" t="inlineStr">
        <is>
          <t>13</t>
        </is>
      </c>
      <c r="C2471" s="94" t="inlineStr">
        <is>
          <t>请坐</t>
        </is>
      </c>
      <c r="D2471" s="94" t="inlineStr">
        <is>
          <t>Qǐng zuò. Mời ngồi.</t>
        </is>
      </c>
      <c r="E2471" s="94" t="inlineStr">
        <is>
          <t>13 请坐。 Qǐng zuò. Mời ngồi.</t>
        </is>
      </c>
      <c r="F2471" s="115">
        <f>HYPERLINK("https://youglish.com/pronounce/请坐/chinese","🔍")</f>
        <v/>
      </c>
    </row>
    <row r="2472">
      <c r="A2472" s="92" t="inlineStr">
        <is>
          <t>PDF 500 mẫu câu thông dụng.pdf</t>
        </is>
      </c>
      <c r="B2472" s="93" t="inlineStr">
        <is>
          <t>14</t>
        </is>
      </c>
      <c r="C2472" s="92" t="inlineStr">
        <is>
          <t>请进</t>
        </is>
      </c>
      <c r="D2472" s="92" t="inlineStr">
        <is>
          <t>Qǐng jìn. Mời vào.</t>
        </is>
      </c>
      <c r="E2472" s="92" t="inlineStr">
        <is>
          <t>14 请进。 Qǐng jìn. Mời vào.</t>
        </is>
      </c>
      <c r="F2472" s="114">
        <f>HYPERLINK("https://youglish.com/pronounce/请进/chinese","🔍")</f>
        <v/>
      </c>
    </row>
    <row r="2473">
      <c r="A2473" s="94" t="inlineStr">
        <is>
          <t>PDF 500 mẫu câu thông dụng.pdf</t>
        </is>
      </c>
      <c r="B2473" s="95" t="inlineStr">
        <is>
          <t>15</t>
        </is>
      </c>
      <c r="C2473" s="94" t="inlineStr">
        <is>
          <t>算了</t>
        </is>
      </c>
      <c r="D2473" s="94" t="inlineStr">
        <is>
          <t>Suàn le. Bỏ đi.</t>
        </is>
      </c>
      <c r="E2473" s="94" t="inlineStr">
        <is>
          <t>15 算了。 Suàn le. Bỏ đi.</t>
        </is>
      </c>
      <c r="F2473" s="115">
        <f>HYPERLINK("https://youglish.com/pronounce/算了/chinese","🔍")</f>
        <v/>
      </c>
    </row>
    <row r="2474">
      <c r="A2474" s="92" t="inlineStr">
        <is>
          <t>PDF 500 mẫu câu thông dụng.pdf</t>
        </is>
      </c>
      <c r="B2474" s="93" t="inlineStr">
        <is>
          <t>16</t>
        </is>
      </c>
      <c r="C2474" s="92" t="inlineStr">
        <is>
          <t>天啊</t>
        </is>
      </c>
      <c r="D2474" s="92" t="inlineStr">
        <is>
          <t>Tiān a! Trời ơi!/Trời ạ!</t>
        </is>
      </c>
      <c r="E2474" s="92" t="inlineStr">
        <is>
          <t>16 天啊！ Tiān a! Trời ơi!/Trời ạ!</t>
        </is>
      </c>
      <c r="F2474" s="114">
        <f>HYPERLINK("https://youglish.com/pronounce/天啊/chinese","🔍")</f>
        <v/>
      </c>
    </row>
    <row r="2475">
      <c r="A2475" s="94" t="inlineStr">
        <is>
          <t>PDF 500 mẫu câu thông dụng.pdf</t>
        </is>
      </c>
      <c r="B2475" s="95" t="inlineStr">
        <is>
          <t>17</t>
        </is>
      </c>
      <c r="C2475" s="94" t="inlineStr">
        <is>
          <t>晚安</t>
        </is>
      </c>
      <c r="D2475" s="94" t="inlineStr">
        <is>
          <t>Wǎn’ān! Ngủ ngon!</t>
        </is>
      </c>
      <c r="E2475" s="94" t="inlineStr">
        <is>
          <t>17 晚安！ Wǎn’ān! Ngủ ngon!</t>
        </is>
      </c>
      <c r="F2475" s="115">
        <f>HYPERLINK("https://youglish.com/pronounce/晚安/chinese","🔍")</f>
        <v/>
      </c>
    </row>
    <row r="2476">
      <c r="A2476" s="92" t="inlineStr">
        <is>
          <t>PDF 500 mẫu câu thông dụng.pdf</t>
        </is>
      </c>
      <c r="B2476" s="93" t="inlineStr">
        <is>
          <t>18</t>
        </is>
      </c>
      <c r="C2476" s="92" t="inlineStr">
        <is>
          <t>小心</t>
        </is>
      </c>
      <c r="D2476" s="92" t="inlineStr">
        <is>
          <t>Xiǎoxīn! Cẩn thận!</t>
        </is>
      </c>
      <c r="E2476" s="92" t="inlineStr">
        <is>
          <t>18 小心！ Xiǎoxīn! Cẩn thận!</t>
        </is>
      </c>
      <c r="F2476" s="114">
        <f>HYPERLINK("https://youglish.com/pronounce/小心/chinese","🔍")</f>
        <v/>
      </c>
    </row>
    <row r="2477">
      <c r="A2477" s="94" t="inlineStr">
        <is>
          <t>PDF 500 mẫu câu thông dụng.pdf</t>
        </is>
      </c>
      <c r="B2477" s="95" t="inlineStr">
        <is>
          <t>19</t>
        </is>
      </c>
      <c r="C2477" s="94" t="inlineStr">
        <is>
          <t>谢谢</t>
        </is>
      </c>
      <c r="D2477" s="94" t="inlineStr">
        <is>
          <t>Xièxie. Cảm ơn.</t>
        </is>
      </c>
      <c r="E2477" s="94" t="inlineStr">
        <is>
          <t>19 谢谢。 Xièxie. Cảm ơn.</t>
        </is>
      </c>
      <c r="F2477" s="115">
        <f>HYPERLINK("https://youglish.com/pronounce/谢谢/chinese","🔍")</f>
        <v/>
      </c>
    </row>
    <row r="2478">
      <c r="A2478" s="92" t="inlineStr">
        <is>
          <t>PDF 500 mẫu câu thông dụng.pdf</t>
        </is>
      </c>
      <c r="B2478" s="93" t="inlineStr">
        <is>
          <t>20</t>
        </is>
      </c>
      <c r="C2478" s="92" t="inlineStr">
        <is>
          <t>再见</t>
        </is>
      </c>
      <c r="D2478" s="92" t="inlineStr">
        <is>
          <t>Zàijiàn. Tạm biệt.</t>
        </is>
      </c>
      <c r="E2478" s="92" t="inlineStr">
        <is>
          <t>20 再见。 Zàijiàn. Tạm biệt.</t>
        </is>
      </c>
      <c r="F2478" s="114">
        <f>HYPERLINK("https://youglish.com/pronounce/再见/chinese","🔍")</f>
        <v/>
      </c>
    </row>
    <row r="2479">
      <c r="A2479" s="94" t="inlineStr">
        <is>
          <t>PDF 500 mẫu câu thông dụng.pdf</t>
        </is>
      </c>
      <c r="B2479" s="95" t="inlineStr">
        <is>
          <t>1</t>
        </is>
      </c>
      <c r="C2479" s="94" t="inlineStr">
        <is>
          <t>别逼我</t>
        </is>
      </c>
      <c r="D2479" s="94" t="inlineStr">
        <is>
          <t>Bié bī wǒ. Đừng ép tôi.</t>
        </is>
      </c>
      <c r="E2479" s="94" t="inlineStr">
        <is>
          <t>1 别逼我。 Bié bī wǒ. Đừng ép tôi.</t>
        </is>
      </c>
      <c r="F2479" s="115">
        <f>HYPERLINK("https://youglish.com/pronounce/别逼我/chinese","🔍")</f>
        <v/>
      </c>
    </row>
    <row r="2480">
      <c r="A2480" s="92" t="inlineStr">
        <is>
          <t>PDF 500 mẫu câu thông dụng.pdf</t>
        </is>
      </c>
      <c r="B2480" s="93" t="inlineStr">
        <is>
          <t>2</t>
        </is>
      </c>
      <c r="C2480" s="92" t="inlineStr">
        <is>
          <t>别担心</t>
        </is>
      </c>
      <c r="D2480" s="92" t="inlineStr">
        <is>
          <t>Bié dānxīn. Đừng lo lắng.</t>
        </is>
      </c>
      <c r="E2480" s="92" t="inlineStr">
        <is>
          <t>2 别担心。 Bié dānxīn. Đừng lo lắng.</t>
        </is>
      </c>
      <c r="F2480" s="114">
        <f>HYPERLINK("https://youglish.com/pronounce/别担心/chinese","🔍")</f>
        <v/>
      </c>
    </row>
    <row r="2481">
      <c r="A2481" s="94" t="inlineStr">
        <is>
          <t>PDF 500 mẫu câu thông dụng.pdf</t>
        </is>
      </c>
      <c r="B2481" s="95" t="inlineStr">
        <is>
          <t>3</t>
        </is>
      </c>
      <c r="C2481" s="94" t="inlineStr">
        <is>
          <t>别管我</t>
        </is>
      </c>
      <c r="D2481" s="94" t="inlineStr">
        <is>
          <t>Bié guǎn wǒ. Để tôi yên./Đừng quản tôi.</t>
        </is>
      </c>
      <c r="E2481" s="94" t="inlineStr">
        <is>
          <t>3 别管我。 Bié guǎn wǒ. Để tôi yên./Đừng quản tôi.</t>
        </is>
      </c>
      <c r="F2481" s="115">
        <f>HYPERLINK("https://youglish.com/pronounce/别管我/chinese","🔍")</f>
        <v/>
      </c>
    </row>
    <row r="2482">
      <c r="A2482" s="92" t="inlineStr">
        <is>
          <t>PDF 500 mẫu câu thông dụng.pdf</t>
        </is>
      </c>
      <c r="B2482" s="93" t="inlineStr">
        <is>
          <t>4</t>
        </is>
      </c>
      <c r="C2482" s="92" t="inlineStr">
        <is>
          <t>别客气</t>
        </is>
      </c>
      <c r="D2482" s="92" t="inlineStr">
        <is>
          <t>Bié kèqi. Đừng khách sáo.</t>
        </is>
      </c>
      <c r="E2482" s="92" t="inlineStr">
        <is>
          <t>4 别客气。 Bié kèqi. Đừng khách sáo.</t>
        </is>
      </c>
      <c r="F2482" s="114">
        <f>HYPERLINK("https://youglish.com/pronounce/别客气/chinese","🔍")</f>
        <v/>
      </c>
    </row>
    <row r="2483">
      <c r="A2483" s="94" t="inlineStr">
        <is>
          <t>PDF 500 mẫu câu thông dụng.pdf</t>
        </is>
      </c>
      <c r="B2483" s="95" t="inlineStr">
        <is>
          <t>5</t>
        </is>
      </c>
      <c r="C2483" s="94" t="inlineStr">
        <is>
          <t>别生气</t>
        </is>
      </c>
      <c r="D2483" s="94" t="inlineStr">
        <is>
          <t>Bié shēngqì. Đừng giận.</t>
        </is>
      </c>
      <c r="E2483" s="94" t="inlineStr">
        <is>
          <t>5 别生气。 Bié shēngqì. Đừng giận.</t>
        </is>
      </c>
      <c r="F2483" s="115">
        <f>HYPERLINK("https://youglish.com/pronounce/别生气/chinese","🔍")</f>
        <v/>
      </c>
    </row>
    <row r="2484">
      <c r="A2484" s="92" t="inlineStr">
        <is>
          <t>PDF 500 mẫu câu thông dụng.pdf</t>
        </is>
      </c>
      <c r="B2484" s="93" t="inlineStr">
        <is>
          <t>6</t>
        </is>
      </c>
      <c r="C2484" s="92" t="inlineStr">
        <is>
          <t>不用谢</t>
        </is>
      </c>
      <c r="D2484" s="92" t="inlineStr">
        <is>
          <t>Bú yòng xiè. Không cần cảm ơn.</t>
        </is>
      </c>
      <c r="E2484" s="92" t="inlineStr">
        <is>
          <t>6 不用谢。 Bú yòng xiè. Không cần cảm ơn.</t>
        </is>
      </c>
      <c r="F2484" s="114">
        <f>HYPERLINK("https://youglish.com/pronounce/不用谢/chinese","🔍")</f>
        <v/>
      </c>
    </row>
    <row r="2485">
      <c r="A2485" s="94" t="inlineStr">
        <is>
          <t>PDF 500 mẫu câu thông dụng.pdf</t>
        </is>
      </c>
      <c r="B2485" s="95" t="inlineStr">
        <is>
          <t>7</t>
        </is>
      </c>
      <c r="C2485" s="94" t="inlineStr">
        <is>
          <t>大家好</t>
        </is>
      </c>
      <c r="D2485" s="94" t="inlineStr">
        <is>
          <t>Dàjiā hǎo. Chào mọi người.</t>
        </is>
      </c>
      <c r="E2485" s="94" t="inlineStr">
        <is>
          <t>7 大家好。 Dàjiā hǎo. Chào mọi người.</t>
        </is>
      </c>
      <c r="F2485" s="115">
        <f>HYPERLINK("https://youglish.com/pronounce/大家好/chinese","🔍")</f>
        <v/>
      </c>
    </row>
    <row r="2486">
      <c r="A2486" s="92" t="inlineStr">
        <is>
          <t>PDF 500 mẫu câu thông dụng.pdf</t>
        </is>
      </c>
      <c r="B2486" s="93" t="inlineStr">
        <is>
          <t>8</t>
        </is>
      </c>
      <c r="C2486" s="92" t="inlineStr">
        <is>
          <t>等一下</t>
        </is>
      </c>
      <c r="D2486" s="92" t="inlineStr">
        <is>
          <t>Děng yíxià! Đợi một chút!</t>
        </is>
      </c>
      <c r="E2486" s="92" t="inlineStr">
        <is>
          <t>8 等一下！ Děng yíxià! Đợi một chút!</t>
        </is>
      </c>
      <c r="F2486" s="114">
        <f>HYPERLINK("https://youglish.com/pronounce/等一下/chinese","🔍")</f>
        <v/>
      </c>
    </row>
    <row r="2487">
      <c r="A2487" s="94" t="inlineStr">
        <is>
          <t>PDF 500 mẫu câu thông dụng.pdf</t>
        </is>
      </c>
      <c r="B2487" s="95" t="inlineStr">
        <is>
          <t>9</t>
        </is>
      </c>
      <c r="C2487" s="94" t="inlineStr">
        <is>
          <t>都怪我</t>
        </is>
      </c>
      <c r="D2487" s="94" t="inlineStr">
        <is>
          <t>Dōu guài wǒ. Đều tại tôi.</t>
        </is>
      </c>
      <c r="E2487" s="94" t="inlineStr">
        <is>
          <t>9 都怪我。 Dōu guài wǒ. Đều tại tôi.</t>
        </is>
      </c>
      <c r="F2487" s="115">
        <f>HYPERLINK("https://youglish.com/pronounce/都怪我/chinese","🔍")</f>
        <v/>
      </c>
    </row>
    <row r="2488">
      <c r="A2488" s="92" t="inlineStr">
        <is>
          <t>PDF 500 mẫu câu thông dụng.pdf</t>
        </is>
      </c>
      <c r="B2488" s="93" t="inlineStr">
        <is>
          <t>10</t>
        </is>
      </c>
      <c r="C2488" s="92" t="inlineStr">
        <is>
          <t>对不起</t>
        </is>
      </c>
      <c r="D2488" s="92" t="inlineStr">
        <is>
          <t>Duìbuqǐ. Xin lỗi.</t>
        </is>
      </c>
      <c r="E2488" s="92" t="inlineStr">
        <is>
          <t>10 对不起。 Duìbuqǐ. Xin lỗi.</t>
        </is>
      </c>
      <c r="F2488" s="114">
        <f>HYPERLINK("https://youglish.com/pronounce/对不起/chinese","🔍")</f>
        <v/>
      </c>
    </row>
    <row r="2489">
      <c r="A2489" s="94" t="inlineStr">
        <is>
          <t>PDF 500 mẫu câu thông dụng.pdf</t>
        </is>
      </c>
      <c r="B2489" s="95" t="inlineStr">
        <is>
          <t>11</t>
        </is>
      </c>
      <c r="C2489" s="94" t="inlineStr">
        <is>
          <t>多少钱</t>
        </is>
      </c>
      <c r="D2489" s="94" t="inlineStr">
        <is>
          <t>Duōshao qián? Bao nhiêu tiền?</t>
        </is>
      </c>
      <c r="E2489" s="94" t="inlineStr">
        <is>
          <t>11 多少钱？ Duōshao qián? Bao nhiêu tiền?</t>
        </is>
      </c>
      <c r="F2489" s="115">
        <f>HYPERLINK("https://youglish.com/pronounce/多少钱/chinese","🔍")</f>
        <v/>
      </c>
    </row>
    <row r="2490">
      <c r="A2490" s="92" t="inlineStr">
        <is>
          <t>PDF 500 mẫu câu thông dụng.pdf</t>
        </is>
      </c>
      <c r="B2490" s="93" t="inlineStr">
        <is>
          <t>12</t>
        </is>
      </c>
      <c r="C2490" s="92" t="inlineStr">
        <is>
          <t>放心吧</t>
        </is>
      </c>
      <c r="D2490" s="92" t="inlineStr">
        <is>
          <t>Fàngxīn ba. Yên tâm đi.</t>
        </is>
      </c>
      <c r="E2490" s="92" t="inlineStr">
        <is>
          <t>12 放心吧。 Fàngxīn ba. Yên tâm đi.</t>
        </is>
      </c>
      <c r="F2490" s="114">
        <f>HYPERLINK("https://youglish.com/pronounce/放心吧/chinese","🔍")</f>
        <v/>
      </c>
    </row>
    <row r="2491">
      <c r="A2491" s="94" t="inlineStr">
        <is>
          <t>PDF 500 mẫu câu thông dụng.pdf</t>
        </is>
      </c>
      <c r="B2491" s="95" t="inlineStr">
        <is>
          <t>13</t>
        </is>
      </c>
      <c r="C2491" s="94" t="inlineStr">
        <is>
          <t>跟我来</t>
        </is>
      </c>
      <c r="D2491" s="94" t="inlineStr">
        <is>
          <t>Gēn wǒ lái. Theo tôi.</t>
        </is>
      </c>
      <c r="E2491" s="94" t="inlineStr">
        <is>
          <t>13 跟我来。 Gēn wǒ lái. Theo tôi.</t>
        </is>
      </c>
      <c r="F2491" s="115">
        <f>HYPERLINK("https://youglish.com/pronounce/跟我来/chinese","🔍")</f>
        <v/>
      </c>
    </row>
    <row r="2492">
      <c r="A2492" s="92" t="inlineStr">
        <is>
          <t>PDF 500 mẫu câu thông dụng.pdf</t>
        </is>
      </c>
      <c r="B2492" s="93" t="inlineStr">
        <is>
          <t>14</t>
        </is>
      </c>
      <c r="C2492" s="92" t="inlineStr">
        <is>
          <t>够了吗</t>
        </is>
      </c>
      <c r="D2492" s="92" t="inlineStr">
        <is>
          <t>Gòu le ma? Đủ chưa?</t>
        </is>
      </c>
      <c r="E2492" s="92" t="inlineStr">
        <is>
          <t>14 够了吗？ Gòu le ma? Đủ chưa?</t>
        </is>
      </c>
      <c r="F2492" s="114">
        <f>HYPERLINK("https://youglish.com/pronounce/够了吗/chinese","🔍")</f>
        <v/>
      </c>
    </row>
    <row r="2493">
      <c r="A2493" s="94" t="inlineStr">
        <is>
          <t>PDF 500 mẫu câu thông dụng.pdf</t>
        </is>
      </c>
      <c r="B2493" s="95" t="inlineStr">
        <is>
          <t>15</t>
        </is>
      </c>
      <c r="C2493" s="94" t="inlineStr">
        <is>
          <t>很不错</t>
        </is>
      </c>
      <c r="D2493" s="94" t="inlineStr">
        <is>
          <t>Hěn bú cuò. Rất tốt..</t>
        </is>
      </c>
      <c r="E2493" s="94" t="inlineStr">
        <is>
          <t>15 很不错。 Hěn bú cuò. Rất tốt..</t>
        </is>
      </c>
      <c r="F2493" s="115">
        <f>HYPERLINK("https://youglish.com/pronounce/很不错/chinese","🔍")</f>
        <v/>
      </c>
    </row>
    <row r="2494">
      <c r="A2494" s="92" t="inlineStr">
        <is>
          <t>PDF 500 mẫu câu thông dụng.pdf</t>
        </is>
      </c>
      <c r="B2494" s="93" t="inlineStr">
        <is>
          <t>16</t>
        </is>
      </c>
      <c r="C2494" s="92" t="inlineStr">
        <is>
          <t>很容易</t>
        </is>
      </c>
      <c r="D2494" s="92" t="inlineStr">
        <is>
          <t>Hěn róngyì. Rất dễ.</t>
        </is>
      </c>
      <c r="E2494" s="92" t="inlineStr">
        <is>
          <t>16 很容易。 Hěn róngyì. Rất dễ.</t>
        </is>
      </c>
      <c r="F2494" s="114">
        <f>HYPERLINK("https://youglish.com/pronounce/很容易/chinese","🔍")</f>
        <v/>
      </c>
    </row>
    <row r="2495">
      <c r="A2495" s="94" t="inlineStr">
        <is>
          <t>PDF 500 mẫu câu thông dụng.pdf</t>
        </is>
      </c>
      <c r="B2495" s="95" t="inlineStr">
        <is>
          <t>17</t>
        </is>
      </c>
      <c r="C2495" s="94" t="inlineStr">
        <is>
          <t>冷静点</t>
        </is>
      </c>
      <c r="D2495" s="94" t="inlineStr">
        <is>
          <t>Lěngjìng diǎn. Yên lặng chút./Bình tĩnh chút.</t>
        </is>
      </c>
      <c r="E2495" s="94" t="inlineStr">
        <is>
          <t>17 冷静点。 Lěngjìng diǎn. Yên lặng chút./Bình tĩnh chút.</t>
        </is>
      </c>
      <c r="F2495" s="115">
        <f>HYPERLINK("https://youglish.com/pronounce/冷静点/chinese","🔍")</f>
        <v/>
      </c>
    </row>
    <row r="2496">
      <c r="A2496" s="92" t="inlineStr">
        <is>
          <t>PDF 500 mẫu câu thông dụng.pdf</t>
        </is>
      </c>
      <c r="B2496" s="93" t="inlineStr">
        <is>
          <t>18</t>
        </is>
      </c>
      <c r="C2496" s="92" t="inlineStr">
        <is>
          <t>没关系</t>
        </is>
      </c>
      <c r="D2496" s="92" t="inlineStr">
        <is>
          <t>Méi guānxi. Không sao đâu.</t>
        </is>
      </c>
      <c r="E2496" s="92" t="inlineStr">
        <is>
          <t>18 没关系。 Méi guānxi. Không sao đâu.</t>
        </is>
      </c>
      <c r="F2496" s="114">
        <f>HYPERLINK("https://youglish.com/pronounce/没关系/chinese","🔍")</f>
        <v/>
      </c>
    </row>
    <row r="2497">
      <c r="A2497" s="94" t="inlineStr">
        <is>
          <t>PDF 500 mẫu câu thông dụng.pdf</t>
        </is>
      </c>
      <c r="B2497" s="95" t="inlineStr">
        <is>
          <t>19</t>
        </is>
      </c>
      <c r="C2497" s="94" t="inlineStr">
        <is>
          <t>没问题</t>
        </is>
      </c>
      <c r="D2497" s="94" t="inlineStr">
        <is>
          <t>Méi wèntí. Không vấn đề.</t>
        </is>
      </c>
      <c r="E2497" s="94" t="inlineStr">
        <is>
          <t>19 没问题。 Méi wèntí. Không vấn đề.</t>
        </is>
      </c>
      <c r="F2497" s="115">
        <f>HYPERLINK("https://youglish.com/pronounce/没问题/chinese","🔍")</f>
        <v/>
      </c>
    </row>
    <row r="2498">
      <c r="A2498" s="92" t="inlineStr">
        <is>
          <t>PDF 500 mẫu câu thông dụng.pdf</t>
        </is>
      </c>
      <c r="B2498" s="93" t="inlineStr">
        <is>
          <t>20</t>
        </is>
      </c>
      <c r="C2498" s="92" t="inlineStr">
        <is>
          <t>明天见</t>
        </is>
      </c>
      <c r="D2498" s="92" t="inlineStr">
        <is>
          <t>Míngtiān jiàn. Mai gặp.</t>
        </is>
      </c>
      <c r="E2498" s="92" t="inlineStr">
        <is>
          <t>20 明天见。 Míngtiān jiàn. Mai gặp.</t>
        </is>
      </c>
      <c r="F2498" s="114">
        <f>HYPERLINK("https://youglish.com/pronounce/明天见/chinese","🔍")</f>
        <v/>
      </c>
    </row>
    <row r="2499">
      <c r="A2499" s="94" t="inlineStr">
        <is>
          <t>PDF 500 mẫu câu thông dụng.pdf</t>
        </is>
      </c>
      <c r="B2499" s="95" t="inlineStr">
        <is>
          <t>21</t>
        </is>
      </c>
      <c r="C2499" s="94" t="inlineStr">
        <is>
          <t>你错了</t>
        </is>
      </c>
      <c r="D2499" s="94" t="inlineStr">
        <is>
          <t>Nǐ cuò le. Bạn sai rồi.</t>
        </is>
      </c>
      <c r="E2499" s="94" t="inlineStr">
        <is>
          <t>21 你错了。 Nǐ cuò le. Bạn sai rồi.</t>
        </is>
      </c>
      <c r="F2499" s="115">
        <f>HYPERLINK("https://youglish.com/pronounce/你错了/chinese","🔍")</f>
        <v/>
      </c>
    </row>
    <row r="2500">
      <c r="A2500" s="92" t="inlineStr">
        <is>
          <t>PDF 500 mẫu câu thông dụng.pdf</t>
        </is>
      </c>
      <c r="B2500" s="93" t="inlineStr">
        <is>
          <t>22</t>
        </is>
      </c>
      <c r="C2500" s="92" t="inlineStr">
        <is>
          <t>她是谁</t>
        </is>
      </c>
      <c r="D2500" s="92" t="inlineStr">
        <is>
          <t>Tā shì shéi？ Cô ấy là ai?</t>
        </is>
      </c>
      <c r="E2500" s="92" t="inlineStr">
        <is>
          <t>22 她是谁？ Tā shì shéi？ Cô ấy là ai?</t>
        </is>
      </c>
      <c r="F2500" s="114">
        <f>HYPERLINK("https://youglish.com/pronounce/她是谁/chinese","🔍")</f>
        <v/>
      </c>
    </row>
    <row r="2501">
      <c r="A2501" s="94" t="inlineStr">
        <is>
          <t>PDF 500 mẫu câu thông dụng.pdf</t>
        </is>
      </c>
      <c r="B2501" s="95" t="inlineStr">
        <is>
          <t>23</t>
        </is>
      </c>
      <c r="C2501" s="94" t="inlineStr">
        <is>
          <t>太贵了</t>
        </is>
      </c>
      <c r="D2501" s="94" t="inlineStr">
        <is>
          <t>Tài guì le! Đắt quá!</t>
        </is>
      </c>
      <c r="E2501" s="94" t="inlineStr">
        <is>
          <t>23 太贵了！ Tài guì le! Đắt quá!</t>
        </is>
      </c>
      <c r="F2501" s="115">
        <f>HYPERLINK("https://youglish.com/pronounce/太贵了/chinese","🔍")</f>
        <v/>
      </c>
    </row>
    <row r="2502">
      <c r="A2502" s="92" t="inlineStr">
        <is>
          <t>PDF 500 mẫu câu thông dụng.pdf</t>
        </is>
      </c>
      <c r="B2502" s="93" t="inlineStr">
        <is>
          <t>24</t>
        </is>
      </c>
      <c r="C2502" s="92" t="inlineStr">
        <is>
          <t>晚上好</t>
        </is>
      </c>
      <c r="D2502" s="92" t="inlineStr">
        <is>
          <t>! Wǎnshang hǎo! Chào buổi tối！</t>
        </is>
      </c>
      <c r="E2502" s="92" t="inlineStr">
        <is>
          <t>24 晚上好! Wǎnshang hǎo! Chào buổi tối！</t>
        </is>
      </c>
      <c r="F2502" s="114">
        <f>HYPERLINK("https://youglish.com/pronounce/晚上好/chinese","🔍")</f>
        <v/>
      </c>
    </row>
    <row r="2503">
      <c r="A2503" s="94" t="inlineStr">
        <is>
          <t>PDF 500 mẫu câu thông dụng.pdf</t>
        </is>
      </c>
      <c r="B2503" s="95" t="inlineStr">
        <is>
          <t>25</t>
        </is>
      </c>
      <c r="C2503" s="94" t="inlineStr">
        <is>
          <t>我爱你</t>
        </is>
      </c>
      <c r="D2503" s="94" t="inlineStr">
        <is>
          <t>Wǒ ài nǐ! Anh yêu em!</t>
        </is>
      </c>
      <c r="E2503" s="94" t="inlineStr">
        <is>
          <t>25 我爱你！ Wǒ ài nǐ! Anh yêu em!</t>
        </is>
      </c>
      <c r="F2503" s="115">
        <f>HYPERLINK("https://youglish.com/pronounce/我爱你/chinese","🔍")</f>
        <v/>
      </c>
    </row>
    <row r="2504">
      <c r="A2504" s="92" t="inlineStr">
        <is>
          <t>PDF 500 mẫu câu thông dụng.pdf</t>
        </is>
      </c>
      <c r="B2504" s="93" t="inlineStr">
        <is>
          <t>26</t>
        </is>
      </c>
      <c r="C2504" s="92" t="inlineStr">
        <is>
          <t>我懂了</t>
        </is>
      </c>
      <c r="D2504" s="92" t="inlineStr">
        <is>
          <t>Wǒ dǒng le! Tôi hiểu rồi.</t>
        </is>
      </c>
      <c r="E2504" s="92" t="inlineStr">
        <is>
          <t>26 我懂了！ Wǒ dǒng le! Tôi hiểu rồi.</t>
        </is>
      </c>
      <c r="F2504" s="114">
        <f>HYPERLINK("https://youglish.com/pronounce/我懂了/chinese","🔍")</f>
        <v/>
      </c>
    </row>
    <row r="2505">
      <c r="A2505" s="94" t="inlineStr">
        <is>
          <t>PDF 500 mẫu câu thông dụng.pdf</t>
        </is>
      </c>
      <c r="B2505" s="95" t="inlineStr">
        <is>
          <t>27</t>
        </is>
      </c>
      <c r="C2505" s="94" t="inlineStr">
        <is>
          <t>我饿了</t>
        </is>
      </c>
      <c r="D2505" s="94" t="inlineStr">
        <is>
          <t>Wǒ è le! Tôi đói rồi!</t>
        </is>
      </c>
      <c r="E2505" s="94" t="inlineStr">
        <is>
          <t>27 我饿了！ Wǒ è le! Tôi đói rồi!</t>
        </is>
      </c>
      <c r="F2505" s="115">
        <f>HYPERLINK("https://youglish.com/pronounce/我饿了/chinese","🔍")</f>
        <v/>
      </c>
    </row>
    <row r="2506">
      <c r="A2506" s="92" t="inlineStr">
        <is>
          <t>PDF 500 mẫu câu thông dụng.pdf</t>
        </is>
      </c>
      <c r="B2506" s="93" t="inlineStr">
        <is>
          <t>28</t>
        </is>
      </c>
      <c r="C2506" s="92" t="inlineStr">
        <is>
          <t>我很忙</t>
        </is>
      </c>
      <c r="D2506" s="92" t="inlineStr">
        <is>
          <t>Wǒ hěn máng. Tôi rất bận.</t>
        </is>
      </c>
      <c r="E2506" s="92" t="inlineStr">
        <is>
          <t>28 我很忙。 Wǒ hěn máng. Tôi rất bận.</t>
        </is>
      </c>
      <c r="F2506" s="114">
        <f>HYPERLINK("https://youglish.com/pronounce/我很忙/chinese","🔍")</f>
        <v/>
      </c>
    </row>
    <row r="2507">
      <c r="A2507" s="94" t="inlineStr">
        <is>
          <t>PDF 500 mẫu câu thông dụng.pdf</t>
        </is>
      </c>
      <c r="B2507" s="95" t="inlineStr">
        <is>
          <t>29</t>
        </is>
      </c>
      <c r="C2507" s="94" t="inlineStr">
        <is>
          <t>我渴了</t>
        </is>
      </c>
      <c r="D2507" s="94" t="inlineStr">
        <is>
          <t>Wǒ kě le. Tôi khát rồi.</t>
        </is>
      </c>
      <c r="E2507" s="94" t="inlineStr">
        <is>
          <t>29 我渴了。 Wǒ kě le. Tôi khát rồi.</t>
        </is>
      </c>
      <c r="F2507" s="115">
        <f>HYPERLINK("https://youglish.com/pronounce/我渴了/chinese","🔍")</f>
        <v/>
      </c>
    </row>
    <row r="2508">
      <c r="A2508" s="92" t="inlineStr">
        <is>
          <t>PDF 500 mẫu câu thông dụng.pdf</t>
        </is>
      </c>
      <c r="B2508" s="93" t="inlineStr">
        <is>
          <t>30</t>
        </is>
      </c>
      <c r="C2508" s="92" t="inlineStr">
        <is>
          <t>我同意</t>
        </is>
      </c>
      <c r="D2508" s="92" t="inlineStr">
        <is>
          <t>Wǒ tóngyì. Tôi đồng ý.</t>
        </is>
      </c>
      <c r="E2508" s="92" t="inlineStr">
        <is>
          <t>30 我同意。 Wǒ tóngyì. Tôi đồng ý.</t>
        </is>
      </c>
      <c r="F2508" s="114">
        <f>HYPERLINK("https://youglish.com/pronounce/我同意/chinese","🔍")</f>
        <v/>
      </c>
    </row>
    <row r="2509">
      <c r="A2509" s="94" t="inlineStr">
        <is>
          <t>PDF 500 mẫu câu thông dụng.pdf</t>
        </is>
      </c>
      <c r="B2509" s="95" t="inlineStr">
        <is>
          <t>31</t>
        </is>
      </c>
      <c r="C2509" s="94" t="inlineStr">
        <is>
          <t>怎么了</t>
        </is>
      </c>
      <c r="D2509" s="94" t="inlineStr">
        <is>
          <t>Zěnme le? Làm sao vậy?</t>
        </is>
      </c>
      <c r="E2509" s="94" t="inlineStr">
        <is>
          <t>31 怎么了？ Zěnme le? Làm sao vậy?</t>
        </is>
      </c>
      <c r="F2509" s="115">
        <f>HYPERLINK("https://youglish.com/pronounce/怎么了/chinese","🔍")</f>
        <v/>
      </c>
    </row>
    <row r="2510">
      <c r="A2510" s="92" t="inlineStr">
        <is>
          <t>PDF 500 mẫu câu thông dụng.pdf</t>
        </is>
      </c>
      <c r="B2510" s="93" t="inlineStr">
        <is>
          <t>1</t>
        </is>
      </c>
      <c r="C2510" s="92" t="inlineStr">
        <is>
          <t>不好意思</t>
        </is>
      </c>
      <c r="D2510" s="92" t="inlineStr">
        <is>
          <t>Bù hǎo yìsi. Thành thật xin lỗi./Ngại quá.</t>
        </is>
      </c>
      <c r="E2510" s="92" t="inlineStr">
        <is>
          <t>1 不好意思。 Bù hǎo yìsi. Thành thật xin lỗi./Ngại quá.</t>
        </is>
      </c>
      <c r="F2510" s="114">
        <f>HYPERLINK("https://youglish.com/pronounce/不好意思/chinese","🔍")</f>
        <v/>
      </c>
    </row>
    <row r="2511">
      <c r="A2511" s="94" t="inlineStr">
        <is>
          <t>PDF 500 mẫu câu thông dụng.pdf</t>
        </is>
      </c>
      <c r="B2511" s="95" t="inlineStr">
        <is>
          <t>2</t>
        </is>
      </c>
      <c r="C2511" s="94" t="inlineStr">
        <is>
          <t>差不多吧</t>
        </is>
      </c>
      <c r="D2511" s="94" t="inlineStr">
        <is>
          <t>Chàbuduō ba. Không tệ./Cũng hòm hòm</t>
        </is>
      </c>
      <c r="E2511" s="94" t="inlineStr">
        <is>
          <t>2 差不多吧。 Chàbuduō ba. Không tệ./Cũng hòm hòm</t>
        </is>
      </c>
      <c r="F2511" s="115">
        <f>HYPERLINK("https://youglish.com/pronounce/差不多吧/chinese","🔍")</f>
        <v/>
      </c>
    </row>
    <row r="2512">
      <c r="A2512" s="92" t="inlineStr">
        <is>
          <t>PDF 500 mẫu câu thông dụng.pdf</t>
        </is>
      </c>
      <c r="B2512" s="93" t="inlineStr">
        <is>
          <t>3</t>
        </is>
      </c>
      <c r="C2512" s="92" t="inlineStr">
        <is>
          <t>当然可以</t>
        </is>
      </c>
      <c r="D2512" s="92" t="inlineStr">
        <is>
          <t>! Dāngrán kěyǐ! Đương nhiên là được!</t>
        </is>
      </c>
      <c r="E2512" s="92" t="inlineStr">
        <is>
          <t>3 当然可以! Dāngrán kěyǐ! Đương nhiên là được!</t>
        </is>
      </c>
      <c r="F2512" s="114">
        <f>HYPERLINK("https://youglish.com/pronounce/当然可以/chinese","🔍")</f>
        <v/>
      </c>
    </row>
    <row r="2513">
      <c r="A2513" s="94" t="inlineStr">
        <is>
          <t>PDF 500 mẫu câu thông dụng.pdf</t>
        </is>
      </c>
      <c r="B2513" s="95" t="inlineStr">
        <is>
          <t>4</t>
        </is>
      </c>
      <c r="C2513" s="94" t="inlineStr">
        <is>
          <t>该起床了</t>
        </is>
      </c>
      <c r="D2513" s="94" t="inlineStr">
        <is>
          <t>! Gāi qǐchuáng le! Mau dậy đi thôi!/Đến lúc dậy rồi!</t>
        </is>
      </c>
      <c r="E2513" s="94" t="inlineStr">
        <is>
          <t>4 该起床了! Gāi qǐchuáng le! Mau dậy đi thôi!/Đến lúc dậy rồi!</t>
        </is>
      </c>
      <c r="F2513" s="115">
        <f>HYPERLINK("https://youglish.com/pronounce/该起床了/chinese","🔍")</f>
        <v/>
      </c>
    </row>
    <row r="2514">
      <c r="A2514" s="92" t="inlineStr">
        <is>
          <t>PDF 500 mẫu câu thông dụng.pdf</t>
        </is>
      </c>
      <c r="B2514" s="93" t="inlineStr">
        <is>
          <t>5</t>
        </is>
      </c>
      <c r="C2514" s="92" t="inlineStr">
        <is>
          <t>恭喜恭喜</t>
        </is>
      </c>
      <c r="D2514" s="92" t="inlineStr">
        <is>
          <t>Gōngxǐ gōngxǐ! Chúc mừng, chúc mừng!</t>
        </is>
      </c>
      <c r="E2514" s="92" t="inlineStr">
        <is>
          <t>5 恭喜恭喜！ Gōngxǐ gōngxǐ! Chúc mừng, chúc mừng!</t>
        </is>
      </c>
      <c r="F2514" s="114">
        <f>HYPERLINK("https://youglish.com/pronounce/恭喜恭喜/chinese","🔍")</f>
        <v/>
      </c>
    </row>
    <row r="2515">
      <c r="A2515" s="94" t="inlineStr">
        <is>
          <t>PDF 500 mẫu câu thông dụng.pdf</t>
        </is>
      </c>
      <c r="B2515" s="95" t="inlineStr">
        <is>
          <t>6</t>
        </is>
      </c>
      <c r="C2515" s="94" t="inlineStr">
        <is>
          <t>好久不见</t>
        </is>
      </c>
      <c r="D2515" s="94" t="inlineStr">
        <is>
          <t>Hǎo jiǔ bú jiàn! Lâu rồi không gặp!</t>
        </is>
      </c>
      <c r="E2515" s="94" t="inlineStr">
        <is>
          <t>6 好久不见！ Hǎo jiǔ bú jiàn! Lâu rồi không gặp!</t>
        </is>
      </c>
      <c r="F2515" s="115">
        <f>HYPERLINK("https://youglish.com/pronounce/好久不见/chinese","🔍")</f>
        <v/>
      </c>
    </row>
    <row r="2516">
      <c r="A2516" s="92" t="inlineStr">
        <is>
          <t>PDF 500 mẫu câu thông dụng.pdf</t>
        </is>
      </c>
      <c r="B2516" s="93" t="inlineStr">
        <is>
          <t>7</t>
        </is>
      </c>
      <c r="C2516" s="92" t="inlineStr">
        <is>
          <t>今天几号</t>
        </is>
      </c>
      <c r="D2516" s="92" t="inlineStr">
        <is>
          <t>Jīntiān jǐ hào? Hôm nay ngày mấy?</t>
        </is>
      </c>
      <c r="E2516" s="92" t="inlineStr">
        <is>
          <t>7 今天几号？ Jīntiān jǐ hào? Hôm nay ngày mấy?</t>
        </is>
      </c>
      <c r="F2516" s="114">
        <f>HYPERLINK("https://youglish.com/pronounce/今天几号/chinese","🔍")</f>
        <v/>
      </c>
    </row>
    <row r="2517">
      <c r="A2517" s="94" t="inlineStr">
        <is>
          <t>PDF 500 mẫu câu thông dụng.pdf</t>
        </is>
      </c>
      <c r="B2517" s="95" t="inlineStr">
        <is>
          <t>8</t>
        </is>
      </c>
      <c r="C2517" s="94" t="inlineStr">
        <is>
          <t>恐怕不行</t>
        </is>
      </c>
      <c r="D2517" s="94" t="inlineStr">
        <is>
          <t>Kǒngpà bù xíng. E rằng không được.</t>
        </is>
      </c>
      <c r="E2517" s="94" t="inlineStr">
        <is>
          <t>8 恐怕不行。 Kǒngpà bù xíng. E rằng không được.</t>
        </is>
      </c>
      <c r="F2517" s="115">
        <f>HYPERLINK("https://youglish.com/pronounce/恐怕不行/chinese","🔍")</f>
        <v/>
      </c>
    </row>
    <row r="2518">
      <c r="A2518" s="92" t="inlineStr">
        <is>
          <t>PDF 500 mẫu câu thông dụng.pdf</t>
        </is>
      </c>
      <c r="B2518" s="93" t="inlineStr">
        <is>
          <t>9</t>
        </is>
      </c>
      <c r="C2518" s="92" t="inlineStr">
        <is>
          <t>来不及了</t>
        </is>
      </c>
      <c r="D2518" s="92" t="inlineStr">
        <is>
          <t>Láibují le. Đã quá muộn rồi/Không kịp nữa rồi.</t>
        </is>
      </c>
      <c r="E2518" s="92" t="inlineStr">
        <is>
          <t>9 来不及了。 Láibují le. Đã quá muộn rồi/Không kịp nữa rồi.</t>
        </is>
      </c>
      <c r="F2518" s="114">
        <f>HYPERLINK("https://youglish.com/pronounce/来不及了/chinese","🔍")</f>
        <v/>
      </c>
    </row>
    <row r="2519">
      <c r="A2519" s="94" t="inlineStr">
        <is>
          <t>PDF 500 mẫu câu thông dụng.pdf</t>
        </is>
      </c>
      <c r="B2519" s="95" t="inlineStr">
        <is>
          <t>10</t>
        </is>
      </c>
      <c r="C2519" s="94" t="inlineStr">
        <is>
          <t>路上小心</t>
        </is>
      </c>
      <c r="D2519" s="94" t="inlineStr">
        <is>
          <t>Lùshang xiǎoxīn. Thượng lộ bình an./Đi đường cẩn thận.</t>
        </is>
      </c>
      <c r="E2519" s="94" t="inlineStr">
        <is>
          <t>10 路上小心。 Lùshang xiǎoxīn. Thượng lộ bình an./Đi đường cẩn thận.</t>
        </is>
      </c>
      <c r="F2519" s="115">
        <f>HYPERLINK("https://youglish.com/pronounce/路上小心/chinese","🔍")</f>
        <v/>
      </c>
    </row>
    <row r="2520">
      <c r="A2520" s="92" t="inlineStr">
        <is>
          <t>PDF 500 mẫu câu thông dụng.pdf</t>
        </is>
      </c>
      <c r="B2520" s="93" t="inlineStr">
        <is>
          <t>11</t>
        </is>
      </c>
      <c r="C2520" s="92" t="inlineStr">
        <is>
          <t>你多大了</t>
        </is>
      </c>
      <c r="D2520" s="92" t="inlineStr">
        <is>
          <t>Nǐ duō dà le? Bạn bao nhiêu tuổi?</t>
        </is>
      </c>
      <c r="E2520" s="92" t="inlineStr">
        <is>
          <t>11 你多大了？ Nǐ duō dà le? Bạn bao nhiêu tuổi?</t>
        </is>
      </c>
      <c r="F2520" s="114">
        <f>HYPERLINK("https://youglish.com/pronounce/你多大了/chinese","🔍")</f>
        <v/>
      </c>
    </row>
    <row r="2521">
      <c r="A2521" s="94" t="inlineStr">
        <is>
          <t>PDF 500 mẫu câu thông dụng.pdf</t>
        </is>
      </c>
      <c r="B2521" s="95" t="inlineStr">
        <is>
          <t>12</t>
        </is>
      </c>
      <c r="C2521" s="94" t="inlineStr">
        <is>
          <t>你肯定行</t>
        </is>
      </c>
      <c r="D2521" s="94" t="inlineStr">
        <is>
          <t>! Nǐ kěndìng xíng! Tôi nhất định làm được!</t>
        </is>
      </c>
      <c r="E2521" s="94" t="inlineStr">
        <is>
          <t>12 你肯定行! Nǐ kěndìng xíng! Tôi nhất định làm được!</t>
        </is>
      </c>
      <c r="F2521" s="115">
        <f>HYPERLINK("https://youglish.com/pronounce/你肯定行/chinese","🔍")</f>
        <v/>
      </c>
    </row>
    <row r="2522">
      <c r="A2522" s="92" t="inlineStr">
        <is>
          <t>PDF 500 mẫu câu thông dụng.pdf</t>
        </is>
      </c>
      <c r="B2522" s="93" t="inlineStr">
        <is>
          <t>13</t>
        </is>
      </c>
      <c r="C2522" s="92" t="inlineStr">
        <is>
          <t>你叫什么</t>
        </is>
      </c>
      <c r="D2522" s="92" t="inlineStr">
        <is>
          <t>Nǐ jiào shénme? Tên bạn là gì?</t>
        </is>
      </c>
      <c r="E2522" s="92" t="inlineStr">
        <is>
          <t>13 你叫什么？ Nǐ jiào shénme? Tên bạn là gì?</t>
        </is>
      </c>
      <c r="F2522" s="114">
        <f>HYPERLINK("https://youglish.com/pronounce/你叫什么/chinese","🔍")</f>
        <v/>
      </c>
    </row>
    <row r="2523">
      <c r="A2523" s="94" t="inlineStr">
        <is>
          <t>PDF 500 mẫu câu thông dụng.pdf</t>
        </is>
      </c>
      <c r="B2523" s="95" t="inlineStr">
        <is>
          <t>14</t>
        </is>
      </c>
      <c r="C2523" s="94" t="inlineStr">
        <is>
          <t>你去哪儿</t>
        </is>
      </c>
      <c r="D2523" s="94" t="inlineStr">
        <is>
          <t>Nǐ qù nǎr? Bạn đi đâu vậy?</t>
        </is>
      </c>
      <c r="E2523" s="94" t="inlineStr">
        <is>
          <t>14 你去哪儿？ Nǐ qù nǎr? Bạn đi đâu vậy?</t>
        </is>
      </c>
      <c r="F2523" s="115">
        <f>HYPERLINK("https://youglish.com/pronounce/你去哪儿/chinese","🔍")</f>
        <v/>
      </c>
    </row>
    <row r="2524">
      <c r="A2524" s="92" t="inlineStr">
        <is>
          <t>PDF 500 mẫu câu thông dụng.pdf</t>
        </is>
      </c>
      <c r="B2524" s="93" t="inlineStr">
        <is>
          <t>15</t>
        </is>
      </c>
      <c r="C2524" s="92" t="inlineStr">
        <is>
          <t>你说什么</t>
        </is>
      </c>
      <c r="D2524" s="92" t="inlineStr">
        <is>
          <t>Nǐ shuō shénme? Bạn nói gì vậy?</t>
        </is>
      </c>
      <c r="E2524" s="92" t="inlineStr">
        <is>
          <t>15 你说什么？ Nǐ shuō shénme? Bạn nói gì vậy?</t>
        </is>
      </c>
      <c r="F2524" s="114">
        <f>HYPERLINK("https://youglish.com/pronounce/你说什么/chinese","🔍")</f>
        <v/>
      </c>
    </row>
    <row r="2525">
      <c r="A2525" s="94" t="inlineStr">
        <is>
          <t>PDF 500 mẫu câu thông dụng.pdf</t>
        </is>
      </c>
      <c r="B2525" s="95" t="inlineStr">
        <is>
          <t>16</t>
        </is>
      </c>
      <c r="C2525" s="94" t="inlineStr">
        <is>
          <t>你有空吗</t>
        </is>
      </c>
      <c r="D2525" s="94" t="inlineStr">
        <is>
          <t>Nǐ yǒu kòng ma? Bạn rảnh không?</t>
        </is>
      </c>
      <c r="E2525" s="94" t="inlineStr">
        <is>
          <t>16 你有空吗？ Nǐ yǒu kòng ma? Bạn rảnh không?</t>
        </is>
      </c>
      <c r="F2525" s="115">
        <f>HYPERLINK("https://youglish.com/pronounce/你有空吗/chinese","🔍")</f>
        <v/>
      </c>
    </row>
    <row r="2526">
      <c r="A2526" s="92" t="inlineStr">
        <is>
          <t>PDF 500 mẫu câu thông dụng.pdf</t>
        </is>
      </c>
      <c r="B2526" s="93" t="inlineStr">
        <is>
          <t>17</t>
        </is>
      </c>
      <c r="C2526" s="92" t="inlineStr">
        <is>
          <t>你在哪里</t>
        </is>
      </c>
      <c r="D2526" s="92" t="inlineStr">
        <is>
          <t>Nǐ zài nǎli? Bạn đang ở đâu?</t>
        </is>
      </c>
      <c r="E2526" s="92" t="inlineStr">
        <is>
          <t>17 你在哪里？ Nǐ zài nǎli? Bạn đang ở đâu?</t>
        </is>
      </c>
      <c r="F2526" s="114">
        <f>HYPERLINK("https://youglish.com/pronounce/你在哪里/chinese","🔍")</f>
        <v/>
      </c>
    </row>
    <row r="2527">
      <c r="A2527" s="94" t="inlineStr">
        <is>
          <t>PDF 500 mẫu câu thông dụng.pdf</t>
        </is>
      </c>
      <c r="B2527" s="95" t="inlineStr">
        <is>
          <t>18</t>
        </is>
      </c>
      <c r="C2527" s="94" t="inlineStr">
        <is>
          <t>你怎么了</t>
        </is>
      </c>
      <c r="D2527" s="94" t="inlineStr">
        <is>
          <t>Nǐ zěnme le? Bạn làm sao vậy?</t>
        </is>
      </c>
      <c r="E2527" s="94" t="inlineStr">
        <is>
          <t>18 你怎么了？ Nǐ zěnme le? Bạn làm sao vậy?</t>
        </is>
      </c>
      <c r="F2527" s="115">
        <f>HYPERLINK("https://youglish.com/pronounce/你怎么了/chinese","🔍")</f>
        <v/>
      </c>
    </row>
    <row r="2528">
      <c r="A2528" s="92" t="inlineStr">
        <is>
          <t>PDF 500 mẫu câu thông dụng.pdf</t>
        </is>
      </c>
      <c r="B2528" s="93" t="inlineStr">
        <is>
          <t>19</t>
        </is>
      </c>
      <c r="C2528" s="92" t="inlineStr">
        <is>
          <t>你真漂亮</t>
        </is>
      </c>
      <c r="D2528" s="92" t="inlineStr">
        <is>
          <t>Nǐ zhēn piàoliang! Bạn thật xinh đẹp!</t>
        </is>
      </c>
      <c r="E2528" s="92" t="inlineStr">
        <is>
          <t>19 你真漂亮！ Nǐ zhēn piàoliang! Bạn thật xinh đẹp!</t>
        </is>
      </c>
      <c r="F2528" s="114">
        <f>HYPERLINK("https://youglish.com/pronounce/你真漂亮/chinese","🔍")</f>
        <v/>
      </c>
    </row>
    <row r="2529">
      <c r="A2529" s="94" t="inlineStr">
        <is>
          <t>PDF 500 mẫu câu thông dụng.pdf</t>
        </is>
      </c>
      <c r="B2529" s="95" t="inlineStr">
        <is>
          <t>20</t>
        </is>
      </c>
      <c r="C2529" s="94" t="inlineStr">
        <is>
          <t>你知道吗</t>
        </is>
      </c>
      <c r="D2529" s="94" t="inlineStr">
        <is>
          <t>Nǐ zhīdào ma? Bạn biết không?</t>
        </is>
      </c>
      <c r="E2529" s="94" t="inlineStr">
        <is>
          <t>20 你知道吗？ Nǐ zhīdào ma? Bạn biết không?</t>
        </is>
      </c>
      <c r="F2529" s="115">
        <f>HYPERLINK("https://youglish.com/pronounce/你知道吗/chinese","🔍")</f>
        <v/>
      </c>
    </row>
    <row r="2530">
      <c r="A2530" s="92" t="inlineStr">
        <is>
          <t>PDF 500 mẫu câu thông dụng.pdf</t>
        </is>
      </c>
      <c r="B2530" s="93" t="inlineStr">
        <is>
          <t>21</t>
        </is>
      </c>
      <c r="C2530" s="92" t="inlineStr">
        <is>
          <t>什么时间</t>
        </is>
      </c>
      <c r="D2530" s="92" t="inlineStr">
        <is>
          <t>Shénme shíjiān? Lúc nào?</t>
        </is>
      </c>
      <c r="E2530" s="92" t="inlineStr">
        <is>
          <t>21 什么时间？ Shénme shíjiān? Lúc nào?</t>
        </is>
      </c>
      <c r="F2530" s="114">
        <f>HYPERLINK("https://youglish.com/pronounce/什么时间/chinese","🔍")</f>
        <v/>
      </c>
    </row>
    <row r="2531">
      <c r="A2531" s="94" t="inlineStr">
        <is>
          <t>PDF 500 mẫu câu thông dụng.pdf</t>
        </is>
      </c>
      <c r="B2531" s="95" t="inlineStr">
        <is>
          <t>22</t>
        </is>
      </c>
      <c r="C2531" s="94" t="inlineStr">
        <is>
          <t>生日快乐</t>
        </is>
      </c>
      <c r="D2531" s="94" t="inlineStr">
        <is>
          <t>Shēngrì kuàilè! Sinh nhật vui vẻ!</t>
        </is>
      </c>
      <c r="E2531" s="94" t="inlineStr">
        <is>
          <t>22 生日快乐！ Shēngrì kuàilè! Sinh nhật vui vẻ!</t>
        </is>
      </c>
      <c r="F2531" s="115">
        <f>HYPERLINK("https://youglish.com/pronounce/生日快乐/chinese","🔍")</f>
        <v/>
      </c>
    </row>
    <row r="2532">
      <c r="A2532" s="92" t="inlineStr">
        <is>
          <t>PDF 500 mẫu câu thông dụng.pdf</t>
        </is>
      </c>
      <c r="B2532" s="93" t="inlineStr">
        <is>
          <t>23</t>
        </is>
      </c>
      <c r="C2532" s="92" t="inlineStr">
        <is>
          <t>天快黑了</t>
        </is>
      </c>
      <c r="D2532" s="92" t="inlineStr">
        <is>
          <t>Tiān kuài hēi le. Trời sắp tối rồi.</t>
        </is>
      </c>
      <c r="E2532" s="92" t="inlineStr">
        <is>
          <t>23 天快黑了。 Tiān kuài hēi le. Trời sắp tối rồi.</t>
        </is>
      </c>
      <c r="F2532" s="114">
        <f>HYPERLINK("https://youglish.com/pronounce/天快黑了/chinese","🔍")</f>
        <v/>
      </c>
    </row>
    <row r="2533">
      <c r="A2533" s="94" t="inlineStr">
        <is>
          <t>PDF 500 mẫu câu thông dụng.pdf</t>
        </is>
      </c>
      <c r="B2533" s="95" t="inlineStr">
        <is>
          <t>24</t>
        </is>
      </c>
      <c r="C2533" s="94" t="inlineStr">
        <is>
          <t>天气太冷</t>
        </is>
      </c>
      <c r="D2533" s="94" t="inlineStr">
        <is>
          <t>Tiānqì tài lěng. Thời tiết lạnh quá.</t>
        </is>
      </c>
      <c r="E2533" s="94" t="inlineStr">
        <is>
          <t>24 天气太冷。 Tiānqì tài lěng. Thời tiết lạnh quá.</t>
        </is>
      </c>
      <c r="F2533" s="115">
        <f>HYPERLINK("https://youglish.com/pronounce/天气太冷/chinese","🔍")</f>
        <v/>
      </c>
    </row>
    <row r="2534">
      <c r="A2534" s="92" t="inlineStr">
        <is>
          <t>PDF 500 mẫu câu thông dụng.pdf</t>
        </is>
      </c>
      <c r="B2534" s="93" t="inlineStr">
        <is>
          <t>25</t>
        </is>
      </c>
      <c r="C2534" s="92" t="inlineStr">
        <is>
          <t>我不明白</t>
        </is>
      </c>
      <c r="D2534" s="92" t="inlineStr">
        <is>
          <t>Wǒ bù míngbai. Tôi không hiểu.</t>
        </is>
      </c>
      <c r="E2534" s="92" t="inlineStr">
        <is>
          <t>25 我不明白。 Wǒ bù míngbai. Tôi không hiểu.</t>
        </is>
      </c>
      <c r="F2534" s="114">
        <f>HYPERLINK("https://youglish.com/pronounce/我不明白/chinese","🔍")</f>
        <v/>
      </c>
    </row>
    <row r="2535">
      <c r="A2535" s="94" t="inlineStr">
        <is>
          <t>PDF 500 mẫu câu thông dụng.pdf</t>
        </is>
      </c>
      <c r="B2535" s="95" t="inlineStr">
        <is>
          <t>26</t>
        </is>
      </c>
      <c r="C2535" s="94" t="inlineStr">
        <is>
          <t>我不喜欢</t>
        </is>
      </c>
      <c r="D2535" s="94" t="inlineStr">
        <is>
          <t>Wǒ bù xǐhuan. Tôi không thích.</t>
        </is>
      </c>
      <c r="E2535" s="94" t="inlineStr">
        <is>
          <t>26 我不喜欢。 Wǒ bù xǐhuan. Tôi không thích.</t>
        </is>
      </c>
      <c r="F2535" s="115">
        <f>HYPERLINK("https://youglish.com/pronounce/我不喜欢/chinese","🔍")</f>
        <v/>
      </c>
    </row>
    <row r="2536">
      <c r="A2536" s="92" t="inlineStr">
        <is>
          <t>PDF 500 mẫu câu thông dụng.pdf</t>
        </is>
      </c>
      <c r="B2536" s="93" t="inlineStr">
        <is>
          <t>27</t>
        </is>
      </c>
      <c r="C2536" s="92" t="inlineStr">
        <is>
          <t>我吃饱了</t>
        </is>
      </c>
      <c r="D2536" s="92" t="inlineStr">
        <is>
          <t>Wǒ chībǎo le. Tôi ăn no rồi.</t>
        </is>
      </c>
      <c r="E2536" s="92" t="inlineStr">
        <is>
          <t>27 我吃饱了。 Wǒ chībǎo le. Tôi ăn no rồi.</t>
        </is>
      </c>
      <c r="F2536" s="114">
        <f>HYPERLINK("https://youglish.com/pronounce/我吃饱了/chinese","🔍")</f>
        <v/>
      </c>
    </row>
    <row r="2537">
      <c r="A2537" s="94" t="inlineStr">
        <is>
          <t>PDF 500 mẫu câu thông dụng.pdf</t>
        </is>
      </c>
      <c r="B2537" s="95" t="inlineStr">
        <is>
          <t>28</t>
        </is>
      </c>
      <c r="C2537" s="94" t="inlineStr">
        <is>
          <t>我迟到了</t>
        </is>
      </c>
      <c r="D2537" s="94" t="inlineStr">
        <is>
          <t>Wǒ chídào le. Tôi muộn rồi.</t>
        </is>
      </c>
      <c r="E2537" s="94" t="inlineStr">
        <is>
          <t>28 我迟到了。 Wǒ chídào le. Tôi muộn rồi.</t>
        </is>
      </c>
      <c r="F2537" s="115">
        <f>HYPERLINK("https://youglish.com/pronounce/我迟到了/chinese","🔍")</f>
        <v/>
      </c>
    </row>
    <row r="2538">
      <c r="A2538" s="92" t="inlineStr">
        <is>
          <t>PDF 500 mẫu câu thông dụng.pdf</t>
        </is>
      </c>
      <c r="B2538" s="93" t="inlineStr">
        <is>
          <t>29</t>
        </is>
      </c>
      <c r="C2538" s="92" t="inlineStr">
        <is>
          <t>我饿死了</t>
        </is>
      </c>
      <c r="D2538" s="92" t="inlineStr">
        <is>
          <t>Wǒ è sǐ le. Tôi đói chết mất thôi.</t>
        </is>
      </c>
      <c r="E2538" s="92" t="inlineStr">
        <is>
          <t>29 我饿死了。 Wǒ è sǐ le. Tôi đói chết mất thôi.</t>
        </is>
      </c>
      <c r="F2538" s="114">
        <f>HYPERLINK("https://youglish.com/pronounce/我饿死了/chinese","🔍")</f>
        <v/>
      </c>
    </row>
    <row r="2539">
      <c r="A2539" s="94" t="inlineStr">
        <is>
          <t>PDF 500 mẫu câu thông dụng.pdf</t>
        </is>
      </c>
      <c r="B2539" s="95" t="inlineStr">
        <is>
          <t>30</t>
        </is>
      </c>
      <c r="C2539" s="94" t="inlineStr">
        <is>
          <t>我感冒了</t>
        </is>
      </c>
      <c r="D2539" s="94" t="inlineStr">
        <is>
          <t>Wǒ gǎnmào le. Tôi ốm rồi./Tôi bị cảm rồi.</t>
        </is>
      </c>
      <c r="E2539" s="94" t="inlineStr">
        <is>
          <t>30 我感冒了。 Wǒ gǎnmào le. Tôi ốm rồi./Tôi bị cảm rồi.</t>
        </is>
      </c>
      <c r="F2539" s="115">
        <f>HYPERLINK("https://youglish.com/pronounce/我感冒了/chinese","🔍")</f>
        <v/>
      </c>
    </row>
    <row r="2540">
      <c r="A2540" s="92" t="inlineStr">
        <is>
          <t>PDF 500 mẫu câu thông dụng.pdf</t>
        </is>
      </c>
      <c r="B2540" s="93" t="inlineStr">
        <is>
          <t>31</t>
        </is>
      </c>
      <c r="C2540" s="92" t="inlineStr">
        <is>
          <t>我结婚了</t>
        </is>
      </c>
      <c r="D2540" s="92" t="inlineStr">
        <is>
          <t>Wǒ jiéhūn le. Tôi kết hôn rồi.</t>
        </is>
      </c>
      <c r="E2540" s="92" t="inlineStr">
        <is>
          <t>31 我结婚了。 Wǒ jiéhūn le. Tôi kết hôn rồi.</t>
        </is>
      </c>
      <c r="F2540" s="114">
        <f>HYPERLINK("https://youglish.com/pronounce/我结婚了/chinese","🔍")</f>
        <v/>
      </c>
    </row>
    <row r="2541">
      <c r="A2541" s="94" t="inlineStr">
        <is>
          <t>PDF 500 mẫu câu thông dụng.pdf</t>
        </is>
      </c>
      <c r="B2541" s="95" t="inlineStr">
        <is>
          <t>32</t>
        </is>
      </c>
      <c r="C2541" s="94" t="inlineStr">
        <is>
          <t>我累死了</t>
        </is>
      </c>
      <c r="D2541" s="94" t="inlineStr">
        <is>
          <t>Wǒ lèi sǐ le. Mệt chết đi được.</t>
        </is>
      </c>
      <c r="E2541" s="94" t="inlineStr">
        <is>
          <t>32 我累死了。 Wǒ lèi sǐ le. Mệt chết đi được.</t>
        </is>
      </c>
      <c r="F2541" s="115">
        <f>HYPERLINK("https://youglish.com/pronounce/我累死了/chinese","🔍")</f>
        <v/>
      </c>
    </row>
    <row r="2542">
      <c r="A2542" s="92" t="inlineStr">
        <is>
          <t>PDF 500 mẫu câu thông dụng.pdf</t>
        </is>
      </c>
      <c r="B2542" s="93" t="inlineStr">
        <is>
          <t>33</t>
        </is>
      </c>
      <c r="C2542" s="92" t="inlineStr">
        <is>
          <t>我没时间</t>
        </is>
      </c>
      <c r="D2542" s="92" t="inlineStr">
        <is>
          <t>Wǒ méi shíjiān. Tôi không có thời gian.</t>
        </is>
      </c>
      <c r="E2542" s="92" t="inlineStr">
        <is>
          <t>33 我没时间。 Wǒ méi shíjiān. Tôi không có thời gian.</t>
        </is>
      </c>
      <c r="F2542" s="114">
        <f>HYPERLINK("https://youglish.com/pronounce/我没时间/chinese","🔍")</f>
        <v/>
      </c>
    </row>
    <row r="2543">
      <c r="A2543" s="94" t="inlineStr">
        <is>
          <t>PDF 500 mẫu câu thông dụng.pdf</t>
        </is>
      </c>
      <c r="B2543" s="95" t="inlineStr">
        <is>
          <t>34</t>
        </is>
      </c>
      <c r="C2543" s="94" t="inlineStr">
        <is>
          <t>我去上班</t>
        </is>
      </c>
      <c r="D2543" s="94" t="inlineStr">
        <is>
          <t>Wǒ qù shàngbān. Tôi đi làm.</t>
        </is>
      </c>
      <c r="E2543" s="94" t="inlineStr">
        <is>
          <t>34 我去上班。 Wǒ qù shàngbān. Tôi đi làm.</t>
        </is>
      </c>
      <c r="F2543" s="115">
        <f>HYPERLINK("https://youglish.com/pronounce/我去上班/chinese","🔍")</f>
        <v/>
      </c>
    </row>
    <row r="2544">
      <c r="A2544" s="92" t="inlineStr">
        <is>
          <t>PDF 500 mẫu câu thông dụng.pdf</t>
        </is>
      </c>
      <c r="B2544" s="93" t="inlineStr">
        <is>
          <t>35</t>
        </is>
      </c>
      <c r="C2544" s="92" t="inlineStr">
        <is>
          <t>我认识他</t>
        </is>
      </c>
      <c r="D2544" s="92" t="inlineStr">
        <is>
          <t>Wǒ rènshi tā. Tôi quen biết anh ta.</t>
        </is>
      </c>
      <c r="E2544" s="92" t="inlineStr">
        <is>
          <t>35 我认识他。 Wǒ rènshi tā. Tôi quen biết anh ta.</t>
        </is>
      </c>
      <c r="F2544" s="114">
        <f>HYPERLINK("https://youglish.com/pronounce/我认识他/chinese","🔍")</f>
        <v/>
      </c>
    </row>
    <row r="2545">
      <c r="A2545" s="94" t="inlineStr">
        <is>
          <t>PDF 500 mẫu câu thông dụng.pdf</t>
        </is>
      </c>
      <c r="B2545" s="95" t="inlineStr">
        <is>
          <t>36</t>
        </is>
      </c>
      <c r="C2545" s="94" t="inlineStr">
        <is>
          <t>我习惯了</t>
        </is>
      </c>
      <c r="D2545" s="94" t="inlineStr">
        <is>
          <t>Wǒ xíguàn le. Tôi quen rồi.</t>
        </is>
      </c>
      <c r="E2545" s="94" t="inlineStr">
        <is>
          <t>36 我习惯了。 Wǒ xíguàn le. Tôi quen rồi.</t>
        </is>
      </c>
      <c r="F2545" s="115">
        <f>HYPERLINK("https://youglish.com/pronounce/我习惯了/chinese","🔍")</f>
        <v/>
      </c>
    </row>
    <row r="2546">
      <c r="A2546" s="92" t="inlineStr">
        <is>
          <t>PDF 500 mẫu câu thông dụng.pdf</t>
        </is>
      </c>
      <c r="B2546" s="93" t="inlineStr">
        <is>
          <t>37</t>
        </is>
      </c>
      <c r="C2546" s="92" t="inlineStr">
        <is>
          <t>休息一下</t>
        </is>
      </c>
      <c r="D2546" s="92" t="inlineStr">
        <is>
          <t>Xiūxi yíxià. Nghỉ ngơi chút đi.</t>
        </is>
      </c>
      <c r="E2546" s="92" t="inlineStr">
        <is>
          <t>37 休息一下。 Xiūxi yíxià. Nghỉ ngơi chút đi.</t>
        </is>
      </c>
      <c r="F2546" s="114">
        <f>HYPERLINK("https://youglish.com/pronounce/休息一下/chinese","🔍")</f>
        <v/>
      </c>
    </row>
    <row r="2547">
      <c r="A2547" s="94" t="inlineStr">
        <is>
          <t>PDF 500 mẫu câu thông dụng.pdf</t>
        </is>
      </c>
      <c r="B2547" s="95" t="inlineStr">
        <is>
          <t>38</t>
        </is>
      </c>
      <c r="C2547" s="94" t="inlineStr">
        <is>
          <t>怎么可能</t>
        </is>
      </c>
      <c r="D2547" s="94" t="inlineStr">
        <is>
          <t>? Zěnme kěnéng? Sao có thể?</t>
        </is>
      </c>
      <c r="E2547" s="94" t="inlineStr">
        <is>
          <t>38 怎么可能? Zěnme kěnéng? Sao có thể?</t>
        </is>
      </c>
      <c r="F2547" s="115">
        <f>HYPERLINK("https://youglish.com/pronounce/怎么可能/chinese","🔍")</f>
        <v/>
      </c>
    </row>
    <row r="2548">
      <c r="A2548" s="92" t="inlineStr">
        <is>
          <t>PDF 500 mẫu câu thông dụng.pdf</t>
        </is>
      </c>
      <c r="B2548" s="93" t="inlineStr">
        <is>
          <t>39</t>
        </is>
      </c>
      <c r="C2548" s="92" t="inlineStr">
        <is>
          <t>这是我的</t>
        </is>
      </c>
      <c r="D2548" s="92" t="inlineStr">
        <is>
          <t>Zhè shì wǒ de. Đây là của tôi./Cái này của tôi.</t>
        </is>
      </c>
      <c r="E2548" s="92" t="inlineStr">
        <is>
          <t>39 这是我的。 Zhè shì wǒ de. Đây là của tôi./Cái này của tôi.</t>
        </is>
      </c>
      <c r="F2548" s="114">
        <f>HYPERLINK("https://youglish.com/pronounce/这是我的/chinese","🔍")</f>
        <v/>
      </c>
    </row>
    <row r="2549">
      <c r="A2549" s="94" t="inlineStr">
        <is>
          <t>PDF 500 mẫu câu thông dụng.pdf</t>
        </is>
      </c>
      <c r="B2549" s="95" t="inlineStr">
        <is>
          <t>40</t>
        </is>
      </c>
      <c r="C2549" s="94" t="inlineStr">
        <is>
          <t>注意安全</t>
        </is>
      </c>
      <c r="D2549" s="94" t="inlineStr">
        <is>
          <t>Zhùyì ānquán! Chú ý an toàn!</t>
        </is>
      </c>
      <c r="E2549" s="94" t="inlineStr">
        <is>
          <t>40 注意安全！ Zhùyì ānquán! Chú ý an toàn!</t>
        </is>
      </c>
      <c r="F2549" s="115">
        <f>HYPERLINK("https://youglish.com/pronounce/注意安全/chinese","🔍")</f>
        <v/>
      </c>
    </row>
    <row r="2550">
      <c r="A2550" s="92" t="inlineStr">
        <is>
          <t>PDF 500 mẫu câu thông dụng.pdf</t>
        </is>
      </c>
      <c r="B2550" s="93" t="inlineStr">
        <is>
          <t>1</t>
        </is>
      </c>
      <c r="C2550" s="92" t="inlineStr">
        <is>
          <t>别告诉别人</t>
        </is>
      </c>
      <c r="D2550" s="92" t="inlineStr">
        <is>
          <t>Bié gàosu biérén. Đừng nói với người khác.</t>
        </is>
      </c>
      <c r="E2550" s="92" t="inlineStr">
        <is>
          <t>1 别告诉别人。 Bié gàosu biérén. Đừng nói với người khác.</t>
        </is>
      </c>
      <c r="F2550" s="114">
        <f>HYPERLINK("https://youglish.com/pronounce/别告诉别人/chinese","🔍")</f>
        <v/>
      </c>
    </row>
    <row r="2551">
      <c r="A2551" s="94" t="inlineStr">
        <is>
          <t>PDF 500 mẫu câu thông dụng.pdf</t>
        </is>
      </c>
      <c r="B2551" s="95" t="inlineStr">
        <is>
          <t>2</t>
        </is>
      </c>
      <c r="C2551" s="94" t="inlineStr">
        <is>
          <t>别这么激动</t>
        </is>
      </c>
      <c r="D2551" s="94" t="inlineStr">
        <is>
          <t>Bié zhème jīdòng! Đừng kích động như thế!</t>
        </is>
      </c>
      <c r="E2551" s="94" t="inlineStr">
        <is>
          <t>2 别这么激动！ Bié zhème jīdòng! Đừng kích động như thế!</t>
        </is>
      </c>
      <c r="F2551" s="115">
        <f>HYPERLINK("https://youglish.com/pronounce/别这么激动/chinese","🔍")</f>
        <v/>
      </c>
    </row>
    <row r="2552">
      <c r="A2552" s="92" t="inlineStr">
        <is>
          <t>PDF 500 mẫu câu thông dụng.pdf</t>
        </is>
      </c>
      <c r="B2552" s="93" t="inlineStr">
        <is>
          <t>3</t>
        </is>
      </c>
      <c r="C2552" s="92" t="inlineStr">
        <is>
          <t>不要告诉我</t>
        </is>
      </c>
      <c r="D2552" s="92" t="inlineStr">
        <is>
          <t>Bú yào gàosu wǒ. Không cần nói cho tôi.</t>
        </is>
      </c>
      <c r="E2552" s="92" t="inlineStr">
        <is>
          <t>3 不要告诉我。 Bú yào gàosu wǒ. Không cần nói cho tôi.</t>
        </is>
      </c>
      <c r="F2552" s="114">
        <f>HYPERLINK("https://youglish.com/pronounce/不要告诉我/chinese","🔍")</f>
        <v/>
      </c>
    </row>
    <row r="2553">
      <c r="A2553" s="94" t="inlineStr">
        <is>
          <t>PDF 500 mẫu câu thông dụng.pdf</t>
        </is>
      </c>
      <c r="B2553" s="95" t="inlineStr">
        <is>
          <t>4</t>
        </is>
      </c>
      <c r="C2553" s="94" t="inlineStr">
        <is>
          <t>服务员，买单</t>
        </is>
      </c>
      <c r="D2553" s="94" t="inlineStr">
        <is>
          <t>Fúwùyuán, mǎi dān. Phục vụ, thanh toán.</t>
        </is>
      </c>
      <c r="E2553" s="94" t="inlineStr">
        <is>
          <t>4 服务员，买单。 Fúwùyuán, mǎi dān. Phục vụ, thanh toán.</t>
        </is>
      </c>
      <c r="F2553" s="115">
        <f>HYPERLINK("https://youglish.com/pronounce/服务员买单/chinese","🔍")</f>
        <v/>
      </c>
    </row>
    <row r="2554">
      <c r="A2554" s="92" t="inlineStr">
        <is>
          <t>PDF 500 mẫu câu thông dụng.pdf</t>
        </is>
      </c>
      <c r="B2554" s="93" t="inlineStr">
        <is>
          <t>5</t>
        </is>
      </c>
      <c r="C2554" s="92" t="inlineStr">
        <is>
          <t>还要别的吗</t>
        </is>
      </c>
      <c r="D2554" s="92" t="inlineStr">
        <is>
          <t>Hái yào biéde ma? Còn cần gì khác không?</t>
        </is>
      </c>
      <c r="E2554" s="92" t="inlineStr">
        <is>
          <t>5 还要别的吗？ Hái yào biéde ma? Còn cần gì khác không?</t>
        </is>
      </c>
      <c r="F2554" s="114">
        <f>HYPERLINK("https://youglish.com/pronounce/还要别的吗/chinese","🔍")</f>
        <v/>
      </c>
    </row>
    <row r="2555">
      <c r="A2555" s="94" t="inlineStr">
        <is>
          <t>PDF 500 mẫu câu thông dụng.pdf</t>
        </is>
      </c>
      <c r="B2555" s="95" t="inlineStr">
        <is>
          <t>6</t>
        </is>
      </c>
      <c r="C2555" s="94" t="inlineStr">
        <is>
          <t>今天星期几</t>
        </is>
      </c>
      <c r="D2555" s="94" t="inlineStr">
        <is>
          <t>Jīntiān xīngqī jǐ? Hôm nay thứ mấy?</t>
        </is>
      </c>
      <c r="E2555" s="94" t="inlineStr">
        <is>
          <t>6 今天星期几？ Jīntiān xīngqī jǐ? Hôm nay thứ mấy?</t>
        </is>
      </c>
      <c r="F2555" s="115">
        <f>HYPERLINK("https://youglish.com/pronounce/今天星期几/chinese","🔍")</f>
        <v/>
      </c>
    </row>
    <row r="2556">
      <c r="A2556" s="92" t="inlineStr">
        <is>
          <t>PDF 500 mẫu câu thông dụng.pdf</t>
        </is>
      </c>
      <c r="B2556" s="93" t="inlineStr">
        <is>
          <t>7</t>
        </is>
      </c>
      <c r="C2556" s="92" t="inlineStr">
        <is>
          <t>离这里远吗</t>
        </is>
      </c>
      <c r="D2556" s="92" t="inlineStr">
        <is>
          <t>Lí zhèli yuǎn ma? Cách chỗ này xa không?</t>
        </is>
      </c>
      <c r="E2556" s="92" t="inlineStr">
        <is>
          <t>7 离这里远吗？ Lí zhèli yuǎn ma? Cách chỗ này xa không?</t>
        </is>
      </c>
      <c r="F2556" s="114">
        <f>HYPERLINK("https://youglish.com/pronounce/离这里远吗/chinese","🔍")</f>
        <v/>
      </c>
    </row>
    <row r="2557">
      <c r="A2557" s="94" t="inlineStr">
        <is>
          <t>PDF 500 mẫu câu thông dụng.pdf</t>
        </is>
      </c>
      <c r="B2557" s="95" t="inlineStr">
        <is>
          <t>8</t>
        </is>
      </c>
      <c r="C2557" s="94" t="inlineStr">
        <is>
          <t>那怎么办呢</t>
        </is>
      </c>
      <c r="D2557" s="94" t="inlineStr">
        <is>
          <t>Nà zěnme bàn ne? Vậy làm thế nào đây?</t>
        </is>
      </c>
      <c r="E2557" s="94" t="inlineStr">
        <is>
          <t>8 那怎么办呢？ Nà zěnme bàn ne? Vậy làm thế nào đây?</t>
        </is>
      </c>
      <c r="F2557" s="115">
        <f>HYPERLINK("https://youglish.com/pronounce/那怎么办呢/chinese","🔍")</f>
        <v/>
      </c>
    </row>
    <row r="2558">
      <c r="A2558" s="92" t="inlineStr">
        <is>
          <t>PDF 500 mẫu câu thông dụng.pdf</t>
        </is>
      </c>
      <c r="B2558" s="93" t="inlineStr">
        <is>
          <t>9</t>
        </is>
      </c>
      <c r="C2558" s="92" t="inlineStr">
        <is>
          <t>你吃饭了吗</t>
        </is>
      </c>
      <c r="D2558" s="92" t="inlineStr">
        <is>
          <t>Nǐ chī fàn le ma? Bạn ăn cơm chưa?</t>
        </is>
      </c>
      <c r="E2558" s="92" t="inlineStr">
        <is>
          <t>9 你吃饭了吗？ Nǐ chī fàn le ma? Bạn ăn cơm chưa?</t>
        </is>
      </c>
      <c r="F2558" s="114">
        <f>HYPERLINK("https://youglish.com/pronounce/你吃饭了吗/chinese","🔍")</f>
        <v/>
      </c>
    </row>
    <row r="2559">
      <c r="A2559" s="94" t="inlineStr">
        <is>
          <t>PDF 500 mẫu câu thông dụng.pdf</t>
        </is>
      </c>
      <c r="B2559" s="95" t="inlineStr">
        <is>
          <t>10</t>
        </is>
      </c>
      <c r="C2559" s="94" t="inlineStr">
        <is>
          <t>你多吃点儿</t>
        </is>
      </c>
      <c r="D2559" s="94" t="inlineStr">
        <is>
          <t>Nǐ duō chī diǎnr. Bạn ăn nhiều chút.</t>
        </is>
      </c>
      <c r="E2559" s="94" t="inlineStr">
        <is>
          <t>10 你多吃点儿。 Nǐ duō chī diǎnr. Bạn ăn nhiều chút.</t>
        </is>
      </c>
      <c r="F2559" s="115">
        <f>HYPERLINK("https://youglish.com/pronounce/你多吃点儿/chinese","🔍")</f>
        <v/>
      </c>
    </row>
    <row r="2560">
      <c r="A2560" s="92" t="inlineStr">
        <is>
          <t>PDF 500 mẫu câu thông dụng.pdf</t>
        </is>
      </c>
      <c r="B2560" s="93" t="inlineStr">
        <is>
          <t>11</t>
        </is>
      </c>
      <c r="C2560" s="92" t="inlineStr">
        <is>
          <t>你认错人了</t>
        </is>
      </c>
      <c r="D2560" s="92" t="inlineStr">
        <is>
          <t>Nǐ rèn cuò rén le. Bạn nhận nhầm người rồi.</t>
        </is>
      </c>
      <c r="E2560" s="92" t="inlineStr">
        <is>
          <t>11 你认错人了。 Nǐ rèn cuò rén le. Bạn nhận nhầm người rồi.</t>
        </is>
      </c>
      <c r="F2560" s="114">
        <f>HYPERLINK("https://youglish.com/pronounce/你认错人了/chinese","🔍")</f>
        <v/>
      </c>
    </row>
    <row r="2561">
      <c r="A2561" s="94" t="inlineStr">
        <is>
          <t>PDF 500 mẫu câu thông dụng.pdf</t>
        </is>
      </c>
      <c r="B2561" s="95" t="inlineStr">
        <is>
          <t>12</t>
        </is>
      </c>
      <c r="C2561" s="94" t="inlineStr">
        <is>
          <t>你睡得好吗</t>
        </is>
      </c>
      <c r="D2561" s="94" t="inlineStr">
        <is>
          <t>Nǐ shuì de hǎo ma? Bạn ngủ ngon không?</t>
        </is>
      </c>
      <c r="E2561" s="94" t="inlineStr">
        <is>
          <t>12 你睡得好吗？ Nǐ shuì de hǎo ma? Bạn ngủ ngon không?</t>
        </is>
      </c>
      <c r="F2561" s="115">
        <f>HYPERLINK("https://youglish.com/pronounce/你睡得好吗/chinese","🔍")</f>
        <v/>
      </c>
    </row>
    <row r="2562">
      <c r="A2562" s="92" t="inlineStr">
        <is>
          <t>PDF 500 mẫu câu thông dụng.pdf</t>
        </is>
      </c>
      <c r="B2562" s="93" t="inlineStr">
        <is>
          <t>13</t>
        </is>
      </c>
      <c r="C2562" s="92" t="inlineStr">
        <is>
          <t>你喜欢就好</t>
        </is>
      </c>
      <c r="D2562" s="92" t="inlineStr">
        <is>
          <t>Nǐ xǐhuan jiù hǎo. Bạn thích là được.</t>
        </is>
      </c>
      <c r="E2562" s="92" t="inlineStr">
        <is>
          <t>13 你喜欢就好。 Nǐ xǐhuan jiù hǎo. Bạn thích là được.</t>
        </is>
      </c>
      <c r="F2562" s="114">
        <f>HYPERLINK("https://youglish.com/pronounce/你喜欢就好/chinese","🔍")</f>
        <v/>
      </c>
    </row>
    <row r="2563">
      <c r="A2563" s="94" t="inlineStr">
        <is>
          <t>PDF 500 mẫu câu thông dụng.pdf</t>
        </is>
      </c>
      <c r="B2563" s="95" t="inlineStr">
        <is>
          <t>14</t>
        </is>
      </c>
      <c r="C2563" s="94" t="inlineStr">
        <is>
          <t>你想吃什么</t>
        </is>
      </c>
      <c r="D2563" s="94" t="inlineStr">
        <is>
          <t>Nǐ xiǎng chī shénme? Bạn muốn ăn gì?</t>
        </is>
      </c>
      <c r="E2563" s="94" t="inlineStr">
        <is>
          <t>14 你想吃什么？ Nǐ xiǎng chī shénme? Bạn muốn ăn gì?</t>
        </is>
      </c>
      <c r="F2563" s="115">
        <f>HYPERLINK("https://youglish.com/pronounce/你想吃什么/chinese","🔍")</f>
        <v/>
      </c>
    </row>
    <row r="2564">
      <c r="A2564" s="92" t="inlineStr">
        <is>
          <t>PDF 500 mẫu câu thông dụng.pdf</t>
        </is>
      </c>
      <c r="B2564" s="93" t="inlineStr">
        <is>
          <t>15</t>
        </is>
      </c>
      <c r="C2564" s="92" t="inlineStr">
        <is>
          <t>你想太多了</t>
        </is>
      </c>
      <c r="D2564" s="92" t="inlineStr">
        <is>
          <t>Nǐ xiǎng tài duō le. Bạn nghĩ quá nhiều rồi.</t>
        </is>
      </c>
      <c r="E2564" s="92" t="inlineStr">
        <is>
          <t>15 你想太多了。 Nǐ xiǎng tài duō le. Bạn nghĩ quá nhiều rồi.</t>
        </is>
      </c>
      <c r="F2564" s="114">
        <f>HYPERLINK("https://youglish.com/pronounce/你想太多了/chinese","🔍")</f>
        <v/>
      </c>
    </row>
    <row r="2565">
      <c r="A2565" s="94" t="inlineStr">
        <is>
          <t>PDF 500 mẫu câu thông dụng.pdf</t>
        </is>
      </c>
      <c r="B2565" s="95" t="inlineStr">
        <is>
          <t>16</t>
        </is>
      </c>
      <c r="C2565" s="94" t="inlineStr">
        <is>
          <t>你要相信我</t>
        </is>
      </c>
      <c r="D2565" s="94" t="inlineStr">
        <is>
          <t>Nǐ yào xiāngxìn wǒ. Bạn phải tin tôi.</t>
        </is>
      </c>
      <c r="E2565" s="94" t="inlineStr">
        <is>
          <t>16 你要相信我。 Nǐ yào xiāngxìn wǒ. Bạn phải tin tôi.</t>
        </is>
      </c>
      <c r="F2565" s="115">
        <f>HYPERLINK("https://youglish.com/pronounce/你要相信我/chinese","🔍")</f>
        <v/>
      </c>
    </row>
    <row r="2566">
      <c r="A2566" s="92" t="inlineStr">
        <is>
          <t>PDF 500 mẫu câu thông dụng.pdf</t>
        </is>
      </c>
      <c r="B2566" s="93" t="inlineStr">
        <is>
          <t>17</t>
        </is>
      </c>
      <c r="C2566" s="92" t="inlineStr">
        <is>
          <t>你用微信吗</t>
        </is>
      </c>
      <c r="D2566" s="92" t="inlineStr">
        <is>
          <t>Nǐ yòng Wēixìn ma? Bạn dùng Wechat không?</t>
        </is>
      </c>
      <c r="E2566" s="92" t="inlineStr">
        <is>
          <t>17 你用微信吗？ Nǐ yòng Wēixìn ma? Bạn dùng Wechat không?</t>
        </is>
      </c>
      <c r="F2566" s="114">
        <f>HYPERLINK("https://youglish.com/pronounce/你用微信吗/chinese","🔍")</f>
        <v/>
      </c>
    </row>
    <row r="2567">
      <c r="A2567" s="94" t="inlineStr">
        <is>
          <t>PDF 500 mẫu câu thông dụng.pdf</t>
        </is>
      </c>
      <c r="B2567" s="95" t="inlineStr">
        <is>
          <t>18</t>
        </is>
      </c>
      <c r="C2567" s="94" t="inlineStr">
        <is>
          <t>你怎么知道</t>
        </is>
      </c>
      <c r="D2567" s="94" t="inlineStr">
        <is>
          <t>? Nǐ zěnme zhīdào? Làm sao bạn biết được?</t>
        </is>
      </c>
      <c r="E2567" s="94" t="inlineStr">
        <is>
          <t>18 你怎么知道? Nǐ zěnme zhīdào? Làm sao bạn biết được?</t>
        </is>
      </c>
      <c r="F2567" s="115">
        <f>HYPERLINK("https://youglish.com/pronounce/你怎么知道/chinese","🔍")</f>
        <v/>
      </c>
    </row>
    <row r="2568">
      <c r="A2568" s="92" t="inlineStr">
        <is>
          <t>PDF 500 mẫu câu thông dụng.pdf</t>
        </is>
      </c>
      <c r="B2568" s="93" t="inlineStr">
        <is>
          <t>19</t>
        </is>
      </c>
      <c r="C2568" s="92" t="inlineStr">
        <is>
          <t>你住在哪儿</t>
        </is>
      </c>
      <c r="D2568" s="92" t="inlineStr">
        <is>
          <t>? Nǐ zhù zài nǎr? Bạn sống ở đâu?</t>
        </is>
      </c>
      <c r="E2568" s="92" t="inlineStr">
        <is>
          <t>19 你住在哪儿? Nǐ zhù zài nǎr? Bạn sống ở đâu?</t>
        </is>
      </c>
      <c r="F2568" s="114">
        <f>HYPERLINK("https://youglish.com/pronounce/你住在哪儿/chinese","🔍")</f>
        <v/>
      </c>
    </row>
    <row r="2569">
      <c r="A2569" s="94" t="inlineStr">
        <is>
          <t>PDF 500 mẫu câu thông dụng.pdf</t>
        </is>
      </c>
      <c r="B2569" s="95" t="inlineStr">
        <is>
          <t>20</t>
        </is>
      </c>
      <c r="C2569" s="94" t="inlineStr">
        <is>
          <t>你做完了吗</t>
        </is>
      </c>
      <c r="D2569" s="94" t="inlineStr">
        <is>
          <t>? Nǐ zuòwán le ma? Bạn làm xong rồi sao?</t>
        </is>
      </c>
      <c r="E2569" s="94" t="inlineStr">
        <is>
          <t>20 你做完了吗? Nǐ zuòwán le ma? Bạn làm xong rồi sao?</t>
        </is>
      </c>
      <c r="F2569" s="115">
        <f>HYPERLINK("https://youglish.com/pronounce/你做完了吗/chinese","🔍")</f>
        <v/>
      </c>
    </row>
    <row r="2570">
      <c r="A2570" s="92" t="inlineStr">
        <is>
          <t>PDF 500 mẫu câu thông dụng.pdf</t>
        </is>
      </c>
      <c r="B2570" s="93" t="inlineStr">
        <is>
          <t>21</t>
        </is>
      </c>
      <c r="C2570" s="92" t="inlineStr">
        <is>
          <t>时间不早了</t>
        </is>
      </c>
      <c r="D2570" s="92" t="inlineStr">
        <is>
          <t>Shíjiān bù zǎo le. Không còn sớm nữa.</t>
        </is>
      </c>
      <c r="E2570" s="92" t="inlineStr">
        <is>
          <t>21 时间不早了。 Shíjiān bù zǎo le. Không còn sớm nữa.</t>
        </is>
      </c>
      <c r="F2570" s="114">
        <f>HYPERLINK("https://youglish.com/pronounce/时间不早了/chinese","🔍")</f>
        <v/>
      </c>
    </row>
    <row r="2571">
      <c r="A2571" s="94" t="inlineStr">
        <is>
          <t>PDF 500 mẫu câu thông dụng.pdf</t>
        </is>
      </c>
      <c r="B2571" s="95" t="inlineStr">
        <is>
          <t>22</t>
        </is>
      </c>
      <c r="C2571" s="94" t="inlineStr">
        <is>
          <t>我马上就到</t>
        </is>
      </c>
      <c r="D2571" s="94" t="inlineStr">
        <is>
          <t>Wǒ mǎshàng jiù dào. Tôi lập tức đến ngay.</t>
        </is>
      </c>
      <c r="E2571" s="94" t="inlineStr">
        <is>
          <t>22 我马上就到。 Wǒ mǎshàng jiù dào. Tôi lập tức đến ngay.</t>
        </is>
      </c>
      <c r="F2571" s="115">
        <f>HYPERLINK("https://youglish.com/pronounce/我马上就到/chinese","🔍")</f>
        <v/>
      </c>
    </row>
    <row r="2572">
      <c r="A2572" s="92" t="inlineStr">
        <is>
          <t>PDF 500 mẫu câu thông dụng.pdf</t>
        </is>
      </c>
      <c r="B2572" s="93" t="inlineStr">
        <is>
          <t>23</t>
        </is>
      </c>
      <c r="C2572" s="92" t="inlineStr">
        <is>
          <t>我没有看见</t>
        </is>
      </c>
      <c r="D2572" s="92" t="inlineStr">
        <is>
          <t>Wǒ méiyǒu kànjiàn. Tôi không nhìn thấy.</t>
        </is>
      </c>
      <c r="E2572" s="92" t="inlineStr">
        <is>
          <t>23 我没有看见。 Wǒ méiyǒu kànjiàn. Tôi không nhìn thấy.</t>
        </is>
      </c>
      <c r="F2572" s="114">
        <f>HYPERLINK("https://youglish.com/pronounce/我没有看见/chinese","🔍")</f>
        <v/>
      </c>
    </row>
    <row r="2573">
      <c r="A2573" s="94" t="inlineStr">
        <is>
          <t>PDF 500 mẫu câu thông dụng.pdf</t>
        </is>
      </c>
      <c r="B2573" s="95" t="inlineStr">
        <is>
          <t>24</t>
        </is>
      </c>
      <c r="C2573" s="94" t="inlineStr">
        <is>
          <t>我没时间了</t>
        </is>
      </c>
      <c r="D2573" s="94" t="inlineStr">
        <is>
          <t>Wǒ méi shíjiān le. Tôi không có thời gian nữa.</t>
        </is>
      </c>
      <c r="E2573" s="94" t="inlineStr">
        <is>
          <t>24 我没时间了。 Wǒ méi shíjiān le. Tôi không có thời gian nữa.</t>
        </is>
      </c>
      <c r="F2573" s="115">
        <f>HYPERLINK("https://youglish.com/pronounce/我没时间了/chinese","🔍")</f>
        <v/>
      </c>
    </row>
    <row r="2574">
      <c r="A2574" s="92" t="inlineStr">
        <is>
          <t>PDF 500 mẫu câu thông dụng.pdf</t>
        </is>
      </c>
      <c r="B2574" s="93" t="inlineStr">
        <is>
          <t>25</t>
        </is>
      </c>
      <c r="C2574" s="92" t="inlineStr">
        <is>
          <t>我们开始吧</t>
        </is>
      </c>
      <c r="D2574" s="92" t="inlineStr">
        <is>
          <t>Wǒmen kāishǐ ba. Chúng ta bắt đầu đi.</t>
        </is>
      </c>
      <c r="E2574" s="92" t="inlineStr">
        <is>
          <t>25 我们开始吧。 Wǒmen kāishǐ ba. Chúng ta bắt đầu đi.</t>
        </is>
      </c>
      <c r="F2574" s="114">
        <f>HYPERLINK("https://youglish.com/pronounce/我们开始吧/chinese","🔍")</f>
        <v/>
      </c>
    </row>
    <row r="2575">
      <c r="A2575" s="94" t="inlineStr">
        <is>
          <t>PDF 500 mẫu câu thông dụng.pdf</t>
        </is>
      </c>
      <c r="B2575" s="95" t="inlineStr">
        <is>
          <t>26</t>
        </is>
      </c>
      <c r="C2575" s="94" t="inlineStr">
        <is>
          <t>我们去看看</t>
        </is>
      </c>
      <c r="D2575" s="94" t="inlineStr">
        <is>
          <t>Wǒmen qù kànkan. Chúng ta đi xem xem.</t>
        </is>
      </c>
      <c r="E2575" s="94" t="inlineStr">
        <is>
          <t>26 我们去看看。 Wǒmen qù kànkan. Chúng ta đi xem xem.</t>
        </is>
      </c>
      <c r="F2575" s="115">
        <f>HYPERLINK("https://youglish.com/pronounce/我们去看看/chinese","🔍")</f>
        <v/>
      </c>
    </row>
    <row r="2576">
      <c r="A2576" s="92" t="inlineStr">
        <is>
          <t>PDF 500 mẫu câu thông dụng.pdf</t>
        </is>
      </c>
      <c r="B2576" s="93" t="inlineStr">
        <is>
          <t>27</t>
        </is>
      </c>
      <c r="C2576" s="92" t="inlineStr">
        <is>
          <t>我想问一下</t>
        </is>
      </c>
      <c r="D2576" s="92" t="inlineStr">
        <is>
          <t>Wǒ xiǎng wèn yíxià. Tôi muốn hỏi một chút.</t>
        </is>
      </c>
      <c r="E2576" s="92" t="inlineStr">
        <is>
          <t>27 我想问一下。 Wǒ xiǎng wèn yíxià. Tôi muốn hỏi một chút.</t>
        </is>
      </c>
      <c r="F2576" s="114">
        <f>HYPERLINK("https://youglish.com/pronounce/我想问一下/chinese","🔍")</f>
        <v/>
      </c>
    </row>
    <row r="2577">
      <c r="A2577" s="94" t="inlineStr">
        <is>
          <t>PDF 500 mẫu câu thông dụng.pdf</t>
        </is>
      </c>
      <c r="B2577" s="95" t="inlineStr">
        <is>
          <t>28</t>
        </is>
      </c>
      <c r="C2577" s="94" t="inlineStr">
        <is>
          <t>我准备好了</t>
        </is>
      </c>
      <c r="D2577" s="94" t="inlineStr">
        <is>
          <t>Wǒ zhǔnbèi hǎo le. Tôi chuẩn bị xong rồi.</t>
        </is>
      </c>
      <c r="E2577" s="94" t="inlineStr">
        <is>
          <t>28 我准备好了。 Wǒ zhǔnbèi hǎo le. Tôi chuẩn bị xong rồi.</t>
        </is>
      </c>
      <c r="F2577" s="115">
        <f>HYPERLINK("https://youglish.com/pronounce/我准备好了/chinese","🔍")</f>
        <v/>
      </c>
    </row>
    <row r="2578">
      <c r="A2578" s="92" t="inlineStr">
        <is>
          <t>PDF 500 mẫu câu thông dụng.pdf</t>
        </is>
      </c>
      <c r="B2578" s="93" t="inlineStr">
        <is>
          <t>29</t>
        </is>
      </c>
      <c r="C2578" s="92" t="inlineStr">
        <is>
          <t>现在几点了</t>
        </is>
      </c>
      <c r="D2578" s="92" t="inlineStr">
        <is>
          <t>? Xiànzài jǐ diǎn le? Bây giờ là mấy giờ rồi?</t>
        </is>
      </c>
      <c r="E2578" s="92" t="inlineStr">
        <is>
          <t>29 现在几点了? Xiànzài jǐ diǎn le? Bây giờ là mấy giờ rồi?</t>
        </is>
      </c>
      <c r="F2578" s="114">
        <f>HYPERLINK("https://youglish.com/pronounce/现在几点了/chinese","🔍")</f>
        <v/>
      </c>
    </row>
    <row r="2579">
      <c r="A2579" s="94" t="inlineStr">
        <is>
          <t>PDF 500 mẫu câu thông dụng.pdf</t>
        </is>
      </c>
      <c r="B2579" s="95" t="inlineStr">
        <is>
          <t>30</t>
        </is>
      </c>
      <c r="C2579" s="94" t="inlineStr">
        <is>
          <t>想不想试试</t>
        </is>
      </c>
      <c r="D2579" s="94" t="inlineStr">
        <is>
          <t>? Xiǎngbuxiǎng shìshi? Có muốn thử không?</t>
        </is>
      </c>
      <c r="E2579" s="94" t="inlineStr">
        <is>
          <t>30 想不想试试? Xiǎngbuxiǎng shìshi? Có muốn thử không?</t>
        </is>
      </c>
      <c r="F2579" s="115">
        <f>HYPERLINK("https://youglish.com/pronounce/想不想试试/chinese","🔍")</f>
        <v/>
      </c>
    </row>
    <row r="2580">
      <c r="A2580" s="92" t="inlineStr">
        <is>
          <t>PDF 500 mẫu câu thông dụng.pdf</t>
        </is>
      </c>
      <c r="B2580" s="93" t="inlineStr">
        <is>
          <t>31</t>
        </is>
      </c>
      <c r="C2580" s="92" t="inlineStr">
        <is>
          <t>要注意身体</t>
        </is>
      </c>
      <c r="D2580" s="92" t="inlineStr">
        <is>
          <t>Yào zhùyì shēntǐ. Phải chú ý sức khỏe.</t>
        </is>
      </c>
      <c r="E2580" s="92" t="inlineStr">
        <is>
          <t>31 要注意身体。 Yào zhùyì shēntǐ. Phải chú ý sức khỏe.</t>
        </is>
      </c>
      <c r="F2580" s="114">
        <f>HYPERLINK("https://youglish.com/pronounce/要注意身体/chinese","🔍")</f>
        <v/>
      </c>
    </row>
    <row r="2581">
      <c r="A2581" s="94" t="inlineStr">
        <is>
          <t>PDF 500 mẫu câu thông dụng.pdf</t>
        </is>
      </c>
      <c r="B2581" s="95" t="inlineStr">
        <is>
          <t>32</t>
        </is>
      </c>
      <c r="C2581" s="94" t="inlineStr">
        <is>
          <t>以后再说吧</t>
        </is>
      </c>
      <c r="D2581" s="94" t="inlineStr">
        <is>
          <t>Yǐhòu zài shuō ba. Nói sau đi.</t>
        </is>
      </c>
      <c r="E2581" s="94" t="inlineStr">
        <is>
          <t>32 以后再说吧。 Yǐhòu zài shuō ba. Nói sau đi.</t>
        </is>
      </c>
      <c r="F2581" s="115">
        <f>HYPERLINK("https://youglish.com/pronounce/以后再说吧/chinese","🔍")</f>
        <v/>
      </c>
    </row>
    <row r="2582">
      <c r="A2582" s="92" t="inlineStr">
        <is>
          <t>PDF 500 mẫu câu thông dụng.pdf</t>
        </is>
      </c>
      <c r="B2582" s="93" t="inlineStr">
        <is>
          <t>33</t>
        </is>
      </c>
      <c r="C2582" s="92" t="inlineStr">
        <is>
          <t>这个很简单</t>
        </is>
      </c>
      <c r="D2582" s="92" t="inlineStr">
        <is>
          <t>Zhège hěn jiǎndān. Cái này rất đơn giản.</t>
        </is>
      </c>
      <c r="E2582" s="92" t="inlineStr">
        <is>
          <t>33 这个很简单。 Zhège hěn jiǎndān. Cái này rất đơn giản.</t>
        </is>
      </c>
      <c r="F2582" s="114">
        <f>HYPERLINK("https://youglish.com/pronounce/这个很简单/chinese","🔍")</f>
        <v/>
      </c>
    </row>
    <row r="2583">
      <c r="A2583" s="94" t="inlineStr">
        <is>
          <t>PDF 500 mẫu câu thông dụng.pdf</t>
        </is>
      </c>
      <c r="B2583" s="95" t="inlineStr">
        <is>
          <t>34</t>
        </is>
      </c>
      <c r="C2583" s="94" t="inlineStr">
        <is>
          <t>这里有人吗</t>
        </is>
      </c>
      <c r="D2583" s="94" t="inlineStr">
        <is>
          <t>? Zhèli yǒu rén ma? Có ai ở đây không?</t>
        </is>
      </c>
      <c r="E2583" s="94" t="inlineStr">
        <is>
          <t>34 这里有人吗? Zhèli yǒu rén ma? Có ai ở đây không?</t>
        </is>
      </c>
      <c r="F2583" s="115">
        <f>HYPERLINK("https://youglish.com/pronounce/这里有人吗/chinese","🔍")</f>
        <v/>
      </c>
    </row>
    <row r="2584">
      <c r="A2584" s="92" t="inlineStr">
        <is>
          <t>PDF 500 mẫu câu thông dụng.pdf</t>
        </is>
      </c>
      <c r="B2584" s="93" t="inlineStr">
        <is>
          <t>35</t>
        </is>
      </c>
      <c r="C2584" s="92" t="inlineStr">
        <is>
          <t>最近怎么样</t>
        </is>
      </c>
      <c r="D2584" s="92" t="inlineStr">
        <is>
          <t>Zuìjìn zěnmeyàng？ Dạo này thế nào rồi?</t>
        </is>
      </c>
      <c r="E2584" s="92" t="inlineStr">
        <is>
          <t>35 最近怎么样？ Zuìjìn zěnmeyàng？ Dạo này thế nào rồi?</t>
        </is>
      </c>
      <c r="F2584" s="114">
        <f>HYPERLINK("https://youglish.com/pronounce/最近怎么样/chinese","🔍")</f>
        <v/>
      </c>
    </row>
    <row r="2585">
      <c r="A2585" s="94" t="inlineStr">
        <is>
          <t>PDF 500 mẫu câu thông dụng.pdf</t>
        </is>
      </c>
      <c r="B2585" s="95" t="inlineStr">
        <is>
          <t>1</t>
        </is>
      </c>
      <c r="C2585" s="94" t="inlineStr">
        <is>
          <t>别忘了打电话</t>
        </is>
      </c>
      <c r="D2585" s="94" t="inlineStr">
        <is>
          <t>Bié wàng le dǎ diànhuà. Đừng quên gọi điện thoại.</t>
        </is>
      </c>
      <c r="E2585" s="94" t="inlineStr">
        <is>
          <t>1 别忘了打电话。 Bié wàng le dǎ diànhuà. Đừng quên gọi điện thoại.</t>
        </is>
      </c>
      <c r="F2585" s="115">
        <f>HYPERLINK("https://youglish.com/pronounce/别忘了打电话/chinese","🔍")</f>
        <v/>
      </c>
    </row>
    <row r="2586" ht="28.5" customHeight="1" s="99">
      <c r="A2586" s="92" t="inlineStr">
        <is>
          <t>PDF 500 mẫu câu thông dụng.pdf</t>
        </is>
      </c>
      <c r="B2586" s="93" t="inlineStr">
        <is>
          <t>2</t>
        </is>
      </c>
      <c r="C2586" s="92" t="inlineStr">
        <is>
          <t>感觉好些了吗</t>
        </is>
      </c>
      <c r="D2586" s="92" t="inlineStr">
        <is>
          <t>Gǎnjué hǎo xiē le ma? Cảm thấy đỡ hơn chút nào chưa?</t>
        </is>
      </c>
      <c r="E2586" s="92" t="inlineStr">
        <is>
          <t>2 感觉好些了吗？ Gǎnjué hǎo xiē le ma? Cảm thấy đỡ hơn chút nào chưa?</t>
        </is>
      </c>
      <c r="F2586" s="114">
        <f>HYPERLINK("https://youglish.com/pronounce/感觉好些了吗/chinese","🔍")</f>
        <v/>
      </c>
    </row>
    <row r="2587">
      <c r="A2587" s="94" t="inlineStr">
        <is>
          <t>PDF 500 mẫu câu thông dụng.pdf</t>
        </is>
      </c>
      <c r="B2587" s="95" t="inlineStr">
        <is>
          <t>3</t>
        </is>
      </c>
      <c r="C2587" s="94" t="inlineStr">
        <is>
          <t>那是不可能的</t>
        </is>
      </c>
      <c r="D2587" s="94" t="inlineStr">
        <is>
          <t>Nà shì bù kěnéng de. Không thể thế được.</t>
        </is>
      </c>
      <c r="E2587" s="94" t="inlineStr">
        <is>
          <t>3 那是不可能的。 Nà shì bù kěnéng de. Không thể thế được.</t>
        </is>
      </c>
      <c r="F2587" s="115">
        <f>HYPERLINK("https://youglish.com/pronounce/那是不可能的/chinese","🔍")</f>
        <v/>
      </c>
    </row>
    <row r="2588">
      <c r="A2588" s="92" t="inlineStr">
        <is>
          <t>PDF 500 mẫu câu thông dụng.pdf</t>
        </is>
      </c>
      <c r="B2588" s="93" t="inlineStr">
        <is>
          <t>4</t>
        </is>
      </c>
      <c r="C2588" s="92" t="inlineStr">
        <is>
          <t>你到底要怎样</t>
        </is>
      </c>
      <c r="D2588" s="92" t="inlineStr">
        <is>
          <t>Nǐ dàodǐ yào zěnyàng? Rốt cuộc bạn muốn thế nào?</t>
        </is>
      </c>
      <c r="E2588" s="92" t="inlineStr">
        <is>
          <t>4 你到底要怎样？ Nǐ dàodǐ yào zěnyàng? Rốt cuộc bạn muốn thế nào?</t>
        </is>
      </c>
      <c r="F2588" s="114">
        <f>HYPERLINK("https://youglish.com/pronounce/你到底要怎样/chinese","🔍")</f>
        <v/>
      </c>
    </row>
    <row r="2589">
      <c r="A2589" s="94" t="inlineStr">
        <is>
          <t>PDF 500 mẫu câu thông dụng.pdf</t>
        </is>
      </c>
      <c r="B2589" s="95" t="inlineStr">
        <is>
          <t>5</t>
        </is>
      </c>
      <c r="C2589" s="94" t="inlineStr">
        <is>
          <t>你觉得怎么样</t>
        </is>
      </c>
      <c r="D2589" s="94" t="inlineStr">
        <is>
          <t>Nǐ juéde zěnmeyàng？ Bạn cảm thấy thế nào?</t>
        </is>
      </c>
      <c r="E2589" s="94" t="inlineStr">
        <is>
          <t>5 你觉得怎么样？ Nǐ juéde zěnmeyàng？ Bạn cảm thấy thế nào?</t>
        </is>
      </c>
      <c r="F2589" s="115">
        <f>HYPERLINK("https://youglish.com/pronounce/你觉得怎么样/chinese","🔍")</f>
        <v/>
      </c>
    </row>
    <row r="2590">
      <c r="A2590" s="92" t="inlineStr">
        <is>
          <t>PDF 500 mẫu câu thông dụng.pdf</t>
        </is>
      </c>
      <c r="B2590" s="93" t="inlineStr">
        <is>
          <t>6</t>
        </is>
      </c>
      <c r="C2590" s="92" t="inlineStr">
        <is>
          <t>你看见他了吗</t>
        </is>
      </c>
      <c r="D2590" s="92" t="inlineStr">
        <is>
          <t>Nǐ kànjiàn tā le ma? Bạn nhìn thấy anh ấy chưa?</t>
        </is>
      </c>
      <c r="E2590" s="92" t="inlineStr">
        <is>
          <t>6 你看见他了吗？ Nǐ kànjiàn tā le ma? Bạn nhìn thấy anh ấy chưa?</t>
        </is>
      </c>
      <c r="F2590" s="114">
        <f>HYPERLINK("https://youglish.com/pronounce/你看见他了吗/chinese","🔍")</f>
        <v/>
      </c>
    </row>
    <row r="2591">
      <c r="A2591" s="94" t="inlineStr">
        <is>
          <t>PDF 500 mẫu câu thông dụng.pdf</t>
        </is>
      </c>
      <c r="B2591" s="95" t="inlineStr">
        <is>
          <t>7</t>
        </is>
      </c>
      <c r="C2591" s="94" t="inlineStr">
        <is>
          <t>你以为你是谁</t>
        </is>
      </c>
      <c r="D2591" s="94" t="inlineStr">
        <is>
          <t>! Nǐ yǐwéi nǐ shì shéi! Bạn nghĩ bạn là ai!</t>
        </is>
      </c>
      <c r="E2591" s="94" t="inlineStr">
        <is>
          <t>7 你以为你是谁! Nǐ yǐwéi nǐ shì shéi! Bạn nghĩ bạn là ai!</t>
        </is>
      </c>
      <c r="F2591" s="115">
        <f>HYPERLINK("https://youglish.com/pronounce/你以为你是谁/chinese","🔍")</f>
        <v/>
      </c>
    </row>
    <row r="2592" ht="28.5" customHeight="1" s="99">
      <c r="A2592" s="92" t="inlineStr">
        <is>
          <t>PDF 500 mẫu câu thông dụng.pdf</t>
        </is>
      </c>
      <c r="B2592" s="93" t="inlineStr">
        <is>
          <t>8</t>
        </is>
      </c>
      <c r="C2592" s="92" t="inlineStr">
        <is>
          <t>请您再说一遍</t>
        </is>
      </c>
      <c r="D2592" s="92" t="inlineStr">
        <is>
          <t>Qǐng nín zài shuō yí biàn. Phiền anh nhắc/nói lại lần nữa ạ.</t>
        </is>
      </c>
      <c r="E2592" s="92" t="inlineStr">
        <is>
          <t>8 请您再说一遍。 Qǐng nín zài shuō yí biàn. Phiền anh nhắc/nói lại lần nữa ạ.</t>
        </is>
      </c>
      <c r="F2592" s="114">
        <f>HYPERLINK("https://youglish.com/pronounce/请您再说一遍/chinese","🔍")</f>
        <v/>
      </c>
    </row>
    <row r="2593">
      <c r="A2593" s="94" t="inlineStr">
        <is>
          <t>PDF 500 mẫu câu thông dụng.pdf</t>
        </is>
      </c>
      <c r="B2593" s="95" t="inlineStr">
        <is>
          <t>9</t>
        </is>
      </c>
      <c r="C2593" s="94" t="inlineStr">
        <is>
          <t>他是做什么的</t>
        </is>
      </c>
      <c r="D2593" s="94" t="inlineStr">
        <is>
          <t>? Tā shì zuò shénme de？ Anh ta làm gì thế?</t>
        </is>
      </c>
      <c r="E2593" s="94" t="inlineStr">
        <is>
          <t>9 他是做什么的? Tā shì zuò shénme de？ Anh ta làm gì thế?</t>
        </is>
      </c>
      <c r="F2593" s="115">
        <f>HYPERLINK("https://youglish.com/pronounce/他是做什么的/chinese","🔍")</f>
        <v/>
      </c>
    </row>
    <row r="2594">
      <c r="A2594" s="92" t="inlineStr">
        <is>
          <t>PDF 500 mẫu câu thông dụng.pdf</t>
        </is>
      </c>
      <c r="B2594" s="93" t="inlineStr">
        <is>
          <t>10</t>
        </is>
      </c>
      <c r="C2594" s="92" t="inlineStr">
        <is>
          <t>我不能再等了</t>
        </is>
      </c>
      <c r="D2594" s="92" t="inlineStr">
        <is>
          <t>Wǒ bù néng zài děng le. Tôi không thể đợi thêm nữa.</t>
        </is>
      </c>
      <c r="E2594" s="92" t="inlineStr">
        <is>
          <t>10 我不能再等了。 Wǒ bù néng zài děng le. Tôi không thể đợi thêm nữa.</t>
        </is>
      </c>
      <c r="F2594" s="114">
        <f>HYPERLINK("https://youglish.com/pronounce/我不能再等了/chinese","🔍")</f>
        <v/>
      </c>
    </row>
    <row r="2595">
      <c r="A2595" s="94" t="inlineStr">
        <is>
          <t>PDF 500 mẫu câu thông dụng.pdf</t>
        </is>
      </c>
      <c r="B2595" s="95" t="inlineStr">
        <is>
          <t>11</t>
        </is>
      </c>
      <c r="C2595" s="94" t="inlineStr">
        <is>
          <t>我不是故意的</t>
        </is>
      </c>
      <c r="D2595" s="94" t="inlineStr">
        <is>
          <t>Wǒ bú shì gùyì de. Tôi không cố ý đâu.</t>
        </is>
      </c>
      <c r="E2595" s="94" t="inlineStr">
        <is>
          <t>11 我不是故意的。 Wǒ bú shì gùyì de. Tôi không cố ý đâu.</t>
        </is>
      </c>
      <c r="F2595" s="115">
        <f>HYPERLINK("https://youglish.com/pronounce/我不是故意的/chinese","🔍")</f>
        <v/>
      </c>
    </row>
    <row r="2596">
      <c r="A2596" s="92" t="inlineStr">
        <is>
          <t>PDF 500 mẫu câu thông dụng.pdf</t>
        </is>
      </c>
      <c r="B2596" s="93" t="inlineStr">
        <is>
          <t>12</t>
        </is>
      </c>
      <c r="C2596" s="92" t="inlineStr">
        <is>
          <t>我的汉语不好</t>
        </is>
      </c>
      <c r="D2596" s="92" t="inlineStr">
        <is>
          <t>Wǒ de Hànyǔ bù hǎo. Tiếng Trung của tôi không tốt.</t>
        </is>
      </c>
      <c r="E2596" s="92" t="inlineStr">
        <is>
          <t>12 我的汉语不好。 Wǒ de Hànyǔ bù hǎo. Tiếng Trung của tôi không tốt.</t>
        </is>
      </c>
      <c r="F2596" s="114">
        <f>HYPERLINK("https://youglish.com/pronounce/我的汉语不好/chinese","🔍")</f>
        <v/>
      </c>
    </row>
    <row r="2597">
      <c r="A2597" s="94" t="inlineStr">
        <is>
          <t>PDF 500 mẫu câu thông dụng.pdf</t>
        </is>
      </c>
      <c r="B2597" s="95" t="inlineStr">
        <is>
          <t>13</t>
        </is>
      </c>
      <c r="C2597" s="94" t="inlineStr">
        <is>
          <t>我的钱包丢了</t>
        </is>
      </c>
      <c r="D2597" s="94" t="inlineStr">
        <is>
          <t>Wǒ de qiánbāo diū le. Tôi mất ví rồi.</t>
        </is>
      </c>
      <c r="E2597" s="94" t="inlineStr">
        <is>
          <t>13 我的钱包丢了。 Wǒ de qiánbāo diū le. Tôi mất ví rồi.</t>
        </is>
      </c>
      <c r="F2597" s="115">
        <f>HYPERLINK("https://youglish.com/pronounce/我的钱包丢了/chinese","🔍")</f>
        <v/>
      </c>
    </row>
    <row r="2598">
      <c r="A2598" s="92" t="inlineStr">
        <is>
          <t>PDF 500 mẫu câu thông dụng.pdf</t>
        </is>
      </c>
      <c r="B2598" s="93" t="inlineStr">
        <is>
          <t>14</t>
        </is>
      </c>
      <c r="C2598" s="92" t="inlineStr">
        <is>
          <t>我还没准备好</t>
        </is>
      </c>
      <c r="D2598" s="92" t="inlineStr">
        <is>
          <t>Wǒ hái méi zhǔnbèi hǎo. Tôi chưa chuẩn bị xong.</t>
        </is>
      </c>
      <c r="E2598" s="92" t="inlineStr">
        <is>
          <t>14 我还没准备好。 Wǒ hái méi zhǔnbèi hǎo. Tôi chưa chuẩn bị xong.</t>
        </is>
      </c>
      <c r="F2598" s="114">
        <f>HYPERLINK("https://youglish.com/pronounce/我还没准备好/chinese","🔍")</f>
        <v/>
      </c>
    </row>
    <row r="2599">
      <c r="A2599" s="94" t="inlineStr">
        <is>
          <t>PDF 500 mẫu câu thông dụng.pdf</t>
        </is>
      </c>
      <c r="B2599" s="95" t="inlineStr">
        <is>
          <t>15</t>
        </is>
      </c>
      <c r="C2599" s="94" t="inlineStr">
        <is>
          <t>我来介绍一下</t>
        </is>
      </c>
      <c r="D2599" s="94" t="inlineStr">
        <is>
          <t>Wǒ lái jièshào yíxià. Tôi đến giới thiệu một chút.</t>
        </is>
      </c>
      <c r="E2599" s="94" t="inlineStr">
        <is>
          <t>15 我来介绍一下。 Wǒ lái jièshào yíxià. Tôi đến giới thiệu một chút.</t>
        </is>
      </c>
      <c r="F2599" s="115">
        <f>HYPERLINK("https://youglish.com/pronounce/我来介绍一下/chinese","🔍")</f>
        <v/>
      </c>
    </row>
    <row r="2600" ht="28.5" customHeight="1" s="99">
      <c r="A2600" s="92" t="inlineStr">
        <is>
          <t>PDF 500 mẫu câu thông dụng.pdf</t>
        </is>
      </c>
      <c r="B2600" s="93" t="inlineStr">
        <is>
          <t>16</t>
        </is>
      </c>
      <c r="C2600" s="92" t="inlineStr">
        <is>
          <t>我们几点见面</t>
        </is>
      </c>
      <c r="D2600" s="92" t="inlineStr">
        <is>
          <t>Wǒmen jǐ diǎn jiàn miàn? Chúng ta mấy giờ gặp nhau?</t>
        </is>
      </c>
      <c r="E2600" s="92" t="inlineStr">
        <is>
          <t>16 我们几点见面？ Wǒmen jǐ diǎn jiàn miàn? Chúng ta mấy giờ gặp nhau?</t>
        </is>
      </c>
      <c r="F2600" s="114">
        <f>HYPERLINK("https://youglish.com/pronounce/我们几点见面/chinese","🔍")</f>
        <v/>
      </c>
    </row>
    <row r="2601">
      <c r="A2601" s="94" t="inlineStr">
        <is>
          <t>PDF 500 mẫu câu thông dụng.pdf</t>
        </is>
      </c>
      <c r="B2601" s="95" t="inlineStr">
        <is>
          <t>17</t>
        </is>
      </c>
      <c r="C2601" s="94" t="inlineStr">
        <is>
          <t>我明天来接你</t>
        </is>
      </c>
      <c r="D2601" s="94" t="inlineStr">
        <is>
          <t>Wǒ míngtiān lái jiē nǐ. Ngày mai tôi đến đón bạn.</t>
        </is>
      </c>
      <c r="E2601" s="94" t="inlineStr">
        <is>
          <t>17 我明天来接你。 Wǒ míngtiān lái jiē nǐ. Ngày mai tôi đến đón bạn.</t>
        </is>
      </c>
      <c r="F2601" s="115">
        <f>HYPERLINK("https://youglish.com/pronounce/我明天来接你/chinese","🔍")</f>
        <v/>
      </c>
    </row>
    <row r="2602">
      <c r="A2602" s="92" t="inlineStr">
        <is>
          <t>PDF 500 mẫu câu thông dụng.pdf</t>
        </is>
      </c>
      <c r="B2602" s="93" t="inlineStr">
        <is>
          <t>18</t>
        </is>
      </c>
      <c r="C2602" s="92" t="inlineStr">
        <is>
          <t>我忘了一件事</t>
        </is>
      </c>
      <c r="D2602" s="92" t="inlineStr">
        <is>
          <t>Wǒ wàng le yí jiàn shì. Tôi đã quên một việc.</t>
        </is>
      </c>
      <c r="E2602" s="92" t="inlineStr">
        <is>
          <t>18 我忘了一件事。 Wǒ wàng le yí jiàn shì. Tôi đã quên một việc.</t>
        </is>
      </c>
      <c r="F2602" s="114">
        <f>HYPERLINK("https://youglish.com/pronounce/我忘了一件事/chinese","🔍")</f>
        <v/>
      </c>
    </row>
    <row r="2603">
      <c r="A2603" s="94" t="inlineStr">
        <is>
          <t>PDF 500 mẫu câu thông dụng.pdf</t>
        </is>
      </c>
      <c r="B2603" s="95" t="inlineStr">
        <is>
          <t>19</t>
        </is>
      </c>
      <c r="C2603" s="94" t="inlineStr">
        <is>
          <t>我也不太清楚</t>
        </is>
      </c>
      <c r="D2603" s="94" t="inlineStr">
        <is>
          <t>Wǒ yě bú tài qīngchu. Tôi cũng không rõ lắm.</t>
        </is>
      </c>
      <c r="E2603" s="94" t="inlineStr">
        <is>
          <t>19 我也不太清楚。 Wǒ yě bú tài qīngchu. Tôi cũng không rõ lắm.</t>
        </is>
      </c>
      <c r="F2603" s="115">
        <f>HYPERLINK("https://youglish.com/pronounce/我也不太清楚/chinese","🔍")</f>
        <v/>
      </c>
    </row>
    <row r="2604">
      <c r="A2604" s="92" t="inlineStr">
        <is>
          <t>PDF 500 mẫu câu thông dụng.pdf</t>
        </is>
      </c>
      <c r="B2604" s="93" t="inlineStr">
        <is>
          <t>20</t>
        </is>
      </c>
      <c r="C2604" s="92" t="inlineStr">
        <is>
          <t>我一会儿再来</t>
        </is>
      </c>
      <c r="D2604" s="92" t="inlineStr">
        <is>
          <t>Wǒ yíhuìr zài lái. Lúc nữa tôi lại đến.</t>
        </is>
      </c>
      <c r="E2604" s="92" t="inlineStr">
        <is>
          <t>20 我一会儿再来。 Wǒ yíhuìr zài lái. Lúc nữa tôi lại đến.</t>
        </is>
      </c>
      <c r="F2604" s="114">
        <f>HYPERLINK("https://youglish.com/pronounce/我一会儿再来/chinese","🔍")</f>
        <v/>
      </c>
    </row>
    <row r="2605">
      <c r="A2605" s="94" t="inlineStr">
        <is>
          <t>PDF 500 mẫu câu thông dụng.pdf</t>
        </is>
      </c>
      <c r="B2605" s="95" t="inlineStr">
        <is>
          <t>21</t>
        </is>
      </c>
      <c r="C2605" s="94" t="inlineStr">
        <is>
          <t>我怎么帮你呢</t>
        </is>
      </c>
      <c r="D2605" s="94" t="inlineStr">
        <is>
          <t>Wǒ zěnme bāng nǐ ne? Tôi làm sao giúp bạn đây?</t>
        </is>
      </c>
      <c r="E2605" s="94" t="inlineStr">
        <is>
          <t>21 我怎么帮你呢？ Wǒ zěnme bāng nǐ ne? Tôi làm sao giúp bạn đây?</t>
        </is>
      </c>
      <c r="F2605" s="115">
        <f>HYPERLINK("https://youglish.com/pronounce/我怎么帮你呢/chinese","🔍")</f>
        <v/>
      </c>
    </row>
    <row r="2606">
      <c r="A2606" s="92" t="inlineStr">
        <is>
          <t>PDF 500 mẫu câu thông dụng.pdf</t>
        </is>
      </c>
      <c r="B2606" s="93" t="inlineStr">
        <is>
          <t>22</t>
        </is>
      </c>
      <c r="C2606" s="92" t="inlineStr">
        <is>
          <t>我真的不想去</t>
        </is>
      </c>
      <c r="D2606" s="92" t="inlineStr">
        <is>
          <t>Wǒ zhēn de bù xiǎng qù. Tôi thực sự không muốn đi.</t>
        </is>
      </c>
      <c r="E2606" s="92" t="inlineStr">
        <is>
          <t>22 我真的不想去。 Wǒ zhēn de bù xiǎng qù. Tôi thực sự không muốn đi.</t>
        </is>
      </c>
      <c r="F2606" s="114">
        <f>HYPERLINK("https://youglish.com/pronounce/我真的不想去/chinese","🔍")</f>
        <v/>
      </c>
    </row>
    <row r="2607">
      <c r="A2607" s="94" t="inlineStr">
        <is>
          <t>PDF 500 mẫu câu thông dụng.pdf</t>
        </is>
      </c>
      <c r="B2607" s="95" t="inlineStr">
        <is>
          <t>23</t>
        </is>
      </c>
      <c r="C2607" s="94" t="inlineStr">
        <is>
          <t>洗手间在哪儿</t>
        </is>
      </c>
      <c r="D2607" s="94" t="inlineStr">
        <is>
          <t>Xǐshǒujiān zài nǎr? Nhà vệ sinh ở đâu?</t>
        </is>
      </c>
      <c r="E2607" s="94" t="inlineStr">
        <is>
          <t>23 洗手间在哪儿？ Xǐshǒujiān zài nǎr? Nhà vệ sinh ở đâu?</t>
        </is>
      </c>
      <c r="F2607" s="115">
        <f>HYPERLINK("https://youglish.com/pronounce/洗手间在哪儿/chinese","🔍")</f>
        <v/>
      </c>
    </row>
    <row r="2608">
      <c r="A2608" s="92" t="inlineStr">
        <is>
          <t>PDF 500 mẫu câu thông dụng.pdf</t>
        </is>
      </c>
      <c r="B2608" s="93" t="inlineStr">
        <is>
          <t>24</t>
        </is>
      </c>
      <c r="C2608" s="92" t="inlineStr">
        <is>
          <t>一切都还好吗</t>
        </is>
      </c>
      <c r="D2608" s="92" t="inlineStr">
        <is>
          <t>Yíqiè dōu hái hǎo ma? Tất cả đều tốt cả chứ?</t>
        </is>
      </c>
      <c r="E2608" s="92" t="inlineStr">
        <is>
          <t>24 一切都还好吗？ Yíqiè dōu hái hǎo ma? Tất cả đều tốt cả chứ?</t>
        </is>
      </c>
      <c r="F2608" s="114">
        <f>HYPERLINK("https://youglish.com/pronounce/一切都还好吗/chinese","🔍")</f>
        <v/>
      </c>
    </row>
    <row r="2609">
      <c r="A2609" s="94" t="inlineStr">
        <is>
          <t>PDF 500 mẫu câu thông dụng.pdf</t>
        </is>
      </c>
      <c r="B2609" s="95" t="inlineStr">
        <is>
          <t>25</t>
        </is>
      </c>
      <c r="C2609" s="94" t="inlineStr">
        <is>
          <t>有什么问题吗</t>
        </is>
      </c>
      <c r="D2609" s="94" t="inlineStr">
        <is>
          <t>Yǒu shénme wèntí ma? Có vấn đề gì sao?</t>
        </is>
      </c>
      <c r="E2609" s="94" t="inlineStr">
        <is>
          <t>25 有什么问题吗？ Yǒu shénme wèntí ma? Có vấn đề gì sao?</t>
        </is>
      </c>
      <c r="F2609" s="115">
        <f>HYPERLINK("https://youglish.com/pronounce/有什么问题吗/chinese","🔍")</f>
        <v/>
      </c>
    </row>
    <row r="2610">
      <c r="A2610" s="92" t="inlineStr">
        <is>
          <t>PDF 500 mẫu câu thông dụng.pdf</t>
        </is>
      </c>
      <c r="B2610" s="93" t="inlineStr">
        <is>
          <t>26</t>
        </is>
      </c>
      <c r="C2610" s="92" t="inlineStr">
        <is>
          <t>这儿能吸烟吗</t>
        </is>
      </c>
      <c r="D2610" s="92" t="inlineStr">
        <is>
          <t>Zhèr néng xīyān ma? Chỗ này được hút thuốc không?</t>
        </is>
      </c>
      <c r="E2610" s="92" t="inlineStr">
        <is>
          <t>26 这儿能吸烟吗？ Zhèr néng xīyān ma? Chỗ này được hút thuốc không?</t>
        </is>
      </c>
      <c r="F2610" s="114">
        <f>HYPERLINK("https://youglish.com/pronounce/这儿能吸烟吗/chinese","🔍")</f>
        <v/>
      </c>
    </row>
    <row r="2611">
      <c r="A2611" s="94" t="inlineStr">
        <is>
          <t>PDF 500 mẫu câu thông dụng.pdf</t>
        </is>
      </c>
      <c r="B2611" s="95" t="inlineStr">
        <is>
          <t>27</t>
        </is>
      </c>
      <c r="C2611" s="94" t="inlineStr">
        <is>
          <t>这位是张先生</t>
        </is>
      </c>
      <c r="D2611" s="94" t="inlineStr">
        <is>
          <t>Zhè wèi shì Zhāng xiānsheng.</t>
        </is>
      </c>
      <c r="E2611" s="94" t="inlineStr">
        <is>
          <t>27 这位是张先生。 Zhè wèi shì Zhāng xiānsheng.</t>
        </is>
      </c>
      <c r="F2611" s="115">
        <f>HYPERLINK("https://youglish.com/pronounce/这位是张先生/chinese","🔍")</f>
        <v/>
      </c>
    </row>
    <row r="2612">
      <c r="A2612" s="92" t="inlineStr">
        <is>
          <t>PDF 500 mẫu câu thông dụng.pdf</t>
        </is>
      </c>
      <c r="B2612" s="93" t="inlineStr">
        <is>
          <t>28</t>
        </is>
      </c>
      <c r="C2612" s="92" t="inlineStr">
        <is>
          <t>祝你生日快乐</t>
        </is>
      </c>
      <c r="D2612" s="92" t="inlineStr">
        <is>
          <t>Zhù nǐ shēngrì kuàilè! Chúc bạn sinh nhật vui vẻ!</t>
        </is>
      </c>
      <c r="E2612" s="92" t="inlineStr">
        <is>
          <t>28 祝你生日快乐！ Zhù nǐ shēngrì kuàilè! Chúc bạn sinh nhật vui vẻ!</t>
        </is>
      </c>
      <c r="F2612" s="114">
        <f>HYPERLINK("https://youglish.com/pronounce/祝你生日快乐/chinese","🔍")</f>
        <v/>
      </c>
    </row>
    <row r="2613">
      <c r="A2613" s="94" t="inlineStr">
        <is>
          <t>PDF 500 mẫu câu thông dụng.pdf</t>
        </is>
      </c>
      <c r="B2613" s="95" t="inlineStr">
        <is>
          <t>29</t>
        </is>
      </c>
      <c r="C2613" s="94" t="inlineStr">
        <is>
          <t>最近事情很多</t>
        </is>
      </c>
      <c r="D2613" s="94" t="inlineStr">
        <is>
          <t>Zuìjìn shìqing hěn duō. Gần đây có rất nhiều chuyện.</t>
        </is>
      </c>
      <c r="E2613" s="94" t="inlineStr">
        <is>
          <t>29 最近事情很多。 Zuìjìn shìqing hěn duō. Gần đây có rất nhiều chuyện.</t>
        </is>
      </c>
      <c r="F2613" s="115">
        <f>HYPERLINK("https://youglish.com/pronounce/最近事情很多/chinese","🔍")</f>
        <v/>
      </c>
    </row>
    <row r="2614">
      <c r="A2614" s="92" t="inlineStr">
        <is>
          <t>PDF 500 mẫu câu thông dụng.pdf</t>
        </is>
      </c>
      <c r="B2614" s="93" t="inlineStr">
        <is>
          <t>30</t>
        </is>
      </c>
      <c r="C2614" s="92" t="inlineStr">
        <is>
          <t>需要多长时间</t>
        </is>
      </c>
      <c r="D2614" s="92" t="inlineStr">
        <is>
          <t>Xūyào duō cháng shíjiān?</t>
        </is>
      </c>
      <c r="E2614" s="92" t="inlineStr">
        <is>
          <t>30 需要多长时间？ Xūyào duō cháng shíjiān?</t>
        </is>
      </c>
      <c r="F2614" s="114">
        <f>HYPERLINK("https://youglish.com/pronounce/需要多长时间/chinese","🔍")</f>
        <v/>
      </c>
    </row>
    <row r="2615">
      <c r="A2615" s="94" t="inlineStr">
        <is>
          <t>PDF 500 mẫu câu thông dụng.pdf</t>
        </is>
      </c>
      <c r="B2615" s="95" t="inlineStr">
        <is>
          <t>31</t>
        </is>
      </c>
      <c r="C2615" s="94" t="inlineStr">
        <is>
          <t>这是我的名片</t>
        </is>
      </c>
      <c r="D2615" s="94" t="inlineStr">
        <is>
          <t>Zhè shì wǒ de míngpiàn. Đây là danh thiếp của tôi.</t>
        </is>
      </c>
      <c r="E2615" s="94" t="inlineStr">
        <is>
          <t>31 这是我的名片。 Zhè shì wǒ de míngpiàn. Đây là danh thiếp của tôi.</t>
        </is>
      </c>
      <c r="F2615" s="115">
        <f>HYPERLINK("https://youglish.com/pronounce/这是我的名片/chinese","🔍")</f>
        <v/>
      </c>
    </row>
    <row r="2616">
      <c r="A2616" s="92" t="inlineStr">
        <is>
          <t>PDF 500 mẫu câu thông dụng.pdf</t>
        </is>
      </c>
      <c r="B2616" s="93" t="inlineStr">
        <is>
          <t>1</t>
        </is>
      </c>
      <c r="C2616" s="92" t="inlineStr">
        <is>
          <t>不要生他们的气</t>
        </is>
      </c>
      <c r="D2616" s="92" t="inlineStr">
        <is>
          <t>Bù yào shēng tāmen de qì.</t>
        </is>
      </c>
      <c r="E2616" s="92" t="inlineStr">
        <is>
          <t>1 不要生他们的气。 Bù yào shēng tāmen de qì.</t>
        </is>
      </c>
      <c r="F2616" s="114">
        <f>HYPERLINK("https://youglish.com/pronounce/不要生他们的气/chinese","🔍")</f>
        <v/>
      </c>
    </row>
    <row r="2617">
      <c r="A2617" s="94" t="inlineStr">
        <is>
          <t>PDF 500 mẫu câu thông dụng.pdf</t>
        </is>
      </c>
      <c r="B2617" s="95" t="inlineStr">
        <is>
          <t>2</t>
        </is>
      </c>
      <c r="C2617" s="94" t="inlineStr">
        <is>
          <t>对不起，我来晚了</t>
        </is>
      </c>
      <c r="D2617" s="94" t="inlineStr">
        <is>
          <t>Duìbuqǐ, wǒ lái wǎn le. Xin lỗi, tôi đến muộn rồi.</t>
        </is>
      </c>
      <c r="E2617" s="94" t="inlineStr">
        <is>
          <t>2 对不起，我来晚了。 Duìbuqǐ, wǒ lái wǎn le. Xin lỗi, tôi đến muộn rồi.</t>
        </is>
      </c>
      <c r="F2617" s="115">
        <f>HYPERLINK("https://youglish.com/pronounce/对不起我来晚了/chinese","🔍")</f>
        <v/>
      </c>
    </row>
    <row r="2618">
      <c r="A2618" s="92" t="inlineStr">
        <is>
          <t>PDF 500 mẫu câu thông dụng.pdf</t>
        </is>
      </c>
      <c r="B2618" s="93" t="inlineStr">
        <is>
          <t>3</t>
        </is>
      </c>
      <c r="C2618" s="92" t="inlineStr">
        <is>
          <t>还有别的办法吗</t>
        </is>
      </c>
      <c r="D2618" s="92" t="inlineStr">
        <is>
          <t>Hái yǒu biéde bànfǎ ma?</t>
        </is>
      </c>
      <c r="E2618" s="92" t="inlineStr">
        <is>
          <t>3 还有别的办法吗？ Hái yǒu biéde bànfǎ ma?</t>
        </is>
      </c>
      <c r="F2618" s="114">
        <f>HYPERLINK("https://youglish.com/pronounce/还有别的办法吗/chinese","🔍")</f>
        <v/>
      </c>
    </row>
    <row r="2619">
      <c r="A2619" s="94" t="inlineStr">
        <is>
          <t>PDF 500 mẫu câu thông dụng.pdf</t>
        </is>
      </c>
      <c r="B2619" s="95" t="inlineStr">
        <is>
          <t>4</t>
        </is>
      </c>
      <c r="C2619" s="94" t="inlineStr">
        <is>
          <t>和你聊天很开心</t>
        </is>
      </c>
      <c r="D2619" s="94" t="inlineStr">
        <is>
          <t>Hé nǐ liáotiān hěn kāixīn.</t>
        </is>
      </c>
      <c r="E2619" s="94" t="inlineStr">
        <is>
          <t>4 和你聊天很开心。 Hé nǐ liáotiān hěn kāixīn.</t>
        </is>
      </c>
      <c r="F2619" s="115">
        <f>HYPERLINK("https://youglish.com/pronounce/和你聊天很开心/chinese","🔍")</f>
        <v/>
      </c>
    </row>
    <row r="2620">
      <c r="A2620" s="92" t="inlineStr">
        <is>
          <t>PDF 500 mẫu câu thông dụng.pdf</t>
        </is>
      </c>
      <c r="B2620" s="93" t="inlineStr">
        <is>
          <t>5</t>
        </is>
      </c>
      <c r="C2620" s="92" t="inlineStr">
        <is>
          <t>你跟我一起去吗</t>
        </is>
      </c>
      <c r="D2620" s="92" t="inlineStr">
        <is>
          <t>Nǐ gēn wǒ yìqǐ qù ma? Bạn cùng đi với tôi không?</t>
        </is>
      </c>
      <c r="E2620" s="92" t="inlineStr">
        <is>
          <t>5 你跟我一起去吗？ Nǐ gēn wǒ yìqǐ qù ma? Bạn cùng đi với tôi không?</t>
        </is>
      </c>
      <c r="F2620" s="114">
        <f>HYPERLINK("https://youglish.com/pronounce/你跟我一起去吗/chinese","🔍")</f>
        <v/>
      </c>
    </row>
    <row r="2621">
      <c r="A2621" s="94" t="inlineStr">
        <is>
          <t>PDF 500 mẫu câu thông dụng.pdf</t>
        </is>
      </c>
      <c r="B2621" s="95" t="inlineStr">
        <is>
          <t>6</t>
        </is>
      </c>
      <c r="C2621" s="94" t="inlineStr">
        <is>
          <t>你觉得他怎么样</t>
        </is>
      </c>
      <c r="D2621" s="94" t="inlineStr">
        <is>
          <t>Nǐ juéde tā zěnmeyàng?</t>
        </is>
      </c>
      <c r="E2621" s="94" t="inlineStr">
        <is>
          <t>6 你觉得他怎么样？ Nǐ juéde tā zěnmeyàng?</t>
        </is>
      </c>
      <c r="F2621" s="115">
        <f>HYPERLINK("https://youglish.com/pronounce/你觉得他怎么样/chinese","🔍")</f>
        <v/>
      </c>
    </row>
    <row r="2622">
      <c r="A2622" s="92" t="inlineStr">
        <is>
          <t>PDF 500 mẫu câu thông dụng.pdf</t>
        </is>
      </c>
      <c r="B2622" s="93" t="inlineStr">
        <is>
          <t>7</t>
        </is>
      </c>
      <c r="C2622" s="92" t="inlineStr">
        <is>
          <t>你每天几点上班</t>
        </is>
      </c>
      <c r="D2622" s="92" t="inlineStr">
        <is>
          <t>Nǐ měitiān jǐ diǎn shàngbān?</t>
        </is>
      </c>
      <c r="E2622" s="92" t="inlineStr">
        <is>
          <t>7 你每天几点上班？ Nǐ měitiān jǐ diǎn shàngbān?</t>
        </is>
      </c>
      <c r="F2622" s="114">
        <f>HYPERLINK("https://youglish.com/pronounce/你每天几点上班/chinese","🔍")</f>
        <v/>
      </c>
    </row>
    <row r="2623">
      <c r="A2623" s="94" t="inlineStr">
        <is>
          <t>PDF 500 mẫu câu thông dụng.pdf</t>
        </is>
      </c>
      <c r="B2623" s="95" t="inlineStr">
        <is>
          <t>8</t>
        </is>
      </c>
      <c r="C2623" s="94" t="inlineStr">
        <is>
          <t>你能再说一遍吗</t>
        </is>
      </c>
      <c r="D2623" s="94" t="inlineStr">
        <is>
          <t>Nǐ néng zài shuō yí biàn ma?</t>
        </is>
      </c>
      <c r="E2623" s="94" t="inlineStr">
        <is>
          <t>8 你能再说一遍吗？ Nǐ néng zài shuō yí biàn ma?</t>
        </is>
      </c>
      <c r="F2623" s="115">
        <f>HYPERLINK("https://youglish.com/pronounce/你能再说一遍吗/chinese","🔍")</f>
        <v/>
      </c>
    </row>
    <row r="2624">
      <c r="A2624" s="92" t="inlineStr">
        <is>
          <t>PDF 500 mẫu câu thông dụng.pdf</t>
        </is>
      </c>
      <c r="B2624" s="93" t="inlineStr">
        <is>
          <t>9</t>
        </is>
      </c>
      <c r="C2624" s="92" t="inlineStr">
        <is>
          <t>你什么时候有空</t>
        </is>
      </c>
      <c r="D2624" s="92" t="inlineStr">
        <is>
          <t>Nǐ shénme shíhou yǒu kòng?</t>
        </is>
      </c>
      <c r="E2624" s="92" t="inlineStr">
        <is>
          <t>9 你什么时候有空？ Nǐ shénme shíhou yǒu kòng?</t>
        </is>
      </c>
      <c r="F2624" s="114">
        <f>HYPERLINK("https://youglish.com/pronounce/你什么时候有空/chinese","🔍")</f>
        <v/>
      </c>
    </row>
    <row r="2625">
      <c r="A2625" s="94" t="inlineStr">
        <is>
          <t>PDF 500 mẫu câu thông dụng.pdf</t>
        </is>
      </c>
      <c r="B2625" s="95" t="inlineStr">
        <is>
          <t>10</t>
        </is>
      </c>
      <c r="C2625" s="94" t="inlineStr">
        <is>
          <t>你是在哪儿买的</t>
        </is>
      </c>
      <c r="D2625" s="94" t="inlineStr">
        <is>
          <t>Nǐ shì zài nǎr mǎi de? Bạn mua ở đâu thế?</t>
        </is>
      </c>
      <c r="E2625" s="94" t="inlineStr">
        <is>
          <t>10 你是在哪儿买的？ Nǐ shì zài nǎr mǎi de? Bạn mua ở đâu thế?</t>
        </is>
      </c>
      <c r="F2625" s="115">
        <f>HYPERLINK("https://youglish.com/pronounce/你是在哪儿买的/chinese","🔍")</f>
        <v/>
      </c>
    </row>
    <row r="2626">
      <c r="A2626" s="92" t="inlineStr">
        <is>
          <t>PDF 500 mẫu câu thông dụng.pdf</t>
        </is>
      </c>
      <c r="B2626" s="93" t="inlineStr">
        <is>
          <t>11</t>
        </is>
      </c>
      <c r="C2626" s="92" t="inlineStr">
        <is>
          <t>请问这里有人吗</t>
        </is>
      </c>
      <c r="D2626" s="92" t="inlineStr">
        <is>
          <t>? Qǐngwèn zhèli yǒu rén ma?</t>
        </is>
      </c>
      <c r="E2626" s="92" t="inlineStr">
        <is>
          <t>11 请问这里有人吗? Qǐngwèn zhèli yǒu rén ma?</t>
        </is>
      </c>
      <c r="F2626" s="114">
        <f>HYPERLINK("https://youglish.com/pronounce/请问这里有人吗/chinese","🔍")</f>
        <v/>
      </c>
    </row>
    <row r="2627">
      <c r="A2627" s="94" t="inlineStr">
        <is>
          <t>PDF 500 mẫu câu thông dụng.pdf</t>
        </is>
      </c>
      <c r="B2627" s="95" t="inlineStr">
        <is>
          <t>12</t>
        </is>
      </c>
      <c r="C2627" s="94" t="inlineStr">
        <is>
          <t>我不想和你说话</t>
        </is>
      </c>
      <c r="D2627" s="94" t="inlineStr">
        <is>
          <t>Wǒ bù xiǎng hé nǐ shuōhuà.</t>
        </is>
      </c>
      <c r="E2627" s="94" t="inlineStr">
        <is>
          <t>12 我不想和你说话。 Wǒ bù xiǎng hé nǐ shuōhuà.</t>
        </is>
      </c>
      <c r="F2627" s="115">
        <f>HYPERLINK("https://youglish.com/pronounce/我不想和你说话/chinese","🔍")</f>
        <v/>
      </c>
    </row>
    <row r="2628">
      <c r="A2628" s="92" t="inlineStr">
        <is>
          <t>PDF 500 mẫu câu thông dụng.pdf</t>
        </is>
      </c>
      <c r="B2628" s="93" t="inlineStr">
        <is>
          <t>13</t>
        </is>
      </c>
      <c r="C2628" s="92" t="inlineStr">
        <is>
          <t>我们得早点儿去</t>
        </is>
      </c>
      <c r="D2628" s="92" t="inlineStr">
        <is>
          <t>Wǒmen děi zǎo diǎnr qù.</t>
        </is>
      </c>
      <c r="E2628" s="92" t="inlineStr">
        <is>
          <t>13 我们得早点儿去。 Wǒmen děi zǎo diǎnr qù.</t>
        </is>
      </c>
      <c r="F2628" s="114">
        <f>HYPERLINK("https://youglish.com/pronounce/我们得早点儿去/chinese","🔍")</f>
        <v/>
      </c>
    </row>
    <row r="2629">
      <c r="A2629" s="94" t="inlineStr">
        <is>
          <t>PDF 500 mẫu câu thông dụng.pdf</t>
        </is>
      </c>
      <c r="B2629" s="95" t="inlineStr">
        <is>
          <t>14</t>
        </is>
      </c>
      <c r="C2629" s="94" t="inlineStr">
        <is>
          <t>我们去吃晚饭吧</t>
        </is>
      </c>
      <c r="D2629" s="94" t="inlineStr">
        <is>
          <t>Wǒmen qù chī wǎnfàn ba.</t>
        </is>
      </c>
      <c r="E2629" s="94" t="inlineStr">
        <is>
          <t>14 我们去吃晚饭吧。 Wǒmen qù chī wǎnfàn ba.</t>
        </is>
      </c>
      <c r="F2629" s="115">
        <f>HYPERLINK("https://youglish.com/pronounce/我们去吃晚饭吧/chinese","🔍")</f>
        <v/>
      </c>
    </row>
    <row r="2630">
      <c r="A2630" s="92" t="inlineStr">
        <is>
          <t>PDF 500 mẫu câu thông dụng.pdf</t>
        </is>
      </c>
      <c r="B2630" s="93" t="inlineStr">
        <is>
          <t>15</t>
        </is>
      </c>
      <c r="C2630" s="92" t="inlineStr">
        <is>
          <t>我们时间不够了</t>
        </is>
      </c>
      <c r="D2630" s="92" t="inlineStr">
        <is>
          <t>Wǒmen shíjiān bú gòu le.</t>
        </is>
      </c>
      <c r="E2630" s="92" t="inlineStr">
        <is>
          <t>15 我们时间不够了。 Wǒmen shíjiān bú gòu le.</t>
        </is>
      </c>
      <c r="F2630" s="114">
        <f>HYPERLINK("https://youglish.com/pronounce/我们时间不够了/chinese","🔍")</f>
        <v/>
      </c>
    </row>
    <row r="2631">
      <c r="A2631" s="94" t="inlineStr">
        <is>
          <t>PDF 500 mẫu câu thông dụng.pdf</t>
        </is>
      </c>
      <c r="B2631" s="95" t="inlineStr">
        <is>
          <t>16</t>
        </is>
      </c>
      <c r="C2631" s="94" t="inlineStr">
        <is>
          <t>我明白你的感受</t>
        </is>
      </c>
      <c r="D2631" s="94" t="inlineStr">
        <is>
          <t>Wǒ míngbai nǐ de gǎnshòu.</t>
        </is>
      </c>
      <c r="E2631" s="94" t="inlineStr">
        <is>
          <t>16 我明白你的感受。 Wǒ míngbai nǐ de gǎnshòu.</t>
        </is>
      </c>
      <c r="F2631" s="115">
        <f>HYPERLINK("https://youglish.com/pronounce/我明白你的感受/chinese","🔍")</f>
        <v/>
      </c>
    </row>
    <row r="2632">
      <c r="A2632" s="92" t="inlineStr">
        <is>
          <t>PDF 500 mẫu câu thông dụng.pdf</t>
        </is>
      </c>
      <c r="B2632" s="93" t="inlineStr">
        <is>
          <t>17</t>
        </is>
      </c>
      <c r="C2632" s="92" t="inlineStr">
        <is>
          <t>你能帮我一下吗</t>
        </is>
      </c>
      <c r="D2632" s="92" t="inlineStr">
        <is>
          <t>Nǐ néng bāng wǒ yíxià ma?</t>
        </is>
      </c>
      <c r="E2632" s="92" t="inlineStr">
        <is>
          <t>17 你能帮我一下吗？ Nǐ néng bāng wǒ yíxià ma?</t>
        </is>
      </c>
      <c r="F2632" s="114">
        <f>HYPERLINK("https://youglish.com/pronounce/你能帮我一下吗/chinese","🔍")</f>
        <v/>
      </c>
    </row>
    <row r="2633">
      <c r="A2633" s="94" t="inlineStr">
        <is>
          <t>PDF 500 mẫu câu thông dụng.pdf</t>
        </is>
      </c>
      <c r="B2633" s="95" t="inlineStr">
        <is>
          <t>18</t>
        </is>
      </c>
      <c r="C2633" s="94" t="inlineStr">
        <is>
          <t>有空给我打电话</t>
        </is>
      </c>
      <c r="D2633" s="94" t="inlineStr">
        <is>
          <t>Yǒu kòng gěi wǒ dǎ diànhuà.</t>
        </is>
      </c>
      <c r="E2633" s="94" t="inlineStr">
        <is>
          <t>18 有空给我打电话。 Yǒu kòng gěi wǒ dǎ diànhuà.</t>
        </is>
      </c>
      <c r="F2633" s="115">
        <f>HYPERLINK("https://youglish.com/pronounce/有空给我打电话/chinese","🔍")</f>
        <v/>
      </c>
    </row>
    <row r="2634">
      <c r="A2634" s="92" t="inlineStr">
        <is>
          <t>PDF 500 mẫu câu thông dụng.pdf</t>
        </is>
      </c>
      <c r="B2634" s="93" t="inlineStr">
        <is>
          <t>19</t>
        </is>
      </c>
      <c r="C2634" s="92" t="inlineStr">
        <is>
          <t>再给我一点时间</t>
        </is>
      </c>
      <c r="D2634" s="92" t="inlineStr">
        <is>
          <t>Zài gěi wǒ yìdiǎn shíjiān.</t>
        </is>
      </c>
      <c r="E2634" s="92" t="inlineStr">
        <is>
          <t>19 再给我一点时间。 Zài gěi wǒ yìdiǎn shíjiān.</t>
        </is>
      </c>
      <c r="F2634" s="114">
        <f>HYPERLINK("https://youglish.com/pronounce/再给我一点时间/chinese","🔍")</f>
        <v/>
      </c>
    </row>
    <row r="2635">
      <c r="A2635" s="94" t="inlineStr">
        <is>
          <t>PDF 500 mẫu câu thông dụng.pdf</t>
        </is>
      </c>
      <c r="B2635" s="95" t="inlineStr">
        <is>
          <t>20</t>
        </is>
      </c>
      <c r="C2635" s="94" t="inlineStr">
        <is>
          <t>这个地方很不错</t>
        </is>
      </c>
      <c r="D2635" s="94" t="inlineStr">
        <is>
          <t>Zhège dìfang hěn bú cuò.</t>
        </is>
      </c>
      <c r="E2635" s="94" t="inlineStr">
        <is>
          <t>20 这个地方很不错。 Zhège dìfang hěn bú cuò.</t>
        </is>
      </c>
      <c r="F2635" s="115">
        <f>HYPERLINK("https://youglish.com/pronounce/这个地方很不错/chinese","🔍")</f>
        <v/>
      </c>
    </row>
    <row r="2636">
      <c r="A2636" s="92" t="inlineStr">
        <is>
          <t>PDF 500 mẫu câu thông dụng.pdf</t>
        </is>
      </c>
      <c r="B2636" s="93" t="inlineStr">
        <is>
          <t>21</t>
        </is>
      </c>
      <c r="C2636" s="92" t="inlineStr">
        <is>
          <t>这两天一直下雨</t>
        </is>
      </c>
      <c r="D2636" s="92" t="inlineStr">
        <is>
          <t>Zhè liǎng tiān yìzhí xiàyǔ.</t>
        </is>
      </c>
      <c r="E2636" s="92" t="inlineStr">
        <is>
          <t>21 这两天一直下雨。 Zhè liǎng tiān yìzhí xiàyǔ.</t>
        </is>
      </c>
      <c r="F2636" s="114">
        <f>HYPERLINK("https://youglish.com/pronounce/这两天一直下雨/chinese","🔍")</f>
        <v/>
      </c>
    </row>
    <row r="2637">
      <c r="A2637" s="94" t="inlineStr">
        <is>
          <t>PDF 500 mẫu câu thông dụng.pdf</t>
        </is>
      </c>
      <c r="B2637" s="95" t="inlineStr">
        <is>
          <t>22</t>
        </is>
      </c>
      <c r="C2637" s="94" t="inlineStr">
        <is>
          <t>这样对身体不好</t>
        </is>
      </c>
      <c r="D2637" s="94" t="inlineStr">
        <is>
          <t>Zhèyàng duì shēntǐ bù hǎo.</t>
        </is>
      </c>
      <c r="E2637" s="94" t="inlineStr">
        <is>
          <t>22 这样对身体不好。 Zhèyàng duì shēntǐ bù hǎo.</t>
        </is>
      </c>
      <c r="F2637" s="115">
        <f>HYPERLINK("https://youglish.com/pronounce/这样对身体不好/chinese","🔍")</f>
        <v/>
      </c>
    </row>
    <row r="2638">
      <c r="A2638" s="92" t="inlineStr">
        <is>
          <t>PDF 500 mẫu câu thông dụng.pdf</t>
        </is>
      </c>
      <c r="B2638" s="93" t="inlineStr">
        <is>
          <t>23</t>
        </is>
      </c>
      <c r="C2638" s="92" t="inlineStr">
        <is>
          <t>周三上午可以吗</t>
        </is>
      </c>
      <c r="D2638" s="92" t="inlineStr">
        <is>
          <t>? Zhōu sān shàngwǔ kěyǐ ma?</t>
        </is>
      </c>
      <c r="E2638" s="92" t="inlineStr">
        <is>
          <t>23 周三上午可以吗? Zhōu sān shàngwǔ kěyǐ ma?</t>
        </is>
      </c>
      <c r="F2638" s="114">
        <f>HYPERLINK("https://youglish.com/pronounce/周三上午可以吗/chinese","🔍")</f>
        <v/>
      </c>
    </row>
    <row r="2639">
      <c r="A2639" s="94" t="inlineStr">
        <is>
          <t>PDF 500 mẫu câu thông dụng.pdf</t>
        </is>
      </c>
      <c r="B2639" s="95" t="inlineStr">
        <is>
          <t>24</t>
        </is>
      </c>
      <c r="C2639" s="94" t="inlineStr">
        <is>
          <t>最近天气真不好</t>
        </is>
      </c>
      <c r="D2639" s="94" t="inlineStr">
        <is>
          <t>Zuìjìn tiānqì zhēn bù hǎo.</t>
        </is>
      </c>
      <c r="E2639" s="94" t="inlineStr">
        <is>
          <t>24 最近天气真不好。 Zuìjìn tiānqì zhēn bù hǎo.</t>
        </is>
      </c>
      <c r="F2639" s="115">
        <f>HYPERLINK("https://youglish.com/pronounce/最近天气真不好/chinese","🔍")</f>
        <v/>
      </c>
    </row>
    <row r="2640" ht="28.5" customHeight="1" s="99">
      <c r="A2640" s="92" t="inlineStr">
        <is>
          <t>PDF 500 mẫu câu thông dụng.pdf</t>
        </is>
      </c>
      <c r="B2640" s="93" t="inlineStr">
        <is>
          <t>182</t>
        </is>
      </c>
      <c r="C2640" s="92" t="inlineStr">
        <is>
          <t>你想跟我去吃饭</t>
        </is>
      </c>
      <c r="D2640" s="92" t="inlineStr">
        <is>
          <t>Ví dụ: Khi gặp bạn thân và muốn cùng nhau đi ăn thì bạn sẽ nói câu “你想跟我去吃饭</t>
        </is>
      </c>
      <c r="E2640" s="92" t="inlineStr">
        <is>
          <t>Ví dụ: Khi gặp bạn thân và muốn cùng nhau đi ăn thì bạn sẽ nói câu “你想跟我去吃饭</t>
        </is>
      </c>
      <c r="F2640" s="114">
        <f>HYPERLINK("https://youglish.com/pronounce/你想跟我去吃饭/chinese","🔍")</f>
        <v/>
      </c>
    </row>
    <row r="2641">
      <c r="A2641" s="94" t="inlineStr">
        <is>
          <t>PDF 500 mẫu câu thông dụng.pdf</t>
        </is>
      </c>
      <c r="B2641" s="95" t="inlineStr">
        <is>
          <t>183</t>
        </is>
      </c>
      <c r="C2641" s="94" t="inlineStr">
        <is>
          <t>吗</t>
        </is>
      </c>
      <c r="D2641" s="94" t="inlineStr">
        <is>
          <t>/Nǐ xiǎng gēn wǒ qù chīfàn ma?/: Bạn muốn cùng tôi đi ăn không?</t>
        </is>
      </c>
      <c r="E2641" s="94" t="inlineStr">
        <is>
          <t>吗？/Nǐ xiǎng gēn wǒ qù chīfàn ma?/: Bạn muốn cùng tôi đi ăn không?</t>
        </is>
      </c>
      <c r="F2641" s="115">
        <f>HYPERLINK("https://youglish.com/pronounce/吗/chinese","🔍")</f>
        <v/>
      </c>
    </row>
    <row r="2642" ht="71.25" customHeight="1" s="99">
      <c r="A2642" s="92" t="inlineStr">
        <is>
          <t>PDF 500 mẫu câu thông dụng.pdf</t>
        </is>
      </c>
      <c r="B2642" s="93" t="inlineStr">
        <is>
          <t>184</t>
        </is>
      </c>
      <c r="C2642" s="92" t="inlineStr">
        <is>
          <t>多漂亮的衣服！/Duō piàoliang de yīfu!/: Nhiều quần áo đẹp!” hoặc khi thấy ai đó xinh đẹp thì sẽ nói “好漂亮的姑娘</t>
        </is>
      </c>
      <c r="D2642" s="92" t="inlineStr">
        <is>
          <t>Ví dụ: Khi đi trên đường, bạn nhìn thấy rất nhiều chiếc váy đẹp đang được bán ở một cửa hàng ven đường thì sẽ nói câu “多漂亮的衣服！/Duō piàoliang de yīfu!/: Nhiều quần áo đẹp!” hoặc khi thấy ai đó xinh đẹp thì sẽ nói “好漂亮的姑娘 /Hǎo piàoliang de gūniáng/: Cô gái xinh đẹp”.</t>
        </is>
      </c>
      <c r="E2642" s="92" t="inlineStr">
        <is>
          <t>Ví dụ: Khi đi trên đường, bạn nhìn thấy rất nhiều chiếc váy đẹp đang được bán ở một cửa hàng ven đường thì sẽ nói câu “多漂亮的衣服！/Duō piàoliang de yīfu!/: Nhiều quần áo đẹp!” hoặc khi thấy ai đó xinh đẹp thì sẽ nói “好漂亮的姑娘 /Hǎo piàoliang de gūniáng/: Cô gái xinh đẹp”.</t>
        </is>
      </c>
      <c r="F2642" s="114">
        <f>HYPERLINK("https://youglish.com/pronounce/多漂亮的衣服好漂亮的姑娘/chinese","🔍")</f>
        <v/>
      </c>
    </row>
    <row r="2643" ht="28.5" customHeight="1" s="99">
      <c r="A2643" s="94" t="inlineStr">
        <is>
          <t>PDF_Tổng hợp từ vựng mẫu câ cho NDL.pdf</t>
        </is>
      </c>
      <c r="B2643" s="95" t="inlineStr">
        <is>
          <t>1</t>
        </is>
      </c>
      <c r="C2643" s="94" t="inlineStr">
        <is>
          <t>上班</t>
        </is>
      </c>
      <c r="D2643" s="94" t="inlineStr">
        <is>
          <t>shàngbān Đi làm</t>
        </is>
      </c>
      <c r="E2643" s="94" t="inlineStr">
        <is>
          <t>1 上班 shàngbān Đi làm</t>
        </is>
      </c>
      <c r="F2643" s="115">
        <f>HYPERLINK("https://youglish.com/pronounce/上班/chinese","🔍")</f>
        <v/>
      </c>
    </row>
    <row r="2644" ht="28.5" customHeight="1" s="99">
      <c r="A2644" s="92" t="inlineStr">
        <is>
          <t>PDF_Tổng hợp từ vựng mẫu câ cho NDL.pdf</t>
        </is>
      </c>
      <c r="B2644" s="93" t="inlineStr">
        <is>
          <t>2</t>
        </is>
      </c>
      <c r="C2644" s="92" t="inlineStr">
        <is>
          <t>下班</t>
        </is>
      </c>
      <c r="D2644" s="92" t="inlineStr">
        <is>
          <t>xiàbān Tan làm</t>
        </is>
      </c>
      <c r="E2644" s="92" t="inlineStr">
        <is>
          <t>2 下班 xiàbān Tan làm</t>
        </is>
      </c>
      <c r="F2644" s="114">
        <f>HYPERLINK("https://youglish.com/pronounce/下班/chinese","🔍")</f>
        <v/>
      </c>
    </row>
    <row r="2645" ht="28.5" customHeight="1" s="99">
      <c r="A2645" s="94" t="inlineStr">
        <is>
          <t>PDF_Tổng hợp từ vựng mẫu câ cho NDL.pdf</t>
        </is>
      </c>
      <c r="B2645" s="95" t="inlineStr">
        <is>
          <t>3</t>
        </is>
      </c>
      <c r="C2645" s="94" t="inlineStr">
        <is>
          <t>人事录用</t>
        </is>
      </c>
      <c r="D2645" s="94" t="inlineStr">
        <is>
          <t>rénshì lùyòng Tuyển dụng nhân sự</t>
        </is>
      </c>
      <c r="E2645" s="94" t="inlineStr">
        <is>
          <t>3 人事录用 rénshì lùyòng Tuyển dụng nhân sự</t>
        </is>
      </c>
      <c r="F2645" s="115">
        <f>HYPERLINK("https://youglish.com/pronounce/人事录用/chinese","🔍")</f>
        <v/>
      </c>
    </row>
    <row r="2646" ht="28.5" customHeight="1" s="99">
      <c r="A2646" s="92" t="inlineStr">
        <is>
          <t>PDF_Tổng hợp từ vựng mẫu câ cho NDL.pdf</t>
        </is>
      </c>
      <c r="B2646" s="93" t="inlineStr">
        <is>
          <t>4</t>
        </is>
      </c>
      <c r="C2646" s="92" t="inlineStr">
        <is>
          <t>任务</t>
        </is>
      </c>
      <c r="D2646" s="92" t="inlineStr">
        <is>
          <t>rènwù Nhiệm vụ</t>
        </is>
      </c>
      <c r="E2646" s="92" t="inlineStr">
        <is>
          <t>4 任务 rènwù Nhiệm vụ</t>
        </is>
      </c>
      <c r="F2646" s="114">
        <f>HYPERLINK("https://youglish.com/pronounce/任务/chinese","🔍")</f>
        <v/>
      </c>
    </row>
    <row r="2647" ht="28.5" customHeight="1" s="99">
      <c r="A2647" s="94" t="inlineStr">
        <is>
          <t>PDF_Tổng hợp từ vựng mẫu câ cho NDL.pdf</t>
        </is>
      </c>
      <c r="B2647" s="95" t="inlineStr">
        <is>
          <t>5</t>
        </is>
      </c>
      <c r="C2647" s="94" t="inlineStr">
        <is>
          <t>休息</t>
        </is>
      </c>
      <c r="D2647" s="94" t="inlineStr">
        <is>
          <t>xiūxi Nghỉ trưa</t>
        </is>
      </c>
      <c r="E2647" s="94" t="inlineStr">
        <is>
          <t>5 休息 xiūxi Nghỉ trưa</t>
        </is>
      </c>
      <c r="F2647" s="115">
        <f>HYPERLINK("https://youglish.com/pronounce/休息/chinese","🔍")</f>
        <v/>
      </c>
    </row>
    <row r="2648" ht="28.5" customHeight="1" s="99">
      <c r="A2648" s="92" t="inlineStr">
        <is>
          <t>PDF_Tổng hợp từ vựng mẫu câ cho NDL.pdf</t>
        </is>
      </c>
      <c r="B2648" s="93" t="inlineStr">
        <is>
          <t>6</t>
        </is>
      </c>
      <c r="C2648" s="92" t="inlineStr">
        <is>
          <t>出勤</t>
        </is>
      </c>
      <c r="D2648" s="92" t="inlineStr">
        <is>
          <t>chūqín Đi làm</t>
        </is>
      </c>
      <c r="E2648" s="92" t="inlineStr">
        <is>
          <t>6 出勤 chūqín Đi làm</t>
        </is>
      </c>
      <c r="F2648" s="114">
        <f>HYPERLINK("https://youglish.com/pronounce/出勤/chinese","🔍")</f>
        <v/>
      </c>
    </row>
    <row r="2649" ht="28.5" customHeight="1" s="99">
      <c r="A2649" s="94" t="inlineStr">
        <is>
          <t>PDF_Tổng hợp từ vựng mẫu câ cho NDL.pdf</t>
        </is>
      </c>
      <c r="B2649" s="95" t="inlineStr">
        <is>
          <t>7</t>
        </is>
      </c>
      <c r="C2649" s="94" t="inlineStr">
        <is>
          <t>出差</t>
        </is>
      </c>
      <c r="D2649" s="94" t="inlineStr">
        <is>
          <t>chū chāi Đi công tác</t>
        </is>
      </c>
      <c r="E2649" s="94" t="inlineStr">
        <is>
          <t>7 出差 chū chāi Đi công tác</t>
        </is>
      </c>
      <c r="F2649" s="115">
        <f>HYPERLINK("https://youglish.com/pronounce/出差/chinese","🔍")</f>
        <v/>
      </c>
    </row>
    <row r="2650" ht="28.5" customHeight="1" s="99">
      <c r="A2650" s="92" t="inlineStr">
        <is>
          <t>PDF_Tổng hợp từ vựng mẫu câ cho NDL.pdf</t>
        </is>
      </c>
      <c r="B2650" s="93" t="inlineStr">
        <is>
          <t>8</t>
        </is>
      </c>
      <c r="C2650" s="92" t="inlineStr">
        <is>
          <t>加入</t>
        </is>
      </c>
      <c r="D2650" s="92" t="inlineStr">
        <is>
          <t>jiārù Vào công ty</t>
        </is>
      </c>
      <c r="E2650" s="92" t="inlineStr">
        <is>
          <t>8 加入 jiārù Vào công ty</t>
        </is>
      </c>
      <c r="F2650" s="114">
        <f>HYPERLINK("https://youglish.com/pronounce/加入/chinese","🔍")</f>
        <v/>
      </c>
    </row>
    <row r="2651" ht="28.5" customHeight="1" s="99">
      <c r="A2651" s="94" t="inlineStr">
        <is>
          <t>PDF_Tổng hợp từ vựng mẫu câ cho NDL.pdf</t>
        </is>
      </c>
      <c r="B2651" s="95" t="inlineStr">
        <is>
          <t>9</t>
        </is>
      </c>
      <c r="C2651" s="94" t="inlineStr">
        <is>
          <t>加班</t>
        </is>
      </c>
      <c r="D2651" s="94" t="inlineStr">
        <is>
          <t>jiābān Tăng ca</t>
        </is>
      </c>
      <c r="E2651" s="94" t="inlineStr">
        <is>
          <t>9 加班 jiābān Tăng ca</t>
        </is>
      </c>
      <c r="F2651" s="115">
        <f>HYPERLINK("https://youglish.com/pronounce/加班/chinese","🔍")</f>
        <v/>
      </c>
    </row>
    <row r="2652" ht="28.5" customHeight="1" s="99">
      <c r="A2652" s="92" t="inlineStr">
        <is>
          <t>PDF_Tổng hợp từ vựng mẫu câ cho NDL.pdf</t>
        </is>
      </c>
      <c r="B2652" s="93" t="inlineStr">
        <is>
          <t>10</t>
        </is>
      </c>
      <c r="C2652" s="92" t="inlineStr">
        <is>
          <t>午休</t>
        </is>
      </c>
      <c r="D2652" s="92" t="inlineStr">
        <is>
          <t>wǔxiū Nghỉ trưa</t>
        </is>
      </c>
      <c r="E2652" s="92" t="inlineStr">
        <is>
          <t>10 午休 wǔxiū Nghỉ trưa</t>
        </is>
      </c>
      <c r="F2652" s="114">
        <f>HYPERLINK("https://youglish.com/pronounce/午休/chinese","🔍")</f>
        <v/>
      </c>
    </row>
    <row r="2653" ht="28.5" customHeight="1" s="99">
      <c r="A2653" s="94" t="inlineStr">
        <is>
          <t>PDF_Tổng hợp từ vựng mẫu câ cho NDL.pdf</t>
        </is>
      </c>
      <c r="B2653" s="95" t="inlineStr">
        <is>
          <t>11</t>
        </is>
      </c>
      <c r="C2653" s="94" t="inlineStr">
        <is>
          <t>发邮件</t>
        </is>
      </c>
      <c r="D2653" s="94" t="inlineStr">
        <is>
          <t>fā yóujiàn Gửi thư điện tử</t>
        </is>
      </c>
      <c r="E2653" s="94" t="inlineStr">
        <is>
          <t>11 发邮件 fā yóujiàn Gửi thư điện tử</t>
        </is>
      </c>
      <c r="F2653" s="115">
        <f>HYPERLINK("https://youglish.com/pronounce/发邮件/chinese","🔍")</f>
        <v/>
      </c>
    </row>
    <row r="2654" ht="28.5" customHeight="1" s="99">
      <c r="A2654" s="92" t="inlineStr">
        <is>
          <t>PDF_Tổng hợp từ vựng mẫu câ cho NDL.pdf</t>
        </is>
      </c>
      <c r="B2654" s="93" t="inlineStr">
        <is>
          <t>12</t>
        </is>
      </c>
      <c r="C2654" s="92" t="inlineStr">
        <is>
          <t>同事</t>
        </is>
      </c>
      <c r="D2654" s="92" t="inlineStr">
        <is>
          <t>tóng shì Đồng nghiệp</t>
        </is>
      </c>
      <c r="E2654" s="92" t="inlineStr">
        <is>
          <t>12 同事 tóng shì Đồng nghiệp</t>
        </is>
      </c>
      <c r="F2654" s="114">
        <f>HYPERLINK("https://youglish.com/pronounce/同事/chinese","🔍")</f>
        <v/>
      </c>
    </row>
    <row r="2655" ht="28.5" customHeight="1" s="99">
      <c r="A2655" s="94" t="inlineStr">
        <is>
          <t>PDF_Tổng hợp từ vựng mẫu câ cho NDL.pdf</t>
        </is>
      </c>
      <c r="B2655" s="95" t="inlineStr">
        <is>
          <t>13</t>
        </is>
      </c>
      <c r="C2655" s="94" t="inlineStr">
        <is>
          <t>奖金</t>
        </is>
      </c>
      <c r="D2655" s="94" t="inlineStr">
        <is>
          <t>jiǎngjīn Tiền thưởng</t>
        </is>
      </c>
      <c r="E2655" s="94" t="inlineStr">
        <is>
          <t>13 奖金 jiǎngjīn Tiền thưởng</t>
        </is>
      </c>
      <c r="F2655" s="115">
        <f>HYPERLINK("https://youglish.com/pronounce/奖金/chinese","🔍")</f>
        <v/>
      </c>
    </row>
    <row r="2656" ht="28.5" customHeight="1" s="99">
      <c r="A2656" s="92" t="inlineStr">
        <is>
          <t>PDF_Tổng hợp từ vựng mẫu câ cho NDL.pdf</t>
        </is>
      </c>
      <c r="B2656" s="93" t="inlineStr">
        <is>
          <t>14</t>
        </is>
      </c>
      <c r="C2656" s="92" t="inlineStr">
        <is>
          <t>工作</t>
        </is>
      </c>
      <c r="D2656" s="92" t="inlineStr">
        <is>
          <t>gōng zuò Làm việc</t>
        </is>
      </c>
      <c r="E2656" s="92" t="inlineStr">
        <is>
          <t>14 工作 gōng zuò Làm việc</t>
        </is>
      </c>
      <c r="F2656" s="114">
        <f>HYPERLINK("https://youglish.com/pronounce/工作/chinese","🔍")</f>
        <v/>
      </c>
    </row>
    <row r="2657" ht="28.5" customHeight="1" s="99">
      <c r="A2657" s="94" t="inlineStr">
        <is>
          <t>PDF_Tổng hợp từ vựng mẫu câ cho NDL.pdf</t>
        </is>
      </c>
      <c r="B2657" s="95" t="inlineStr">
        <is>
          <t>15</t>
        </is>
      </c>
      <c r="C2657" s="94" t="inlineStr">
        <is>
          <t>工作时间</t>
        </is>
      </c>
      <c r="D2657" s="94" t="inlineStr">
        <is>
          <t>gōngzuò shíjiān Thời gian làm việc</t>
        </is>
      </c>
      <c r="E2657" s="94" t="inlineStr">
        <is>
          <t>15 工作时间 gōngzuò shíjiān Thời gian làm việc</t>
        </is>
      </c>
      <c r="F2657" s="115">
        <f>HYPERLINK("https://youglish.com/pronounce/工作时间/chinese","🔍")</f>
        <v/>
      </c>
    </row>
    <row r="2658" ht="28.5" customHeight="1" s="99">
      <c r="A2658" s="92" t="inlineStr">
        <is>
          <t>PDF_Tổng hợp từ vựng mẫu câ cho NDL.pdf</t>
        </is>
      </c>
      <c r="B2658" s="93" t="inlineStr">
        <is>
          <t>16</t>
        </is>
      </c>
      <c r="C2658" s="92" t="inlineStr">
        <is>
          <t>工资</t>
        </is>
      </c>
      <c r="D2658" s="92" t="inlineStr">
        <is>
          <t>gōngzī Tiền lương</t>
        </is>
      </c>
      <c r="E2658" s="92" t="inlineStr">
        <is>
          <t>16 工资 gōngzī Tiền lương</t>
        </is>
      </c>
      <c r="F2658" s="114">
        <f>HYPERLINK("https://youglish.com/pronounce/工资/chinese","🔍")</f>
        <v/>
      </c>
    </row>
    <row r="2659" ht="28.5" customHeight="1" s="99">
      <c r="A2659" s="94" t="inlineStr">
        <is>
          <t>PDF_Tổng hợp từ vựng mẫu câ cho NDL.pdf</t>
        </is>
      </c>
      <c r="B2659" s="95" t="inlineStr">
        <is>
          <t>17</t>
        </is>
      </c>
      <c r="C2659" s="94" t="inlineStr">
        <is>
          <t>开会</t>
        </is>
      </c>
      <c r="D2659" s="94" t="inlineStr">
        <is>
          <t>kāihuì Họp</t>
        </is>
      </c>
      <c r="E2659" s="94" t="inlineStr">
        <is>
          <t>17 开会 kāihuì Họp</t>
        </is>
      </c>
      <c r="F2659" s="115">
        <f>HYPERLINK("https://youglish.com/pronounce/开会/chinese","🔍")</f>
        <v/>
      </c>
    </row>
    <row r="2660" ht="28.5" customHeight="1" s="99">
      <c r="A2660" s="92" t="inlineStr">
        <is>
          <t>PDF_Tổng hợp từ vựng mẫu câ cho NDL.pdf</t>
        </is>
      </c>
      <c r="B2660" s="93" t="inlineStr">
        <is>
          <t>18</t>
        </is>
      </c>
      <c r="C2660" s="92" t="inlineStr">
        <is>
          <t>开夜车</t>
        </is>
      </c>
      <c r="D2660" s="92" t="inlineStr">
        <is>
          <t>kāiyèchē Làm đêm</t>
        </is>
      </c>
      <c r="E2660" s="92" t="inlineStr">
        <is>
          <t>18 开夜车 kāiyèchē Làm đêm</t>
        </is>
      </c>
      <c r="F2660" s="114">
        <f>HYPERLINK("https://youglish.com/pronounce/开夜车/chinese","🔍")</f>
        <v/>
      </c>
    </row>
    <row r="2661" ht="28.5" customHeight="1" s="99">
      <c r="A2661" s="94" t="inlineStr">
        <is>
          <t>PDF_Tổng hợp từ vựng mẫu câ cho NDL.pdf</t>
        </is>
      </c>
      <c r="B2661" s="95" t="inlineStr">
        <is>
          <t>19</t>
        </is>
      </c>
      <c r="C2661" s="94" t="inlineStr">
        <is>
          <t>开电脑</t>
        </is>
      </c>
      <c r="D2661" s="94" t="inlineStr">
        <is>
          <t>kāi diànnǎo Mở máy tính</t>
        </is>
      </c>
      <c r="E2661" s="94" t="inlineStr">
        <is>
          <t>19 开电脑 kāi diànnǎo Mở máy tính</t>
        </is>
      </c>
      <c r="F2661" s="115">
        <f>HYPERLINK("https://youglish.com/pronounce/开电脑/chinese","🔍")</f>
        <v/>
      </c>
    </row>
    <row r="2662" ht="28.5" customHeight="1" s="99">
      <c r="A2662" s="92" t="inlineStr">
        <is>
          <t>PDF_Tổng hợp từ vựng mẫu câ cho NDL.pdf</t>
        </is>
      </c>
      <c r="B2662" s="93" t="inlineStr">
        <is>
          <t>20</t>
        </is>
      </c>
      <c r="C2662" s="92" t="inlineStr">
        <is>
          <t>打印文件</t>
        </is>
      </c>
      <c r="D2662" s="92" t="inlineStr">
        <is>
          <t>dǎyìn wénjiàn In văn bản</t>
        </is>
      </c>
      <c r="E2662" s="92" t="inlineStr">
        <is>
          <t>20 打印文件 dǎyìn wénjiàn In văn bản</t>
        </is>
      </c>
      <c r="F2662" s="114">
        <f>HYPERLINK("https://youglish.com/pronounce/打印文件/chinese","🔍")</f>
        <v/>
      </c>
    </row>
    <row r="2663" ht="28.5" customHeight="1" s="99">
      <c r="A2663" s="94" t="inlineStr">
        <is>
          <t>PDF_Tổng hợp từ vựng mẫu câ cho NDL.pdf</t>
        </is>
      </c>
      <c r="B2663" s="95" t="inlineStr">
        <is>
          <t>21</t>
        </is>
      </c>
      <c r="C2663" s="94" t="inlineStr">
        <is>
          <t>换班</t>
        </is>
      </c>
      <c r="D2663" s="94" t="inlineStr">
        <is>
          <t>huànbān Đổi ca làm</t>
        </is>
      </c>
      <c r="E2663" s="94" t="inlineStr">
        <is>
          <t>21 换班 huànbān Đổi ca làm</t>
        </is>
      </c>
      <c r="F2663" s="115">
        <f>HYPERLINK("https://youglish.com/pronounce/换班/chinese","🔍")</f>
        <v/>
      </c>
    </row>
    <row r="2664" ht="28.5" customHeight="1" s="99">
      <c r="A2664" s="92" t="inlineStr">
        <is>
          <t>PDF_Tổng hợp từ vựng mẫu câ cho NDL.pdf</t>
        </is>
      </c>
      <c r="B2664" s="93" t="inlineStr">
        <is>
          <t>22</t>
        </is>
      </c>
      <c r="C2664" s="92" t="inlineStr">
        <is>
          <t>接电话</t>
        </is>
      </c>
      <c r="D2664" s="92" t="inlineStr">
        <is>
          <t>jiē diànhuà Nghe điện thoại</t>
        </is>
      </c>
      <c r="E2664" s="92" t="inlineStr">
        <is>
          <t>22 接电话 jiē diànhuà Nghe điện thoại</t>
        </is>
      </c>
      <c r="F2664" s="114">
        <f>HYPERLINK("https://youglish.com/pronounce/接电话/chinese","🔍")</f>
        <v/>
      </c>
    </row>
    <row r="2665" ht="28.5" customHeight="1" s="99">
      <c r="A2665" s="94" t="inlineStr">
        <is>
          <t>PDF_Tổng hợp từ vựng mẫu câ cho NDL.pdf</t>
        </is>
      </c>
      <c r="B2665" s="95" t="inlineStr">
        <is>
          <t>23</t>
        </is>
      </c>
      <c r="C2665" s="94" t="inlineStr">
        <is>
          <t>提交</t>
        </is>
      </c>
      <c r="D2665" s="94" t="inlineStr">
        <is>
          <t>tíjiāo Đề xuất</t>
        </is>
      </c>
      <c r="E2665" s="94" t="inlineStr">
        <is>
          <t>23 提交 tíjiāo Đề xuất</t>
        </is>
      </c>
      <c r="F2665" s="115">
        <f>HYPERLINK("https://youglish.com/pronounce/提交/chinese","🔍")</f>
        <v/>
      </c>
    </row>
    <row r="2666" ht="28.5" customHeight="1" s="99">
      <c r="A2666" s="92" t="inlineStr">
        <is>
          <t>PDF_Tổng hợp từ vựng mẫu câ cho NDL.pdf</t>
        </is>
      </c>
      <c r="B2666" s="93" t="inlineStr">
        <is>
          <t>24</t>
        </is>
      </c>
      <c r="C2666" s="92" t="inlineStr">
        <is>
          <t>提议</t>
        </is>
      </c>
      <c r="D2666" s="92" t="inlineStr">
        <is>
          <t>tíyì Bảng kế hoạch</t>
        </is>
      </c>
      <c r="E2666" s="92" t="inlineStr">
        <is>
          <t>24 提议 tíyì Bảng kế hoạch</t>
        </is>
      </c>
      <c r="F2666" s="114">
        <f>HYPERLINK("https://youglish.com/pronounce/提议/chinese","🔍")</f>
        <v/>
      </c>
    </row>
    <row r="2667" ht="28.5" customHeight="1" s="99">
      <c r="A2667" s="94" t="inlineStr">
        <is>
          <t>PDF_Tổng hợp từ vựng mẫu câ cho NDL.pdf</t>
        </is>
      </c>
      <c r="B2667" s="95" t="inlineStr">
        <is>
          <t>25</t>
        </is>
      </c>
      <c r="C2667" s="94" t="inlineStr">
        <is>
          <t>查邮件</t>
        </is>
      </c>
      <c r="D2667" s="94" t="inlineStr">
        <is>
          <t>chá yóujiàn Tìm tài liệu</t>
        </is>
      </c>
      <c r="E2667" s="94" t="inlineStr">
        <is>
          <t>25 查邮件 chá yóujiàn Tìm tài liệu</t>
        </is>
      </c>
      <c r="F2667" s="115">
        <f>HYPERLINK("https://youglish.com/pronounce/查邮件/chinese","🔍")</f>
        <v/>
      </c>
    </row>
    <row r="2668" ht="28.5" customHeight="1" s="99">
      <c r="A2668" s="92" t="inlineStr">
        <is>
          <t>PDF_Tổng hợp từ vựng mẫu câ cho NDL.pdf</t>
        </is>
      </c>
      <c r="B2668" s="93" t="inlineStr">
        <is>
          <t>26</t>
        </is>
      </c>
      <c r="C2668" s="92" t="inlineStr">
        <is>
          <t>病假</t>
        </is>
      </c>
      <c r="D2668" s="92" t="inlineStr">
        <is>
          <t>bìng jià Nghỉ ốm</t>
        </is>
      </c>
      <c r="E2668" s="92" t="inlineStr">
        <is>
          <t>26 病假 bìng jià Nghỉ ốm</t>
        </is>
      </c>
      <c r="F2668" s="114">
        <f>HYPERLINK("https://youglish.com/pronounce/病假/chinese","🔍")</f>
        <v/>
      </c>
    </row>
    <row r="2669" ht="28.5" customHeight="1" s="99">
      <c r="A2669" s="94" t="inlineStr">
        <is>
          <t>PDF_Tổng hợp từ vựng mẫu câ cho NDL.pdf</t>
        </is>
      </c>
      <c r="B2669" s="95" t="inlineStr">
        <is>
          <t>27</t>
        </is>
      </c>
      <c r="C2669" s="94" t="inlineStr">
        <is>
          <t>请假</t>
        </is>
      </c>
      <c r="D2669" s="94" t="inlineStr">
        <is>
          <t>qǐngjià Nghỉ phép</t>
        </is>
      </c>
      <c r="E2669" s="94" t="inlineStr">
        <is>
          <t>27 请假 qǐngjià Nghỉ phép</t>
        </is>
      </c>
      <c r="F2669" s="115">
        <f>HYPERLINK("https://youglish.com/pronounce/请假/chinese","🔍")</f>
        <v/>
      </c>
    </row>
    <row r="2670" ht="28.5" customHeight="1" s="99">
      <c r="A2670" s="92" t="inlineStr">
        <is>
          <t>PDF_Tổng hợp từ vựng mẫu câ cho NDL.pdf</t>
        </is>
      </c>
      <c r="B2670" s="93" t="inlineStr">
        <is>
          <t>28</t>
        </is>
      </c>
      <c r="C2670" s="92" t="inlineStr">
        <is>
          <t>考勤</t>
        </is>
      </c>
      <c r="D2670" s="92" t="inlineStr">
        <is>
          <t>kǎoqín Chấm công</t>
        </is>
      </c>
      <c r="E2670" s="92" t="inlineStr">
        <is>
          <t>28 考勤 kǎoqín Chấm công</t>
        </is>
      </c>
      <c r="F2670" s="114">
        <f>HYPERLINK("https://youglish.com/pronounce/考勤/chinese","🔍")</f>
        <v/>
      </c>
    </row>
    <row r="2671" ht="28.5" customHeight="1" s="99">
      <c r="A2671" s="94" t="inlineStr">
        <is>
          <t>PDF_Tổng hợp từ vựng mẫu câ cho NDL.pdf</t>
        </is>
      </c>
      <c r="B2671" s="95" t="inlineStr">
        <is>
          <t>29</t>
        </is>
      </c>
      <c r="C2671" s="94" t="inlineStr">
        <is>
          <t>聊天儿</t>
        </is>
      </c>
      <c r="D2671" s="94" t="inlineStr">
        <is>
          <t>liáotiān er Nói chuyện</t>
        </is>
      </c>
      <c r="E2671" s="94" t="inlineStr">
        <is>
          <t>29 聊天儿 liáotiān er Nói chuyện</t>
        </is>
      </c>
      <c r="F2671" s="115">
        <f>HYPERLINK("https://youglish.com/pronounce/聊天儿/chinese","🔍")</f>
        <v/>
      </c>
    </row>
    <row r="2672" ht="28.5" customHeight="1" s="99">
      <c r="A2672" s="92" t="inlineStr">
        <is>
          <t>PDF_Tổng hợp từ vựng mẫu câ cho NDL.pdf</t>
        </is>
      </c>
      <c r="B2672" s="93" t="inlineStr">
        <is>
          <t>30</t>
        </is>
      </c>
      <c r="C2672" s="92" t="inlineStr">
        <is>
          <t>联欢会</t>
        </is>
      </c>
      <c r="D2672" s="92" t="inlineStr">
        <is>
          <t>liánhuān huì Liên hoan</t>
        </is>
      </c>
      <c r="E2672" s="92" t="inlineStr">
        <is>
          <t>30 联欢会 liánhuān huì Liên hoan</t>
        </is>
      </c>
      <c r="F2672" s="114">
        <f>HYPERLINK("https://youglish.com/pronounce/联欢会/chinese","🔍")</f>
        <v/>
      </c>
    </row>
    <row r="2673" ht="28.5" customHeight="1" s="99">
      <c r="A2673" s="94" t="inlineStr">
        <is>
          <t>PDF_Tổng hợp từ vựng mẫu câ cho NDL.pdf</t>
        </is>
      </c>
      <c r="B2673" s="95" t="inlineStr">
        <is>
          <t>31</t>
        </is>
      </c>
      <c r="C2673" s="94" t="inlineStr">
        <is>
          <t>行事历</t>
        </is>
      </c>
      <c r="D2673" s="94" t="inlineStr">
        <is>
          <t>xíngshì lì Lịch làm việc</t>
        </is>
      </c>
      <c r="E2673" s="94" t="inlineStr">
        <is>
          <t>31 行事历 xíngshì lì Lịch làm việc</t>
        </is>
      </c>
      <c r="F2673" s="115">
        <f>HYPERLINK("https://youglish.com/pronounce/行事历/chinese","🔍")</f>
        <v/>
      </c>
    </row>
    <row r="2674" ht="28.5" customHeight="1" s="99">
      <c r="A2674" s="92" t="inlineStr">
        <is>
          <t>PDF_Tổng hợp từ vựng mẫu câ cho NDL.pdf</t>
        </is>
      </c>
      <c r="B2674" s="93" t="inlineStr">
        <is>
          <t>32</t>
        </is>
      </c>
      <c r="C2674" s="92" t="inlineStr">
        <is>
          <t>见客户</t>
        </is>
      </c>
      <c r="D2674" s="92" t="inlineStr">
        <is>
          <t>jiàn kèhù Gặp khách hàng</t>
        </is>
      </c>
      <c r="E2674" s="92" t="inlineStr">
        <is>
          <t>32 见客户 jiàn kèhù Gặp khách hàng</t>
        </is>
      </c>
      <c r="F2674" s="114">
        <f>HYPERLINK("https://youglish.com/pronounce/见客户/chinese","🔍")</f>
        <v/>
      </c>
    </row>
    <row r="2675" ht="28.5" customHeight="1" s="99">
      <c r="A2675" s="94" t="inlineStr">
        <is>
          <t>PDF_Tổng hợp từ vựng mẫu câ cho NDL.pdf</t>
        </is>
      </c>
      <c r="B2675" s="95" t="inlineStr">
        <is>
          <t>33</t>
        </is>
      </c>
      <c r="C2675" s="94" t="inlineStr">
        <is>
          <t>解雇</t>
        </is>
      </c>
      <c r="D2675" s="94" t="inlineStr">
        <is>
          <t>jiěgù Sa thải</t>
        </is>
      </c>
      <c r="E2675" s="94" t="inlineStr">
        <is>
          <t>33 解雇 jiěgù Sa thải</t>
        </is>
      </c>
      <c r="F2675" s="115">
        <f>HYPERLINK("https://youglish.com/pronounce/解雇/chinese","🔍")</f>
        <v/>
      </c>
    </row>
    <row r="2676" ht="28.5" customHeight="1" s="99">
      <c r="A2676" s="92" t="inlineStr">
        <is>
          <t>PDF_Tổng hợp từ vựng mẫu câ cho NDL.pdf</t>
        </is>
      </c>
      <c r="B2676" s="93" t="inlineStr">
        <is>
          <t>34</t>
        </is>
      </c>
      <c r="C2676" s="92" t="inlineStr">
        <is>
          <t>计划</t>
        </is>
      </c>
      <c r="D2676" s="92" t="inlineStr">
        <is>
          <t>jìhuà Kế hoạch</t>
        </is>
      </c>
      <c r="E2676" s="92" t="inlineStr">
        <is>
          <t>34 计划 jìhuà Kế hoạch</t>
        </is>
      </c>
      <c r="F2676" s="114">
        <f>HYPERLINK("https://youglish.com/pronounce/计划/chinese","🔍")</f>
        <v/>
      </c>
    </row>
    <row r="2677" ht="28.5" customHeight="1" s="99">
      <c r="A2677" s="94" t="inlineStr">
        <is>
          <t>PDF_Tổng hợp từ vựng mẫu câ cho NDL.pdf</t>
        </is>
      </c>
      <c r="B2677" s="95" t="inlineStr">
        <is>
          <t>35</t>
        </is>
      </c>
      <c r="C2677" s="94" t="inlineStr">
        <is>
          <t>证件</t>
        </is>
      </c>
      <c r="D2677" s="94" t="inlineStr">
        <is>
          <t>zhèngjiàn Giấy tờ</t>
        </is>
      </c>
      <c r="E2677" s="94" t="inlineStr">
        <is>
          <t>35 证件 zhèngjiàn Giấy tờ</t>
        </is>
      </c>
      <c r="F2677" s="115">
        <f>HYPERLINK("https://youglish.com/pronounce/证件/chinese","🔍")</f>
        <v/>
      </c>
    </row>
    <row r="2678" ht="28.5" customHeight="1" s="99">
      <c r="A2678" s="92" t="inlineStr">
        <is>
          <t>PDF_Tổng hợp từ vựng mẫu câ cho NDL.pdf</t>
        </is>
      </c>
      <c r="B2678" s="93" t="inlineStr">
        <is>
          <t>36</t>
        </is>
      </c>
      <c r="C2678" s="92" t="inlineStr">
        <is>
          <t>轮班</t>
        </is>
      </c>
      <c r="D2678" s="92" t="inlineStr">
        <is>
          <t>lúnbān Thay ca</t>
        </is>
      </c>
      <c r="E2678" s="92" t="inlineStr">
        <is>
          <t>36 轮班 lúnbān Thay ca</t>
        </is>
      </c>
      <c r="F2678" s="114">
        <f>HYPERLINK("https://youglish.com/pronounce/轮班/chinese","🔍")</f>
        <v/>
      </c>
    </row>
    <row r="2679" ht="28.5" customHeight="1" s="99">
      <c r="A2679" s="94" t="inlineStr">
        <is>
          <t>PDF_Tổng hợp từ vựng mẫu câ cho NDL.pdf</t>
        </is>
      </c>
      <c r="B2679" s="95" t="inlineStr">
        <is>
          <t>37</t>
        </is>
      </c>
      <c r="C2679" s="94" t="inlineStr">
        <is>
          <t>迟到</t>
        </is>
      </c>
      <c r="D2679" s="94" t="inlineStr">
        <is>
          <t>chí dào Đến muộn</t>
        </is>
      </c>
      <c r="E2679" s="94" t="inlineStr">
        <is>
          <t>37 迟到 chí dào Đến muộn</t>
        </is>
      </c>
      <c r="F2679" s="115">
        <f>HYPERLINK("https://youglish.com/pronounce/迟到/chinese","🔍")</f>
        <v/>
      </c>
    </row>
    <row r="2680" ht="28.5" customHeight="1" s="99">
      <c r="A2680" s="92" t="inlineStr">
        <is>
          <t>PDF_Tổng hợp từ vựng mẫu câ cho NDL.pdf</t>
        </is>
      </c>
      <c r="B2680" s="93" t="inlineStr">
        <is>
          <t>38</t>
        </is>
      </c>
      <c r="C2680" s="92" t="inlineStr">
        <is>
          <t>面试</t>
        </is>
      </c>
      <c r="D2680" s="92" t="inlineStr">
        <is>
          <t>miànshì Phỏng vấn</t>
        </is>
      </c>
      <c r="E2680" s="92" t="inlineStr">
        <is>
          <t>38 面试 miànshì Phỏng vấn</t>
        </is>
      </c>
      <c r="F2680" s="114">
        <f>HYPERLINK("https://youglish.com/pronounce/面试/chinese","🔍")</f>
        <v/>
      </c>
    </row>
    <row r="2681" ht="28.5" customHeight="1" s="99">
      <c r="A2681" s="94" t="inlineStr">
        <is>
          <t>PDF_Tổng hợp từ vựng mẫu câ cho NDL.pdf</t>
        </is>
      </c>
      <c r="B2681" s="95" t="inlineStr">
        <is>
          <t>39</t>
        </is>
      </c>
      <c r="C2681" s="94" t="inlineStr">
        <is>
          <t>预付款</t>
        </is>
      </c>
      <c r="D2681" s="94" t="inlineStr">
        <is>
          <t>yùfù kuǎn Ứng lương</t>
        </is>
      </c>
      <c r="E2681" s="94" t="inlineStr">
        <is>
          <t>39 预付款 yùfù kuǎn Ứng lương</t>
        </is>
      </c>
      <c r="F2681" s="115">
        <f>HYPERLINK("https://youglish.com/pronounce/预付款/chinese","🔍")</f>
        <v/>
      </c>
    </row>
    <row r="2682" ht="28.5" customHeight="1" s="99">
      <c r="A2682" s="92" t="inlineStr">
        <is>
          <t>PDF_Tổng hợp từ vựng mẫu câ cho NDL.pdf</t>
        </is>
      </c>
      <c r="B2682" s="93" t="inlineStr">
        <is>
          <t>40</t>
        </is>
      </c>
      <c r="C2682" s="92" t="inlineStr">
        <is>
          <t>领工资</t>
        </is>
      </c>
      <c r="D2682" s="92" t="inlineStr">
        <is>
          <t>lǐng gōngzī Lĩnh lương</t>
        </is>
      </c>
      <c r="E2682" s="92" t="inlineStr">
        <is>
          <t>40 领工资 lǐng gōngzī Lĩnh lương</t>
        </is>
      </c>
      <c r="F2682" s="114">
        <f>HYPERLINK("https://youglish.com/pronounce/领工资/chinese","🔍")</f>
        <v/>
      </c>
    </row>
    <row r="2683" ht="28.5" customHeight="1" s="99">
      <c r="A2683" s="94" t="inlineStr">
        <is>
          <t>PDF_Tổng hợp từ vựng mẫu câ cho NDL.pdf</t>
        </is>
      </c>
      <c r="B2683" s="95" t="inlineStr">
        <is>
          <t>1</t>
        </is>
      </c>
      <c r="C2683" s="94" t="inlineStr">
        <is>
          <t>你有什么要说</t>
        </is>
      </c>
      <c r="D2683" s="94" t="n"/>
      <c r="E2683" s="94" t="inlineStr">
        <is>
          <t>1 你有什么要说</t>
        </is>
      </c>
      <c r="F2683" s="115">
        <f>HYPERLINK("https://youglish.com/pronounce/你有什么要说/chinese","🔍")</f>
        <v/>
      </c>
    </row>
    <row r="2684" ht="28.5" customHeight="1" s="99">
      <c r="A2684" s="92" t="inlineStr">
        <is>
          <t>PDF_Tổng hợp từ vựng mẫu câ cho NDL.pdf</t>
        </is>
      </c>
      <c r="B2684" s="93" t="inlineStr">
        <is>
          <t>42</t>
        </is>
      </c>
      <c r="C2684" s="92" t="inlineStr">
        <is>
          <t>吗</t>
        </is>
      </c>
      <c r="D2684" s="92" t="inlineStr">
        <is>
          <t>? nǐ yǒu shénme yào shuō ma Anh có muốn nói gì không?</t>
        </is>
      </c>
      <c r="E2684" s="92" t="inlineStr">
        <is>
          <t>吗? nǐ yǒu shénme yào shuō ma Anh có muốn nói gì không?</t>
        </is>
      </c>
      <c r="F2684" s="114">
        <f>HYPERLINK("https://youglish.com/pronounce/吗/chinese","🔍")</f>
        <v/>
      </c>
    </row>
    <row r="2685" ht="28.5" customHeight="1" s="99">
      <c r="A2685" s="94" t="inlineStr">
        <is>
          <t>PDF_Tổng hợp từ vựng mẫu câ cho NDL.pdf</t>
        </is>
      </c>
      <c r="B2685" s="95" t="inlineStr">
        <is>
          <t>2</t>
        </is>
      </c>
      <c r="C2685" s="94" t="inlineStr">
        <is>
          <t>你能来一下办</t>
        </is>
      </c>
      <c r="D2685" s="94" t="n"/>
      <c r="E2685" s="94" t="inlineStr">
        <is>
          <t>2 你能来一下办</t>
        </is>
      </c>
      <c r="F2685" s="115">
        <f>HYPERLINK("https://youglish.com/pronounce/你能来一下办/chinese","🔍")</f>
        <v/>
      </c>
    </row>
    <row r="2686" ht="28.5" customHeight="1" s="99">
      <c r="A2686" s="92" t="inlineStr">
        <is>
          <t>PDF_Tổng hợp từ vựng mẫu câ cho NDL.pdf</t>
        </is>
      </c>
      <c r="B2686" s="93" t="inlineStr">
        <is>
          <t>44</t>
        </is>
      </c>
      <c r="C2686" s="92" t="inlineStr">
        <is>
          <t>公室吗</t>
        </is>
      </c>
      <c r="D2686" s="92" t="n"/>
      <c r="E2686" s="92" t="inlineStr">
        <is>
          <t>公室吗？</t>
        </is>
      </c>
      <c r="F2686" s="114">
        <f>HYPERLINK("https://youglish.com/pronounce/公室吗/chinese","🔍")</f>
        <v/>
      </c>
    </row>
    <row r="2687" ht="28.5" customHeight="1" s="99">
      <c r="A2687" s="94" t="inlineStr">
        <is>
          <t>PDF_Tổng hợp từ vựng mẫu câ cho NDL.pdf</t>
        </is>
      </c>
      <c r="B2687" s="95" t="inlineStr">
        <is>
          <t>3</t>
        </is>
      </c>
      <c r="C2687" s="94" t="inlineStr">
        <is>
          <t>可以借我一支</t>
        </is>
      </c>
      <c r="D2687" s="94" t="n"/>
      <c r="E2687" s="94" t="inlineStr">
        <is>
          <t>3 可以借我一支</t>
        </is>
      </c>
      <c r="F2687" s="115">
        <f>HYPERLINK("https://youglish.com/pronounce/可以借我一支/chinese","🔍")</f>
        <v/>
      </c>
    </row>
    <row r="2688" ht="28.5" customHeight="1" s="99">
      <c r="A2688" s="92" t="inlineStr">
        <is>
          <t>PDF_Tổng hợp từ vựng mẫu câ cho NDL.pdf</t>
        </is>
      </c>
      <c r="B2688" s="93" t="inlineStr">
        <is>
          <t>46</t>
        </is>
      </c>
      <c r="C2688" s="92" t="inlineStr">
        <is>
          <t>笔吗</t>
        </is>
      </c>
      <c r="D2688" s="92" t="inlineStr">
        <is>
          <t>ké yǐ jiè wǒ yì zhī bǐ mɑ Bạn có thể cho tôi mượn cây bút</t>
        </is>
      </c>
      <c r="E2688" s="92" t="inlineStr">
        <is>
          <t>笔吗？ ké yǐ jiè wǒ yì zhī bǐ mɑ Bạn có thể cho tôi mượn cây bút</t>
        </is>
      </c>
      <c r="F2688" s="114">
        <f>HYPERLINK("https://youglish.com/pronounce/笔吗/chinese","🔍")</f>
        <v/>
      </c>
    </row>
    <row r="2689" ht="28.5" customHeight="1" s="99">
      <c r="A2689" s="94" t="inlineStr">
        <is>
          <t>PDF_Tổng hợp từ vựng mẫu câ cho NDL.pdf</t>
        </is>
      </c>
      <c r="B2689" s="95" t="inlineStr">
        <is>
          <t>4</t>
        </is>
      </c>
      <c r="C2689" s="94" t="inlineStr">
        <is>
          <t>你帮我把这份</t>
        </is>
      </c>
      <c r="D2689" s="94" t="n"/>
      <c r="E2689" s="94" t="inlineStr">
        <is>
          <t>4 你帮我把这份</t>
        </is>
      </c>
      <c r="F2689" s="115">
        <f>HYPERLINK("https://youglish.com/pronounce/你帮我把这份/chinese","🔍")</f>
        <v/>
      </c>
    </row>
    <row r="2690" ht="28.5" customHeight="1" s="99">
      <c r="A2690" s="92" t="inlineStr">
        <is>
          <t>PDF_Tổng hợp từ vựng mẫu câ cho NDL.pdf</t>
        </is>
      </c>
      <c r="B2690" s="93" t="inlineStr">
        <is>
          <t>48</t>
        </is>
      </c>
      <c r="C2690" s="92" t="inlineStr">
        <is>
          <t>文件交给王厂</t>
        </is>
      </c>
      <c r="D2690" s="92" t="n"/>
      <c r="E2690" s="92" t="inlineStr">
        <is>
          <t>文件交给王厂</t>
        </is>
      </c>
      <c r="F2690" s="114">
        <f>HYPERLINK("https://youglish.com/pronounce/文件交给王厂/chinese","🔍")</f>
        <v/>
      </c>
    </row>
    <row r="2691" ht="28.5" customHeight="1" s="99">
      <c r="A2691" s="94" t="inlineStr">
        <is>
          <t>PDF_Tổng hợp từ vựng mẫu câ cho NDL.pdf</t>
        </is>
      </c>
      <c r="B2691" s="95" t="inlineStr">
        <is>
          <t>49</t>
        </is>
      </c>
      <c r="C2691" s="94" t="inlineStr">
        <is>
          <t>长</t>
        </is>
      </c>
      <c r="D2691" s="94" t="n"/>
      <c r="E2691" s="94" t="inlineStr">
        <is>
          <t>长。</t>
        </is>
      </c>
      <c r="F2691" s="115">
        <f>HYPERLINK("https://youglish.com/pronounce/长/chinese","🔍")</f>
        <v/>
      </c>
    </row>
    <row r="2692" ht="28.5" customHeight="1" s="99">
      <c r="A2692" s="92" t="inlineStr">
        <is>
          <t>PDF_Tổng hợp từ vựng mẫu câ cho NDL.pdf</t>
        </is>
      </c>
      <c r="B2692" s="93" t="inlineStr">
        <is>
          <t>5</t>
        </is>
      </c>
      <c r="C2692" s="92" t="inlineStr">
        <is>
          <t>你做的非常</t>
        </is>
      </c>
      <c r="D2692" s="92" t="n"/>
      <c r="E2692" s="92" t="inlineStr">
        <is>
          <t>5 你做的非常</t>
        </is>
      </c>
      <c r="F2692" s="114">
        <f>HYPERLINK("https://youglish.com/pronounce/你做的非常/chinese","🔍")</f>
        <v/>
      </c>
    </row>
    <row r="2693" ht="28.5" customHeight="1" s="99">
      <c r="A2693" s="94" t="inlineStr">
        <is>
          <t>PDF_Tổng hợp từ vựng mẫu câ cho NDL.pdf</t>
        </is>
      </c>
      <c r="B2693" s="95" t="inlineStr">
        <is>
          <t>51</t>
        </is>
      </c>
      <c r="C2693" s="94" t="inlineStr">
        <is>
          <t>好</t>
        </is>
      </c>
      <c r="D2693" s="94" t="inlineStr">
        <is>
          <t>nǐ zuò de fēicháng hǎo Bạn làm rất tốt.</t>
        </is>
      </c>
      <c r="E2693" s="94" t="inlineStr">
        <is>
          <t>好！ nǐ zuò de fēicháng hǎo Bạn làm rất tốt.</t>
        </is>
      </c>
      <c r="F2693" s="115">
        <f>HYPERLINK("https://youglish.com/pronounce/好/chinese","🔍")</f>
        <v/>
      </c>
    </row>
    <row r="2694" ht="28.5" customHeight="1" s="99">
      <c r="A2694" s="92" t="inlineStr">
        <is>
          <t>PDF_Tổng hợp từ vựng mẫu câ cho NDL.pdf</t>
        </is>
      </c>
      <c r="B2694" s="93" t="inlineStr">
        <is>
          <t>6</t>
        </is>
      </c>
      <c r="C2694" s="92" t="inlineStr">
        <is>
          <t>你在哪个部门</t>
        </is>
      </c>
      <c r="D2694" s="92" t="n"/>
      <c r="E2694" s="92" t="inlineStr">
        <is>
          <t>6 你在哪个部门</t>
        </is>
      </c>
      <c r="F2694" s="114">
        <f>HYPERLINK("https://youglish.com/pronounce/你在哪个部门/chinese","🔍")</f>
        <v/>
      </c>
    </row>
    <row r="2695" ht="28.5" customHeight="1" s="99">
      <c r="A2695" s="94" t="inlineStr">
        <is>
          <t>PDF_Tổng hợp từ vựng mẫu câ cho NDL.pdf</t>
        </is>
      </c>
      <c r="B2695" s="95" t="inlineStr">
        <is>
          <t>53</t>
        </is>
      </c>
      <c r="C2695" s="94" t="inlineStr">
        <is>
          <t>工作</t>
        </is>
      </c>
      <c r="D2695" s="94" t="inlineStr">
        <is>
          <t>? nǐ zài nǎge bùmén gōngzuò Bạn làm việc ở bộ phận nào?</t>
        </is>
      </c>
      <c r="E2695" s="94" t="inlineStr">
        <is>
          <t>工作? nǐ zài nǎge bùmén gōngzuò Bạn làm việc ở bộ phận nào?</t>
        </is>
      </c>
      <c r="F2695" s="115">
        <f>HYPERLINK("https://youglish.com/pronounce/工作/chinese","🔍")</f>
        <v/>
      </c>
    </row>
    <row r="2696" ht="28.5" customHeight="1" s="99">
      <c r="A2696" s="92" t="inlineStr">
        <is>
          <t>PDF_Tổng hợp từ vựng mẫu câ cho NDL.pdf</t>
        </is>
      </c>
      <c r="B2696" s="93" t="inlineStr">
        <is>
          <t>7</t>
        </is>
      </c>
      <c r="C2696" s="92" t="inlineStr">
        <is>
          <t>你能晚点儿下</t>
        </is>
      </c>
      <c r="D2696" s="92" t="n"/>
      <c r="E2696" s="92" t="inlineStr">
        <is>
          <t>7 你能晚点儿下</t>
        </is>
      </c>
      <c r="F2696" s="114">
        <f>HYPERLINK("https://youglish.com/pronounce/你能晚点儿下/chinese","🔍")</f>
        <v/>
      </c>
    </row>
    <row r="2697" ht="28.5" customHeight="1" s="99">
      <c r="A2697" s="94" t="inlineStr">
        <is>
          <t>PDF_Tổng hợp từ vựng mẫu câ cho NDL.pdf</t>
        </is>
      </c>
      <c r="B2697" s="95" t="inlineStr">
        <is>
          <t>55</t>
        </is>
      </c>
      <c r="C2697" s="94" t="inlineStr">
        <is>
          <t>班吗</t>
        </is>
      </c>
      <c r="D2697" s="94" t="inlineStr">
        <is>
          <t>nǐ néng wǎndiǎn er xiàbān ma Cậu có thể tan ca muộn chút</t>
        </is>
      </c>
      <c r="E2697" s="94" t="inlineStr">
        <is>
          <t>班吗？ nǐ néng wǎndiǎn er xiàbān ma Cậu có thể tan ca muộn chút</t>
        </is>
      </c>
      <c r="F2697" s="115">
        <f>HYPERLINK("https://youglish.com/pronounce/班吗/chinese","🔍")</f>
        <v/>
      </c>
    </row>
    <row r="2698" ht="28.5" customHeight="1" s="99">
      <c r="A2698" s="92" t="inlineStr">
        <is>
          <t>PDF_Tổng hợp từ vựng mẫu câ cho NDL.pdf</t>
        </is>
      </c>
      <c r="B2698" s="93" t="inlineStr">
        <is>
          <t>8</t>
        </is>
      </c>
      <c r="C2698" s="92" t="inlineStr">
        <is>
          <t>王经理，早上</t>
        </is>
      </c>
      <c r="D2698" s="92" t="n"/>
      <c r="E2698" s="92" t="inlineStr">
        <is>
          <t>8 王经理，早上</t>
        </is>
      </c>
      <c r="F2698" s="114">
        <f>HYPERLINK("https://youglish.com/pronounce/王经理早上/chinese","🔍")</f>
        <v/>
      </c>
    </row>
    <row r="2699" ht="28.5" customHeight="1" s="99">
      <c r="A2699" s="94" t="inlineStr">
        <is>
          <t>PDF_Tổng hợp từ vựng mẫu câ cho NDL.pdf</t>
        </is>
      </c>
      <c r="B2699" s="95" t="inlineStr">
        <is>
          <t>57</t>
        </is>
      </c>
      <c r="C2699" s="94" t="inlineStr">
        <is>
          <t>好</t>
        </is>
      </c>
      <c r="D2699" s="94" t="inlineStr">
        <is>
          <t>! wáng jīnglǐ, zǎoshang hǎo Chào buổi sáng, giám đốc Vương!</t>
        </is>
      </c>
      <c r="E2699" s="94" t="inlineStr">
        <is>
          <t>好! wáng jīnglǐ, zǎoshang hǎo Chào buổi sáng, giám đốc Vương!</t>
        </is>
      </c>
      <c r="F2699" s="115">
        <f>HYPERLINK("https://youglish.com/pronounce/好/chinese","🔍")</f>
        <v/>
      </c>
    </row>
    <row r="2700" ht="28.5" customHeight="1" s="99">
      <c r="A2700" s="92" t="inlineStr">
        <is>
          <t>PDF_Tổng hợp từ vựng mẫu câ cho NDL.pdf</t>
        </is>
      </c>
      <c r="B2700" s="93" t="inlineStr">
        <is>
          <t>9</t>
        </is>
      </c>
      <c r="C2700" s="92" t="inlineStr">
        <is>
          <t>等一下</t>
        </is>
      </c>
      <c r="D2700" s="92" t="inlineStr">
        <is>
          <t>děng yīxià Chờ một chút.</t>
        </is>
      </c>
      <c r="E2700" s="92" t="inlineStr">
        <is>
          <t>9 等一下。 děng yīxià Chờ một chút.</t>
        </is>
      </c>
      <c r="F2700" s="114">
        <f>HYPERLINK("https://youglish.com/pronounce/等一下/chinese","🔍")</f>
        <v/>
      </c>
    </row>
    <row r="2701" ht="28.5" customHeight="1" s="99">
      <c r="A2701" s="94" t="inlineStr">
        <is>
          <t>PDF_Tổng hợp từ vựng mẫu câ cho NDL.pdf</t>
        </is>
      </c>
      <c r="B2701" s="95" t="inlineStr">
        <is>
          <t>10</t>
        </is>
      </c>
      <c r="C2701" s="94" t="inlineStr">
        <is>
          <t>可以借给我一</t>
        </is>
      </c>
      <c r="D2701" s="94" t="n"/>
      <c r="E2701" s="94" t="inlineStr">
        <is>
          <t>10 可以借给我一</t>
        </is>
      </c>
      <c r="F2701" s="115">
        <f>HYPERLINK("https://youglish.com/pronounce/可以借给我一/chinese","🔍")</f>
        <v/>
      </c>
    </row>
    <row r="2702" ht="28.5" customHeight="1" s="99">
      <c r="A2702" s="92" t="inlineStr">
        <is>
          <t>PDF_Tổng hợp từ vựng mẫu câ cho NDL.pdf</t>
        </is>
      </c>
      <c r="B2702" s="93" t="inlineStr">
        <is>
          <t>60</t>
        </is>
      </c>
      <c r="C2702" s="92" t="inlineStr">
        <is>
          <t>只笔吗</t>
        </is>
      </c>
      <c r="D2702" s="92" t="inlineStr">
        <is>
          <t>kěyǐ jiè gěi wǒ yī zhǐ bǐ ma Có thể cho tôi mượn cây viết được</t>
        </is>
      </c>
      <c r="E2702" s="92" t="inlineStr">
        <is>
          <t>只笔吗？ kěyǐ jiè gěi wǒ yī zhǐ bǐ ma Có thể cho tôi mượn cây viết được</t>
        </is>
      </c>
      <c r="F2702" s="114">
        <f>HYPERLINK("https://youglish.com/pronounce/只笔吗/chinese","🔍")</f>
        <v/>
      </c>
    </row>
    <row r="2703" ht="28.5" customHeight="1" s="99">
      <c r="A2703" s="94" t="inlineStr">
        <is>
          <t>PDF_Tổng hợp từ vựng mẫu câ cho NDL.pdf</t>
        </is>
      </c>
      <c r="B2703" s="95" t="inlineStr">
        <is>
          <t>11</t>
        </is>
      </c>
      <c r="C2703" s="94" t="inlineStr">
        <is>
          <t>还有谁还没来</t>
        </is>
      </c>
      <c r="D2703" s="94" t="inlineStr">
        <is>
          <t>? hái yǒu shéi hái méi lái Còn ai chưa đến nữa?</t>
        </is>
      </c>
      <c r="E2703" s="94" t="inlineStr">
        <is>
          <t>11 还有谁还没来? hái yǒu shéi hái méi lái Còn ai chưa đến nữa?</t>
        </is>
      </c>
      <c r="F2703" s="115">
        <f>HYPERLINK("https://youglish.com/pronounce/还有谁还没来/chinese","🔍")</f>
        <v/>
      </c>
    </row>
    <row r="2704" ht="28.5" customHeight="1" s="99">
      <c r="A2704" s="92" t="inlineStr">
        <is>
          <t>PDF_Tổng hợp từ vựng mẫu câ cho NDL.pdf</t>
        </is>
      </c>
      <c r="B2704" s="93" t="inlineStr">
        <is>
          <t>12</t>
        </is>
      </c>
      <c r="C2704" s="92" t="inlineStr">
        <is>
          <t>会议马上就要</t>
        </is>
      </c>
      <c r="D2704" s="92" t="n"/>
      <c r="E2704" s="92" t="inlineStr">
        <is>
          <t>12 会议马上就要</t>
        </is>
      </c>
      <c r="F2704" s="114">
        <f>HYPERLINK("https://youglish.com/pronounce/会议马上就要/chinese","🔍")</f>
        <v/>
      </c>
    </row>
    <row r="2705" ht="28.5" customHeight="1" s="99">
      <c r="A2705" s="94" t="inlineStr">
        <is>
          <t>PDF_Tổng hợp từ vựng mẫu câ cho NDL.pdf</t>
        </is>
      </c>
      <c r="B2705" s="95" t="inlineStr">
        <is>
          <t>63</t>
        </is>
      </c>
      <c r="C2705" s="94" t="inlineStr">
        <is>
          <t>开始了, 请大家</t>
        </is>
      </c>
      <c r="D2705" s="94" t="n"/>
      <c r="E2705" s="94" t="inlineStr">
        <is>
          <t>开始了, 请大家</t>
        </is>
      </c>
      <c r="F2705" s="115">
        <f>HYPERLINK("https://youglish.com/pronounce/开始了请大家/chinese","🔍")</f>
        <v/>
      </c>
    </row>
    <row r="2706" ht="28.5" customHeight="1" s="99">
      <c r="A2706" s="92" t="inlineStr">
        <is>
          <t>PDF_Tổng hợp từ vựng mẫu câ cho NDL.pdf</t>
        </is>
      </c>
      <c r="B2706" s="93" t="inlineStr">
        <is>
          <t>64</t>
        </is>
      </c>
      <c r="C2706" s="92" t="inlineStr">
        <is>
          <t>安静</t>
        </is>
      </c>
      <c r="D2706" s="92" t="n"/>
      <c r="E2706" s="92" t="inlineStr">
        <is>
          <t>安静！</t>
        </is>
      </c>
      <c r="F2706" s="114">
        <f>HYPERLINK("https://youglish.com/pronounce/安静/chinese","🔍")</f>
        <v/>
      </c>
    </row>
    <row r="2707" ht="28.5" customHeight="1" s="99">
      <c r="A2707" s="94" t="inlineStr">
        <is>
          <t>PDF_Tổng hợp từ vựng mẫu câ cho NDL.pdf</t>
        </is>
      </c>
      <c r="B2707" s="95" t="inlineStr">
        <is>
          <t>13</t>
        </is>
      </c>
      <c r="C2707" s="94" t="inlineStr">
        <is>
          <t>最近总是加班, 累死我了</t>
        </is>
      </c>
      <c r="D2707" s="94" t="n"/>
      <c r="E2707" s="94" t="inlineStr">
        <is>
          <t>13 最近总是加班, 累死我了！</t>
        </is>
      </c>
      <c r="F2707" s="115">
        <f>HYPERLINK("https://youglish.com/pronounce/最近总是加班累死我了/chinese","🔍")</f>
        <v/>
      </c>
    </row>
    <row r="2708" ht="28.5" customHeight="1" s="99">
      <c r="A2708" s="92" t="inlineStr">
        <is>
          <t>PDF_Tổng hợp từ vựng mẫu câ cho NDL.pdf</t>
        </is>
      </c>
      <c r="B2708" s="93" t="inlineStr">
        <is>
          <t>14</t>
        </is>
      </c>
      <c r="C2708" s="92" t="inlineStr">
        <is>
          <t>你最近工作顺</t>
        </is>
      </c>
      <c r="D2708" s="92" t="n"/>
      <c r="E2708" s="92" t="inlineStr">
        <is>
          <t>14 你最近工作顺</t>
        </is>
      </c>
      <c r="F2708" s="114">
        <f>HYPERLINK("https://youglish.com/pronounce/你最近工作顺/chinese","🔍")</f>
        <v/>
      </c>
    </row>
    <row r="2709" ht="28.5" customHeight="1" s="99">
      <c r="A2709" s="94" t="inlineStr">
        <is>
          <t>PDF_Tổng hợp từ vựng mẫu câ cho NDL.pdf</t>
        </is>
      </c>
      <c r="B2709" s="95" t="inlineStr">
        <is>
          <t>67</t>
        </is>
      </c>
      <c r="C2709" s="94" t="inlineStr">
        <is>
          <t>利吗</t>
        </is>
      </c>
      <c r="D2709" s="94" t="inlineStr">
        <is>
          <t>? nǐ zuìjìn gōngzuò shùnlì ma Dạo này công việc có thuận lợi</t>
        </is>
      </c>
      <c r="E2709" s="94" t="inlineStr">
        <is>
          <t>利吗? nǐ zuìjìn gōngzuò shùnlì ma Dạo này công việc có thuận lợi</t>
        </is>
      </c>
      <c r="F2709" s="115">
        <f>HYPERLINK("https://youglish.com/pronounce/利吗/chinese","🔍")</f>
        <v/>
      </c>
    </row>
    <row r="2710" ht="28.5" customHeight="1" s="99">
      <c r="A2710" s="92" t="inlineStr">
        <is>
          <t>PDF_Tổng hợp từ vựng mẫu câ cho NDL.pdf</t>
        </is>
      </c>
      <c r="B2710" s="93" t="inlineStr">
        <is>
          <t>15</t>
        </is>
      </c>
      <c r="C2710" s="92" t="inlineStr">
        <is>
          <t>开会了，大家请</t>
        </is>
      </c>
      <c r="D2710" s="92" t="n"/>
      <c r="E2710" s="92" t="inlineStr">
        <is>
          <t>15 开会了，大家请</t>
        </is>
      </c>
      <c r="F2710" s="114">
        <f>HYPERLINK("https://youglish.com/pronounce/开会了大家请/chinese","🔍")</f>
        <v/>
      </c>
    </row>
    <row r="2711" ht="28.5" customHeight="1" s="99">
      <c r="A2711" s="94" t="inlineStr">
        <is>
          <t>PDF_Tổng hợp từ vựng mẫu câ cho NDL.pdf</t>
        </is>
      </c>
      <c r="B2711" s="95" t="inlineStr">
        <is>
          <t>69</t>
        </is>
      </c>
      <c r="C2711" s="94" t="inlineStr">
        <is>
          <t>安静， 关上电</t>
        </is>
      </c>
      <c r="D2711" s="94" t="n"/>
      <c r="E2711" s="94" t="inlineStr">
        <is>
          <t>安静， 关上电</t>
        </is>
      </c>
      <c r="F2711" s="115">
        <f>HYPERLINK("https://youglish.com/pronounce/安静关上电/chinese","🔍")</f>
        <v/>
      </c>
    </row>
    <row r="2712" ht="28.5" customHeight="1" s="99">
      <c r="A2712" s="92" t="inlineStr">
        <is>
          <t>PDF_Tổng hợp từ vựng mẫu câ cho NDL.pdf</t>
        </is>
      </c>
      <c r="B2712" s="93" t="inlineStr">
        <is>
          <t>70</t>
        </is>
      </c>
      <c r="C2712" s="92" t="inlineStr">
        <is>
          <t>话</t>
        </is>
      </c>
      <c r="D2712" s="92" t="n"/>
      <c r="E2712" s="92" t="inlineStr">
        <is>
          <t>话。</t>
        </is>
      </c>
      <c r="F2712" s="114">
        <f>HYPERLINK("https://youglish.com/pronounce/话/chinese","🔍")</f>
        <v/>
      </c>
    </row>
    <row r="2713" ht="28.5" customHeight="1" s="99">
      <c r="A2713" s="94" t="inlineStr">
        <is>
          <t>PDF_Tổng hợp từ vựng mẫu câ cho NDL.pdf</t>
        </is>
      </c>
      <c r="B2713" s="95" t="inlineStr">
        <is>
          <t>16</t>
        </is>
      </c>
      <c r="C2713" s="94" t="inlineStr">
        <is>
          <t>他最近总是迟</t>
        </is>
      </c>
      <c r="D2713" s="94" t="n"/>
      <c r="E2713" s="94" t="inlineStr">
        <is>
          <t>16 他最近总是迟</t>
        </is>
      </c>
      <c r="F2713" s="115">
        <f>HYPERLINK("https://youglish.com/pronounce/他最近总是迟/chinese","🔍")</f>
        <v/>
      </c>
    </row>
    <row r="2714" ht="28.5" customHeight="1" s="99">
      <c r="A2714" s="92" t="inlineStr">
        <is>
          <t>PDF_Tổng hợp từ vựng mẫu câ cho NDL.pdf</t>
        </is>
      </c>
      <c r="B2714" s="93" t="inlineStr">
        <is>
          <t>72</t>
        </is>
      </c>
      <c r="C2714" s="92" t="inlineStr">
        <is>
          <t>到</t>
        </is>
      </c>
      <c r="D2714" s="92" t="inlineStr">
        <is>
          <t>tā zuìjìn zǒng shì chí dào Gần đây anh ấy luôn đến muộn.</t>
        </is>
      </c>
      <c r="E2714" s="92" t="inlineStr">
        <is>
          <t>到。 tā zuìjìn zǒng shì chí dào Gần đây anh ấy luôn đến muộn.</t>
        </is>
      </c>
      <c r="F2714" s="114">
        <f>HYPERLINK("https://youglish.com/pronounce/到/chinese","🔍")</f>
        <v/>
      </c>
    </row>
    <row r="2715" ht="28.5" customHeight="1" s="99">
      <c r="A2715" s="94" t="inlineStr">
        <is>
          <t>PDF_Tổng hợp từ vựng mẫu câ cho NDL.pdf</t>
        </is>
      </c>
      <c r="B2715" s="95" t="inlineStr">
        <is>
          <t>17</t>
        </is>
      </c>
      <c r="C2715" s="94" t="inlineStr">
        <is>
          <t>今天要做什</t>
        </is>
      </c>
      <c r="D2715" s="94" t="n"/>
      <c r="E2715" s="94" t="inlineStr">
        <is>
          <t>17 今天要做什</t>
        </is>
      </c>
      <c r="F2715" s="115">
        <f>HYPERLINK("https://youglish.com/pronounce/今天要做什/chinese","🔍")</f>
        <v/>
      </c>
    </row>
    <row r="2716" ht="28.5" customHeight="1" s="99">
      <c r="A2716" s="92" t="inlineStr">
        <is>
          <t>PDF_Tổng hợp từ vựng mẫu câ cho NDL.pdf</t>
        </is>
      </c>
      <c r="B2716" s="93" t="inlineStr">
        <is>
          <t>74</t>
        </is>
      </c>
      <c r="C2716" s="92" t="inlineStr">
        <is>
          <t>么</t>
        </is>
      </c>
      <c r="D2716" s="92" t="inlineStr">
        <is>
          <t>jīntiān yào zuò shénme Hôm nay phải làm những gì?</t>
        </is>
      </c>
      <c r="E2716" s="92" t="inlineStr">
        <is>
          <t>么？ jīntiān yào zuò shénme Hôm nay phải làm những gì?</t>
        </is>
      </c>
      <c r="F2716" s="114">
        <f>HYPERLINK("https://youglish.com/pronounce/么/chinese","🔍")</f>
        <v/>
      </c>
    </row>
    <row r="2717" ht="28.5" customHeight="1" s="99">
      <c r="A2717" s="94" t="inlineStr">
        <is>
          <t>PDF_Tổng hợp từ vựng mẫu câ cho NDL.pdf</t>
        </is>
      </c>
      <c r="B2717" s="95" t="inlineStr">
        <is>
          <t>18</t>
        </is>
      </c>
      <c r="C2717" s="94" t="inlineStr">
        <is>
          <t>你今天看起来</t>
        </is>
      </c>
      <c r="D2717" s="94" t="n"/>
      <c r="E2717" s="94" t="inlineStr">
        <is>
          <t>18 你今天看起来</t>
        </is>
      </c>
      <c r="F2717" s="115">
        <f>HYPERLINK("https://youglish.com/pronounce/你今天看起来/chinese","🔍")</f>
        <v/>
      </c>
    </row>
    <row r="2718" ht="28.5" customHeight="1" s="99">
      <c r="A2718" s="92" t="inlineStr">
        <is>
          <t>PDF_Tổng hợp từ vựng mẫu câ cho NDL.pdf</t>
        </is>
      </c>
      <c r="B2718" s="93" t="inlineStr">
        <is>
          <t>76</t>
        </is>
      </c>
      <c r="C2718" s="92" t="inlineStr">
        <is>
          <t>不错</t>
        </is>
      </c>
      <c r="D2718" s="92" t="inlineStr">
        <is>
          <t>nǐ jīntiān kàn qǐlái bú cuò Hôm nay trông bạn thật tuyệt vời.</t>
        </is>
      </c>
      <c r="E2718" s="92" t="inlineStr">
        <is>
          <t>不错！ nǐ jīntiān kàn qǐlái bú cuò Hôm nay trông bạn thật tuyệt vời.</t>
        </is>
      </c>
      <c r="F2718" s="114">
        <f>HYPERLINK("https://youglish.com/pronounce/不错/chinese","🔍")</f>
        <v/>
      </c>
    </row>
    <row r="2719" ht="28.5" customHeight="1" s="99">
      <c r="A2719" s="94" t="inlineStr">
        <is>
          <t>PDF_Tổng hợp từ vựng mẫu câ cho NDL.pdf</t>
        </is>
      </c>
      <c r="B2719" s="95" t="inlineStr">
        <is>
          <t>19</t>
        </is>
      </c>
      <c r="C2719" s="94" t="inlineStr">
        <is>
          <t>开会时不能接</t>
        </is>
      </c>
      <c r="D2719" s="94" t="n"/>
      <c r="E2719" s="94" t="inlineStr">
        <is>
          <t>19 开会时不能接</t>
        </is>
      </c>
      <c r="F2719" s="115">
        <f>HYPERLINK("https://youglish.com/pronounce/开会时不能接/chinese","🔍")</f>
        <v/>
      </c>
    </row>
    <row r="2720" ht="28.5" customHeight="1" s="99">
      <c r="A2720" s="92" t="inlineStr">
        <is>
          <t>PDF_Tổng hợp từ vựng mẫu câ cho NDL.pdf</t>
        </is>
      </c>
      <c r="B2720" s="93" t="inlineStr">
        <is>
          <t>78</t>
        </is>
      </c>
      <c r="C2720" s="92" t="inlineStr">
        <is>
          <t>电话</t>
        </is>
      </c>
      <c r="D2720" s="92" t="inlineStr">
        <is>
          <t>kāihuì shí bùnéng jiē diànhuà Khi họp không được nghe điện</t>
        </is>
      </c>
      <c r="E2720" s="92" t="inlineStr">
        <is>
          <t>电话。 kāihuì shí bùnéng jiē diànhuà Khi họp không được nghe điện</t>
        </is>
      </c>
      <c r="F2720" s="114">
        <f>HYPERLINK("https://youglish.com/pronounce/电话/chinese","🔍")</f>
        <v/>
      </c>
    </row>
    <row r="2721" ht="28.5" customHeight="1" s="99">
      <c r="A2721" s="94" t="inlineStr">
        <is>
          <t>PDF_Tổng hợp từ vựng mẫu câ cho NDL.pdf</t>
        </is>
      </c>
      <c r="B2721" s="95" t="inlineStr">
        <is>
          <t>20</t>
        </is>
      </c>
      <c r="C2721" s="94" t="inlineStr">
        <is>
          <t>打印机工作</t>
        </is>
      </c>
      <c r="D2721" s="94" t="n"/>
      <c r="E2721" s="94" t="inlineStr">
        <is>
          <t>20 打印机工作</t>
        </is>
      </c>
      <c r="F2721" s="115">
        <f>HYPERLINK("https://youglish.com/pronounce/打印机工作/chinese","🔍")</f>
        <v/>
      </c>
    </row>
    <row r="2722" ht="28.5" customHeight="1" s="99">
      <c r="A2722" s="92" t="inlineStr">
        <is>
          <t>PDF_Tổng hợp từ vựng mẫu câ cho NDL.pdf</t>
        </is>
      </c>
      <c r="B2722" s="93" t="inlineStr">
        <is>
          <t>80</t>
        </is>
      </c>
      <c r="C2722" s="92" t="inlineStr">
        <is>
          <t>吗</t>
        </is>
      </c>
      <c r="D2722" s="92" t="inlineStr">
        <is>
          <t>dă yìn jī gōng zuò mā Máy in có hoạt động không?</t>
        </is>
      </c>
      <c r="E2722" s="92" t="inlineStr">
        <is>
          <t>吗？ dă yìn jī gōng zuò mā Máy in có hoạt động không?</t>
        </is>
      </c>
      <c r="F2722" s="114">
        <f>HYPERLINK("https://youglish.com/pronounce/吗/chinese","🔍")</f>
        <v/>
      </c>
    </row>
    <row r="2723" ht="28.5" customHeight="1" s="99">
      <c r="A2723" s="94" t="inlineStr">
        <is>
          <t>PDF_Tổng hợp từ vựng mẫu câ cho NDL.pdf</t>
        </is>
      </c>
      <c r="B2723" s="95" t="inlineStr">
        <is>
          <t>21</t>
        </is>
      </c>
      <c r="C2723" s="94" t="inlineStr">
        <is>
          <t>会议几点结束</t>
        </is>
      </c>
      <c r="D2723" s="94" t="inlineStr">
        <is>
          <t>? huìyì jǐ diǎn jiéshù Mấy giờ cuộc họp kết thúc?</t>
        </is>
      </c>
      <c r="E2723" s="94" t="inlineStr">
        <is>
          <t>21 会议几点结束? huìyì jǐ diǎn jiéshù Mấy giờ cuộc họp kết thúc?</t>
        </is>
      </c>
      <c r="F2723" s="115">
        <f>HYPERLINK("https://youglish.com/pronounce/会议几点结束/chinese","🔍")</f>
        <v/>
      </c>
    </row>
    <row r="2724" ht="28.5" customHeight="1" s="99">
      <c r="A2724" s="92" t="inlineStr">
        <is>
          <t>PDF_Tổng hợp từ vựng mẫu câ cho NDL.pdf</t>
        </is>
      </c>
      <c r="B2724" s="93" t="inlineStr">
        <is>
          <t>22</t>
        </is>
      </c>
      <c r="C2724" s="92" t="inlineStr">
        <is>
          <t>会议几点开始</t>
        </is>
      </c>
      <c r="D2724" s="92" t="inlineStr">
        <is>
          <t>? huì yì jǐ diǎn kāishǐ Mấy giờ thì cuộc họp bắt đầu?</t>
        </is>
      </c>
      <c r="E2724" s="92" t="inlineStr">
        <is>
          <t>22 会议几点开始? huì yì jǐ diǎn kāishǐ Mấy giờ thì cuộc họp bắt đầu?</t>
        </is>
      </c>
      <c r="F2724" s="114">
        <f>HYPERLINK("https://youglish.com/pronounce/会议几点开始/chinese","🔍")</f>
        <v/>
      </c>
    </row>
    <row r="2725" ht="28.5" customHeight="1" s="99">
      <c r="A2725" s="94" t="inlineStr">
        <is>
          <t>PDF_Tổng hợp từ vựng mẫu câ cho NDL.pdf</t>
        </is>
      </c>
      <c r="B2725" s="95" t="inlineStr">
        <is>
          <t>23</t>
        </is>
      </c>
      <c r="C2725" s="94" t="inlineStr">
        <is>
          <t>人到齐了吗</t>
        </is>
      </c>
      <c r="D2725" s="94" t="inlineStr">
        <is>
          <t>? rén dào qíle ma Mọi người đã đến đủ chưa?</t>
        </is>
      </c>
      <c r="E2725" s="94" t="inlineStr">
        <is>
          <t>23 人到齐了吗? rén dào qíle ma Mọi người đã đến đủ chưa?</t>
        </is>
      </c>
      <c r="F2725" s="115">
        <f>HYPERLINK("https://youglish.com/pronounce/人到齐了吗/chinese","🔍")</f>
        <v/>
      </c>
    </row>
    <row r="2726" ht="28.5" customHeight="1" s="99">
      <c r="A2726" s="92" t="inlineStr">
        <is>
          <t>PDF_Tổng hợp từ vựng mẫu câ cho NDL.pdf</t>
        </is>
      </c>
      <c r="B2726" s="93" t="inlineStr">
        <is>
          <t>24</t>
        </is>
      </c>
      <c r="C2726" s="92" t="inlineStr">
        <is>
          <t>既然人齐了,那</t>
        </is>
      </c>
      <c r="D2726" s="92" t="n"/>
      <c r="E2726" s="92" t="inlineStr">
        <is>
          <t>24 既然人齐了,那</t>
        </is>
      </c>
      <c r="F2726" s="114">
        <f>HYPERLINK("https://youglish.com/pronounce/既然人齐了那/chinese","🔍")</f>
        <v/>
      </c>
    </row>
    <row r="2727" ht="28.5" customHeight="1" s="99">
      <c r="A2727" s="94" t="inlineStr">
        <is>
          <t>PDF_Tổng hợp từ vựng mẫu câ cho NDL.pdf</t>
        </is>
      </c>
      <c r="B2727" s="95" t="inlineStr">
        <is>
          <t>85</t>
        </is>
      </c>
      <c r="C2727" s="94" t="inlineStr">
        <is>
          <t>么会议开始</t>
        </is>
      </c>
      <c r="D2727" s="94" t="n"/>
      <c r="E2727" s="94" t="inlineStr">
        <is>
          <t>么会议开始</t>
        </is>
      </c>
      <c r="F2727" s="115">
        <f>HYPERLINK("https://youglish.com/pronounce/么会议开始/chinese","🔍")</f>
        <v/>
      </c>
    </row>
    <row r="2728" ht="28.5" customHeight="1" s="99">
      <c r="A2728" s="92" t="inlineStr">
        <is>
          <t>PDF_Tổng hợp từ vựng mẫu câ cho NDL.pdf</t>
        </is>
      </c>
      <c r="B2728" s="93" t="inlineStr">
        <is>
          <t>86</t>
        </is>
      </c>
      <c r="C2728" s="92" t="inlineStr">
        <is>
          <t>吧</t>
        </is>
      </c>
      <c r="D2728" s="92" t="n"/>
      <c r="E2728" s="92" t="inlineStr">
        <is>
          <t>吧！</t>
        </is>
      </c>
      <c r="F2728" s="114">
        <f>HYPERLINK("https://youglish.com/pronounce/吧/chinese","🔍")</f>
        <v/>
      </c>
    </row>
    <row r="2729" ht="28.5" customHeight="1" s="99">
      <c r="A2729" s="94" t="inlineStr">
        <is>
          <t>PDF_Tổng hợp từ vựng mẫu câ cho NDL.pdf</t>
        </is>
      </c>
      <c r="B2729" s="95" t="inlineStr">
        <is>
          <t>25</t>
        </is>
      </c>
      <c r="C2729" s="94" t="inlineStr">
        <is>
          <t>您可以把我薪</t>
        </is>
      </c>
      <c r="D2729" s="94" t="n"/>
      <c r="E2729" s="94" t="inlineStr">
        <is>
          <t>25 您可以把我薪</t>
        </is>
      </c>
      <c r="F2729" s="115">
        <f>HYPERLINK("https://youglish.com/pronounce/您可以把我薪/chinese","🔍")</f>
        <v/>
      </c>
    </row>
    <row r="2730" ht="28.5" customHeight="1" s="99">
      <c r="A2730" s="92" t="inlineStr">
        <is>
          <t>PDF_Tổng hợp từ vựng mẫu câ cho NDL.pdf</t>
        </is>
      </c>
      <c r="B2730" s="93" t="inlineStr">
        <is>
          <t>88</t>
        </is>
      </c>
      <c r="C2730" s="92" t="inlineStr">
        <is>
          <t>水加一点吗</t>
        </is>
      </c>
      <c r="D2730" s="92" t="n"/>
      <c r="E2730" s="92" t="inlineStr">
        <is>
          <t>水加一点吗？</t>
        </is>
      </c>
      <c r="F2730" s="114">
        <f>HYPERLINK("https://youglish.com/pronounce/水加一点吗/chinese","🔍")</f>
        <v/>
      </c>
    </row>
    <row r="2731" ht="28.5" customHeight="1" s="99">
      <c r="A2731" s="94" t="inlineStr">
        <is>
          <t>PDF_Tổng hợp từ vựng mẫu câ cho NDL.pdf</t>
        </is>
      </c>
      <c r="B2731" s="95" t="inlineStr">
        <is>
          <t>26</t>
        </is>
      </c>
      <c r="C2731" s="94" t="inlineStr">
        <is>
          <t>资料准备好了</t>
        </is>
      </c>
      <c r="D2731" s="94" t="n"/>
      <c r="E2731" s="94" t="inlineStr">
        <is>
          <t>26 资料准备好了</t>
        </is>
      </c>
      <c r="F2731" s="115">
        <f>HYPERLINK("https://youglish.com/pronounce/资料准备好了/chinese","🔍")</f>
        <v/>
      </c>
    </row>
    <row r="2732" ht="28.5" customHeight="1" s="99">
      <c r="A2732" s="92" t="inlineStr">
        <is>
          <t>PDF_Tổng hợp từ vựng mẫu câ cho NDL.pdf</t>
        </is>
      </c>
      <c r="B2732" s="93" t="inlineStr">
        <is>
          <t>90</t>
        </is>
      </c>
      <c r="C2732" s="92" t="inlineStr">
        <is>
          <t>吗</t>
        </is>
      </c>
      <c r="D2732" s="92" t="inlineStr">
        <is>
          <t>? zīliào zhǔnbèi hǎole ma Tài liệu đã chuẩn bị xong hết</t>
        </is>
      </c>
      <c r="E2732" s="92" t="inlineStr">
        <is>
          <t>吗? zīliào zhǔnbèi hǎole ma Tài liệu đã chuẩn bị xong hết</t>
        </is>
      </c>
      <c r="F2732" s="114">
        <f>HYPERLINK("https://youglish.com/pronounce/吗/chinese","🔍")</f>
        <v/>
      </c>
    </row>
    <row r="2733" ht="28.5" customHeight="1" s="99">
      <c r="A2733" s="94" t="inlineStr">
        <is>
          <t>PDF_Tổng hợp từ vựng mẫu câ cho NDL.pdf</t>
        </is>
      </c>
      <c r="B2733" s="95" t="inlineStr">
        <is>
          <t>27</t>
        </is>
      </c>
      <c r="C2733" s="94" t="inlineStr">
        <is>
          <t>该下班了</t>
        </is>
      </c>
      <c r="D2733" s="94" t="inlineStr">
        <is>
          <t>gāi xiàbānle Tan ca thôi.</t>
        </is>
      </c>
      <c r="E2733" s="94" t="inlineStr">
        <is>
          <t>27 该下班了。 gāi xiàbānle Tan ca thôi.</t>
        </is>
      </c>
      <c r="F2733" s="115">
        <f>HYPERLINK("https://youglish.com/pronounce/该下班了/chinese","🔍")</f>
        <v/>
      </c>
    </row>
    <row r="2734" ht="28.5" customHeight="1" s="99">
      <c r="A2734" s="92" t="inlineStr">
        <is>
          <t>PDF_Tổng hợp từ vựng mẫu câ cho NDL.pdf</t>
        </is>
      </c>
      <c r="B2734" s="93" t="inlineStr">
        <is>
          <t>28</t>
        </is>
      </c>
      <c r="C2734" s="92" t="inlineStr">
        <is>
          <t>大家作完报告</t>
        </is>
      </c>
      <c r="D2734" s="92" t="n"/>
      <c r="E2734" s="92" t="inlineStr">
        <is>
          <t>28 大家作完报告</t>
        </is>
      </c>
      <c r="F2734" s="114">
        <f>HYPERLINK("https://youglish.com/pronounce/大家作完报告/chinese","🔍")</f>
        <v/>
      </c>
    </row>
    <row r="2735" ht="28.5" customHeight="1" s="99">
      <c r="A2735" s="94" t="inlineStr">
        <is>
          <t>PDF_Tổng hợp từ vựng mẫu câ cho NDL.pdf</t>
        </is>
      </c>
      <c r="B2735" s="95" t="inlineStr">
        <is>
          <t>93</t>
        </is>
      </c>
      <c r="C2735" s="94" t="inlineStr">
        <is>
          <t>就发到我的邮</t>
        </is>
      </c>
      <c r="D2735" s="94" t="n"/>
      <c r="E2735" s="94" t="inlineStr">
        <is>
          <t>就发到我的邮</t>
        </is>
      </c>
      <c r="F2735" s="115">
        <f>HYPERLINK("https://youglish.com/pronounce/就发到我的邮/chinese","🔍")</f>
        <v/>
      </c>
    </row>
    <row r="2736" ht="28.5" customHeight="1" s="99">
      <c r="A2736" s="92" t="inlineStr">
        <is>
          <t>PDF_Tổng hợp từ vựng mẫu câ cho NDL.pdf</t>
        </is>
      </c>
      <c r="B2736" s="93" t="inlineStr">
        <is>
          <t>94</t>
        </is>
      </c>
      <c r="C2736" s="92" t="inlineStr">
        <is>
          <t>箱</t>
        </is>
      </c>
      <c r="D2736" s="92" t="n"/>
      <c r="E2736" s="92" t="inlineStr">
        <is>
          <t>箱。</t>
        </is>
      </c>
      <c r="F2736" s="114">
        <f>HYPERLINK("https://youglish.com/pronounce/箱/chinese","🔍")</f>
        <v/>
      </c>
    </row>
    <row r="2737" ht="28.5" customHeight="1" s="99">
      <c r="A2737" s="94" t="inlineStr">
        <is>
          <t>PDF_Tổng hợp từ vựng mẫu câ cho NDL.pdf</t>
        </is>
      </c>
      <c r="B2737" s="95" t="inlineStr">
        <is>
          <t>29</t>
        </is>
      </c>
      <c r="C2737" s="94" t="inlineStr">
        <is>
          <t>我可以问你一</t>
        </is>
      </c>
      <c r="D2737" s="94" t="n"/>
      <c r="E2737" s="94" t="inlineStr">
        <is>
          <t>29 我可以问你一</t>
        </is>
      </c>
      <c r="F2737" s="115">
        <f>HYPERLINK("https://youglish.com/pronounce/我可以问你一/chinese","🔍")</f>
        <v/>
      </c>
    </row>
    <row r="2738" ht="28.5" customHeight="1" s="99">
      <c r="A2738" s="92" t="inlineStr">
        <is>
          <t>PDF_Tổng hợp từ vựng mẫu câ cho NDL.pdf</t>
        </is>
      </c>
      <c r="B2738" s="93" t="inlineStr">
        <is>
          <t>96</t>
        </is>
      </c>
      <c r="C2738" s="92" t="inlineStr">
        <is>
          <t>个问题吗</t>
        </is>
      </c>
      <c r="D2738" s="92" t="inlineStr">
        <is>
          <t>wǒ kéyǐ wèn nǐ yíɡè wèntí mɑ Tôi có thể hỏi bạn một câu không?</t>
        </is>
      </c>
      <c r="E2738" s="92" t="inlineStr">
        <is>
          <t>个问题吗？ wǒ kéyǐ wèn nǐ yíɡè wèntí mɑ Tôi có thể hỏi bạn một câu không?</t>
        </is>
      </c>
      <c r="F2738" s="114">
        <f>HYPERLINK("https://youglish.com/pronounce/个问题吗/chinese","🔍")</f>
        <v/>
      </c>
    </row>
    <row r="2739" ht="28.5" customHeight="1" s="99">
      <c r="A2739" s="94" t="inlineStr">
        <is>
          <t>PDF_Tổng hợp từ vựng mẫu câ cho NDL.pdf</t>
        </is>
      </c>
      <c r="B2739" s="95" t="inlineStr">
        <is>
          <t>30</t>
        </is>
      </c>
      <c r="C2739" s="94" t="inlineStr">
        <is>
          <t>我宣布会议开</t>
        </is>
      </c>
      <c r="D2739" s="94" t="n"/>
      <c r="E2739" s="94" t="inlineStr">
        <is>
          <t>30 我宣布会议开</t>
        </is>
      </c>
      <c r="F2739" s="115">
        <f>HYPERLINK("https://youglish.com/pronounce/我宣布会议开/chinese","🔍")</f>
        <v/>
      </c>
    </row>
    <row r="2740" ht="28.5" customHeight="1" s="99">
      <c r="A2740" s="92" t="inlineStr">
        <is>
          <t>PDF_Tổng hợp từ vựng mẫu câ cho NDL.pdf</t>
        </is>
      </c>
      <c r="B2740" s="93" t="inlineStr">
        <is>
          <t>98</t>
        </is>
      </c>
      <c r="C2740" s="92" t="inlineStr">
        <is>
          <t>始</t>
        </is>
      </c>
      <c r="D2740" s="92" t="inlineStr">
        <is>
          <t>wǒ xuānbù huìyì kāishǐ Tôi tuyên bố bắt đầu cuộc họp.</t>
        </is>
      </c>
      <c r="E2740" s="92" t="inlineStr">
        <is>
          <t>始 wǒ xuānbù huìyì kāishǐ Tôi tuyên bố bắt đầu cuộc họp.</t>
        </is>
      </c>
      <c r="F2740" s="114">
        <f>HYPERLINK("https://youglish.com/pronounce/始/chinese","🔍")</f>
        <v/>
      </c>
    </row>
    <row r="2741" ht="28.5" customHeight="1" s="99">
      <c r="A2741" s="94" t="inlineStr">
        <is>
          <t>PDF_Tổng hợp từ vựng mẫu câ cho NDL.pdf</t>
        </is>
      </c>
      <c r="B2741" s="95" t="inlineStr">
        <is>
          <t>31</t>
        </is>
      </c>
      <c r="C2741" s="94" t="inlineStr">
        <is>
          <t>社长正在等您</t>
        </is>
      </c>
      <c r="D2741" s="94" t="n"/>
      <c r="E2741" s="94" t="inlineStr">
        <is>
          <t>31 社长正在等您</t>
        </is>
      </c>
      <c r="F2741" s="115">
        <f>HYPERLINK("https://youglish.com/pronounce/社长正在等您/chinese","🔍")</f>
        <v/>
      </c>
    </row>
    <row r="2742" ht="28.5" customHeight="1" s="99">
      <c r="A2742" s="92" t="inlineStr">
        <is>
          <t>PDF_Tổng hợp từ vựng mẫu câ cho NDL.pdf</t>
        </is>
      </c>
      <c r="B2742" s="93" t="inlineStr">
        <is>
          <t>100</t>
        </is>
      </c>
      <c r="C2742" s="92" t="inlineStr">
        <is>
          <t>呢</t>
        </is>
      </c>
      <c r="D2742" s="92" t="n"/>
      <c r="E2742" s="92" t="inlineStr">
        <is>
          <t>呢。</t>
        </is>
      </c>
      <c r="F2742" s="114">
        <f>HYPERLINK("https://youglish.com/pronounce/呢/chinese","🔍")</f>
        <v/>
      </c>
    </row>
    <row r="2743" ht="28.5" customHeight="1" s="99">
      <c r="A2743" s="94" t="inlineStr">
        <is>
          <t>PDF_Tổng hợp từ vựng mẫu câ cho NDL.pdf</t>
        </is>
      </c>
      <c r="B2743" s="95" t="inlineStr">
        <is>
          <t>32</t>
        </is>
      </c>
      <c r="C2743" s="94" t="inlineStr">
        <is>
          <t>请帮我打印一</t>
        </is>
      </c>
      <c r="D2743" s="94" t="n"/>
      <c r="E2743" s="94" t="inlineStr">
        <is>
          <t>32 请帮我打印一</t>
        </is>
      </c>
      <c r="F2743" s="115">
        <f>HYPERLINK("https://youglish.com/pronounce/请帮我打印一/chinese","🔍")</f>
        <v/>
      </c>
    </row>
    <row r="2744" ht="28.5" customHeight="1" s="99">
      <c r="A2744" s="92" t="inlineStr">
        <is>
          <t>PDF_Tổng hợp từ vựng mẫu câ cho NDL.pdf</t>
        </is>
      </c>
      <c r="B2744" s="93" t="inlineStr">
        <is>
          <t>102</t>
        </is>
      </c>
      <c r="C2744" s="92" t="inlineStr">
        <is>
          <t>下这份文件</t>
        </is>
      </c>
      <c r="D2744" s="92" t="n"/>
      <c r="E2744" s="92" t="inlineStr">
        <is>
          <t>下这份文件</t>
        </is>
      </c>
      <c r="F2744" s="114">
        <f>HYPERLINK("https://youglish.com/pronounce/下这份文件/chinese","🔍")</f>
        <v/>
      </c>
    </row>
    <row r="2745" ht="28.5" customHeight="1" s="99">
      <c r="A2745" s="94" t="inlineStr">
        <is>
          <t>PDF_Tổng hợp từ vựng mẫu câ cho NDL.pdf</t>
        </is>
      </c>
      <c r="B2745" s="95" t="inlineStr">
        <is>
          <t>33</t>
        </is>
      </c>
      <c r="C2745" s="94" t="inlineStr">
        <is>
          <t>陈经理，您好</t>
        </is>
      </c>
      <c r="D2745" s="94" t="inlineStr">
        <is>
          <t>! chén jīnglǐ, nín hǎo Xin chào giám đốc Trần!</t>
        </is>
      </c>
      <c r="E2745" s="94" t="inlineStr">
        <is>
          <t>33 陈经理，您好! chén jīnglǐ, nín hǎo Xin chào giám đốc Trần!</t>
        </is>
      </c>
      <c r="F2745" s="115">
        <f>HYPERLINK("https://youglish.com/pronounce/陈经理您好/chinese","🔍")</f>
        <v/>
      </c>
    </row>
    <row r="2746" ht="28.5" customHeight="1" s="99">
      <c r="A2746" s="92" t="inlineStr">
        <is>
          <t>PDF_Tổng hợp từ vựng mẫu câ cho NDL.pdf</t>
        </is>
      </c>
      <c r="B2746" s="93" t="inlineStr">
        <is>
          <t>34</t>
        </is>
      </c>
      <c r="C2746" s="92" t="inlineStr">
        <is>
          <t>请给我一杯水</t>
        </is>
      </c>
      <c r="D2746" s="92" t="inlineStr">
        <is>
          <t>qǐnɡ ɡěi wǒ yì bēi shuǐ Xin hãy cho tôi một cốc nước.</t>
        </is>
      </c>
      <c r="E2746" s="92" t="inlineStr">
        <is>
          <t>34 请给我一杯水 qǐnɡ ɡěi wǒ yì bēi shuǐ Xin hãy cho tôi một cốc nước.</t>
        </is>
      </c>
      <c r="F2746" s="114">
        <f>HYPERLINK("https://youglish.com/pronounce/请给我一杯水/chinese","🔍")</f>
        <v/>
      </c>
    </row>
    <row r="2747" ht="28.5" customHeight="1" s="99">
      <c r="A2747" s="94" t="inlineStr">
        <is>
          <t>PDF_Tổng hợp từ vựng mẫu câ cho NDL.pdf</t>
        </is>
      </c>
      <c r="B2747" s="95" t="inlineStr">
        <is>
          <t>35</t>
        </is>
      </c>
      <c r="C2747" s="94" t="inlineStr">
        <is>
          <t>对不起打断一</t>
        </is>
      </c>
      <c r="D2747" s="94" t="n"/>
      <c r="E2747" s="94" t="inlineStr">
        <is>
          <t>35 对不起打断一</t>
        </is>
      </c>
      <c r="F2747" s="115">
        <f>HYPERLINK("https://youglish.com/pronounce/对不起打断一/chinese","🔍")</f>
        <v/>
      </c>
    </row>
    <row r="2748" ht="28.5" customHeight="1" s="99">
      <c r="A2748" s="92" t="inlineStr">
        <is>
          <t>PDF_Tổng hợp từ vựng mẫu câ cho NDL.pdf</t>
        </is>
      </c>
      <c r="B2748" s="93" t="inlineStr">
        <is>
          <t>106</t>
        </is>
      </c>
      <c r="C2748" s="92" t="inlineStr">
        <is>
          <t>下</t>
        </is>
      </c>
      <c r="D2748" s="92" t="inlineStr">
        <is>
          <t>duìbùqǐ dǎ duàn yīxià Xin lỗi cho tôi ngắt lời một chút</t>
        </is>
      </c>
      <c r="E2748" s="92" t="inlineStr">
        <is>
          <t>下 duìbùqǐ dǎ duàn yīxià Xin lỗi cho tôi ngắt lời một chút</t>
        </is>
      </c>
      <c r="F2748" s="114">
        <f>HYPERLINK("https://youglish.com/pronounce/下/chinese","🔍")</f>
        <v/>
      </c>
    </row>
    <row r="2749" ht="28.5" customHeight="1" s="99">
      <c r="A2749" s="94" t="inlineStr">
        <is>
          <t>PDF_Tổng hợp từ vựng mẫu câ cho NDL.pdf</t>
        </is>
      </c>
      <c r="B2749" s="95" t="inlineStr">
        <is>
          <t>36</t>
        </is>
      </c>
      <c r="C2749" s="94" t="inlineStr">
        <is>
          <t>请问, 有什么可</t>
        </is>
      </c>
      <c r="D2749" s="94" t="n"/>
      <c r="E2749" s="94" t="inlineStr">
        <is>
          <t>36 请问, 有什么可</t>
        </is>
      </c>
      <c r="F2749" s="115">
        <f>HYPERLINK("https://youglish.com/pronounce/请问有什么可/chinese","🔍")</f>
        <v/>
      </c>
    </row>
    <row r="2750" ht="28.5" customHeight="1" s="99">
      <c r="A2750" s="92" t="inlineStr">
        <is>
          <t>PDF_Tổng hợp từ vựng mẫu câ cho NDL.pdf</t>
        </is>
      </c>
      <c r="B2750" s="93" t="inlineStr">
        <is>
          <t>108</t>
        </is>
      </c>
      <c r="C2750" s="92" t="inlineStr">
        <is>
          <t>以帮您</t>
        </is>
      </c>
      <c r="D2750" s="92" t="n"/>
      <c r="E2750" s="92" t="inlineStr">
        <is>
          <t>以帮您？</t>
        </is>
      </c>
      <c r="F2750" s="114">
        <f>HYPERLINK("https://youglish.com/pronounce/以帮您/chinese","🔍")</f>
        <v/>
      </c>
    </row>
    <row r="2751" ht="28.5" customHeight="1" s="99">
      <c r="A2751" s="94" t="inlineStr">
        <is>
          <t>PDF_Tổng hợp từ vựng mẫu câ cho NDL.pdf</t>
        </is>
      </c>
      <c r="B2751" s="95" t="inlineStr">
        <is>
          <t>1</t>
        </is>
      </c>
      <c r="C2751" s="94" t="inlineStr">
        <is>
          <t>人力资源部</t>
        </is>
      </c>
      <c r="D2751" s="94" t="inlineStr">
        <is>
          <t>rénlì zīyuán bù Phòng nhân sự</t>
        </is>
      </c>
      <c r="E2751" s="94" t="inlineStr">
        <is>
          <t>1 人力资源部 rénlì zīyuán bù Phòng nhân sự</t>
        </is>
      </c>
      <c r="F2751" s="115">
        <f>HYPERLINK("https://youglish.com/pronounce/人力资源部/chinese","🔍")</f>
        <v/>
      </c>
    </row>
    <row r="2752" ht="28.5" customHeight="1" s="99">
      <c r="A2752" s="92" t="inlineStr">
        <is>
          <t>PDF_Tổng hợp từ vựng mẫu câ cho NDL.pdf</t>
        </is>
      </c>
      <c r="B2752" s="93" t="inlineStr">
        <is>
          <t>2</t>
        </is>
      </c>
      <c r="C2752" s="92" t="inlineStr">
        <is>
          <t>会计室</t>
        </is>
      </c>
      <c r="D2752" s="92" t="inlineStr">
        <is>
          <t>Kuàijì shì Phòng kế toán</t>
        </is>
      </c>
      <c r="E2752" s="92" t="inlineStr">
        <is>
          <t>2 会计室 Kuàijì shì Phòng kế toán</t>
        </is>
      </c>
      <c r="F2752" s="114">
        <f>HYPERLINK("https://youglish.com/pronounce/会计室/chinese","🔍")</f>
        <v/>
      </c>
    </row>
    <row r="2753" ht="28.5" customHeight="1" s="99">
      <c r="A2753" s="94" t="inlineStr">
        <is>
          <t>PDF_Tổng hợp từ vựng mẫu câ cho NDL.pdf</t>
        </is>
      </c>
      <c r="B2753" s="95" t="inlineStr">
        <is>
          <t>3</t>
        </is>
      </c>
      <c r="C2753" s="94" t="inlineStr">
        <is>
          <t>保卫科</t>
        </is>
      </c>
      <c r="D2753" s="94" t="inlineStr">
        <is>
          <t>Bǎo wèi kē Phòng bảo vệ</t>
        </is>
      </c>
      <c r="E2753" s="94" t="inlineStr">
        <is>
          <t>3 保卫科 Bǎo wèi kē Phòng bảo vệ</t>
        </is>
      </c>
      <c r="F2753" s="115">
        <f>HYPERLINK("https://youglish.com/pronounce/保卫科/chinese","🔍")</f>
        <v/>
      </c>
    </row>
    <row r="2754" ht="28.5" customHeight="1" s="99">
      <c r="A2754" s="92" t="inlineStr">
        <is>
          <t>PDF_Tổng hợp từ vựng mẫu câ cho NDL.pdf</t>
        </is>
      </c>
      <c r="B2754" s="93" t="inlineStr">
        <is>
          <t>4</t>
        </is>
      </c>
      <c r="C2754" s="92" t="inlineStr">
        <is>
          <t>办公室</t>
        </is>
      </c>
      <c r="D2754" s="92" t="inlineStr">
        <is>
          <t>bàngōngshì Văn phòng</t>
        </is>
      </c>
      <c r="E2754" s="92" t="inlineStr">
        <is>
          <t>4 办公室 bàngōngshì Văn phòng</t>
        </is>
      </c>
      <c r="F2754" s="114">
        <f>HYPERLINK("https://youglish.com/pronounce/办公室/chinese","🔍")</f>
        <v/>
      </c>
    </row>
    <row r="2755" ht="28.5" customHeight="1" s="99">
      <c r="A2755" s="94" t="inlineStr">
        <is>
          <t>PDF_Tổng hợp từ vựng mẫu câ cho NDL.pdf</t>
        </is>
      </c>
      <c r="B2755" s="95" t="inlineStr">
        <is>
          <t>5</t>
        </is>
      </c>
      <c r="C2755" s="94" t="inlineStr">
        <is>
          <t>客服部</t>
        </is>
      </c>
      <c r="D2755" s="94" t="inlineStr">
        <is>
          <t>Kèfú bù Phòng dịch vụ khách hàng</t>
        </is>
      </c>
      <c r="E2755" s="94" t="inlineStr">
        <is>
          <t>5 客服部 Kèfú bù Phòng dịch vụ khách hàng</t>
        </is>
      </c>
      <c r="F2755" s="115">
        <f>HYPERLINK("https://youglish.com/pronounce/客服部/chinese","🔍")</f>
        <v/>
      </c>
    </row>
    <row r="2756" ht="28.5" customHeight="1" s="99">
      <c r="A2756" s="92" t="inlineStr">
        <is>
          <t>PDF_Tổng hợp từ vựng mẫu câ cho NDL.pdf</t>
        </is>
      </c>
      <c r="B2756" s="93" t="inlineStr">
        <is>
          <t>6</t>
        </is>
      </c>
      <c r="C2756" s="92" t="inlineStr">
        <is>
          <t>工程项目部</t>
        </is>
      </c>
      <c r="D2756" s="92" t="inlineStr">
        <is>
          <t>gōngchéng xiàngmù bù</t>
        </is>
      </c>
      <c r="E2756" s="92" t="inlineStr">
        <is>
          <t>6 工程项目部 gōngchéng xiàngmù bù</t>
        </is>
      </c>
      <c r="F2756" s="114">
        <f>HYPERLINK("https://youglish.com/pronounce/工程项目部/chinese","🔍")</f>
        <v/>
      </c>
    </row>
    <row r="2757" ht="28.5" customHeight="1" s="99">
      <c r="A2757" s="94" t="inlineStr">
        <is>
          <t>PDF_Tổng hợp từ vựng mẫu câ cho NDL.pdf</t>
        </is>
      </c>
      <c r="B2757" s="95" t="inlineStr">
        <is>
          <t>7</t>
        </is>
      </c>
      <c r="C2757" s="94" t="inlineStr">
        <is>
          <t>市场部</t>
        </is>
      </c>
      <c r="D2757" s="94" t="inlineStr">
        <is>
          <t>shìchǎng bù Phòng tiếp thị</t>
        </is>
      </c>
      <c r="E2757" s="94" t="inlineStr">
        <is>
          <t>7 市场部 shìchǎng bù Phòng tiếp thị</t>
        </is>
      </c>
      <c r="F2757" s="115">
        <f>HYPERLINK("https://youglish.com/pronounce/市场部/chinese","🔍")</f>
        <v/>
      </c>
    </row>
    <row r="2758" ht="28.5" customHeight="1" s="99">
      <c r="A2758" s="92" t="inlineStr">
        <is>
          <t>PDF_Tổng hợp từ vựng mẫu câ cho NDL.pdf</t>
        </is>
      </c>
      <c r="B2758" s="93" t="inlineStr">
        <is>
          <t>8</t>
        </is>
      </c>
      <c r="C2758" s="92" t="inlineStr">
        <is>
          <t>市场部</t>
        </is>
      </c>
      <c r="D2758" s="92" t="inlineStr">
        <is>
          <t>Shìchǎnɡ bù Phòng Marketing</t>
        </is>
      </c>
      <c r="E2758" s="92" t="inlineStr">
        <is>
          <t>8 市场部 Shìchǎnɡ bù Phòng Marketing</t>
        </is>
      </c>
      <c r="F2758" s="114">
        <f>HYPERLINK("https://youglish.com/pronounce/市场部/chinese","🔍")</f>
        <v/>
      </c>
    </row>
    <row r="2759" ht="28.5" customHeight="1" s="99">
      <c r="A2759" s="94" t="inlineStr">
        <is>
          <t>PDF_Tổng hợp từ vựng mẫu câ cho NDL.pdf</t>
        </is>
      </c>
      <c r="B2759" s="95" t="inlineStr">
        <is>
          <t>9</t>
        </is>
      </c>
      <c r="C2759" s="94" t="inlineStr">
        <is>
          <t>生产部</t>
        </is>
      </c>
      <c r="D2759" s="94" t="inlineStr">
        <is>
          <t>shēngchǎn bù Phòng sản xuất</t>
        </is>
      </c>
      <c r="E2759" s="94" t="inlineStr">
        <is>
          <t>9 生产部 shēngchǎn bù Phòng sản xuất</t>
        </is>
      </c>
      <c r="F2759" s="115">
        <f>HYPERLINK("https://youglish.com/pronounce/生产部/chinese","🔍")</f>
        <v/>
      </c>
    </row>
    <row r="2760" ht="28.5" customHeight="1" s="99">
      <c r="A2760" s="92" t="inlineStr">
        <is>
          <t>PDF_Tổng hợp từ vựng mẫu câ cho NDL.pdf</t>
        </is>
      </c>
      <c r="B2760" s="93" t="inlineStr">
        <is>
          <t>10</t>
        </is>
      </c>
      <c r="C2760" s="92" t="inlineStr">
        <is>
          <t>财务部</t>
        </is>
      </c>
      <c r="D2760" s="92" t="inlineStr">
        <is>
          <t>cáiwù bù Phòng tài vụ</t>
        </is>
      </c>
      <c r="E2760" s="92" t="inlineStr">
        <is>
          <t>10 财务部 cáiwù bù Phòng tài vụ</t>
        </is>
      </c>
      <c r="F2760" s="114">
        <f>HYPERLINK("https://youglish.com/pronounce/财务部/chinese","🔍")</f>
        <v/>
      </c>
    </row>
    <row r="2761" ht="28.5" customHeight="1" s="99">
      <c r="A2761" s="94" t="inlineStr">
        <is>
          <t>PDF_Tổng hợp từ vựng mẫu câ cho NDL.pdf</t>
        </is>
      </c>
      <c r="B2761" s="95" t="inlineStr">
        <is>
          <t>11</t>
        </is>
      </c>
      <c r="C2761" s="94" t="inlineStr">
        <is>
          <t>采购部 – 进出口草</t>
        </is>
      </c>
      <c r="D2761" s="94" t="n"/>
      <c r="E2761" s="94" t="inlineStr">
        <is>
          <t>11 采购部 – 进出口草</t>
        </is>
      </c>
      <c r="F2761" s="115">
        <f>HYPERLINK("https://youglish.com/pronounce/采购部进出口草/chinese","🔍")</f>
        <v/>
      </c>
    </row>
    <row r="2762" ht="28.5" customHeight="1" s="99">
      <c r="A2762" s="92" t="inlineStr">
        <is>
          <t>PDF_Tổng hợp từ vựng mẫu câ cho NDL.pdf</t>
        </is>
      </c>
      <c r="B2762" s="93" t="inlineStr">
        <is>
          <t>120</t>
        </is>
      </c>
      <c r="C2762" s="92" t="inlineStr">
        <is>
          <t>狗不</t>
        </is>
      </c>
      <c r="D2762" s="92" t="inlineStr">
        <is>
          <t>Cǎi gòu bù – jìn chù kǒu</t>
        </is>
      </c>
      <c r="E2762" s="92" t="inlineStr">
        <is>
          <t>狗不 Cǎi gòu bù – jìn chù kǒu</t>
        </is>
      </c>
      <c r="F2762" s="114">
        <f>HYPERLINK("https://youglish.com/pronounce/狗不/chinese","🔍")</f>
        <v/>
      </c>
    </row>
    <row r="2763" ht="28.5" customHeight="1" s="99">
      <c r="A2763" s="94" t="inlineStr">
        <is>
          <t>PDF_Tổng hợp từ vựng mẫu câ cho NDL.pdf</t>
        </is>
      </c>
      <c r="B2763" s="95" t="inlineStr">
        <is>
          <t>12</t>
        </is>
      </c>
      <c r="C2763" s="94" t="inlineStr">
        <is>
          <t>销售部</t>
        </is>
      </c>
      <c r="D2763" s="94" t="inlineStr">
        <is>
          <t>Xiāoshòu bù Phòng kinh doanh</t>
        </is>
      </c>
      <c r="E2763" s="94" t="inlineStr">
        <is>
          <t>12 销售部 Xiāoshòu bù Phòng kinh doanh</t>
        </is>
      </c>
      <c r="F2763" s="115">
        <f>HYPERLINK("https://youglish.com/pronounce/销售部/chinese","🔍")</f>
        <v/>
      </c>
    </row>
    <row r="2764" ht="28.5" customHeight="1" s="99">
      <c r="A2764" s="92" t="inlineStr">
        <is>
          <t>PDF_Tổng hợp từ vựng mẫu câ cho NDL.pdf</t>
        </is>
      </c>
      <c r="B2764" s="93" t="inlineStr">
        <is>
          <t>1</t>
        </is>
      </c>
      <c r="C2764" s="92" t="inlineStr">
        <is>
          <t>总裁</t>
        </is>
      </c>
      <c r="D2764" s="92" t="inlineStr">
        <is>
          <t>zǒng cái Chủ tịch</t>
        </is>
      </c>
      <c r="E2764" s="92" t="inlineStr">
        <is>
          <t>1 总裁 zǒng cái Chủ tịch</t>
        </is>
      </c>
      <c r="F2764" s="114">
        <f>HYPERLINK("https://youglish.com/pronounce/总裁/chinese","🔍")</f>
        <v/>
      </c>
    </row>
    <row r="2765" ht="28.5" customHeight="1" s="99">
      <c r="A2765" s="94" t="inlineStr">
        <is>
          <t>PDF_Tổng hợp từ vựng mẫu câ cho NDL.pdf</t>
        </is>
      </c>
      <c r="B2765" s="95" t="inlineStr">
        <is>
          <t>2</t>
        </is>
      </c>
      <c r="C2765" s="94" t="inlineStr">
        <is>
          <t>董事长</t>
        </is>
      </c>
      <c r="D2765" s="94" t="inlineStr">
        <is>
          <t>dǒng shì zhǎng Chủ tịch hội đồng quản trị</t>
        </is>
      </c>
      <c r="E2765" s="94" t="inlineStr">
        <is>
          <t>2 董事长 dǒng shì zhǎng Chủ tịch hội đồng quản trị</t>
        </is>
      </c>
      <c r="F2765" s="115">
        <f>HYPERLINK("https://youglish.com/pronounce/董事长/chinese","🔍")</f>
        <v/>
      </c>
    </row>
    <row r="2766" ht="28.5" customHeight="1" s="99">
      <c r="A2766" s="92" t="inlineStr">
        <is>
          <t>PDF_Tổng hợp từ vựng mẫu câ cho NDL.pdf</t>
        </is>
      </c>
      <c r="B2766" s="93" t="inlineStr">
        <is>
          <t>3</t>
        </is>
      </c>
      <c r="C2766" s="92" t="inlineStr">
        <is>
          <t>执行长</t>
        </is>
      </c>
      <c r="D2766" s="92" t="inlineStr">
        <is>
          <t>zhíxíng zhǎng Giám đốc điều hành</t>
        </is>
      </c>
      <c r="E2766" s="92" t="inlineStr">
        <is>
          <t>3 执行长 zhíxíng zhǎng Giám đốc điều hành</t>
        </is>
      </c>
      <c r="F2766" s="114">
        <f>HYPERLINK("https://youglish.com/pronounce/执行长/chinese","🔍")</f>
        <v/>
      </c>
    </row>
    <row r="2767" ht="28.5" customHeight="1" s="99">
      <c r="A2767" s="94" t="inlineStr">
        <is>
          <t>PDF_Tổng hợp từ vựng mẫu câ cho NDL.pdf</t>
        </is>
      </c>
      <c r="B2767" s="95" t="inlineStr">
        <is>
          <t>4</t>
        </is>
      </c>
      <c r="C2767" s="94" t="inlineStr">
        <is>
          <t>经理</t>
        </is>
      </c>
      <c r="D2767" s="94" t="inlineStr">
        <is>
          <t>jīnglǐ Giám đốc</t>
        </is>
      </c>
      <c r="E2767" s="94" t="inlineStr">
        <is>
          <t>4 经理 jīnglǐ Giám đốc</t>
        </is>
      </c>
      <c r="F2767" s="115">
        <f>HYPERLINK("https://youglish.com/pronounce/经理/chinese","🔍")</f>
        <v/>
      </c>
    </row>
    <row r="2768" ht="28.5" customHeight="1" s="99">
      <c r="A2768" s="92" t="inlineStr">
        <is>
          <t>PDF_Tổng hợp từ vựng mẫu câ cho NDL.pdf</t>
        </is>
      </c>
      <c r="B2768" s="93" t="inlineStr">
        <is>
          <t>5</t>
        </is>
      </c>
      <c r="C2768" s="92" t="inlineStr">
        <is>
          <t>课长</t>
        </is>
      </c>
      <c r="D2768" s="92" t="inlineStr">
        <is>
          <t>kèzhǎng Giám đốc bộ phận</t>
        </is>
      </c>
      <c r="E2768" s="92" t="inlineStr">
        <is>
          <t>5 课长 kèzhǎng Giám đốc bộ phận</t>
        </is>
      </c>
      <c r="F2768" s="114">
        <f>HYPERLINK("https://youglish.com/pronounce/课长/chinese","🔍")</f>
        <v/>
      </c>
    </row>
    <row r="2769" ht="28.5" customHeight="1" s="99">
      <c r="A2769" s="94" t="inlineStr">
        <is>
          <t>PDF_Tổng hợp từ vựng mẫu câ cho NDL.pdf</t>
        </is>
      </c>
      <c r="B2769" s="95" t="inlineStr">
        <is>
          <t>6</t>
        </is>
      </c>
      <c r="C2769" s="94" t="inlineStr">
        <is>
          <t>襄理</t>
        </is>
      </c>
      <c r="D2769" s="94" t="inlineStr">
        <is>
          <t>xiāng lǐ Trợ lý giám đốc</t>
        </is>
      </c>
      <c r="E2769" s="94" t="inlineStr">
        <is>
          <t>6 襄理 xiāng lǐ Trợ lý giám đốc</t>
        </is>
      </c>
      <c r="F2769" s="115">
        <f>HYPERLINK("https://youglish.com/pronounce/襄理/chinese","🔍")</f>
        <v/>
      </c>
    </row>
    <row r="2770" ht="28.5" customHeight="1" s="99">
      <c r="A2770" s="92" t="inlineStr">
        <is>
          <t>PDF_Tổng hợp từ vựng mẫu câ cho NDL.pdf</t>
        </is>
      </c>
      <c r="B2770" s="93" t="inlineStr">
        <is>
          <t>7</t>
        </is>
      </c>
      <c r="C2770" s="92" t="inlineStr">
        <is>
          <t>领导</t>
        </is>
      </c>
      <c r="D2770" s="92" t="inlineStr">
        <is>
          <t>língdǎo Lãnh đạo</t>
        </is>
      </c>
      <c r="E2770" s="92" t="inlineStr">
        <is>
          <t>7 领导 língdǎo Lãnh đạo</t>
        </is>
      </c>
      <c r="F2770" s="114">
        <f>HYPERLINK("https://youglish.com/pronounce/领导/chinese","🔍")</f>
        <v/>
      </c>
    </row>
    <row r="2771" ht="28.5" customHeight="1" s="99">
      <c r="A2771" s="94" t="inlineStr">
        <is>
          <t>PDF_Tổng hợp từ vựng mẫu câ cho NDL.pdf</t>
        </is>
      </c>
      <c r="B2771" s="95" t="inlineStr">
        <is>
          <t>8</t>
        </is>
      </c>
      <c r="C2771" s="94" t="inlineStr">
        <is>
          <t>管理员</t>
        </is>
      </c>
      <c r="D2771" s="94" t="inlineStr">
        <is>
          <t>guǎnlǐ yuán Quản lý</t>
        </is>
      </c>
      <c r="E2771" s="94" t="inlineStr">
        <is>
          <t>8 管理员 guǎnlǐ yuán Quản lý</t>
        </is>
      </c>
      <c r="F2771" s="115">
        <f>HYPERLINK("https://youglish.com/pronounce/管理员/chinese","🔍")</f>
        <v/>
      </c>
    </row>
    <row r="2772" ht="28.5" customHeight="1" s="99">
      <c r="A2772" s="92" t="inlineStr">
        <is>
          <t>PDF_Tổng hợp từ vựng mẫu câ cho NDL.pdf</t>
        </is>
      </c>
      <c r="B2772" s="93" t="inlineStr">
        <is>
          <t>9</t>
        </is>
      </c>
      <c r="C2772" s="92" t="inlineStr">
        <is>
          <t>助理</t>
        </is>
      </c>
      <c r="D2772" s="92" t="inlineStr">
        <is>
          <t>zhùlǐ Trợ lý</t>
        </is>
      </c>
      <c r="E2772" s="92" t="inlineStr">
        <is>
          <t>9 助理 zhùlǐ Trợ lý</t>
        </is>
      </c>
      <c r="F2772" s="114">
        <f>HYPERLINK("https://youglish.com/pronounce/助理/chinese","🔍")</f>
        <v/>
      </c>
    </row>
    <row r="2773" ht="28.5" customHeight="1" s="99">
      <c r="A2773" s="94" t="inlineStr">
        <is>
          <t>PDF_Tổng hợp từ vựng mẫu câ cho NDL.pdf</t>
        </is>
      </c>
      <c r="B2773" s="95" t="inlineStr">
        <is>
          <t>10</t>
        </is>
      </c>
      <c r="C2773" s="94" t="inlineStr">
        <is>
          <t>秘书</t>
        </is>
      </c>
      <c r="D2773" s="94" t="inlineStr">
        <is>
          <t>mìshū Thư ký</t>
        </is>
      </c>
      <c r="E2773" s="94" t="inlineStr">
        <is>
          <t>10 秘书 mìshū Thư ký</t>
        </is>
      </c>
      <c r="F2773" s="115">
        <f>HYPERLINK("https://youglish.com/pronounce/秘书/chinese","🔍")</f>
        <v/>
      </c>
    </row>
    <row r="2774" ht="28.5" customHeight="1" s="99">
      <c r="A2774" s="92" t="inlineStr">
        <is>
          <t>PDF_Tổng hợp từ vựng mẫu câ cho NDL.pdf</t>
        </is>
      </c>
      <c r="B2774" s="93" t="inlineStr">
        <is>
          <t>11</t>
        </is>
      </c>
      <c r="C2774" s="92" t="inlineStr">
        <is>
          <t>领班</t>
        </is>
      </c>
      <c r="D2774" s="92" t="inlineStr">
        <is>
          <t>lǐng bān Trưởng nhóm</t>
        </is>
      </c>
      <c r="E2774" s="92" t="inlineStr">
        <is>
          <t>11 领班 lǐng bān Trưởng nhóm</t>
        </is>
      </c>
      <c r="F2774" s="114">
        <f>HYPERLINK("https://youglish.com/pronounce/领班/chinese","🔍")</f>
        <v/>
      </c>
    </row>
    <row r="2775" ht="28.5" customHeight="1" s="99">
      <c r="A2775" s="94" t="inlineStr">
        <is>
          <t>PDF_Tổng hợp từ vựng mẫu câ cho NDL.pdf</t>
        </is>
      </c>
      <c r="B2775" s="95" t="inlineStr">
        <is>
          <t>12</t>
        </is>
      </c>
      <c r="C2775" s="94" t="inlineStr">
        <is>
          <t>处长</t>
        </is>
      </c>
      <c r="D2775" s="94" t="inlineStr">
        <is>
          <t>chù zhǎng Trưởng phòng</t>
        </is>
      </c>
      <c r="E2775" s="94" t="inlineStr">
        <is>
          <t>12 处长 chù zhǎng Trưởng phòng</t>
        </is>
      </c>
      <c r="F2775" s="115">
        <f>HYPERLINK("https://youglish.com/pronounce/处长/chinese","🔍")</f>
        <v/>
      </c>
    </row>
    <row r="2776" ht="28.5" customHeight="1" s="99">
      <c r="A2776" s="92" t="inlineStr">
        <is>
          <t>PDF_Tổng hợp từ vựng mẫu câ cho NDL.pdf</t>
        </is>
      </c>
      <c r="B2776" s="93" t="inlineStr">
        <is>
          <t>13</t>
        </is>
      </c>
      <c r="C2776" s="92" t="inlineStr">
        <is>
          <t>会计员</t>
        </is>
      </c>
      <c r="D2776" s="92" t="inlineStr">
        <is>
          <t>kuàijì yuán Nhân viên kế toán</t>
        </is>
      </c>
      <c r="E2776" s="92" t="inlineStr">
        <is>
          <t>13 会计员 kuàijì yuán Nhân viên kế toán</t>
        </is>
      </c>
      <c r="F2776" s="114">
        <f>HYPERLINK("https://youglish.com/pronounce/会计员/chinese","🔍")</f>
        <v/>
      </c>
    </row>
    <row r="2777" ht="28.5" customHeight="1" s="99">
      <c r="A2777" s="94" t="inlineStr">
        <is>
          <t>PDF_Tổng hợp từ vựng mẫu câ cho NDL.pdf</t>
        </is>
      </c>
      <c r="B2777" s="95" t="inlineStr">
        <is>
          <t>14</t>
        </is>
      </c>
      <c r="C2777" s="94" t="inlineStr">
        <is>
          <t>会计助理</t>
        </is>
      </c>
      <c r="D2777" s="94" t="inlineStr">
        <is>
          <t>kuàijì zhùlǐ Trợ lý kế toán</t>
        </is>
      </c>
      <c r="E2777" s="94" t="inlineStr">
        <is>
          <t>14 会计助理 kuàijì zhùlǐ Trợ lý kế toán</t>
        </is>
      </c>
      <c r="F2777" s="115">
        <f>HYPERLINK("https://youglish.com/pronounce/会计助理/chinese","🔍")</f>
        <v/>
      </c>
    </row>
    <row r="2778" ht="28.5" customHeight="1" s="99">
      <c r="A2778" s="92" t="inlineStr">
        <is>
          <t>PDF_Tổng hợp từ vựng mẫu câ cho NDL.pdf</t>
        </is>
      </c>
      <c r="B2778" s="93" t="inlineStr">
        <is>
          <t>15</t>
        </is>
      </c>
      <c r="C2778" s="92" t="inlineStr">
        <is>
          <t>程序员</t>
        </is>
      </c>
      <c r="D2778" s="92" t="inlineStr">
        <is>
          <t>chéng xù yuán Lập trình viên</t>
        </is>
      </c>
      <c r="E2778" s="92" t="inlineStr">
        <is>
          <t>15 程序员 chéng xù yuán Lập trình viên</t>
        </is>
      </c>
      <c r="F2778" s="114">
        <f>HYPERLINK("https://youglish.com/pronounce/程序员/chinese","🔍")</f>
        <v/>
      </c>
    </row>
    <row r="2779" ht="28.5" customHeight="1" s="99">
      <c r="A2779" s="94" t="inlineStr">
        <is>
          <t>PDF_Tổng hợp từ vựng mẫu câ cho NDL.pdf</t>
        </is>
      </c>
      <c r="B2779" s="95" t="inlineStr">
        <is>
          <t>16</t>
        </is>
      </c>
      <c r="C2779" s="94" t="inlineStr">
        <is>
          <t>推销员</t>
        </is>
      </c>
      <c r="D2779" s="94" t="inlineStr">
        <is>
          <t>tuī xiāo yuán Nhân viên bán hàng</t>
        </is>
      </c>
      <c r="E2779" s="94" t="inlineStr">
        <is>
          <t>16 推销员 tuī xiāo yuán Nhân viên bán hàng</t>
        </is>
      </c>
      <c r="F2779" s="115">
        <f>HYPERLINK("https://youglish.com/pronounce/推销员/chinese","🔍")</f>
        <v/>
      </c>
    </row>
    <row r="2780" ht="28.5" customHeight="1" s="99">
      <c r="A2780" s="92" t="inlineStr">
        <is>
          <t>PDF_Tổng hợp từ vựng mẫu câ cho NDL.pdf</t>
        </is>
      </c>
      <c r="B2780" s="93" t="inlineStr">
        <is>
          <t>17</t>
        </is>
      </c>
      <c r="C2780" s="92" t="inlineStr">
        <is>
          <t>采购员</t>
        </is>
      </c>
      <c r="D2780" s="92" t="inlineStr">
        <is>
          <t>cǎi gòu yuán Nhân viên thu mua</t>
        </is>
      </c>
      <c r="E2780" s="92" t="inlineStr">
        <is>
          <t>17 采购员 cǎi gòu yuán Nhân viên thu mua</t>
        </is>
      </c>
      <c r="F2780" s="114">
        <f>HYPERLINK("https://youglish.com/pronounce/采购员/chinese","🔍")</f>
        <v/>
      </c>
    </row>
    <row r="2781" ht="28.5" customHeight="1" s="99">
      <c r="A2781" s="94" t="inlineStr">
        <is>
          <t>PDF_Tổng hợp từ vựng mẫu câ cho NDL.pdf</t>
        </is>
      </c>
      <c r="B2781" s="95" t="inlineStr">
        <is>
          <t>18</t>
        </is>
      </c>
      <c r="C2781" s="94" t="inlineStr">
        <is>
          <t>实习生</t>
        </is>
      </c>
      <c r="D2781" s="94" t="inlineStr">
        <is>
          <t>shí xí shēng Thực tập sinh</t>
        </is>
      </c>
      <c r="E2781" s="94" t="inlineStr">
        <is>
          <t>18 实习生 shí xí shēng Thực tập sinh</t>
        </is>
      </c>
      <c r="F2781" s="115">
        <f>HYPERLINK("https://youglish.com/pronounce/实习生/chinese","🔍")</f>
        <v/>
      </c>
    </row>
    <row r="2782" ht="28.5" customHeight="1" s="99">
      <c r="A2782" s="92" t="inlineStr">
        <is>
          <t>PDF_Tổng hợp từ vựng mẫu câ cho NDL.pdf</t>
        </is>
      </c>
      <c r="B2782" s="93" t="inlineStr">
        <is>
          <t>1</t>
        </is>
      </c>
      <c r="C2782" s="92" t="inlineStr">
        <is>
          <t>传真机</t>
        </is>
      </c>
      <c r="D2782" s="92" t="inlineStr">
        <is>
          <t>chuánzhēn jī Máy fax</t>
        </is>
      </c>
      <c r="E2782" s="92" t="inlineStr">
        <is>
          <t>1 传真机 chuánzhēn jī Máy fax</t>
        </is>
      </c>
      <c r="F2782" s="114">
        <f>HYPERLINK("https://youglish.com/pronounce/传真机/chinese","🔍")</f>
        <v/>
      </c>
    </row>
    <row r="2783" ht="28.5" customHeight="1" s="99">
      <c r="A2783" s="94" t="inlineStr">
        <is>
          <t>PDF_Tổng hợp từ vựng mẫu câ cho NDL.pdf</t>
        </is>
      </c>
      <c r="B2783" s="95" t="inlineStr">
        <is>
          <t>2</t>
        </is>
      </c>
      <c r="C2783" s="94" t="inlineStr">
        <is>
          <t>便条</t>
        </is>
      </c>
      <c r="D2783" s="94" t="inlineStr">
        <is>
          <t>biàn tiáo Ghi chú, giấy nhắn</t>
        </is>
      </c>
      <c r="E2783" s="94" t="inlineStr">
        <is>
          <t>2 便条 biàn tiáo Ghi chú, giấy nhắn</t>
        </is>
      </c>
      <c r="F2783" s="115">
        <f>HYPERLINK("https://youglish.com/pronounce/便条/chinese","🔍")</f>
        <v/>
      </c>
    </row>
    <row r="2784" ht="28.5" customHeight="1" s="99">
      <c r="A2784" s="92" t="inlineStr">
        <is>
          <t>PDF_Tổng hợp từ vựng mẫu câ cho NDL.pdf</t>
        </is>
      </c>
      <c r="B2784" s="93" t="inlineStr">
        <is>
          <t>3</t>
        </is>
      </c>
      <c r="C2784" s="92" t="inlineStr">
        <is>
          <t>便笺</t>
        </is>
      </c>
      <c r="D2784" s="92" t="inlineStr">
        <is>
          <t>biàn jiān Sổ ghi nhớ</t>
        </is>
      </c>
      <c r="E2784" s="92" t="inlineStr">
        <is>
          <t>3 便笺 biàn jiān Sổ ghi nhớ</t>
        </is>
      </c>
      <c r="F2784" s="114">
        <f>HYPERLINK("https://youglish.com/pronounce/便笺/chinese","🔍")</f>
        <v/>
      </c>
    </row>
    <row r="2785" ht="28.5" customHeight="1" s="99">
      <c r="A2785" s="94" t="inlineStr">
        <is>
          <t>PDF_Tổng hợp từ vựng mẫu câ cho NDL.pdf</t>
        </is>
      </c>
      <c r="B2785" s="95" t="inlineStr">
        <is>
          <t>4</t>
        </is>
      </c>
      <c r="C2785" s="94" t="inlineStr">
        <is>
          <t>信封</t>
        </is>
      </c>
      <c r="D2785" s="94" t="inlineStr">
        <is>
          <t>xìnfēng Phong bì</t>
        </is>
      </c>
      <c r="E2785" s="94" t="inlineStr">
        <is>
          <t>4 信封 xìnfēng Phong bì</t>
        </is>
      </c>
      <c r="F2785" s="115">
        <f>HYPERLINK("https://youglish.com/pronounce/信封/chinese","🔍")</f>
        <v/>
      </c>
    </row>
    <row r="2786" ht="28.5" customHeight="1" s="99">
      <c r="A2786" s="92" t="inlineStr">
        <is>
          <t>PDF_Tổng hợp từ vựng mẫu câ cho NDL.pdf</t>
        </is>
      </c>
      <c r="B2786" s="93" t="inlineStr">
        <is>
          <t>5</t>
        </is>
      </c>
      <c r="C2786" s="92" t="inlineStr">
        <is>
          <t>剪刀</t>
        </is>
      </c>
      <c r="D2786" s="92" t="inlineStr">
        <is>
          <t>jiǎndāo Kéo</t>
        </is>
      </c>
      <c r="E2786" s="92" t="inlineStr">
        <is>
          <t>5 剪刀 jiǎndāo Kéo</t>
        </is>
      </c>
      <c r="F2786" s="114">
        <f>HYPERLINK("https://youglish.com/pronounce/剪刀/chinese","🔍")</f>
        <v/>
      </c>
    </row>
    <row r="2787" ht="28.5" customHeight="1" s="99">
      <c r="A2787" s="94" t="inlineStr">
        <is>
          <t>PDF_Tổng hợp từ vựng mẫu câ cho NDL.pdf</t>
        </is>
      </c>
      <c r="B2787" s="95" t="inlineStr">
        <is>
          <t>6</t>
        </is>
      </c>
      <c r="C2787" s="94" t="inlineStr">
        <is>
          <t>办公桌</t>
        </is>
      </c>
      <c r="D2787" s="94" t="inlineStr">
        <is>
          <t>bàn gōng zhuō Bàn làm việc</t>
        </is>
      </c>
      <c r="E2787" s="94" t="inlineStr">
        <is>
          <t>6 办公桌 bàn gōng zhuō Bàn làm việc</t>
        </is>
      </c>
      <c r="F2787" s="115">
        <f>HYPERLINK("https://youglish.com/pronounce/办公桌/chinese","🔍")</f>
        <v/>
      </c>
    </row>
    <row r="2788" ht="28.5" customHeight="1" s="99">
      <c r="A2788" s="92" t="inlineStr">
        <is>
          <t>PDF_Tổng hợp từ vựng mẫu câ cho NDL.pdf</t>
        </is>
      </c>
      <c r="B2788" s="93" t="inlineStr">
        <is>
          <t>7</t>
        </is>
      </c>
      <c r="C2788" s="92" t="inlineStr">
        <is>
          <t>印油</t>
        </is>
      </c>
      <c r="D2788" s="92" t="inlineStr">
        <is>
          <t>yìn yóu Mực in</t>
        </is>
      </c>
      <c r="E2788" s="92" t="inlineStr">
        <is>
          <t>7 印油 yìn yóu Mực in</t>
        </is>
      </c>
      <c r="F2788" s="114">
        <f>HYPERLINK("https://youglish.com/pronounce/印油/chinese","🔍")</f>
        <v/>
      </c>
    </row>
    <row r="2789" ht="28.5" customHeight="1" s="99">
      <c r="A2789" s="94" t="inlineStr">
        <is>
          <t>PDF_Tổng hợp từ vựng mẫu câ cho NDL.pdf</t>
        </is>
      </c>
      <c r="B2789" s="95" t="inlineStr">
        <is>
          <t>8</t>
        </is>
      </c>
      <c r="C2789" s="94" t="inlineStr">
        <is>
          <t>圆珠笔</t>
        </is>
      </c>
      <c r="D2789" s="94" t="inlineStr">
        <is>
          <t>yuánzhūbǐ Bút bi</t>
        </is>
      </c>
      <c r="E2789" s="94" t="inlineStr">
        <is>
          <t>8 圆珠笔 yuánzhūbǐ Bút bi</t>
        </is>
      </c>
      <c r="F2789" s="115">
        <f>HYPERLINK("https://youglish.com/pronounce/圆珠笔/chinese","🔍")</f>
        <v/>
      </c>
    </row>
    <row r="2790" ht="28.5" customHeight="1" s="99">
      <c r="A2790" s="92" t="inlineStr">
        <is>
          <t>PDF_Tổng hợp từ vựng mẫu câ cho NDL.pdf</t>
        </is>
      </c>
      <c r="B2790" s="93" t="inlineStr">
        <is>
          <t>9</t>
        </is>
      </c>
      <c r="C2790" s="92" t="inlineStr">
        <is>
          <t>复写纸</t>
        </is>
      </c>
      <c r="D2790" s="92" t="inlineStr">
        <is>
          <t>fù xiě zhǐ Giấy than</t>
        </is>
      </c>
      <c r="E2790" s="92" t="inlineStr">
        <is>
          <t>9 复写纸 fù xiě zhǐ Giấy than</t>
        </is>
      </c>
      <c r="F2790" s="114">
        <f>HYPERLINK("https://youglish.com/pronounce/复写纸/chinese","🔍")</f>
        <v/>
      </c>
    </row>
    <row r="2791" ht="28.5" customHeight="1" s="99">
      <c r="A2791" s="94" t="inlineStr">
        <is>
          <t>PDF_Tổng hợp từ vựng mẫu câ cho NDL.pdf</t>
        </is>
      </c>
      <c r="B2791" s="95" t="inlineStr">
        <is>
          <t>10</t>
        </is>
      </c>
      <c r="C2791" s="94" t="inlineStr">
        <is>
          <t>复印件</t>
        </is>
      </c>
      <c r="D2791" s="94" t="inlineStr">
        <is>
          <t>fùyìn jiàn Bản photo</t>
        </is>
      </c>
      <c r="E2791" s="94" t="inlineStr">
        <is>
          <t>10 复印件 fùyìn jiàn Bản photo</t>
        </is>
      </c>
      <c r="F2791" s="115">
        <f>HYPERLINK("https://youglish.com/pronounce/复印件/chinese","🔍")</f>
        <v/>
      </c>
    </row>
    <row r="2792" ht="28.5" customHeight="1" s="99">
      <c r="A2792" s="92" t="inlineStr">
        <is>
          <t>PDF_Tổng hợp từ vựng mẫu câ cho NDL.pdf</t>
        </is>
      </c>
      <c r="B2792" s="93" t="inlineStr">
        <is>
          <t>11</t>
        </is>
      </c>
      <c r="C2792" s="92" t="inlineStr">
        <is>
          <t>复印机</t>
        </is>
      </c>
      <c r="D2792" s="92" t="inlineStr">
        <is>
          <t>fù yìnjī Máy photocopy</t>
        </is>
      </c>
      <c r="E2792" s="92" t="inlineStr">
        <is>
          <t>11 复印机 fù yìnjī Máy photocopy</t>
        </is>
      </c>
      <c r="F2792" s="114">
        <f>HYPERLINK("https://youglish.com/pronounce/复印机/chinese","🔍")</f>
        <v/>
      </c>
    </row>
    <row r="2793" ht="28.5" customHeight="1" s="99">
      <c r="A2793" s="94" t="inlineStr">
        <is>
          <t>PDF_Tổng hợp từ vựng mẫu câ cho NDL.pdf</t>
        </is>
      </c>
      <c r="B2793" s="95" t="inlineStr">
        <is>
          <t>12</t>
        </is>
      </c>
      <c r="C2793" s="94" t="inlineStr">
        <is>
          <t>大号账本夹</t>
        </is>
      </c>
      <c r="D2793" s="94" t="inlineStr">
        <is>
          <t>dà hào zhàng běn jiá Giá đựng hồ sơ</t>
        </is>
      </c>
      <c r="E2793" s="94" t="inlineStr">
        <is>
          <t>12 大号账本夹 dà hào zhàng běn jiá Giá đựng hồ sơ</t>
        </is>
      </c>
      <c r="F2793" s="115">
        <f>HYPERLINK("https://youglish.com/pronounce/大号账本夹/chinese","🔍")</f>
        <v/>
      </c>
    </row>
    <row r="2794" ht="28.5" customHeight="1" s="99">
      <c r="A2794" s="92" t="inlineStr">
        <is>
          <t>PDF_Tổng hợp từ vựng mẫu câ cho NDL.pdf</t>
        </is>
      </c>
      <c r="B2794" s="93" t="inlineStr">
        <is>
          <t>13</t>
        </is>
      </c>
      <c r="C2794" s="92" t="inlineStr">
        <is>
          <t>工资条</t>
        </is>
      </c>
      <c r="D2794" s="92" t="inlineStr">
        <is>
          <t>gōngzī tiáo Bảng lương</t>
        </is>
      </c>
      <c r="E2794" s="92" t="inlineStr">
        <is>
          <t>13 工资条 gōngzī tiáo Bảng lương</t>
        </is>
      </c>
      <c r="F2794" s="114">
        <f>HYPERLINK("https://youglish.com/pronounce/工资条/chinese","🔍")</f>
        <v/>
      </c>
    </row>
    <row r="2795" ht="28.5" customHeight="1" s="99">
      <c r="A2795" s="94" t="inlineStr">
        <is>
          <t>PDF_Tổng hợp từ vựng mẫu câ cho NDL.pdf</t>
        </is>
      </c>
      <c r="B2795" s="95" t="inlineStr">
        <is>
          <t>14</t>
        </is>
      </c>
      <c r="C2795" s="94" t="inlineStr">
        <is>
          <t>彩纸</t>
        </is>
      </c>
      <c r="D2795" s="94" t="inlineStr">
        <is>
          <t>cǎi zhǐ Giấy màu</t>
        </is>
      </c>
      <c r="E2795" s="94" t="inlineStr">
        <is>
          <t>14 彩纸 cǎi zhǐ Giấy màu</t>
        </is>
      </c>
      <c r="F2795" s="115">
        <f>HYPERLINK("https://youglish.com/pronounce/彩纸/chinese","🔍")</f>
        <v/>
      </c>
    </row>
    <row r="2796" ht="28.5" customHeight="1" s="99">
      <c r="A2796" s="92" t="inlineStr">
        <is>
          <t>PDF_Tổng hợp từ vựng mẫu câ cho NDL.pdf</t>
        </is>
      </c>
      <c r="B2796" s="93" t="inlineStr">
        <is>
          <t>15</t>
        </is>
      </c>
      <c r="C2796" s="92" t="inlineStr">
        <is>
          <t>快干印泥</t>
        </is>
      </c>
      <c r="D2796" s="92" t="inlineStr">
        <is>
          <t>kuài gān yìnní Mực đóng dấu</t>
        </is>
      </c>
      <c r="E2796" s="92" t="inlineStr">
        <is>
          <t>15 快干印泥 kuài gān yìnní Mực đóng dấu</t>
        </is>
      </c>
      <c r="F2796" s="114">
        <f>HYPERLINK("https://youglish.com/pronounce/快干印泥/chinese","🔍")</f>
        <v/>
      </c>
    </row>
    <row r="2797" ht="28.5" customHeight="1" s="99">
      <c r="A2797" s="94" t="inlineStr">
        <is>
          <t>PDF_Tổng hợp từ vựng mẫu câ cho NDL.pdf</t>
        </is>
      </c>
      <c r="B2797" s="95" t="inlineStr">
        <is>
          <t>16</t>
        </is>
      </c>
      <c r="C2797" s="94" t="inlineStr">
        <is>
          <t>打印机</t>
        </is>
      </c>
      <c r="D2797" s="94" t="inlineStr">
        <is>
          <t>dǎyìnjī Máy in</t>
        </is>
      </c>
      <c r="E2797" s="94" t="inlineStr">
        <is>
          <t>16 打印机 dǎyìnjī Máy in</t>
        </is>
      </c>
      <c r="F2797" s="115">
        <f>HYPERLINK("https://youglish.com/pronounce/打印机/chinese","🔍")</f>
        <v/>
      </c>
    </row>
    <row r="2798" ht="28.5" customHeight="1" s="99">
      <c r="A2798" s="92" t="inlineStr">
        <is>
          <t>PDF_Tổng hợp từ vựng mẫu câ cho NDL.pdf</t>
        </is>
      </c>
      <c r="B2798" s="93" t="inlineStr">
        <is>
          <t>17</t>
        </is>
      </c>
      <c r="C2798" s="92" t="inlineStr">
        <is>
          <t>打印纸</t>
        </is>
      </c>
      <c r="D2798" s="92" t="inlineStr">
        <is>
          <t>dǎyìn zhǐ Giấy in</t>
        </is>
      </c>
      <c r="E2798" s="92" t="inlineStr">
        <is>
          <t>17 打印纸 dǎyìn zhǐ Giấy in</t>
        </is>
      </c>
      <c r="F2798" s="114">
        <f>HYPERLINK("https://youglish.com/pronounce/打印纸/chinese","🔍")</f>
        <v/>
      </c>
    </row>
    <row r="2799" ht="28.5" customHeight="1" s="99">
      <c r="A2799" s="94" t="inlineStr">
        <is>
          <t>PDF_Tổng hợp từ vựng mẫu câ cho NDL.pdf</t>
        </is>
      </c>
      <c r="B2799" s="95" t="inlineStr">
        <is>
          <t>18</t>
        </is>
      </c>
      <c r="C2799" s="94" t="inlineStr">
        <is>
          <t>打孔器</t>
        </is>
      </c>
      <c r="D2799" s="94" t="inlineStr">
        <is>
          <t>dǎ kǒng qì Máy bấm lỗ</t>
        </is>
      </c>
      <c r="E2799" s="94" t="inlineStr">
        <is>
          <t>18 打孔器 dǎ kǒng qì Máy bấm lỗ</t>
        </is>
      </c>
      <c r="F2799" s="115">
        <f>HYPERLINK("https://youglish.com/pronounce/打孔器/chinese","🔍")</f>
        <v/>
      </c>
    </row>
    <row r="2800" ht="28.5" customHeight="1" s="99">
      <c r="A2800" s="92" t="inlineStr">
        <is>
          <t>PDF_Tổng hợp từ vựng mẫu câ cho NDL.pdf</t>
        </is>
      </c>
      <c r="B2800" s="93" t="inlineStr">
        <is>
          <t>19</t>
        </is>
      </c>
      <c r="C2800" s="92" t="inlineStr">
        <is>
          <t>文件夹</t>
        </is>
      </c>
      <c r="D2800" s="92" t="inlineStr">
        <is>
          <t>wénjiàn jiā Bìa hồ sơ</t>
        </is>
      </c>
      <c r="E2800" s="92" t="inlineStr">
        <is>
          <t>19 文件夹 wénjiàn jiā Bìa hồ sơ</t>
        </is>
      </c>
      <c r="F2800" s="114">
        <f>HYPERLINK("https://youglish.com/pronounce/文件夹/chinese","🔍")</f>
        <v/>
      </c>
    </row>
    <row r="2801" ht="28.5" customHeight="1" s="99">
      <c r="A2801" s="94" t="inlineStr">
        <is>
          <t>PDF_Tổng hợp từ vựng mẫu câ cho NDL.pdf</t>
        </is>
      </c>
      <c r="B2801" s="95" t="inlineStr">
        <is>
          <t>20</t>
        </is>
      </c>
      <c r="C2801" s="94" t="inlineStr">
        <is>
          <t>文件柜</t>
        </is>
      </c>
      <c r="D2801" s="94" t="inlineStr">
        <is>
          <t>wénjiàn guì Tủ đựng hồ sơ</t>
        </is>
      </c>
      <c r="E2801" s="94" t="inlineStr">
        <is>
          <t>20 文件柜 wénjiàn guì Tủ đựng hồ sơ</t>
        </is>
      </c>
      <c r="F2801" s="115">
        <f>HYPERLINK("https://youglish.com/pronounce/文件柜/chinese","🔍")</f>
        <v/>
      </c>
    </row>
    <row r="2802" ht="28.5" customHeight="1" s="99">
      <c r="A2802" s="92" t="inlineStr">
        <is>
          <t>PDF_Tổng hợp từ vựng mẫu câ cho NDL.pdf</t>
        </is>
      </c>
      <c r="B2802" s="93" t="inlineStr">
        <is>
          <t>21</t>
        </is>
      </c>
      <c r="C2802" s="92" t="inlineStr">
        <is>
          <t>档案盒</t>
        </is>
      </c>
      <c r="D2802" s="92" t="inlineStr">
        <is>
          <t>dǎng’àn hé Hộp đựng hồ sơ</t>
        </is>
      </c>
      <c r="E2802" s="92" t="inlineStr">
        <is>
          <t>21 档案盒 dǎng’àn hé Hộp đựng hồ sơ</t>
        </is>
      </c>
      <c r="F2802" s="114">
        <f>HYPERLINK("https://youglish.com/pronounce/档案盒/chinese","🔍")</f>
        <v/>
      </c>
    </row>
    <row r="2803" ht="28.5" customHeight="1" s="99">
      <c r="A2803" s="94" t="inlineStr">
        <is>
          <t>PDF_Tổng hợp từ vựng mẫu câ cho NDL.pdf</t>
        </is>
      </c>
      <c r="B2803" s="95" t="inlineStr">
        <is>
          <t>22</t>
        </is>
      </c>
      <c r="C2803" s="94" t="inlineStr">
        <is>
          <t>活动铅笔</t>
        </is>
      </c>
      <c r="D2803" s="94" t="inlineStr">
        <is>
          <t>huódòng qiānbǐ Bút chì bấm</t>
        </is>
      </c>
      <c r="E2803" s="94" t="inlineStr">
        <is>
          <t>22 活动铅笔 huódòng qiānbǐ Bút chì bấm</t>
        </is>
      </c>
      <c r="F2803" s="115">
        <f>HYPERLINK("https://youglish.com/pronounce/活动铅笔/chinese","🔍")</f>
        <v/>
      </c>
    </row>
    <row r="2804" ht="28.5" customHeight="1" s="99">
      <c r="A2804" s="92" t="inlineStr">
        <is>
          <t>PDF_Tổng hợp từ vựng mẫu câ cho NDL.pdf</t>
        </is>
      </c>
      <c r="B2804" s="93" t="inlineStr">
        <is>
          <t>23</t>
        </is>
      </c>
      <c r="C2804" s="92" t="inlineStr">
        <is>
          <t>活页夹</t>
        </is>
      </c>
      <c r="D2804" s="92" t="inlineStr">
        <is>
          <t>huóyè jiá Kẹp giấy</t>
        </is>
      </c>
      <c r="E2804" s="92" t="inlineStr">
        <is>
          <t>23 活页夹 huóyè jiá Kẹp giấy</t>
        </is>
      </c>
      <c r="F2804" s="114">
        <f>HYPERLINK("https://youglish.com/pronounce/活页夹/chinese","🔍")</f>
        <v/>
      </c>
    </row>
    <row r="2805" ht="28.5" customHeight="1" s="99">
      <c r="A2805" s="94" t="inlineStr">
        <is>
          <t>PDF_Tổng hợp từ vựng mẫu câ cho NDL.pdf</t>
        </is>
      </c>
      <c r="B2805" s="95" t="inlineStr">
        <is>
          <t>24</t>
        </is>
      </c>
      <c r="C2805" s="94" t="inlineStr">
        <is>
          <t>活页本</t>
        </is>
      </c>
      <c r="D2805" s="94" t="inlineStr">
        <is>
          <t>huóyè běn Sổ giấy tờ</t>
        </is>
      </c>
      <c r="E2805" s="94" t="inlineStr">
        <is>
          <t>24 活页本 huóyè běn Sổ giấy tờ</t>
        </is>
      </c>
      <c r="F2805" s="115">
        <f>HYPERLINK("https://youglish.com/pronounce/活页本/chinese","🔍")</f>
        <v/>
      </c>
    </row>
    <row r="2806" ht="28.5" customHeight="1" s="99">
      <c r="A2806" s="92" t="inlineStr">
        <is>
          <t>PDF_Tổng hợp từ vựng mẫu câ cho NDL.pdf</t>
        </is>
      </c>
      <c r="B2806" s="93" t="inlineStr">
        <is>
          <t>25</t>
        </is>
      </c>
      <c r="C2806" s="92" t="inlineStr">
        <is>
          <t>电脑</t>
        </is>
      </c>
      <c r="D2806" s="92" t="inlineStr">
        <is>
          <t>diànnǎo Máy tính</t>
        </is>
      </c>
      <c r="E2806" s="92" t="inlineStr">
        <is>
          <t>25 电脑 diànnǎo Máy tính</t>
        </is>
      </c>
      <c r="F2806" s="114">
        <f>HYPERLINK("https://youglish.com/pronounce/电脑/chinese","🔍")</f>
        <v/>
      </c>
    </row>
    <row r="2807" ht="28.5" customHeight="1" s="99">
      <c r="A2807" s="94" t="inlineStr">
        <is>
          <t>PDF_Tổng hợp từ vựng mẫu câ cho NDL.pdf</t>
        </is>
      </c>
      <c r="B2807" s="95" t="inlineStr">
        <is>
          <t>26</t>
        </is>
      </c>
      <c r="C2807" s="94" t="inlineStr">
        <is>
          <t>电话</t>
        </is>
      </c>
      <c r="D2807" s="94" t="inlineStr">
        <is>
          <t>diàn huà Điện thoại</t>
        </is>
      </c>
      <c r="E2807" s="94" t="inlineStr">
        <is>
          <t>26 电话 diàn huà Điện thoại</t>
        </is>
      </c>
      <c r="F2807" s="115">
        <f>HYPERLINK("https://youglish.com/pronounce/电话/chinese","🔍")</f>
        <v/>
      </c>
    </row>
    <row r="2808" ht="28.5" customHeight="1" s="99">
      <c r="A2808" s="92" t="inlineStr">
        <is>
          <t>PDF_Tổng hợp từ vựng mẫu câ cho NDL.pdf</t>
        </is>
      </c>
      <c r="B2808" s="93" t="inlineStr">
        <is>
          <t>27</t>
        </is>
      </c>
      <c r="C2808" s="92" t="inlineStr">
        <is>
          <t>直尺</t>
        </is>
      </c>
      <c r="D2808" s="92" t="inlineStr">
        <is>
          <t>zhí chǐ Thước kẻ</t>
        </is>
      </c>
      <c r="E2808" s="92" t="inlineStr">
        <is>
          <t>27 直尺 zhí chǐ Thước kẻ</t>
        </is>
      </c>
      <c r="F2808" s="114">
        <f>HYPERLINK("https://youglish.com/pronounce/直尺/chinese","🔍")</f>
        <v/>
      </c>
    </row>
    <row r="2809" ht="28.5" customHeight="1" s="99">
      <c r="A2809" s="94" t="inlineStr">
        <is>
          <t>PDF_Tổng hợp từ vựng mẫu câ cho NDL.pdf</t>
        </is>
      </c>
      <c r="B2809" s="95" t="inlineStr">
        <is>
          <t>28</t>
        </is>
      </c>
      <c r="C2809" s="94" t="inlineStr">
        <is>
          <t>笔筒</t>
        </is>
      </c>
      <c r="D2809" s="94" t="inlineStr">
        <is>
          <t>bǐ tǒng Hộp bút</t>
        </is>
      </c>
      <c r="E2809" s="94" t="inlineStr">
        <is>
          <t>28 笔筒 bǐ tǒng Hộp bút</t>
        </is>
      </c>
      <c r="F2809" s="115">
        <f>HYPERLINK("https://youglish.com/pronounce/笔筒/chinese","🔍")</f>
        <v/>
      </c>
    </row>
    <row r="2810" ht="28.5" customHeight="1" s="99">
      <c r="A2810" s="92" t="inlineStr">
        <is>
          <t>PDF_Tổng hợp từ vựng mẫu câ cho NDL.pdf</t>
        </is>
      </c>
      <c r="B2810" s="93" t="inlineStr">
        <is>
          <t>29</t>
        </is>
      </c>
      <c r="C2810" s="92" t="inlineStr">
        <is>
          <t>笔记本</t>
        </is>
      </c>
      <c r="D2810" s="92" t="inlineStr">
        <is>
          <t>bǐjì běn Vỏ ghi, sổ ghi</t>
        </is>
      </c>
      <c r="E2810" s="92" t="inlineStr">
        <is>
          <t>29 笔记本 bǐjì běn Vỏ ghi, sổ ghi</t>
        </is>
      </c>
      <c r="F2810" s="114">
        <f>HYPERLINK("https://youglish.com/pronounce/笔记本/chinese","🔍")</f>
        <v/>
      </c>
    </row>
    <row r="2811" ht="28.5" customHeight="1" s="99">
      <c r="A2811" s="94" t="inlineStr">
        <is>
          <t>PDF_Tổng hợp từ vựng mẫu câ cho NDL.pdf</t>
        </is>
      </c>
      <c r="B2811" s="95" t="inlineStr">
        <is>
          <t>30</t>
        </is>
      </c>
      <c r="C2811" s="94" t="inlineStr">
        <is>
          <t>纸</t>
        </is>
      </c>
      <c r="D2811" s="94" t="inlineStr">
        <is>
          <t>zhǐ Giấy</t>
        </is>
      </c>
      <c r="E2811" s="94" t="inlineStr">
        <is>
          <t>30 纸 zhǐ Giấy</t>
        </is>
      </c>
      <c r="F2811" s="115">
        <f>HYPERLINK("https://youglish.com/pronounce/纸/chinese","🔍")</f>
        <v/>
      </c>
    </row>
    <row r="2812" ht="28.5" customHeight="1" s="99">
      <c r="A2812" s="92" t="inlineStr">
        <is>
          <t>PDF_Tổng hợp từ vựng mẫu câ cho NDL.pdf</t>
        </is>
      </c>
      <c r="B2812" s="93" t="inlineStr">
        <is>
          <t>31</t>
        </is>
      </c>
      <c r="C2812" s="92" t="inlineStr">
        <is>
          <t>纸杯</t>
        </is>
      </c>
      <c r="D2812" s="92" t="inlineStr">
        <is>
          <t>zhǐbēi Bút nhựa</t>
        </is>
      </c>
      <c r="E2812" s="92" t="inlineStr">
        <is>
          <t>31 纸杯 zhǐbēi Bút nhựa</t>
        </is>
      </c>
      <c r="F2812" s="114">
        <f>HYPERLINK("https://youglish.com/pronounce/纸杯/chinese","🔍")</f>
        <v/>
      </c>
    </row>
    <row r="2813" ht="28.5" customHeight="1" s="99">
      <c r="A2813" s="94" t="inlineStr">
        <is>
          <t>PDF_Tổng hợp từ vựng mẫu câ cho NDL.pdf</t>
        </is>
      </c>
      <c r="B2813" s="95" t="inlineStr">
        <is>
          <t>32</t>
        </is>
      </c>
      <c r="C2813" s="94" t="inlineStr">
        <is>
          <t>裁纸刀片</t>
        </is>
      </c>
      <c r="D2813" s="94" t="inlineStr">
        <is>
          <t>cái zhǐ dāopiàn Dao cắt giấy</t>
        </is>
      </c>
      <c r="E2813" s="94" t="inlineStr">
        <is>
          <t>32 裁纸刀片 cái zhǐ dāopiàn Dao cắt giấy</t>
        </is>
      </c>
      <c r="F2813" s="115">
        <f>HYPERLINK("https://youglish.com/pronounce/裁纸刀片/chinese","🔍")</f>
        <v/>
      </c>
    </row>
    <row r="2814" ht="28.5" customHeight="1" s="99">
      <c r="A2814" s="92" t="inlineStr">
        <is>
          <t>PDF_Tổng hợp từ vựng mẫu câ cho NDL.pdf</t>
        </is>
      </c>
      <c r="B2814" s="93" t="inlineStr">
        <is>
          <t>33</t>
        </is>
      </c>
      <c r="C2814" s="92" t="inlineStr">
        <is>
          <t>订书钉</t>
        </is>
      </c>
      <c r="D2814" s="92" t="inlineStr">
        <is>
          <t>dìng shū dīng Kim găm</t>
        </is>
      </c>
      <c r="E2814" s="92" t="inlineStr">
        <is>
          <t>33 订书钉 dìng shū dīng Kim găm</t>
        </is>
      </c>
      <c r="F2814" s="114">
        <f>HYPERLINK("https://youglish.com/pronounce/订书钉/chinese","🔍")</f>
        <v/>
      </c>
    </row>
    <row r="2815" ht="28.5" customHeight="1" s="99">
      <c r="A2815" s="94" t="inlineStr">
        <is>
          <t>PDF_Tổng hợp từ vựng mẫu câ cho NDL.pdf</t>
        </is>
      </c>
      <c r="B2815" s="95" t="inlineStr">
        <is>
          <t>34</t>
        </is>
      </c>
      <c r="C2815" s="94" t="inlineStr">
        <is>
          <t>记号笔</t>
        </is>
      </c>
      <c r="D2815" s="94" t="inlineStr">
        <is>
          <t>jìhào bǐ Bút màu ghi nhớ</t>
        </is>
      </c>
      <c r="E2815" s="94" t="inlineStr">
        <is>
          <t>34 记号笔 jìhào bǐ Bút màu ghi nhớ</t>
        </is>
      </c>
      <c r="F2815" s="115">
        <f>HYPERLINK("https://youglish.com/pronounce/记号笔/chinese","🔍")</f>
        <v/>
      </c>
    </row>
    <row r="2816" ht="28.5" customHeight="1" s="99">
      <c r="A2816" s="92" t="inlineStr">
        <is>
          <t>PDF_Tổng hợp từ vựng mẫu câ cho NDL.pdf</t>
        </is>
      </c>
      <c r="B2816" s="93" t="inlineStr">
        <is>
          <t>35</t>
        </is>
      </c>
      <c r="C2816" s="92" t="inlineStr">
        <is>
          <t>账本</t>
        </is>
      </c>
      <c r="D2816" s="92" t="inlineStr">
        <is>
          <t>zhāngtǐ Sổ sách</t>
        </is>
      </c>
      <c r="E2816" s="92" t="inlineStr">
        <is>
          <t>35 账本 zhāngtǐ Sổ sách</t>
        </is>
      </c>
      <c r="F2816" s="114">
        <f>HYPERLINK("https://youglish.com/pronounce/账本/chinese","🔍")</f>
        <v/>
      </c>
    </row>
    <row r="2817" ht="28.5" customHeight="1" s="99">
      <c r="A2817" s="94" t="inlineStr">
        <is>
          <t>PDF_Tổng hợp từ vựng mẫu câ cho NDL.pdf</t>
        </is>
      </c>
      <c r="B2817" s="95" t="inlineStr">
        <is>
          <t>36</t>
        </is>
      </c>
      <c r="C2817" s="94" t="inlineStr">
        <is>
          <t>资料册</t>
        </is>
      </c>
      <c r="D2817" s="94" t="inlineStr">
        <is>
          <t>zīliào cè Túi đựng tài liệu</t>
        </is>
      </c>
      <c r="E2817" s="94" t="inlineStr">
        <is>
          <t>36 资料册 zīliào cè Túi đựng tài liệu</t>
        </is>
      </c>
      <c r="F2817" s="115">
        <f>HYPERLINK("https://youglish.com/pronounce/资料册/chinese","🔍")</f>
        <v/>
      </c>
    </row>
    <row r="2818" ht="28.5" customHeight="1" s="99">
      <c r="A2818" s="92" t="inlineStr">
        <is>
          <t>PDF_Tổng hợp từ vựng mẫu câ cho NDL.pdf</t>
        </is>
      </c>
      <c r="B2818" s="93" t="inlineStr">
        <is>
          <t>37</t>
        </is>
      </c>
      <c r="C2818" s="92" t="inlineStr">
        <is>
          <t>钢笔</t>
        </is>
      </c>
      <c r="D2818" s="92" t="inlineStr">
        <is>
          <t>gāngbǐ Bút máy</t>
        </is>
      </c>
      <c r="E2818" s="92" t="inlineStr">
        <is>
          <t>37 钢笔 gāngbǐ Bút máy</t>
        </is>
      </c>
      <c r="F2818" s="114">
        <f>HYPERLINK("https://youglish.com/pronounce/钢笔/chinese","🔍")</f>
        <v/>
      </c>
    </row>
    <row r="2819" ht="28.5" customHeight="1" s="99">
      <c r="A2819" s="94" t="inlineStr">
        <is>
          <t>PDF_Tổng hợp từ vựng mẫu câ cho NDL.pdf</t>
        </is>
      </c>
      <c r="B2819" s="95" t="inlineStr">
        <is>
          <t>38</t>
        </is>
      </c>
      <c r="C2819" s="94" t="inlineStr">
        <is>
          <t>铅笔</t>
        </is>
      </c>
      <c r="D2819" s="94" t="inlineStr">
        <is>
          <t>qiānbǐ Bút chì</t>
        </is>
      </c>
      <c r="E2819" s="94" t="inlineStr">
        <is>
          <t>38 铅笔 qiānbǐ Bút chì</t>
        </is>
      </c>
      <c r="F2819" s="115">
        <f>HYPERLINK("https://youglish.com/pronounce/铅笔/chinese","🔍")</f>
        <v/>
      </c>
    </row>
    <row r="2820" ht="28.5" customHeight="1" s="99">
      <c r="A2820" s="92" t="inlineStr">
        <is>
          <t>PDF-Từ vựng phỏng vấn _ HỌC BÁ CHINESE.pdf</t>
        </is>
      </c>
      <c r="B2820" s="93" t="inlineStr">
        <is>
          <t>1</t>
        </is>
      </c>
      <c r="C2820" s="92" t="inlineStr">
        <is>
          <t>教育状况</t>
        </is>
      </c>
      <c r="D2820" s="92" t="inlineStr">
        <is>
          <t>Bài 1 “教育状况 – Tình trạng học vấn”</t>
        </is>
      </c>
      <c r="E2820" s="92" t="inlineStr">
        <is>
          <t>Bài 1 “教育状况 – Tình trạng học vấn”</t>
        </is>
      </c>
      <c r="F2820" s="114">
        <f>HYPERLINK("https://youglish.com/pronounce/教育状况/chinese","🔍")</f>
        <v/>
      </c>
    </row>
    <row r="2821" ht="28.5" customHeight="1" s="99">
      <c r="A2821" s="94" t="inlineStr">
        <is>
          <t>PDF-Từ vựng phỏng vấn _ HỌC BÁ CHINESE.pdf</t>
        </is>
      </c>
      <c r="B2821" s="95" t="inlineStr">
        <is>
          <t>1</t>
        </is>
      </c>
      <c r="C2821" s="94" t="inlineStr">
        <is>
          <t>简历</t>
        </is>
      </c>
      <c r="D2821" s="94" t="inlineStr">
        <is>
          <t>jiǎnlì – sơ yếu lý lịch</t>
        </is>
      </c>
      <c r="E2821" s="94" t="inlineStr">
        <is>
          <t>1. 简历 jiǎnlì – sơ yếu lý lịch</t>
        </is>
      </c>
      <c r="F2821" s="115">
        <f>HYPERLINK("https://youglish.com/pronounce/简历/chinese","🔍")</f>
        <v/>
      </c>
    </row>
    <row r="2822" ht="28.5" customHeight="1" s="99">
      <c r="A2822" s="92" t="inlineStr">
        <is>
          <t>PDF-Từ vựng phỏng vấn _ HỌC BÁ CHINESE.pdf</t>
        </is>
      </c>
      <c r="B2822" s="93" t="inlineStr">
        <is>
          <t>3</t>
        </is>
      </c>
      <c r="C2822" s="92" t="inlineStr">
        <is>
          <t>我看过了你的简历</t>
        </is>
      </c>
      <c r="D2822" s="92" t="inlineStr">
        <is>
          <t>Tôi đã xem qua sơ yếu lý lịch của bạn.</t>
        </is>
      </c>
      <c r="E2822" s="92" t="inlineStr">
        <is>
          <t>我看过了你的简历。– Tôi đã xem qua sơ yếu lý lịch của bạn.</t>
        </is>
      </c>
      <c r="F2822" s="114">
        <f>HYPERLINK("https://youglish.com/pronounce/我看过了你的简历/chinese","🔍")</f>
        <v/>
      </c>
    </row>
    <row r="2823" ht="28.5" customHeight="1" s="99">
      <c r="A2823" s="94" t="inlineStr">
        <is>
          <t>PDF-Từ vựng phỏng vấn _ HỌC BÁ CHINESE.pdf</t>
        </is>
      </c>
      <c r="B2823" s="95" t="inlineStr">
        <is>
          <t>2</t>
        </is>
      </c>
      <c r="C2823" s="94" t="inlineStr">
        <is>
          <t>当面</t>
        </is>
      </c>
      <c r="D2823" s="94" t="inlineStr">
        <is>
          <t>dāngmiàn – trực tiếp / gặp mặt</t>
        </is>
      </c>
      <c r="E2823" s="94" t="inlineStr">
        <is>
          <t>2. 当面 dāngmiàn – trực tiếp / gặp mặt</t>
        </is>
      </c>
      <c r="F2823" s="115">
        <f>HYPERLINK("https://youglish.com/pronounce/当面/chinese","🔍")</f>
        <v/>
      </c>
    </row>
    <row r="2824" ht="28.5" customHeight="1" s="99">
      <c r="A2824" s="92" t="inlineStr">
        <is>
          <t>PDF-Từ vựng phỏng vấn _ HỌC BÁ CHINESE.pdf</t>
        </is>
      </c>
      <c r="B2824" s="93" t="inlineStr">
        <is>
          <t>5</t>
        </is>
      </c>
      <c r="C2824" s="92" t="inlineStr">
        <is>
          <t>有些情况需要当面了解</t>
        </is>
      </c>
      <c r="D2824" s="92" t="inlineStr">
        <is>
          <t>Một số tình huống cần tìm hiểu trực tiếp.</t>
        </is>
      </c>
      <c r="E2824" s="92" t="inlineStr">
        <is>
          <t>有些情况需要当面了解。– Một số tình huống cần tìm hiểu trực tiếp.</t>
        </is>
      </c>
      <c r="F2824" s="114">
        <f>HYPERLINK("https://youglish.com/pronounce/有些情况需要当面了解/chinese","🔍")</f>
        <v/>
      </c>
    </row>
    <row r="2825" ht="28.5" customHeight="1" s="99">
      <c r="A2825" s="94" t="inlineStr">
        <is>
          <t>PDF-Từ vựng phỏng vấn _ HỌC BÁ CHINESE.pdf</t>
        </is>
      </c>
      <c r="B2825" s="95" t="inlineStr">
        <is>
          <t>3</t>
        </is>
      </c>
      <c r="C2825" s="94" t="inlineStr">
        <is>
          <t>毕业 / 你是哪年毕业的</t>
        </is>
      </c>
      <c r="D2825" s="94" t="inlineStr">
        <is>
          <t>毕业 bìyè – tốt nghiệp 你是哪年毕业的？– Bạn tốt nghiệp năm nào?</t>
        </is>
      </c>
      <c r="E2825" s="94" t="inlineStr">
        <is>
          <t>3. 毕业 bìyè – tốt nghiệp 你是哪年毕业的？– Bạn tốt nghiệp năm nào?</t>
        </is>
      </c>
      <c r="F2825" s="115">
        <f>HYPERLINK("https://youglish.com/pronounce/毕业你是哪年毕业的/chinese","🔍")</f>
        <v/>
      </c>
    </row>
    <row r="2826" ht="28.5" customHeight="1" s="99">
      <c r="A2826" s="92" t="inlineStr">
        <is>
          <t>PDF-Từ vựng phỏng vấn _ HỌC BÁ CHINESE.pdf</t>
        </is>
      </c>
      <c r="B2826" s="93" t="inlineStr">
        <is>
          <t>4</t>
        </is>
      </c>
      <c r="C2826" s="92" t="inlineStr">
        <is>
          <t>大学 / 你是从哪所大学毕业的</t>
        </is>
      </c>
      <c r="D2826" s="92" t="inlineStr">
        <is>
          <t>大学 dàxué – đại học 你是从哪所大学毕业的？– Bạn tốt nghiệp từ trường đại</t>
        </is>
      </c>
      <c r="E2826" s="92" t="inlineStr">
        <is>
          <t>4. 大学 dàxué – đại học 你是从哪所大学毕业的？– Bạn tốt nghiệp từ trường đại</t>
        </is>
      </c>
      <c r="F2826" s="114">
        <f>HYPERLINK("https://youglish.com/pronounce/大学你是从哪所大学毕业的/chinese","🔍")</f>
        <v/>
      </c>
    </row>
    <row r="2827" ht="28.5" customHeight="1" s="99">
      <c r="A2827" s="94" t="inlineStr">
        <is>
          <t>PDF-Từ vựng phỏng vấn _ HỌC BÁ CHINESE.pdf</t>
        </is>
      </c>
      <c r="B2827" s="95" t="inlineStr">
        <is>
          <t>5</t>
        </is>
      </c>
      <c r="C2827" s="94" t="inlineStr">
        <is>
          <t>专修</t>
        </is>
      </c>
      <c r="D2827" s="94" t="inlineStr">
        <is>
          <t>zhuānxiū – chuyên ngành / học chuyên sâu</t>
        </is>
      </c>
      <c r="E2827" s="94" t="inlineStr">
        <is>
          <t>5. 专修 zhuānxiū – chuyên ngành / học chuyên sâu</t>
        </is>
      </c>
      <c r="F2827" s="115">
        <f>HYPERLINK("https://youglish.com/pronounce/专修/chinese","🔍")</f>
        <v/>
      </c>
    </row>
    <row r="2828" ht="28.5" customHeight="1" s="99">
      <c r="A2828" s="92" t="inlineStr">
        <is>
          <t>PDF-Từ vựng phỏng vấn _ HỌC BÁ CHINESE.pdf</t>
        </is>
      </c>
      <c r="B2828" s="93" t="inlineStr">
        <is>
          <t>9</t>
        </is>
      </c>
      <c r="C2828" s="92" t="inlineStr">
        <is>
          <t>我专修国际贸易</t>
        </is>
      </c>
      <c r="D2828" s="92" t="inlineStr">
        <is>
          <t>Tôi học chuyên ngành Thương mại quốc tế.</t>
        </is>
      </c>
      <c r="E2828" s="92" t="inlineStr">
        <is>
          <t>我专修国际贸易。– Tôi học chuyên ngành Thương mại quốc tế.</t>
        </is>
      </c>
      <c r="F2828" s="114">
        <f>HYPERLINK("https://youglish.com/pronounce/我专修国际贸易/chinese","🔍")</f>
        <v/>
      </c>
    </row>
    <row r="2829" ht="28.5" customHeight="1" s="99">
      <c r="A2829" s="94" t="inlineStr">
        <is>
          <t>PDF-Từ vựng phỏng vấn _ HỌC BÁ CHINESE.pdf</t>
        </is>
      </c>
      <c r="B2829" s="95" t="inlineStr">
        <is>
          <t>6</t>
        </is>
      </c>
      <c r="C2829" s="94" t="inlineStr">
        <is>
          <t>专业</t>
        </is>
      </c>
      <c r="D2829" s="94" t="inlineStr">
        <is>
          <t>zhuānyè – ngành học</t>
        </is>
      </c>
      <c r="E2829" s="94" t="inlineStr">
        <is>
          <t>6. 专业 zhuānyè – ngành học</t>
        </is>
      </c>
      <c r="F2829" s="115">
        <f>HYPERLINK("https://youglish.com/pronounce/专业/chinese","🔍")</f>
        <v/>
      </c>
    </row>
    <row r="2830" ht="28.5" customHeight="1" s="99">
      <c r="A2830" s="92" t="inlineStr">
        <is>
          <t>PDF-Từ vựng phỏng vấn _ HỌC BÁ CHINESE.pdf</t>
        </is>
      </c>
      <c r="B2830" s="93" t="inlineStr">
        <is>
          <t>11</t>
        </is>
      </c>
      <c r="C2830" s="92" t="inlineStr">
        <is>
          <t>你的专业是什么</t>
        </is>
      </c>
      <c r="D2830" s="92" t="inlineStr">
        <is>
          <t>Ngành học của bạn là gì?</t>
        </is>
      </c>
      <c r="E2830" s="92" t="inlineStr">
        <is>
          <t>你的专业是什么？– Ngành học của bạn là gì?</t>
        </is>
      </c>
      <c r="F2830" s="114">
        <f>HYPERLINK("https://youglish.com/pronounce/你的专业是什么/chinese","🔍")</f>
        <v/>
      </c>
    </row>
    <row r="2831" ht="28.5" customHeight="1" s="99">
      <c r="A2831" s="94" t="inlineStr">
        <is>
          <t>PDF-Từ vựng phỏng vấn _ HỌC BÁ CHINESE.pdf</t>
        </is>
      </c>
      <c r="B2831" s="95" t="inlineStr">
        <is>
          <t>7</t>
        </is>
      </c>
      <c r="C2831" s="94" t="inlineStr">
        <is>
          <t>毕业论文</t>
        </is>
      </c>
      <c r="D2831" s="94" t="inlineStr">
        <is>
          <t>bìyè lùnwén – luận văn tốt nghiệp</t>
        </is>
      </c>
      <c r="E2831" s="94" t="inlineStr">
        <is>
          <t>7. 毕业论文 bìyè lùnwén – luận văn tốt nghiệp</t>
        </is>
      </c>
      <c r="F2831" s="115">
        <f>HYPERLINK("https://youglish.com/pronounce/毕业论文/chinese","🔍")</f>
        <v/>
      </c>
    </row>
    <row r="2832" ht="28.5" customHeight="1" s="99">
      <c r="A2832" s="92" t="inlineStr">
        <is>
          <t>PDF-Từ vựng phỏng vấn _ HỌC BÁ CHINESE.pdf</t>
        </is>
      </c>
      <c r="B2832" s="93" t="inlineStr">
        <is>
          <t>13</t>
        </is>
      </c>
      <c r="C2832" s="92" t="inlineStr">
        <is>
          <t>你的毕业论文题目是什么</t>
        </is>
      </c>
      <c r="D2832" s="92" t="inlineStr">
        <is>
          <t>Đề tài luận văn tốt nghiệp của bạn là gì?</t>
        </is>
      </c>
      <c r="E2832" s="92" t="inlineStr">
        <is>
          <t>你的毕业论文题目是什么？– Đề tài luận văn tốt nghiệp của bạn là gì?</t>
        </is>
      </c>
      <c r="F2832" s="114">
        <f>HYPERLINK("https://youglish.com/pronounce/你的毕业论文题目是什么/chinese","🔍")</f>
        <v/>
      </c>
    </row>
    <row r="2833" ht="28.5" customHeight="1" s="99">
      <c r="A2833" s="94" t="inlineStr">
        <is>
          <t>PDF-Từ vựng phỏng vấn _ HỌC BÁ CHINESE.pdf</t>
        </is>
      </c>
      <c r="B2833" s="95" t="inlineStr">
        <is>
          <t>8</t>
        </is>
      </c>
      <c r="C2833" s="94" t="inlineStr">
        <is>
          <t>题目</t>
        </is>
      </c>
      <c r="D2833" s="94" t="inlineStr">
        <is>
          <t>tímù – đề tài</t>
        </is>
      </c>
      <c r="E2833" s="94" t="inlineStr">
        <is>
          <t>8. 题目 tímù – đề tài</t>
        </is>
      </c>
      <c r="F2833" s="115">
        <f>HYPERLINK("https://youglish.com/pronounce/题目/chinese","🔍")</f>
        <v/>
      </c>
    </row>
    <row r="2834" ht="28.5" customHeight="1" s="99">
      <c r="A2834" s="92" t="inlineStr">
        <is>
          <t>PDF-Từ vựng phỏng vấn _ HỌC BÁ CHINESE.pdf</t>
        </is>
      </c>
      <c r="B2834" s="93" t="inlineStr">
        <is>
          <t>15</t>
        </is>
      </c>
      <c r="C2834" s="92" t="inlineStr">
        <is>
          <t>论文题目是 / 中美贸易关系</t>
        </is>
      </c>
      <c r="D2834" s="92" t="inlineStr">
        <is>
          <t>论文题目是“中美贸易关系”。– Đề tài luận văn là “Quan hệ thương mại Trung–Mỹ”.</t>
        </is>
      </c>
      <c r="E2834" s="92" t="inlineStr">
        <is>
          <t>论文题目是“中美贸易关系”。– Đề tài luận văn là “Quan hệ thương mại Trung–Mỹ”.</t>
        </is>
      </c>
      <c r="F2834" s="114">
        <f>HYPERLINK("https://youglish.com/pronounce/论文题目是中美贸易关系/chinese","🔍")</f>
        <v/>
      </c>
    </row>
    <row r="2835" ht="28.5" customHeight="1" s="99">
      <c r="A2835" s="94" t="inlineStr">
        <is>
          <t>PDF-Từ vựng phỏng vấn _ HỌC BÁ CHINESE.pdf</t>
        </is>
      </c>
      <c r="B2835" s="95" t="inlineStr">
        <is>
          <t>9</t>
        </is>
      </c>
      <c r="C2835" s="94" t="inlineStr">
        <is>
          <t>成绩</t>
        </is>
      </c>
      <c r="D2835" s="94" t="inlineStr">
        <is>
          <t>chéngjì – thành tích / điểm số</t>
        </is>
      </c>
      <c r="E2835" s="94" t="inlineStr">
        <is>
          <t>9. 成绩 chéngjì – thành tích / điểm số</t>
        </is>
      </c>
      <c r="F2835" s="115">
        <f>HYPERLINK("https://youglish.com/pronounce/成绩/chinese","🔍")</f>
        <v/>
      </c>
    </row>
    <row r="2836" ht="28.5" customHeight="1" s="99">
      <c r="A2836" s="92" t="inlineStr">
        <is>
          <t>PDF-Từ vựng phỏng vấn _ HỌC BÁ CHINESE.pdf</t>
        </is>
      </c>
      <c r="B2836" s="93" t="inlineStr">
        <is>
          <t>17</t>
        </is>
      </c>
      <c r="C2836" s="92" t="inlineStr">
        <is>
          <t>当时的成绩是 / 分</t>
        </is>
      </c>
      <c r="D2836" s="92" t="inlineStr">
        <is>
          <t>当时的成绩是98分。– Khi đó điểm của tôi là 98.</t>
        </is>
      </c>
      <c r="E2836" s="92" t="inlineStr">
        <is>
          <t>当时的成绩是98分。– Khi đó điểm của tôi là 98.</t>
        </is>
      </c>
      <c r="F2836" s="114">
        <f>HYPERLINK("https://youglish.com/pronounce/当时的成绩是分/chinese","🔍")</f>
        <v/>
      </c>
    </row>
    <row r="2837" ht="28.5" customHeight="1" s="99">
      <c r="A2837" s="94" t="inlineStr">
        <is>
          <t>PDF-Từ vựng phỏng vấn _ HỌC BÁ CHINESE.pdf</t>
        </is>
      </c>
      <c r="B2837" s="95" t="inlineStr">
        <is>
          <t>10</t>
        </is>
      </c>
      <c r="C2837" s="94" t="inlineStr">
        <is>
          <t>不错</t>
        </is>
      </c>
      <c r="D2837" s="94" t="inlineStr">
        <is>
          <t>búcuò – không tệ / rất tốt</t>
        </is>
      </c>
      <c r="E2837" s="94" t="inlineStr">
        <is>
          <t>10. 不错 búcuò – không tệ / rất tốt</t>
        </is>
      </c>
      <c r="F2837" s="115">
        <f>HYPERLINK("https://youglish.com/pronounce/不错/chinese","🔍")</f>
        <v/>
      </c>
    </row>
    <row r="2838" ht="28.5" customHeight="1" s="99">
      <c r="A2838" s="92" t="inlineStr">
        <is>
          <t>PDF-Từ vựng phỏng vấn _ HỌC BÁ CHINESE.pdf</t>
        </is>
      </c>
      <c r="B2838" s="93" t="inlineStr">
        <is>
          <t>19</t>
        </is>
      </c>
      <c r="C2838" s="92" t="inlineStr">
        <is>
          <t>你的成绩真不错</t>
        </is>
      </c>
      <c r="D2838" s="92" t="inlineStr">
        <is>
          <t>Thành tích của bạn thật tốt.</t>
        </is>
      </c>
      <c r="E2838" s="92" t="inlineStr">
        <is>
          <t>你的成绩真不错。– Thành tích của bạn thật tốt.</t>
        </is>
      </c>
      <c r="F2838" s="114">
        <f>HYPERLINK("https://youglish.com/pronounce/你的成绩真不错/chinese","🔍")</f>
        <v/>
      </c>
    </row>
    <row r="2839" ht="28.5" customHeight="1" s="99">
      <c r="A2839" s="94" t="inlineStr">
        <is>
          <t>PDF-Từ vựng phỏng vấn _ HỌC BÁ CHINESE.pdf</t>
        </is>
      </c>
      <c r="B2839" s="95" t="inlineStr">
        <is>
          <t>11</t>
        </is>
      </c>
      <c r="C2839" s="94" t="inlineStr">
        <is>
          <t>接受</t>
        </is>
      </c>
      <c r="D2839" s="94" t="inlineStr">
        <is>
          <t>jiēshòu – tiếp nhận / tham gia (học)</t>
        </is>
      </c>
      <c r="E2839" s="94" t="inlineStr">
        <is>
          <t>11. 接受 jiēshòu – tiếp nhận / tham gia (học)</t>
        </is>
      </c>
      <c r="F2839" s="115">
        <f>HYPERLINK("https://youglish.com/pronounce/接受/chinese","🔍")</f>
        <v/>
      </c>
    </row>
    <row r="2840" ht="28.5" customHeight="1" s="99">
      <c r="A2840" s="92" t="inlineStr">
        <is>
          <t>PDF-Từ vựng phỏng vấn _ HỌC BÁ CHINESE.pdf</t>
        </is>
      </c>
      <c r="B2840" s="93" t="inlineStr">
        <is>
          <t>21</t>
        </is>
      </c>
      <c r="C2840" s="92" t="inlineStr">
        <is>
          <t>毕业后你还接受其他教育吗</t>
        </is>
      </c>
      <c r="D2840" s="92" t="inlineStr">
        <is>
          <t>Sau khi tốt nghiệp bạn còn học thêm gì không?</t>
        </is>
      </c>
      <c r="E2840" s="92" t="inlineStr">
        <is>
          <t>毕业后你还接受其他教育吗？– Sau khi tốt nghiệp bạn còn học thêm gì không?</t>
        </is>
      </c>
      <c r="F2840" s="114">
        <f>HYPERLINK("https://youglish.com/pronounce/毕业后你还接受其他教育吗/chinese","🔍")</f>
        <v/>
      </c>
    </row>
    <row r="2841" ht="28.5" customHeight="1" s="99">
      <c r="A2841" s="94" t="inlineStr">
        <is>
          <t>PDF-Từ vựng phỏng vấn _ HỌC BÁ CHINESE.pdf</t>
        </is>
      </c>
      <c r="B2841" s="95" t="inlineStr">
        <is>
          <t>12</t>
        </is>
      </c>
      <c r="C2841" s="94" t="inlineStr">
        <is>
          <t>报考</t>
        </is>
      </c>
      <c r="D2841" s="94" t="inlineStr">
        <is>
          <t>bàokǎo – đăng ký thi / đăng ký học</t>
        </is>
      </c>
      <c r="E2841" s="94" t="inlineStr">
        <is>
          <t>12. 报考 bàokǎo – đăng ký thi / đăng ký học</t>
        </is>
      </c>
      <c r="F2841" s="115">
        <f>HYPERLINK("https://youglish.com/pronounce/报考/chinese","🔍")</f>
        <v/>
      </c>
    </row>
    <row r="2842" ht="28.5" customHeight="1" s="99">
      <c r="A2842" s="92" t="inlineStr">
        <is>
          <t>PDF-Từ vựng phỏng vấn _ HỌC BÁ CHINESE.pdf</t>
        </is>
      </c>
      <c r="B2842" s="93" t="inlineStr">
        <is>
          <t>23</t>
        </is>
      </c>
      <c r="C2842" s="92" t="inlineStr">
        <is>
          <t>我去年报考了成人教育学院</t>
        </is>
      </c>
      <c r="D2842" s="92" t="inlineStr">
        <is>
          <t>Năm ngoái tôi đăng ký học viện giáo dục người lớn.</t>
        </is>
      </c>
      <c r="E2842" s="92" t="inlineStr">
        <is>
          <t>我去年报考了成人教育学院。– Năm ngoái tôi đăng ký học viện giáo dục người lớn.</t>
        </is>
      </c>
      <c r="F2842" s="114">
        <f>HYPERLINK("https://youglish.com/pronounce/我去年报考了成人教育学院/chinese","🔍")</f>
        <v/>
      </c>
    </row>
    <row r="2843" ht="28.5" customHeight="1" s="99">
      <c r="A2843" s="94" t="inlineStr">
        <is>
          <t>PDF-Từ vựng phỏng vấn _ HỌC BÁ CHINESE.pdf</t>
        </is>
      </c>
      <c r="B2843" s="95" t="inlineStr">
        <is>
          <t>13</t>
        </is>
      </c>
      <c r="C2843" s="94" t="inlineStr">
        <is>
          <t>成人教育</t>
        </is>
      </c>
      <c r="D2843" s="94" t="inlineStr">
        <is>
          <t>chéngrén jiàoyù – giáo dục người lớn / tại chức</t>
        </is>
      </c>
      <c r="E2843" s="94" t="inlineStr">
        <is>
          <t>13. 成人教育 chéngrén jiàoyù – giáo dục người lớn / tại chức</t>
        </is>
      </c>
      <c r="F2843" s="115">
        <f>HYPERLINK("https://youglish.com/pronounce/成人教育/chinese","🔍")</f>
        <v/>
      </c>
    </row>
    <row r="2844" ht="28.5" customHeight="1" s="99">
      <c r="A2844" s="92" t="inlineStr">
        <is>
          <t>PDF-Từ vựng phỏng vấn _ HỌC BÁ CHINESE.pdf</t>
        </is>
      </c>
      <c r="B2844" s="93" t="inlineStr">
        <is>
          <t>25</t>
        </is>
      </c>
      <c r="C2844" s="92" t="inlineStr">
        <is>
          <t>我在成人教育学院学习法律</t>
        </is>
      </c>
      <c r="D2844" s="92" t="inlineStr">
        <is>
          <t>Tôi học luật tại học viện giáo dục người lớn.</t>
        </is>
      </c>
      <c r="E2844" s="92" t="inlineStr">
        <is>
          <t>我在成人教育学院学习法律。– Tôi học luật tại học viện giáo dục người lớn.</t>
        </is>
      </c>
      <c r="F2844" s="114">
        <f>HYPERLINK("https://youglish.com/pronounce/我在成人教育学院学习法律/chinese","🔍")</f>
        <v/>
      </c>
    </row>
    <row r="2845" ht="28.5" customHeight="1" s="99">
      <c r="A2845" s="94" t="inlineStr">
        <is>
          <t>PDF-Từ vựng phỏng vấn _ HỌC BÁ CHINESE.pdf</t>
        </is>
      </c>
      <c r="B2845" s="95" t="inlineStr">
        <is>
          <t>14</t>
        </is>
      </c>
      <c r="C2845" s="94" t="inlineStr">
        <is>
          <t>法律</t>
        </is>
      </c>
      <c r="D2845" s="94" t="inlineStr">
        <is>
          <t>fǎlǜ – luật / pháp luật</t>
        </is>
      </c>
      <c r="E2845" s="94" t="inlineStr">
        <is>
          <t>14. 法律 fǎlǜ – luật / pháp luật</t>
        </is>
      </c>
      <c r="F2845" s="115">
        <f>HYPERLINK("https://youglish.com/pronounce/法律/chinese","🔍")</f>
        <v/>
      </c>
    </row>
    <row r="2846" ht="28.5" customHeight="1" s="99">
      <c r="A2846" s="92" t="inlineStr">
        <is>
          <t>PDF-Từ vựng phỏng vấn _ HỌC BÁ CHINESE.pdf</t>
        </is>
      </c>
      <c r="B2846" s="93" t="inlineStr">
        <is>
          <t>27</t>
        </is>
      </c>
      <c r="C2846" s="92" t="inlineStr">
        <is>
          <t>我现在学习法律专业</t>
        </is>
      </c>
      <c r="D2846" s="92" t="inlineStr">
        <is>
          <t>Tôi hiện đang học ngành luật.</t>
        </is>
      </c>
      <c r="E2846" s="92" t="inlineStr">
        <is>
          <t>我现在学习法律专业。– Tôi hiện đang học ngành luật.</t>
        </is>
      </c>
      <c r="F2846" s="114">
        <f>HYPERLINK("https://youglish.com/pronounce/我现在学习法律专业/chinese","🔍")</f>
        <v/>
      </c>
    </row>
    <row r="2847" ht="28.5" customHeight="1" s="99">
      <c r="A2847" s="94" t="inlineStr">
        <is>
          <t>PDF-Từ vựng phỏng vấn _ HỌC BÁ CHINESE.pdf</t>
        </is>
      </c>
      <c r="B2847" s="95" t="inlineStr">
        <is>
          <t>15</t>
        </is>
      </c>
      <c r="C2847" s="94" t="inlineStr">
        <is>
          <t>影响</t>
        </is>
      </c>
      <c r="D2847" s="94" t="inlineStr">
        <is>
          <t>yǐngxiǎng – ảnh hưởng</t>
        </is>
      </c>
      <c r="E2847" s="94" t="inlineStr">
        <is>
          <t>15. 影响 yǐngxiǎng – ảnh hưởng</t>
        </is>
      </c>
      <c r="F2847" s="115">
        <f>HYPERLINK("https://youglish.com/pronounce/影响/chinese","🔍")</f>
        <v/>
      </c>
    </row>
    <row r="2848" ht="28.5" customHeight="1" s="99">
      <c r="A2848" s="92" t="inlineStr">
        <is>
          <t>PDF-Từ vựng phỏng vấn _ HỌC BÁ CHINESE.pdf</t>
        </is>
      </c>
      <c r="B2848" s="93" t="inlineStr">
        <is>
          <t>29</t>
        </is>
      </c>
      <c r="C2848" s="92" t="inlineStr">
        <is>
          <t>学习不会影响工作</t>
        </is>
      </c>
      <c r="D2848" s="92" t="inlineStr">
        <is>
          <t>Việc học sẽ không ảnh hưởng đến công việc.</t>
        </is>
      </c>
      <c r="E2848" s="92" t="inlineStr">
        <is>
          <t>学习不会影响工作。– Việc học sẽ không ảnh hưởng đến công việc.</t>
        </is>
      </c>
      <c r="F2848" s="114">
        <f>HYPERLINK("https://youglish.com/pronounce/学习不会影响工作/chinese","🔍")</f>
        <v/>
      </c>
    </row>
    <row r="2849" ht="28.5" customHeight="1" s="99">
      <c r="A2849" s="94" t="inlineStr">
        <is>
          <t>PDF-Từ vựng phỏng vấn _ HỌC BÁ CHINESE.pdf</t>
        </is>
      </c>
      <c r="B2849" s="95" t="inlineStr">
        <is>
          <t>16</t>
        </is>
      </c>
      <c r="C2849" s="94" t="inlineStr">
        <is>
          <t>业余时间</t>
        </is>
      </c>
      <c r="D2849" s="94" t="inlineStr">
        <is>
          <t>yèyú shíjiān – thời gian rảnh</t>
        </is>
      </c>
      <c r="E2849" s="94" t="inlineStr">
        <is>
          <t>16. 业余时间 yèyú shíjiān – thời gian rảnh</t>
        </is>
      </c>
      <c r="F2849" s="115">
        <f>HYPERLINK("https://youglish.com/pronounce/业余时间/chinese","🔍")</f>
        <v/>
      </c>
    </row>
    <row r="2850" ht="28.5" customHeight="1" s="99">
      <c r="A2850" s="92" t="inlineStr">
        <is>
          <t>PDF-Từ vựng phỏng vấn _ HỌC BÁ CHINESE.pdf</t>
        </is>
      </c>
      <c r="B2850" s="93" t="inlineStr">
        <is>
          <t>31</t>
        </is>
      </c>
      <c r="C2850" s="92" t="inlineStr">
        <is>
          <t>我利用业余时间学习</t>
        </is>
      </c>
      <c r="D2850" s="92" t="inlineStr">
        <is>
          <t>Tôi dùng thời gian rảnh để học.</t>
        </is>
      </c>
      <c r="E2850" s="92" t="inlineStr">
        <is>
          <t>我利用业余时间学习。– Tôi dùng thời gian rảnh để học.</t>
        </is>
      </c>
      <c r="F2850" s="114">
        <f>HYPERLINK("https://youglish.com/pronounce/我利用业余时间学习/chinese","🔍")</f>
        <v/>
      </c>
    </row>
    <row r="2851" ht="28.5" customHeight="1" s="99">
      <c r="A2851" s="94" t="inlineStr">
        <is>
          <t>PDF-Từ vựng phỏng vấn _ HỌC BÁ CHINESE.pdf</t>
        </is>
      </c>
      <c r="B2851" s="95" t="inlineStr">
        <is>
          <t>17</t>
        </is>
      </c>
      <c r="C2851" s="94" t="inlineStr">
        <is>
          <t>录用</t>
        </is>
      </c>
      <c r="D2851" s="94" t="inlineStr">
        <is>
          <t>lùyòng – tuyển dụng / nhận vào làm</t>
        </is>
      </c>
      <c r="E2851" s="94" t="inlineStr">
        <is>
          <t>17. 录用 lùyòng – tuyển dụng / nhận vào làm</t>
        </is>
      </c>
      <c r="F2851" s="115">
        <f>HYPERLINK("https://youglish.com/pronounce/录用/chinese","🔍")</f>
        <v/>
      </c>
    </row>
    <row r="2852" ht="28.5" customHeight="1" s="99">
      <c r="A2852" s="92" t="inlineStr">
        <is>
          <t>PDF-Từ vựng phỏng vấn _ HỌC BÁ CHINESE.pdf</t>
        </is>
      </c>
      <c r="B2852" s="93" t="inlineStr">
        <is>
          <t>33</t>
        </is>
      </c>
      <c r="C2852" s="92" t="inlineStr">
        <is>
          <t>一旦被录用了，工作会很紧张</t>
        </is>
      </c>
      <c r="D2852" s="92" t="inlineStr">
        <is>
          <t>Một khi được tuyển dụng, công việc sẽ rất bận rộn.</t>
        </is>
      </c>
      <c r="E2852" s="92" t="inlineStr">
        <is>
          <t>一旦被录用了，工作会很紧张。– Một khi được tuyển dụng, công việc sẽ rất bận rộn.</t>
        </is>
      </c>
      <c r="F2852" s="114">
        <f>HYPERLINK("https://youglish.com/pronounce/一旦被录用了工作会很紧张/chinese","🔍")</f>
        <v/>
      </c>
    </row>
    <row r="2853" ht="28.5" customHeight="1" s="99">
      <c r="A2853" s="94" t="inlineStr">
        <is>
          <t>PDF-Từ vựng phỏng vấn _ HỌC BÁ CHINESE.pdf</t>
        </is>
      </c>
      <c r="B2853" s="95" t="inlineStr">
        <is>
          <t>18</t>
        </is>
      </c>
      <c r="C2853" s="94" t="inlineStr">
        <is>
          <t>紧张</t>
        </is>
      </c>
      <c r="D2853" s="94" t="inlineStr">
        <is>
          <t>jǐnzhāng – căng thẳng / bận rộn</t>
        </is>
      </c>
      <c r="E2853" s="94" t="inlineStr">
        <is>
          <t>18. 紧张 jǐnzhāng – căng thẳng / bận rộn</t>
        </is>
      </c>
      <c r="F2853" s="115">
        <f>HYPERLINK("https://youglish.com/pronounce/紧张/chinese","🔍")</f>
        <v/>
      </c>
    </row>
    <row r="2854" ht="28.5" customHeight="1" s="99">
      <c r="A2854" s="92" t="inlineStr">
        <is>
          <t>PDF-Từ vựng phỏng vấn _ HỌC BÁ CHINESE.pdf</t>
        </is>
      </c>
      <c r="B2854" s="93" t="inlineStr">
        <is>
          <t>35</t>
        </is>
      </c>
      <c r="C2854" s="92" t="inlineStr">
        <is>
          <t>这份工作很紧张</t>
        </is>
      </c>
      <c r="D2854" s="92" t="inlineStr">
        <is>
          <t>Công việc này rất bận rộn.</t>
        </is>
      </c>
      <c r="E2854" s="92" t="inlineStr">
        <is>
          <t>这份工作很紧张。– Công việc này rất bận rộn.</t>
        </is>
      </c>
      <c r="F2854" s="114">
        <f>HYPERLINK("https://youglish.com/pronounce/这份工作很紧张/chinese","🔍")</f>
        <v/>
      </c>
    </row>
    <row r="2855" ht="28.5" customHeight="1" s="99">
      <c r="A2855" s="94" t="inlineStr">
        <is>
          <t>PDF-Từ vựng phỏng vấn _ HỌC BÁ CHINESE.pdf</t>
        </is>
      </c>
      <c r="B2855" s="95" t="inlineStr">
        <is>
          <t>19</t>
        </is>
      </c>
      <c r="C2855" s="94" t="inlineStr">
        <is>
          <t>清楚</t>
        </is>
      </c>
      <c r="D2855" s="94" t="inlineStr">
        <is>
          <t>qīngchu – rõ / hiểu rõ</t>
        </is>
      </c>
      <c r="E2855" s="94" t="inlineStr">
        <is>
          <t>19. 清楚 qīngchu – rõ / hiểu rõ</t>
        </is>
      </c>
      <c r="F2855" s="115">
        <f>HYPERLINK("https://youglish.com/pronounce/清楚/chinese","🔍")</f>
        <v/>
      </c>
    </row>
    <row r="2856" ht="28.5" customHeight="1" s="99">
      <c r="A2856" s="92" t="inlineStr">
        <is>
          <t>PDF-Từ vựng phỏng vấn _ HỌC BÁ CHINESE.pdf</t>
        </is>
      </c>
      <c r="B2856" s="93" t="inlineStr">
        <is>
          <t>37</t>
        </is>
      </c>
      <c r="C2856" s="92" t="inlineStr">
        <is>
          <t>这点我会清楚</t>
        </is>
      </c>
      <c r="D2856" s="92" t="inlineStr">
        <is>
          <t>Điều này tôi hiểu rõ.</t>
        </is>
      </c>
      <c r="E2856" s="92" t="inlineStr">
        <is>
          <t>这点我会清楚。– Điều này tôi hiểu rõ.</t>
        </is>
      </c>
      <c r="F2856" s="114">
        <f>HYPERLINK("https://youglish.com/pronounce/这点我会清楚/chinese","🔍")</f>
        <v/>
      </c>
    </row>
    <row r="2857" ht="28.5" customHeight="1" s="99">
      <c r="A2857" s="94" t="inlineStr">
        <is>
          <t>PDF-Từ vựng phỏng vấn _ HỌC BÁ CHINESE.pdf</t>
        </is>
      </c>
      <c r="B2857" s="95" t="inlineStr">
        <is>
          <t>20</t>
        </is>
      </c>
      <c r="C2857" s="94" t="inlineStr">
        <is>
          <t>汇报</t>
        </is>
      </c>
      <c r="D2857" s="94" t="inlineStr">
        <is>
          <t>huìbào – báo cáo</t>
        </is>
      </c>
      <c r="E2857" s="94" t="inlineStr">
        <is>
          <t>20. 汇报 huìbào – báo cáo</t>
        </is>
      </c>
      <c r="F2857" s="115">
        <f>HYPERLINK("https://youglish.com/pronounce/汇报/chinese","🔍")</f>
        <v/>
      </c>
    </row>
    <row r="2858" ht="28.5" customHeight="1" s="99">
      <c r="A2858" s="92" t="inlineStr">
        <is>
          <t>PDF-Từ vựng phỏng vấn _ HỌC BÁ CHINESE.pdf</t>
        </is>
      </c>
      <c r="B2858" s="93" t="inlineStr">
        <is>
          <t>39</t>
        </is>
      </c>
      <c r="C2858" s="92" t="inlineStr">
        <is>
          <t>我会向人事部门汇报</t>
        </is>
      </c>
      <c r="D2858" s="92" t="inlineStr">
        <is>
          <t>Tôi sẽ báo cáo với bộ phận nhân sự.</t>
        </is>
      </c>
      <c r="E2858" s="92" t="inlineStr">
        <is>
          <t>我会向人事部门汇报。– Tôi sẽ báo cáo với bộ phận nhân sự.</t>
        </is>
      </c>
      <c r="F2858" s="114">
        <f>HYPERLINK("https://youglish.com/pronounce/我会向人事部门汇报/chinese","🔍")</f>
        <v/>
      </c>
    </row>
    <row r="2859" ht="28.5" customHeight="1" s="99">
      <c r="A2859" s="94" t="inlineStr">
        <is>
          <t>PDF-Từ vựng phỏng vấn _ HỌC BÁ CHINESE.pdf</t>
        </is>
      </c>
      <c r="B2859" s="95" t="inlineStr">
        <is>
          <t>21</t>
        </is>
      </c>
      <c r="C2859" s="94" t="inlineStr">
        <is>
          <t>人事部门</t>
        </is>
      </c>
      <c r="D2859" s="94" t="inlineStr">
        <is>
          <t>rénshì bùmén – bộ phận nhân sự</t>
        </is>
      </c>
      <c r="E2859" s="94" t="inlineStr">
        <is>
          <t>21. 人事部门 rénshì bùmén – bộ phận nhân sự</t>
        </is>
      </c>
      <c r="F2859" s="115">
        <f>HYPERLINK("https://youglish.com/pronounce/人事部门/chinese","🔍")</f>
        <v/>
      </c>
    </row>
    <row r="2860" ht="28.5" customHeight="1" s="99">
      <c r="A2860" s="92" t="inlineStr">
        <is>
          <t>PDF-Từ vựng phỏng vấn _ HỌC BÁ CHINESE.pdf</t>
        </is>
      </c>
      <c r="B2860" s="93" t="inlineStr">
        <is>
          <t>41</t>
        </is>
      </c>
      <c r="C2860" s="92" t="inlineStr">
        <is>
          <t>我把你的情况交给人事部门</t>
        </is>
      </c>
      <c r="D2860" s="92" t="inlineStr">
        <is>
          <t>Tôi sẽ chuyển thông tin của bạn cho bộ phận nhân sự.</t>
        </is>
      </c>
      <c r="E2860" s="92" t="inlineStr">
        <is>
          <t>我把你的情况交给人事部门。– Tôi sẽ chuyển thông tin của bạn cho bộ phận nhân sự.</t>
        </is>
      </c>
      <c r="F2860" s="114">
        <f>HYPERLINK("https://youglish.com/pronounce/我把你的情况交给人事部门/chinese","🔍")</f>
        <v/>
      </c>
    </row>
    <row r="2861" ht="28.5" customHeight="1" s="99">
      <c r="A2861" s="94" t="inlineStr">
        <is>
          <t>PDF-Từ vựng phỏng vấn _ HỌC BÁ CHINESE.pdf</t>
        </is>
      </c>
      <c r="B2861" s="95" t="inlineStr">
        <is>
          <t>22</t>
        </is>
      </c>
      <c r="C2861" s="94" t="inlineStr">
        <is>
          <t>通知</t>
        </is>
      </c>
      <c r="D2861" s="94" t="inlineStr">
        <is>
          <t>tōngzhī – thông báo</t>
        </is>
      </c>
      <c r="E2861" s="94" t="inlineStr">
        <is>
          <t>22. 通知 tōngzhī – thông báo</t>
        </is>
      </c>
      <c r="F2861" s="115">
        <f>HYPERLINK("https://youglish.com/pronounce/通知/chinese","🔍")</f>
        <v/>
      </c>
    </row>
    <row r="2862" ht="28.5" customHeight="1" s="99">
      <c r="A2862" s="92" t="inlineStr">
        <is>
          <t>PDF-Từ vựng phỏng vấn _ HỌC BÁ CHINESE.pdf</t>
        </is>
      </c>
      <c r="B2862" s="93" t="inlineStr">
        <is>
          <t>43</t>
        </is>
      </c>
      <c r="C2862" s="92" t="inlineStr">
        <is>
          <t>请你等待通知</t>
        </is>
      </c>
      <c r="D2862" s="92" t="inlineStr">
        <is>
          <t>Bạn hãy chờ thông báo.</t>
        </is>
      </c>
      <c r="E2862" s="92" t="inlineStr">
        <is>
          <t>请你等待通知。– Bạn hãy chờ thông báo.</t>
        </is>
      </c>
      <c r="F2862" s="114">
        <f>HYPERLINK("https://youglish.com/pronounce/请你等待通知/chinese","🔍")</f>
        <v/>
      </c>
    </row>
    <row r="2863" ht="28.5" customHeight="1" s="99">
      <c r="A2863" s="94" t="inlineStr">
        <is>
          <t>PDF-Từ vựng phỏng vấn _ HỌC BÁ CHINESE.pdf</t>
        </is>
      </c>
      <c r="B2863" s="95" t="inlineStr">
        <is>
          <t>23</t>
        </is>
      </c>
      <c r="C2863" s="94" t="inlineStr">
        <is>
          <t>情况</t>
        </is>
      </c>
      <c r="D2863" s="94" t="inlineStr">
        <is>
          <t>qíngkuàng – tình hình / thông tin</t>
        </is>
      </c>
      <c r="E2863" s="94" t="inlineStr">
        <is>
          <t>23. 情况 qíngkuàng – tình hình / thông tin</t>
        </is>
      </c>
      <c r="F2863" s="115">
        <f>HYPERLINK("https://youglish.com/pronounce/情况/chinese","🔍")</f>
        <v/>
      </c>
    </row>
    <row r="2864" ht="28.5" customHeight="1" s="99">
      <c r="A2864" s="92" t="inlineStr">
        <is>
          <t>PDF-Từ vựng phỏng vấn _ HỌC BÁ CHINESE.pdf</t>
        </is>
      </c>
      <c r="B2864" s="93" t="inlineStr">
        <is>
          <t>45</t>
        </is>
      </c>
      <c r="C2864" s="92" t="inlineStr">
        <is>
          <t>有些情况我想了解一下</t>
        </is>
      </c>
      <c r="D2864" s="92" t="inlineStr">
        <is>
          <t>Có vài thông tin tôi muốn hiểu thêm.</t>
        </is>
      </c>
      <c r="E2864" s="92" t="inlineStr">
        <is>
          <t>有些情况我想了解一下。– Có vài thông tin tôi muốn hiểu thêm.</t>
        </is>
      </c>
      <c r="F2864" s="114">
        <f>HYPERLINK("https://youglish.com/pronounce/有些情况我想了解一下/chinese","🔍")</f>
        <v/>
      </c>
    </row>
    <row r="2865" ht="28.5" customHeight="1" s="99">
      <c r="A2865" s="94" t="inlineStr">
        <is>
          <t>PDF-Từ vựng phỏng vấn _ HỌC BÁ CHINESE.pdf</t>
        </is>
      </c>
      <c r="B2865" s="95" t="inlineStr">
        <is>
          <t>24</t>
        </is>
      </c>
      <c r="C2865" s="94" t="inlineStr">
        <is>
          <t>专科</t>
        </is>
      </c>
      <c r="D2865" s="94" t="inlineStr">
        <is>
          <t>zhuānkē – cao đẳng / chuyên khoa</t>
        </is>
      </c>
      <c r="E2865" s="94" t="inlineStr">
        <is>
          <t>24. 专科 zhuānkē – cao đẳng / chuyên khoa</t>
        </is>
      </c>
      <c r="F2865" s="115">
        <f>HYPERLINK("https://youglish.com/pronounce/专科/chinese","🔍")</f>
        <v/>
      </c>
    </row>
    <row r="2866" ht="28.5" customHeight="1" s="99">
      <c r="A2866" s="92" t="inlineStr">
        <is>
          <t>PDF-Từ vựng phỏng vấn _ HỌC BÁ CHINESE.pdf</t>
        </is>
      </c>
      <c r="B2866" s="93" t="inlineStr">
        <is>
          <t>47</t>
        </is>
      </c>
      <c r="C2866" s="92" t="inlineStr">
        <is>
          <t>我以前读过专科</t>
        </is>
      </c>
      <c r="D2866" s="92" t="inlineStr">
        <is>
          <t>Tôi trước đây học cao đẳng.</t>
        </is>
      </c>
      <c r="E2866" s="92" t="inlineStr">
        <is>
          <t>我以前读过专科。– Tôi trước đây học cao đẳng.</t>
        </is>
      </c>
      <c r="F2866" s="114">
        <f>HYPERLINK("https://youglish.com/pronounce/我以前读过专科/chinese","🔍")</f>
        <v/>
      </c>
    </row>
    <row r="2867" ht="28.5" customHeight="1" s="99">
      <c r="A2867" s="94" t="inlineStr">
        <is>
          <t>PDF-Từ vựng phỏng vấn _ HỌC BÁ CHINESE.pdf</t>
        </is>
      </c>
      <c r="B2867" s="95" t="inlineStr">
        <is>
          <t>25</t>
        </is>
      </c>
      <c r="C2867" s="94" t="inlineStr">
        <is>
          <t>继续教育</t>
        </is>
      </c>
      <c r="D2867" s="94" t="inlineStr">
        <is>
          <t>jìxù jiàoyù – học tiếp / đào tạo nâng cao</t>
        </is>
      </c>
      <c r="E2867" s="94" t="inlineStr">
        <is>
          <t>25. 继续教育 jìxù jiàoyù – học tiếp / đào tạo nâng cao</t>
        </is>
      </c>
      <c r="F2867" s="115">
        <f>HYPERLINK("https://youglish.com/pronounce/继续教育/chinese","🔍")</f>
        <v/>
      </c>
    </row>
    <row r="2868" ht="28.5" customHeight="1" s="99">
      <c r="A2868" s="92" t="inlineStr">
        <is>
          <t>PDF-Từ vựng phỏng vấn _ HỌC BÁ CHINESE.pdf</t>
        </is>
      </c>
      <c r="B2868" s="93" t="inlineStr">
        <is>
          <t>49</t>
        </is>
      </c>
      <c r="C2868" s="92" t="inlineStr">
        <is>
          <t>我在继续教育中心上课</t>
        </is>
      </c>
      <c r="D2868" s="92" t="inlineStr">
        <is>
          <t>Tôi học tại trung tâm đào tạo nâng cao.</t>
        </is>
      </c>
      <c r="E2868" s="92" t="inlineStr">
        <is>
          <t>我在继续教育中心上课。– Tôi học tại trung tâm đào tạo nâng cao.</t>
        </is>
      </c>
      <c r="F2868" s="114">
        <f>HYPERLINK("https://youglish.com/pronounce/我在继续教育中心上课/chinese","🔍")</f>
        <v/>
      </c>
    </row>
    <row r="2869" ht="28.5" customHeight="1" s="99">
      <c r="A2869" s="94" t="inlineStr">
        <is>
          <t>PDF-Từ vựng phỏng vấn _ HỌC BÁ CHINESE.pdf</t>
        </is>
      </c>
      <c r="B2869" s="95" t="inlineStr">
        <is>
          <t>26</t>
        </is>
      </c>
      <c r="C2869" s="94" t="inlineStr">
        <is>
          <t>研究生</t>
        </is>
      </c>
      <c r="D2869" s="94" t="inlineStr">
        <is>
          <t>yánjiūshēng – học sau đại học</t>
        </is>
      </c>
      <c r="E2869" s="94" t="inlineStr">
        <is>
          <t>26. 研究生 yánjiūshēng – học sau đại học</t>
        </is>
      </c>
      <c r="F2869" s="115">
        <f>HYPERLINK("https://youglish.com/pronounce/研究生/chinese","🔍")</f>
        <v/>
      </c>
    </row>
    <row r="2870" ht="28.5" customHeight="1" s="99">
      <c r="A2870" s="92" t="inlineStr">
        <is>
          <t>PDF-Từ vựng phỏng vấn _ HỌC BÁ CHINESE.pdf</t>
        </is>
      </c>
      <c r="B2870" s="93" t="inlineStr">
        <is>
          <t>51</t>
        </is>
      </c>
      <c r="C2870" s="92" t="inlineStr">
        <is>
          <t>她现在是法律研究生</t>
        </is>
      </c>
      <c r="D2870" s="92" t="inlineStr">
        <is>
          <t>Cô ấy hiện là học viên cao học ngành luật.</t>
        </is>
      </c>
      <c r="E2870" s="92" t="inlineStr">
        <is>
          <t>她现在是法律研究生。– Cô ấy hiện là học viên cao học ngành luật.</t>
        </is>
      </c>
      <c r="F2870" s="114">
        <f>HYPERLINK("https://youglish.com/pronounce/她现在是法律研究生/chinese","🔍")</f>
        <v/>
      </c>
    </row>
    <row r="2871" ht="28.5" customHeight="1" s="99">
      <c r="A2871" s="94" t="inlineStr">
        <is>
          <t>PDF-Từ vựng phỏng vấn _ HỌC BÁ CHINESE.pdf</t>
        </is>
      </c>
      <c r="B2871" s="95" t="inlineStr">
        <is>
          <t>27</t>
        </is>
      </c>
      <c r="C2871" s="94" t="inlineStr">
        <is>
          <t>学历</t>
        </is>
      </c>
      <c r="D2871" s="94" t="inlineStr">
        <is>
          <t>xuélì – trình độ học vấn</t>
        </is>
      </c>
      <c r="E2871" s="94" t="inlineStr">
        <is>
          <t>27. 学历 xuélì – trình độ học vấn</t>
        </is>
      </c>
      <c r="F2871" s="115">
        <f>HYPERLINK("https://youglish.com/pronounce/学历/chinese","🔍")</f>
        <v/>
      </c>
    </row>
    <row r="2872" ht="28.5" customHeight="1" s="99">
      <c r="A2872" s="92" t="inlineStr">
        <is>
          <t>PDF-Từ vựng phỏng vấn _ HỌC BÁ CHINESE.pdf</t>
        </is>
      </c>
      <c r="B2872" s="93" t="inlineStr">
        <is>
          <t>53</t>
        </is>
      </c>
      <c r="C2872" s="92" t="inlineStr">
        <is>
          <t>他的学历很高</t>
        </is>
      </c>
      <c r="D2872" s="92" t="inlineStr">
        <is>
          <t>Trình độ học vấn của anh ấy rất cao.</t>
        </is>
      </c>
      <c r="E2872" s="92" t="inlineStr">
        <is>
          <t>他的学历很高。– Trình độ học vấn của anh ấy rất cao.</t>
        </is>
      </c>
      <c r="F2872" s="114">
        <f>HYPERLINK("https://youglish.com/pronounce/他的学历很高/chinese","🔍")</f>
        <v/>
      </c>
    </row>
    <row r="2873" ht="28.5" customHeight="1" s="99">
      <c r="A2873" s="94" t="inlineStr">
        <is>
          <t>PDF-Từ vựng phỏng vấn _ HỌC BÁ CHINESE.pdf</t>
        </is>
      </c>
      <c r="B2873" s="95" t="inlineStr">
        <is>
          <t>54</t>
        </is>
      </c>
      <c r="C2873" s="94" t="inlineStr">
        <is>
          <t>申请职位</t>
        </is>
      </c>
      <c r="D2873" s="94" t="inlineStr">
        <is>
          <t>Bài 2申请职位</t>
        </is>
      </c>
      <c r="E2873" s="94" t="inlineStr">
        <is>
          <t>Bài 2申请职位</t>
        </is>
      </c>
      <c r="F2873" s="115">
        <f>HYPERLINK("https://youglish.com/pronounce/申请职位/chinese","🔍")</f>
        <v/>
      </c>
    </row>
    <row r="2874" ht="28.5" customHeight="1" s="99">
      <c r="A2874" s="92" t="inlineStr">
        <is>
          <t>PDF-Từ vựng phỏng vấn _ HỌC BÁ CHINESE.pdf</t>
        </is>
      </c>
      <c r="B2874" s="93" t="inlineStr">
        <is>
          <t>1</t>
        </is>
      </c>
      <c r="C2874" s="92" t="inlineStr">
        <is>
          <t>录用</t>
        </is>
      </c>
      <c r="D2874" s="92" t="inlineStr">
        <is>
          <t>lùyòng – tuyển dụng</t>
        </is>
      </c>
      <c r="E2874" s="92" t="inlineStr">
        <is>
          <t>1. 录用 lùyòng – tuyển dụng</t>
        </is>
      </c>
      <c r="F2874" s="114">
        <f>HYPERLINK("https://youglish.com/pronounce/录用/chinese","🔍")</f>
        <v/>
      </c>
    </row>
    <row r="2875" ht="28.5" customHeight="1" s="99">
      <c r="A2875" s="94" t="inlineStr">
        <is>
          <t>PDF-Từ vựng phỏng vấn _ HỌC BÁ CHINESE.pdf</t>
        </is>
      </c>
      <c r="B2875" s="95" t="inlineStr">
        <is>
          <t>56</t>
        </is>
      </c>
      <c r="C2875" s="94" t="inlineStr">
        <is>
          <t>录用我会给公司带来新的价值</t>
        </is>
      </c>
      <c r="D2875" s="94" t="inlineStr">
        <is>
          <t>→ Tuyển dụng tôi sẽ mang lại giá trị mới cho công ty.</t>
        </is>
      </c>
      <c r="E2875" s="94" t="inlineStr">
        <is>
          <t>录用我会给公司带来新的价值。 → Tuyển dụng tôi sẽ mang lại giá trị mới cho công ty.</t>
        </is>
      </c>
      <c r="F2875" s="115">
        <f>HYPERLINK("https://youglish.com/pronounce/录用我会给公司带来新的价值/chinese","🔍")</f>
        <v/>
      </c>
    </row>
    <row r="2876" ht="28.5" customHeight="1" s="99">
      <c r="A2876" s="92" t="inlineStr">
        <is>
          <t>PDF-Từ vựng phỏng vấn _ HỌC BÁ CHINESE.pdf</t>
        </is>
      </c>
      <c r="B2876" s="93" t="inlineStr">
        <is>
          <t>2</t>
        </is>
      </c>
      <c r="C2876" s="92" t="inlineStr">
        <is>
          <t>国际贸易</t>
        </is>
      </c>
      <c r="D2876" s="92" t="inlineStr">
        <is>
          <t>guójì màoyì – thương mại quốc tế</t>
        </is>
      </c>
      <c r="E2876" s="92" t="inlineStr">
        <is>
          <t>2. 国际贸易 guójì màoyì – thương mại quốc tế</t>
        </is>
      </c>
      <c r="F2876" s="114">
        <f>HYPERLINK("https://youglish.com/pronounce/国际贸易/chinese","🔍")</f>
        <v/>
      </c>
    </row>
    <row r="2877" ht="28.5" customHeight="1" s="99">
      <c r="A2877" s="94" t="inlineStr">
        <is>
          <t>PDF-Từ vựng phỏng vấn _ HỌC BÁ CHINESE.pdf</t>
        </is>
      </c>
      <c r="B2877" s="95" t="inlineStr">
        <is>
          <t>58</t>
        </is>
      </c>
      <c r="C2877" s="94" t="inlineStr">
        <is>
          <t>我一直从事国际贸易工作</t>
        </is>
      </c>
      <c r="D2877" s="94" t="inlineStr">
        <is>
          <t>→ Tôi luôn làm việc trong lĩnh vực thương mại quốc tế.</t>
        </is>
      </c>
      <c r="E2877" s="94" t="inlineStr">
        <is>
          <t>我一直从事国际贸易工作。 → Tôi luôn làm việc trong lĩnh vực thương mại quốc tế.</t>
        </is>
      </c>
      <c r="F2877" s="115">
        <f>HYPERLINK("https://youglish.com/pronounce/我一直从事国际贸易工作/chinese","🔍")</f>
        <v/>
      </c>
    </row>
    <row r="2878" ht="28.5" customHeight="1" s="99">
      <c r="A2878" s="92" t="inlineStr">
        <is>
          <t>PDF-Từ vựng phỏng vấn _ HỌC BÁ CHINESE.pdf</t>
        </is>
      </c>
      <c r="B2878" s="93" t="inlineStr">
        <is>
          <t>3</t>
        </is>
      </c>
      <c r="C2878" s="92" t="inlineStr">
        <is>
          <t>成绩</t>
        </is>
      </c>
      <c r="D2878" s="92" t="inlineStr">
        <is>
          <t>chéngjì – thành tích</t>
        </is>
      </c>
      <c r="E2878" s="92" t="inlineStr">
        <is>
          <t>3. 成绩 chéngjì – thành tích</t>
        </is>
      </c>
      <c r="F2878" s="114">
        <f>HYPERLINK("https://youglish.com/pronounce/成绩/chinese","🔍")</f>
        <v/>
      </c>
    </row>
    <row r="2879" ht="28.5" customHeight="1" s="99">
      <c r="A2879" s="94" t="inlineStr">
        <is>
          <t>PDF-Từ vựng phỏng vấn _ HỌC BÁ CHINESE.pdf</t>
        </is>
      </c>
      <c r="B2879" s="95" t="inlineStr">
        <is>
          <t>60</t>
        </is>
      </c>
      <c r="C2879" s="94" t="inlineStr">
        <is>
          <t>公司在国际贸易方面的成绩很突出</t>
        </is>
      </c>
      <c r="D2879" s="94" t="inlineStr">
        <is>
          <t>→ Công ty có thành tích nổi bật trong thương mại quốc tế.</t>
        </is>
      </c>
      <c r="E2879" s="94" t="inlineStr">
        <is>
          <t>公司在国际贸易方面的成绩很突出。 → Công ty có thành tích nổi bật trong thương mại quốc tế.</t>
        </is>
      </c>
      <c r="F2879" s="115">
        <f>HYPERLINK("https://youglish.com/pronounce/公司在国际贸易方面的成绩很突出/chinese","🔍")</f>
        <v/>
      </c>
    </row>
    <row r="2880" ht="28.5" customHeight="1" s="99">
      <c r="A2880" s="92" t="inlineStr">
        <is>
          <t>PDF-Từ vựng phỏng vấn _ HỌC BÁ CHINESE.pdf</t>
        </is>
      </c>
      <c r="B2880" s="93" t="inlineStr">
        <is>
          <t>4</t>
        </is>
      </c>
      <c r="C2880" s="92" t="inlineStr">
        <is>
          <t>经营业务</t>
        </is>
      </c>
      <c r="D2880" s="92" t="inlineStr">
        <is>
          <t>jīngyíng yèwù – nghiệp vụ kinh doanh</t>
        </is>
      </c>
      <c r="E2880" s="92" t="inlineStr">
        <is>
          <t>4. 经营业务 jīngyíng yèwù – nghiệp vụ kinh doanh</t>
        </is>
      </c>
      <c r="F2880" s="114">
        <f>HYPERLINK("https://youglish.com/pronounce/经营业务/chinese","🔍")</f>
        <v/>
      </c>
    </row>
    <row r="2881" ht="28.5" customHeight="1" s="99">
      <c r="A2881" s="94" t="inlineStr">
        <is>
          <t>PDF-Từ vựng phỏng vấn _ HỌC BÁ CHINESE.pdf</t>
        </is>
      </c>
      <c r="B2881" s="95" t="inlineStr">
        <is>
          <t>62</t>
        </is>
      </c>
      <c r="C2881" s="94" t="inlineStr">
        <is>
          <t>我对公司的经营业务十分熟悉</t>
        </is>
      </c>
      <c r="D2881" s="94" t="inlineStr">
        <is>
          <t>→ Tôi rất quen thuộc với nghiệp vụ kinh doanh của công ty.</t>
        </is>
      </c>
      <c r="E2881" s="94" t="inlineStr">
        <is>
          <t>我对公司的经营业务十分熟悉。 → Tôi rất quen thuộc với nghiệp vụ kinh doanh của công ty.</t>
        </is>
      </c>
      <c r="F2881" s="115">
        <f>HYPERLINK("https://youglish.com/pronounce/我对公司的经营业务十分熟悉/chinese","🔍")</f>
        <v/>
      </c>
    </row>
    <row r="2882" ht="28.5" customHeight="1" s="99">
      <c r="A2882" s="92" t="inlineStr">
        <is>
          <t>PDF-Từ vựng phỏng vấn _ HỌC BÁ CHINESE.pdf</t>
        </is>
      </c>
      <c r="B2882" s="93" t="inlineStr">
        <is>
          <t>5</t>
        </is>
      </c>
      <c r="C2882" s="92" t="inlineStr">
        <is>
          <t>申请职位</t>
        </is>
      </c>
      <c r="D2882" s="92" t="inlineStr">
        <is>
          <t>shēnqǐng zhíwèi – ứng tuyển vị trí</t>
        </is>
      </c>
      <c r="E2882" s="92" t="inlineStr">
        <is>
          <t>5. 申请职位 shēnqǐng zhíwèi – ứng tuyển vị trí</t>
        </is>
      </c>
      <c r="F2882" s="114">
        <f>HYPERLINK("https://youglish.com/pronounce/申请职位/chinese","🔍")</f>
        <v/>
      </c>
    </row>
    <row r="2883" ht="28.5" customHeight="1" s="99">
      <c r="A2883" s="94" t="inlineStr">
        <is>
          <t>PDF-Từ vựng phỏng vấn _ HỌC BÁ CHINESE.pdf</t>
        </is>
      </c>
      <c r="B2883" s="95" t="inlineStr">
        <is>
          <t>64</t>
        </is>
      </c>
      <c r="C2883" s="94" t="inlineStr">
        <is>
          <t>我准备申请业务部经理的职位</t>
        </is>
      </c>
      <c r="D2883" s="94" t="inlineStr">
        <is>
          <t>→ Tôi chuẩn bị ứng tuyển vị trí quản lý bộ phận kinh doanh.</t>
        </is>
      </c>
      <c r="E2883" s="94" t="inlineStr">
        <is>
          <t>我准备申请业务部经理的职位。 → Tôi chuẩn bị ứng tuyển vị trí quản lý bộ phận kinh doanh.</t>
        </is>
      </c>
      <c r="F2883" s="115">
        <f>HYPERLINK("https://youglish.com/pronounce/我准备申请业务部经理的职位/chinese","🔍")</f>
        <v/>
      </c>
    </row>
    <row r="2884" ht="28.5" customHeight="1" s="99">
      <c r="A2884" s="92" t="inlineStr">
        <is>
          <t>PDF-Từ vựng phỏng vấn _ HỌC BÁ CHINESE.pdf</t>
        </is>
      </c>
      <c r="B2884" s="93" t="inlineStr">
        <is>
          <t>6</t>
        </is>
      </c>
      <c r="C2884" s="92" t="inlineStr">
        <is>
          <t>业务部</t>
        </is>
      </c>
      <c r="D2884" s="92" t="inlineStr">
        <is>
          <t>yèwù bù – bộ phận kinh doanh</t>
        </is>
      </c>
      <c r="E2884" s="92" t="inlineStr">
        <is>
          <t>6. 业务部 yèwù bù – bộ phận kinh doanh</t>
        </is>
      </c>
      <c r="F2884" s="114">
        <f>HYPERLINK("https://youglish.com/pronounce/业务部/chinese","🔍")</f>
        <v/>
      </c>
    </row>
    <row r="2885" ht="28.5" customHeight="1" s="99">
      <c r="A2885" s="94" t="inlineStr">
        <is>
          <t>PDF-Từ vựng phỏng vấn _ HỌC BÁ CHINESE.pdf</t>
        </is>
      </c>
      <c r="B2885" s="95" t="inlineStr">
        <is>
          <t>66</t>
        </is>
      </c>
      <c r="C2885" s="94" t="inlineStr">
        <is>
          <t>业务部需要有经验的领导者</t>
        </is>
      </c>
      <c r="D2885" s="94" t="inlineStr">
        <is>
          <t>→ Bộ phận kinh doanh cần người lãnh đạo có kinh nghiệm.</t>
        </is>
      </c>
      <c r="E2885" s="94" t="inlineStr">
        <is>
          <t>业务部需要有经验的领导者。 → Bộ phận kinh doanh cần người lãnh đạo có kinh nghiệm.</t>
        </is>
      </c>
      <c r="F2885" s="115">
        <f>HYPERLINK("https://youglish.com/pronounce/业务部需要有经验的领导者/chinese","🔍")</f>
        <v/>
      </c>
    </row>
    <row r="2886" ht="28.5" customHeight="1" s="99">
      <c r="A2886" s="92" t="inlineStr">
        <is>
          <t>PDF-Từ vựng phỏng vấn _ HỌC BÁ CHINESE.pdf</t>
        </is>
      </c>
      <c r="B2886" s="93" t="inlineStr">
        <is>
          <t>7</t>
        </is>
      </c>
      <c r="C2886" s="92" t="inlineStr">
        <is>
          <t>经理</t>
        </is>
      </c>
      <c r="D2886" s="92" t="inlineStr">
        <is>
          <t>jīnglǐ – quản lý / giám đốc</t>
        </is>
      </c>
      <c r="E2886" s="92" t="inlineStr">
        <is>
          <t>7. 经理 jīnglǐ – quản lý / giám đốc</t>
        </is>
      </c>
      <c r="F2886" s="114">
        <f>HYPERLINK("https://youglish.com/pronounce/经理/chinese","🔍")</f>
        <v/>
      </c>
    </row>
    <row r="2887" ht="28.5" customHeight="1" s="99">
      <c r="A2887" s="94" t="inlineStr">
        <is>
          <t>PDF-Từ vựng phỏng vấn _ HỌC BÁ CHINESE.pdf</t>
        </is>
      </c>
      <c r="B2887" s="95" t="inlineStr">
        <is>
          <t>68</t>
        </is>
      </c>
      <c r="C2887" s="94" t="inlineStr">
        <is>
          <t>她是销售部的经理</t>
        </is>
      </c>
      <c r="D2887" s="94" t="inlineStr">
        <is>
          <t>→ Cô ấy là quản lý bộ phận bán hàng.</t>
        </is>
      </c>
      <c r="E2887" s="94" t="inlineStr">
        <is>
          <t>她是销售部的经理。 → Cô ấy là quản lý bộ phận bán hàng.</t>
        </is>
      </c>
      <c r="F2887" s="115">
        <f>HYPERLINK("https://youglish.com/pronounce/她是销售部的经理/chinese","🔍")</f>
        <v/>
      </c>
    </row>
    <row r="2888" ht="28.5" customHeight="1" s="99">
      <c r="A2888" s="92" t="inlineStr">
        <is>
          <t>PDF-Từ vựng phỏng vấn _ HỌC BÁ CHINESE.pdf</t>
        </is>
      </c>
      <c r="B2888" s="93" t="inlineStr">
        <is>
          <t>8</t>
        </is>
      </c>
      <c r="C2888" s="92" t="inlineStr">
        <is>
          <t>设想</t>
        </is>
      </c>
      <c r="D2888" s="92" t="inlineStr">
        <is>
          <t>shèxiǎng – kế hoạch/ý tưởng dự kiến</t>
        </is>
      </c>
      <c r="E2888" s="92" t="inlineStr">
        <is>
          <t>8. 设想 shèxiǎng – kế hoạch/ý tưởng dự kiến</t>
        </is>
      </c>
      <c r="F2888" s="114">
        <f>HYPERLINK("https://youglish.com/pronounce/设想/chinese","🔍")</f>
        <v/>
      </c>
    </row>
    <row r="2889" ht="28.5" customHeight="1" s="99">
      <c r="A2889" s="94" t="inlineStr">
        <is>
          <t>PDF-Từ vựng phỏng vấn _ HỌC BÁ CHINESE.pdf</t>
        </is>
      </c>
      <c r="B2889" s="95" t="inlineStr">
        <is>
          <t>70</t>
        </is>
      </c>
      <c r="C2889" s="94" t="inlineStr">
        <is>
          <t>我对今后的工作有具体的设想</t>
        </is>
      </c>
      <c r="D2889" s="94" t="inlineStr">
        <is>
          <t>→ Tôi có kế hoạch cụ thể cho công việc sắp tới.</t>
        </is>
      </c>
      <c r="E2889" s="94" t="inlineStr">
        <is>
          <t>我对今后的工作有具体的设想。 → Tôi có kế hoạch cụ thể cho công việc sắp tới.</t>
        </is>
      </c>
      <c r="F2889" s="115">
        <f>HYPERLINK("https://youglish.com/pronounce/我对今后的工作有具体的设想/chinese","🔍")</f>
        <v/>
      </c>
    </row>
    <row r="2890" ht="28.5" customHeight="1" s="99">
      <c r="A2890" s="92" t="inlineStr">
        <is>
          <t>PDF-Từ vựng phỏng vấn _ HỌC BÁ CHINESE.pdf</t>
        </is>
      </c>
      <c r="B2890" s="93" t="inlineStr">
        <is>
          <t>9</t>
        </is>
      </c>
      <c r="C2890" s="92" t="inlineStr">
        <is>
          <t>市场结构</t>
        </is>
      </c>
      <c r="D2890" s="92" t="inlineStr">
        <is>
          <t>shìchǎng jiégòu – cơ cấu thị trường</t>
        </is>
      </c>
      <c r="E2890" s="92" t="inlineStr">
        <is>
          <t>9. 市场结构 shìchǎng jiégòu – cơ cấu thị trường</t>
        </is>
      </c>
      <c r="F2890" s="114">
        <f>HYPERLINK("https://youglish.com/pronounce/市场结构/chinese","🔍")</f>
        <v/>
      </c>
    </row>
    <row r="2891" ht="28.5" customHeight="1" s="99">
      <c r="A2891" s="94" t="inlineStr">
        <is>
          <t>PDF-Từ vựng phỏng vấn _ HỌC BÁ CHINESE.pdf</t>
        </is>
      </c>
      <c r="B2891" s="95" t="inlineStr">
        <is>
          <t>72</t>
        </is>
      </c>
      <c r="C2891" s="94" t="inlineStr">
        <is>
          <t>我们需要调整市场结构</t>
        </is>
      </c>
      <c r="D2891" s="94" t="inlineStr">
        <is>
          <t>→ Chúng tôi cần điều chỉnh cơ cấu thị trường.</t>
        </is>
      </c>
      <c r="E2891" s="94" t="inlineStr">
        <is>
          <t>我们需要调整市场结构。 → Chúng tôi cần điều chỉnh cơ cấu thị trường.</t>
        </is>
      </c>
      <c r="F2891" s="115">
        <f>HYPERLINK("https://youglish.com/pronounce/我们需要调整市场结构/chinese","🔍")</f>
        <v/>
      </c>
    </row>
    <row r="2892" ht="28.5" customHeight="1" s="99">
      <c r="A2892" s="92" t="inlineStr">
        <is>
          <t>PDF-Từ vựng phỏng vấn _ HỌC BÁ CHINESE.pdf</t>
        </is>
      </c>
      <c r="B2892" s="93" t="inlineStr">
        <is>
          <t>10</t>
        </is>
      </c>
      <c r="C2892" s="92" t="inlineStr">
        <is>
          <t>市场份额</t>
        </is>
      </c>
      <c r="D2892" s="92" t="inlineStr">
        <is>
          <t>shìchǎng fèn'é – thị phần</t>
        </is>
      </c>
      <c r="E2892" s="92" t="inlineStr">
        <is>
          <t>10. 市场份额 shìchǎng fèn'é – thị phần</t>
        </is>
      </c>
      <c r="F2892" s="114">
        <f>HYPERLINK("https://youglish.com/pronounce/市场份额/chinese","🔍")</f>
        <v/>
      </c>
    </row>
    <row r="2893" ht="28.5" customHeight="1" s="99">
      <c r="A2893" s="94" t="inlineStr">
        <is>
          <t>PDF-Từ vựng phỏng vấn _ HỌC BÁ CHINESE.pdf</t>
        </is>
      </c>
      <c r="B2893" s="95" t="inlineStr">
        <is>
          <t>74</t>
        </is>
      </c>
      <c r="C2893" s="94" t="inlineStr">
        <is>
          <t>今年我们的市场份额大幅增加</t>
        </is>
      </c>
      <c r="D2893" s="94" t="inlineStr">
        <is>
          <t>→ Thị phần của chúng tôi năm nay tăng mạnh.</t>
        </is>
      </c>
      <c r="E2893" s="94" t="inlineStr">
        <is>
          <t>今年我们的市场份额大幅增加。 → Thị phần của chúng tôi năm nay tăng mạnh.</t>
        </is>
      </c>
      <c r="F2893" s="115">
        <f>HYPERLINK("https://youglish.com/pronounce/今年我们的市场份额大幅增加/chinese","🔍")</f>
        <v/>
      </c>
    </row>
    <row r="2894" ht="28.5" customHeight="1" s="99">
      <c r="A2894" s="92" t="inlineStr">
        <is>
          <t>PDF-Từ vựng phỏng vấn _ HỌC BÁ CHINESE.pdf</t>
        </is>
      </c>
      <c r="B2894" s="93" t="inlineStr">
        <is>
          <t>11</t>
        </is>
      </c>
      <c r="C2894" s="92" t="inlineStr">
        <is>
          <t>销售市场</t>
        </is>
      </c>
      <c r="D2894" s="92" t="inlineStr">
        <is>
          <t>xiāoshòu shìchǎng – thị trường tiêu thụ</t>
        </is>
      </c>
      <c r="E2894" s="92" t="inlineStr">
        <is>
          <t>11. 销售市场 xiāoshòu shìchǎng – thị trường tiêu thụ</t>
        </is>
      </c>
      <c r="F2894" s="114">
        <f>HYPERLINK("https://youglish.com/pronounce/销售市场/chinese","🔍")</f>
        <v/>
      </c>
    </row>
    <row r="2895" ht="28.5" customHeight="1" s="99">
      <c r="A2895" s="94" t="inlineStr">
        <is>
          <t>PDF-Từ vựng phỏng vấn _ HỌC BÁ CHINESE.pdf</t>
        </is>
      </c>
      <c r="B2895" s="95" t="inlineStr">
        <is>
          <t>76</t>
        </is>
      </c>
      <c r="C2895" s="94" t="inlineStr">
        <is>
          <t>我们要从销售市场入手优化策略</t>
        </is>
      </c>
      <c r="D2895" s="94" t="inlineStr">
        <is>
          <t>→ Chúng ta cần bắt đầu từ thị trường tiêu thụ để tối ưu chiến lược.</t>
        </is>
      </c>
      <c r="E2895" s="94" t="inlineStr">
        <is>
          <t>我们要从销售市场入手优化策略。 → Chúng ta cần bắt đầu từ thị trường tiêu thụ để tối ưu chiến lược.</t>
        </is>
      </c>
      <c r="F2895" s="115">
        <f>HYPERLINK("https://youglish.com/pronounce/我们要从销售市场入手优化策略/chinese","🔍")</f>
        <v/>
      </c>
    </row>
    <row r="2896" ht="28.5" customHeight="1" s="99">
      <c r="A2896" s="92" t="inlineStr">
        <is>
          <t>PDF-Từ vựng phỏng vấn _ HỌC BÁ CHINESE.pdf</t>
        </is>
      </c>
      <c r="B2896" s="93" t="inlineStr">
        <is>
          <t>12</t>
        </is>
      </c>
      <c r="C2896" s="92" t="inlineStr">
        <is>
          <t>成功经验</t>
        </is>
      </c>
      <c r="D2896" s="92" t="inlineStr">
        <is>
          <t>chénggōng jīngyàn – kinh nghiệm thành công</t>
        </is>
      </c>
      <c r="E2896" s="92" t="inlineStr">
        <is>
          <t>12. 成功经验 chénggōng jīngyàn – kinh nghiệm thành công</t>
        </is>
      </c>
      <c r="F2896" s="114">
        <f>HYPERLINK("https://youglish.com/pronounce/成功经验/chinese","🔍")</f>
        <v/>
      </c>
    </row>
    <row r="2897" ht="28.5" customHeight="1" s="99">
      <c r="A2897" s="94" t="inlineStr">
        <is>
          <t>PDF-Từ vựng phỏng vấn _ HỌC BÁ CHINESE.pdf</t>
        </is>
      </c>
      <c r="B2897" s="95" t="inlineStr">
        <is>
          <t>78</t>
        </is>
      </c>
      <c r="C2897" s="94" t="inlineStr">
        <is>
          <t>我有过一些市场推广的成功经验</t>
        </is>
      </c>
      <c r="D2897" s="94" t="inlineStr">
        <is>
          <t>→ Tôi có vài kinh nghiệm thành công trong quảng bá thị trường.</t>
        </is>
      </c>
      <c r="E2897" s="94" t="inlineStr">
        <is>
          <t>我有过一些市场推广的成功经验。 → Tôi có vài kinh nghiệm thành công trong quảng bá thị trường.</t>
        </is>
      </c>
      <c r="F2897" s="115">
        <f>HYPERLINK("https://youglish.com/pronounce/我有过一些市场推广的成功经验/chinese","🔍")</f>
        <v/>
      </c>
    </row>
    <row r="2898" ht="28.5" customHeight="1" s="99">
      <c r="A2898" s="92" t="inlineStr">
        <is>
          <t>PDF-Từ vựng phỏng vấn _ HỌC BÁ CHINESE.pdf</t>
        </is>
      </c>
      <c r="B2898" s="93" t="inlineStr">
        <is>
          <t>13</t>
        </is>
      </c>
      <c r="C2898" s="92" t="inlineStr">
        <is>
          <t>效益</t>
        </is>
      </c>
      <c r="D2898" s="92" t="inlineStr">
        <is>
          <t>xiàoyì – hiệu quả / lợi ích</t>
        </is>
      </c>
      <c r="E2898" s="92" t="inlineStr">
        <is>
          <t>13. 效益 xiàoyì – hiệu quả / lợi ích</t>
        </is>
      </c>
      <c r="F2898" s="114">
        <f>HYPERLINK("https://youglish.com/pronounce/效益/chinese","🔍")</f>
        <v/>
      </c>
    </row>
    <row r="2899" ht="28.5" customHeight="1" s="99">
      <c r="A2899" s="94" t="inlineStr">
        <is>
          <t>PDF-Từ vựng phỏng vấn _ HỌC BÁ CHINESE.pdf</t>
        </is>
      </c>
      <c r="B2899" s="95" t="inlineStr">
        <is>
          <t>80</t>
        </is>
      </c>
      <c r="C2899" s="94" t="inlineStr">
        <is>
          <t>我的方案为公司创造了很好的效益</t>
        </is>
      </c>
      <c r="D2899" s="94" t="inlineStr">
        <is>
          <t>→ Kế hoạch của tôi mang lại hiệu quả tốt cho công ty.</t>
        </is>
      </c>
      <c r="E2899" s="94" t="inlineStr">
        <is>
          <t>我的方案为公司创造了很好的效益。 → Kế hoạch của tôi mang lại hiệu quả tốt cho công ty.</t>
        </is>
      </c>
      <c r="F2899" s="115">
        <f>HYPERLINK("https://youglish.com/pronounce/我的方案为公司创造了很好的效益/chinese","🔍")</f>
        <v/>
      </c>
    </row>
    <row r="2900" ht="28.5" customHeight="1" s="99">
      <c r="A2900" s="92" t="inlineStr">
        <is>
          <t>PDF-Từ vựng phỏng vấn _ HỌC BÁ CHINESE.pdf</t>
        </is>
      </c>
      <c r="B2900" s="93" t="inlineStr">
        <is>
          <t>14</t>
        </is>
      </c>
      <c r="C2900" s="92" t="inlineStr">
        <is>
          <t>个人简历</t>
        </is>
      </c>
      <c r="D2900" s="92" t="inlineStr">
        <is>
          <t>gèrén jiǎnlì – sơ yếu lý lịch</t>
        </is>
      </c>
      <c r="E2900" s="92" t="inlineStr">
        <is>
          <t>14. 个人简历 gèrén jiǎnlì – sơ yếu lý lịch</t>
        </is>
      </c>
      <c r="F2900" s="114">
        <f>HYPERLINK("https://youglish.com/pronounce/个人简历/chinese","🔍")</f>
        <v/>
      </c>
    </row>
    <row r="2901" ht="28.5" customHeight="1" s="99">
      <c r="A2901" s="94" t="inlineStr">
        <is>
          <t>PDF-Từ vựng phỏng vấn _ HỌC BÁ CHINESE.pdf</t>
        </is>
      </c>
      <c r="B2901" s="95" t="inlineStr">
        <is>
          <t>82</t>
        </is>
      </c>
      <c r="C2901" s="94" t="inlineStr">
        <is>
          <t>这一点我们在你的个人简历里看到了</t>
        </is>
      </c>
      <c r="D2901" s="94" t="inlineStr">
        <is>
          <t>→ Điều này chúng tôi đã thấy trong CV của bạn.</t>
        </is>
      </c>
      <c r="E2901" s="94" t="inlineStr">
        <is>
          <t>这一点我们在你的个人简历里看到了。 → Điều này chúng tôi đã thấy trong CV của bạn.</t>
        </is>
      </c>
      <c r="F2901" s="115">
        <f>HYPERLINK("https://youglish.com/pronounce/这一点我们在你的个人简历里看到了/chinese","🔍")</f>
        <v/>
      </c>
    </row>
    <row r="2902" ht="28.5" customHeight="1" s="99">
      <c r="A2902" s="92" t="inlineStr">
        <is>
          <t>PDF-Từ vựng phỏng vấn _ HỌC BÁ CHINESE.pdf</t>
        </is>
      </c>
      <c r="B2902" s="93" t="inlineStr">
        <is>
          <t>15</t>
        </is>
      </c>
      <c r="C2902" s="92" t="inlineStr">
        <is>
          <t>信任</t>
        </is>
      </c>
      <c r="D2902" s="92" t="inlineStr">
        <is>
          <t>xìnrèn – tin tưởng</t>
        </is>
      </c>
      <c r="E2902" s="92" t="inlineStr">
        <is>
          <t>15. 信任 xìnrèn – tin tưởng</t>
        </is>
      </c>
      <c r="F2902" s="114">
        <f>HYPERLINK("https://youglish.com/pronounce/信任/chinese","🔍")</f>
        <v/>
      </c>
    </row>
    <row r="2903" ht="28.5" customHeight="1" s="99">
      <c r="A2903" s="94" t="inlineStr">
        <is>
          <t>PDF-Từ vựng phỏng vấn _ HỌC BÁ CHINESE.pdf</t>
        </is>
      </c>
      <c r="B2903" s="95" t="inlineStr">
        <is>
          <t>84</t>
        </is>
      </c>
      <c r="C2903" s="94" t="inlineStr">
        <is>
          <t>谢谢你的信任</t>
        </is>
      </c>
      <c r="D2903" s="94" t="inlineStr">
        <is>
          <t>→ Cảm ơn sự tin tưởng của bạn.</t>
        </is>
      </c>
      <c r="E2903" s="94" t="inlineStr">
        <is>
          <t>谢谢你的信任。 → Cảm ơn sự tin tưởng của bạn.</t>
        </is>
      </c>
      <c r="F2903" s="115">
        <f>HYPERLINK("https://youglish.com/pronounce/谢谢你的信任/chinese","🔍")</f>
        <v/>
      </c>
    </row>
    <row r="2904" ht="28.5" customHeight="1" s="99">
      <c r="A2904" s="92" t="inlineStr">
        <is>
          <t>PDF-Từ vựng phỏng vấn _ HỌC BÁ CHINESE.pdf</t>
        </is>
      </c>
      <c r="B2904" s="93" t="inlineStr">
        <is>
          <t>16</t>
        </is>
      </c>
      <c r="C2904" s="92" t="inlineStr">
        <is>
          <t>突出</t>
        </is>
      </c>
      <c r="D2904" s="92" t="inlineStr">
        <is>
          <t>tūchū – nổi bật</t>
        </is>
      </c>
      <c r="E2904" s="92" t="inlineStr">
        <is>
          <t>16. 突出 tūchū – nổi bật</t>
        </is>
      </c>
      <c r="F2904" s="114">
        <f>HYPERLINK("https://youglish.com/pronounce/突出/chinese","🔍")</f>
        <v/>
      </c>
    </row>
    <row r="2905" ht="28.5" customHeight="1" s="99">
      <c r="A2905" s="94" t="inlineStr">
        <is>
          <t>PDF-Từ vựng phỏng vấn _ HỌC BÁ CHINESE.pdf</t>
        </is>
      </c>
      <c r="B2905" s="95" t="inlineStr">
        <is>
          <t>86</t>
        </is>
      </c>
      <c r="C2905" s="94" t="inlineStr">
        <is>
          <t>公司在行业中的表现十分突出</t>
        </is>
      </c>
      <c r="D2905" s="94" t="inlineStr">
        <is>
          <t>→ Công ty có thành tích nổi bật trong ngành.</t>
        </is>
      </c>
      <c r="E2905" s="94" t="inlineStr">
        <is>
          <t>公司在行业中的表现十分突出。 → Công ty có thành tích nổi bật trong ngành.</t>
        </is>
      </c>
      <c r="F2905" s="115">
        <f>HYPERLINK("https://youglish.com/pronounce/公司在行业中的表现十分突出/chinese","🔍")</f>
        <v/>
      </c>
    </row>
    <row r="2906" ht="28.5" customHeight="1" s="99">
      <c r="A2906" s="92" t="inlineStr">
        <is>
          <t>PDF-Từ vựng phỏng vấn _ HỌC BÁ CHINESE.pdf</t>
        </is>
      </c>
      <c r="B2906" s="93" t="inlineStr">
        <is>
          <t>17</t>
        </is>
      </c>
      <c r="C2906" s="92" t="inlineStr">
        <is>
          <t>实习</t>
        </is>
      </c>
      <c r="D2906" s="92" t="inlineStr">
        <is>
          <t>shúxī – quen thuộc / thành thạo</t>
        </is>
      </c>
      <c r="E2906" s="92" t="inlineStr">
        <is>
          <t>17. 实习 shúxī – quen thuộc / thành thạo</t>
        </is>
      </c>
      <c r="F2906" s="114">
        <f>HYPERLINK("https://youglish.com/pronounce/实习/chinese","🔍")</f>
        <v/>
      </c>
    </row>
    <row r="2907" ht="28.5" customHeight="1" s="99">
      <c r="A2907" s="94" t="inlineStr">
        <is>
          <t>PDF-Từ vựng phỏng vấn _ HỌC BÁ CHINESE.pdf</t>
        </is>
      </c>
      <c r="B2907" s="95" t="inlineStr">
        <is>
          <t>88</t>
        </is>
      </c>
      <c r="C2907" s="94" t="inlineStr">
        <is>
          <t>我对业务流程非常实习</t>
        </is>
      </c>
      <c r="D2907" s="94" t="inlineStr">
        <is>
          <t>→ Tôi rất quen thuộc với quy trình nghiệp vụ.</t>
        </is>
      </c>
      <c r="E2907" s="94" t="inlineStr">
        <is>
          <t>我对业务流程非常实习。 → Tôi rất quen thuộc với quy trình nghiệp vụ.</t>
        </is>
      </c>
      <c r="F2907" s="115">
        <f>HYPERLINK("https://youglish.com/pronounce/我对业务流程非常实习/chinese","🔍")</f>
        <v/>
      </c>
    </row>
    <row r="2908" ht="28.5" customHeight="1" s="99">
      <c r="A2908" s="92" t="inlineStr">
        <is>
          <t>PDF-Từ vựng phỏng vấn _ HỌC BÁ CHINESE.pdf</t>
        </is>
      </c>
      <c r="B2908" s="93" t="inlineStr">
        <is>
          <t>18</t>
        </is>
      </c>
      <c r="C2908" s="92" t="inlineStr">
        <is>
          <t>销售方案</t>
        </is>
      </c>
      <c r="D2908" s="92" t="inlineStr">
        <is>
          <t>xiāoshòu fāng'àn – phương án kinh doanh/bán hàng</t>
        </is>
      </c>
      <c r="E2908" s="92" t="inlineStr">
        <is>
          <t>18. 销售方案 xiāoshòu fāng'àn – phương án kinh doanh/bán hàng</t>
        </is>
      </c>
      <c r="F2908" s="114">
        <f>HYPERLINK("https://youglish.com/pronounce/销售方案/chinese","🔍")</f>
        <v/>
      </c>
    </row>
    <row r="2909" ht="28.5" customHeight="1" s="99">
      <c r="A2909" s="94" t="inlineStr">
        <is>
          <t>PDF-Từ vựng phỏng vấn _ HỌC BÁ CHINESE.pdf</t>
        </is>
      </c>
      <c r="B2909" s="95" t="inlineStr">
        <is>
          <t>90</t>
        </is>
      </c>
      <c r="C2909" s="94" t="inlineStr">
        <is>
          <t>我的销售方案提高了公司收益</t>
        </is>
      </c>
      <c r="D2909" s="94" t="inlineStr">
        <is>
          <t>→ Phương án bán hàng của tôi tăng lợi nhuận cho công ty.</t>
        </is>
      </c>
      <c r="E2909" s="94" t="inlineStr">
        <is>
          <t>我的销售方案提高了公司收益。 → Phương án bán hàng của tôi tăng lợi nhuận cho công ty.</t>
        </is>
      </c>
      <c r="F2909" s="115">
        <f>HYPERLINK("https://youglish.com/pronounce/我的销售方案提高了公司收益/chinese","🔍")</f>
        <v/>
      </c>
    </row>
    <row r="2910" ht="28.5" customHeight="1" s="99">
      <c r="A2910" s="92" t="inlineStr">
        <is>
          <t>PDF-Từ vựng phỏng vấn _ HỌC BÁ CHINESE.pdf</t>
        </is>
      </c>
      <c r="B2910" s="93" t="inlineStr">
        <is>
          <t>19</t>
        </is>
      </c>
      <c r="C2910" s="92" t="inlineStr">
        <is>
          <t>创造</t>
        </is>
      </c>
      <c r="D2910" s="92" t="inlineStr">
        <is>
          <t>chuàngzào – tạo ra</t>
        </is>
      </c>
      <c r="E2910" s="92" t="inlineStr">
        <is>
          <t>19. 创造 chuàngzào – tạo ra</t>
        </is>
      </c>
      <c r="F2910" s="114">
        <f>HYPERLINK("https://youglish.com/pronounce/创造/chinese","🔍")</f>
        <v/>
      </c>
    </row>
    <row r="2911" ht="28.5" customHeight="1" s="99">
      <c r="A2911" s="94" t="inlineStr">
        <is>
          <t>PDF-Từ vựng phỏng vấn _ HỌC BÁ CHINESE.pdf</t>
        </is>
      </c>
      <c r="B2911" s="95" t="inlineStr">
        <is>
          <t>92</t>
        </is>
      </c>
      <c r="C2911" s="94" t="inlineStr">
        <is>
          <t>我们必须创造更高的价值</t>
        </is>
      </c>
      <c r="D2911" s="94" t="inlineStr">
        <is>
          <t>→ Chúng ta phải tạo ra giá trị cao hơn.</t>
        </is>
      </c>
      <c r="E2911" s="94" t="inlineStr">
        <is>
          <t>我们必须创造更高的价值。 → Chúng ta phải tạo ra giá trị cao hơn.</t>
        </is>
      </c>
      <c r="F2911" s="115">
        <f>HYPERLINK("https://youglish.com/pronounce/我们必须创造更高的价值/chinese","🔍")</f>
        <v/>
      </c>
    </row>
    <row r="2912" ht="28.5" customHeight="1" s="99">
      <c r="A2912" s="92" t="inlineStr">
        <is>
          <t>PDF-Từ vựng phỏng vấn _ HỌC BÁ CHINESE.pdf</t>
        </is>
      </c>
      <c r="B2912" s="93" t="inlineStr">
        <is>
          <t>20</t>
        </is>
      </c>
      <c r="C2912" s="92" t="inlineStr">
        <is>
          <t>效益</t>
        </is>
      </c>
      <c r="D2912" s="92" t="inlineStr">
        <is>
          <t>xiàoyì – lợi nhuận / hiệu quả</t>
        </is>
      </c>
      <c r="E2912" s="92" t="inlineStr">
        <is>
          <t>20. 效益 xiàoyì – lợi nhuận / hiệu quả</t>
        </is>
      </c>
      <c r="F2912" s="114">
        <f>HYPERLINK("https://youglish.com/pronounce/效益/chinese","🔍")</f>
        <v/>
      </c>
    </row>
    <row r="2913" ht="28.5" customHeight="1" s="99">
      <c r="A2913" s="94" t="inlineStr">
        <is>
          <t>PDF-Từ vựng phỏng vấn _ HỌC BÁ CHINESE.pdf</t>
        </is>
      </c>
      <c r="B2913" s="95" t="inlineStr">
        <is>
          <t>94</t>
        </is>
      </c>
      <c r="C2913" s="94" t="inlineStr">
        <is>
          <t>新产品给公司带来更高的效益</t>
        </is>
      </c>
      <c r="D2913" s="94" t="inlineStr">
        <is>
          <t>→ Sản phẩm mới mang lại lợi ích cao hơn.</t>
        </is>
      </c>
      <c r="E2913" s="94" t="inlineStr">
        <is>
          <t>新产品给公司带来更高的效益。 → Sản phẩm mới mang lại lợi ích cao hơn.</t>
        </is>
      </c>
      <c r="F2913" s="115">
        <f>HYPERLINK("https://youglish.com/pronounce/新产品给公司带来更高的效益/chinese","🔍")</f>
        <v/>
      </c>
    </row>
    <row r="2914" ht="28.5" customHeight="1" s="99">
      <c r="A2914" s="92" t="inlineStr">
        <is>
          <t>PDF-Từ vựng phỏng vấn _ HỌC BÁ CHINESE.pdf</t>
        </is>
      </c>
      <c r="B2914" s="93" t="inlineStr">
        <is>
          <t>21</t>
        </is>
      </c>
      <c r="C2914" s="92" t="inlineStr">
        <is>
          <t>突破</t>
        </is>
      </c>
      <c r="D2914" s="92" t="inlineStr">
        <is>
          <t>tūpò – đột phá</t>
        </is>
      </c>
      <c r="E2914" s="92" t="inlineStr">
        <is>
          <t>21. 突破 tūpò – đột phá</t>
        </is>
      </c>
      <c r="F2914" s="114">
        <f>HYPERLINK("https://youglish.com/pronounce/突破/chinese","🔍")</f>
        <v/>
      </c>
    </row>
    <row r="2915" ht="28.5" customHeight="1" s="99">
      <c r="A2915" s="94" t="inlineStr">
        <is>
          <t>PDF-Từ vựng phỏng vấn _ HỌC BÁ CHINESE.pdf</t>
        </is>
      </c>
      <c r="B2915" s="95" t="inlineStr">
        <is>
          <t>96</t>
        </is>
      </c>
      <c r="C2915" s="94" t="inlineStr">
        <is>
          <t>希望你能有更大的突破</t>
        </is>
      </c>
      <c r="D2915" s="94" t="inlineStr">
        <is>
          <t>→ Hy vọng bạn sẽ có bước đột phá lớn hơn.</t>
        </is>
      </c>
      <c r="E2915" s="94" t="inlineStr">
        <is>
          <t>希望你能有更大的突破。 → Hy vọng bạn sẽ có bước đột phá lớn hơn.</t>
        </is>
      </c>
      <c r="F2915" s="115">
        <f>HYPERLINK("https://youglish.com/pronounce/希望你能有更大的突破/chinese","🔍")</f>
        <v/>
      </c>
    </row>
    <row r="2916" ht="28.5" customHeight="1" s="99">
      <c r="A2916" s="92" t="inlineStr">
        <is>
          <t>PDF-Từ vựng phỏng vấn _ HỌC BÁ CHINESE.pdf</t>
        </is>
      </c>
      <c r="B2916" s="93" t="inlineStr">
        <is>
          <t>22</t>
        </is>
      </c>
      <c r="C2916" s="92" t="inlineStr">
        <is>
          <t>今后</t>
        </is>
      </c>
      <c r="D2916" s="92" t="inlineStr">
        <is>
          <t>jīnhòu – sau này / về sau</t>
        </is>
      </c>
      <c r="E2916" s="92" t="inlineStr">
        <is>
          <t>22. 今后 jīnhòu – sau này / về sau</t>
        </is>
      </c>
      <c r="F2916" s="114">
        <f>HYPERLINK("https://youglish.com/pronounce/今后/chinese","🔍")</f>
        <v/>
      </c>
    </row>
    <row r="2917" ht="28.5" customHeight="1" s="99">
      <c r="A2917" s="94" t="inlineStr">
        <is>
          <t>PDF-Từ vựng phỏng vấn _ HỌC BÁ CHINESE.pdf</t>
        </is>
      </c>
      <c r="B2917" s="95" t="inlineStr">
        <is>
          <t>98</t>
        </is>
      </c>
      <c r="C2917" s="94" t="inlineStr">
        <is>
          <t>我对今后的工作非常有信心</t>
        </is>
      </c>
      <c r="D2917" s="94" t="inlineStr">
        <is>
          <t>→ Tôi rất tự tin về công việc sau này.</t>
        </is>
      </c>
      <c r="E2917" s="94" t="inlineStr">
        <is>
          <t>我对今后的工作非常有信心。 → Tôi rất tự tin về công việc sau này.</t>
        </is>
      </c>
      <c r="F2917" s="115">
        <f>HYPERLINK("https://youglish.com/pronounce/我对今后的工作非常有信心/chinese","🔍")</f>
        <v/>
      </c>
    </row>
    <row r="2918" ht="28.5" customHeight="1" s="99">
      <c r="A2918" s="92" t="inlineStr">
        <is>
          <t>PDF-Từ vựng phỏng vấn _ HỌC BÁ CHINESE.pdf</t>
        </is>
      </c>
      <c r="B2918" s="93" t="inlineStr">
        <is>
          <t>23</t>
        </is>
      </c>
      <c r="C2918" s="92" t="inlineStr">
        <is>
          <t>准备</t>
        </is>
      </c>
      <c r="D2918" s="92" t="inlineStr">
        <is>
          <t>zhǔnbèi – chuẩn bị</t>
        </is>
      </c>
      <c r="E2918" s="92" t="inlineStr">
        <is>
          <t>23. 准备 zhǔnbèi – chuẩn bị</t>
        </is>
      </c>
      <c r="F2918" s="114">
        <f>HYPERLINK("https://youglish.com/pronounce/准备/chinese","🔍")</f>
        <v/>
      </c>
    </row>
    <row r="2919" ht="28.5" customHeight="1" s="99">
      <c r="A2919" s="94" t="inlineStr">
        <is>
          <t>PDF-Từ vựng phỏng vấn _ HỌC BÁ CHINESE.pdf</t>
        </is>
      </c>
      <c r="B2919" s="95" t="inlineStr">
        <is>
          <t>100</t>
        </is>
      </c>
      <c r="C2919" s="94" t="inlineStr">
        <is>
          <t>我已经准备好参加面试</t>
        </is>
      </c>
      <c r="D2919" s="94" t="inlineStr">
        <is>
          <t>→ Tôi đã chuẩn bị sẵn sàng đi phỏng vấn.</t>
        </is>
      </c>
      <c r="E2919" s="94" t="inlineStr">
        <is>
          <t>我已经准备好参加面试。 → Tôi đã chuẩn bị sẵn sàng đi phỏng vấn.</t>
        </is>
      </c>
      <c r="F2919" s="115">
        <f>HYPERLINK("https://youglish.com/pronounce/我已经准备好参加面试/chinese","🔍")</f>
        <v/>
      </c>
    </row>
    <row r="2920" ht="28.5" customHeight="1" s="99">
      <c r="A2920" s="92" t="inlineStr">
        <is>
          <t>PDF-Từ vựng phỏng vấn _ HỌC BÁ CHINESE.pdf</t>
        </is>
      </c>
      <c r="B2920" s="93" t="inlineStr">
        <is>
          <t>24</t>
        </is>
      </c>
      <c r="C2920" s="92" t="inlineStr">
        <is>
          <t>方面</t>
        </is>
      </c>
      <c r="D2920" s="92" t="inlineStr">
        <is>
          <t>fāngmiàn – phương diện / lĩnh vực</t>
        </is>
      </c>
      <c r="E2920" s="92" t="inlineStr">
        <is>
          <t>24. 方面 fāngmiàn – phương diện / lĩnh vực</t>
        </is>
      </c>
      <c r="F2920" s="114">
        <f>HYPERLINK("https://youglish.com/pronounce/方面/chinese","🔍")</f>
        <v/>
      </c>
    </row>
    <row r="2921" ht="28.5" customHeight="1" s="99">
      <c r="A2921" s="94" t="inlineStr">
        <is>
          <t>PDF-Từ vựng phỏng vấn _ HỌC BÁ CHINESE.pdf</t>
        </is>
      </c>
      <c r="B2921" s="95" t="inlineStr">
        <is>
          <t>102</t>
        </is>
      </c>
      <c r="C2921" s="94" t="inlineStr">
        <is>
          <t>你在哪个方面有经验</t>
        </is>
      </c>
      <c r="D2921" s="94" t="inlineStr">
        <is>
          <t>→ Bạn có kinh nghiệm ở lĩnh vực nào?</t>
        </is>
      </c>
      <c r="E2921" s="94" t="inlineStr">
        <is>
          <t>你在哪个方面有经验？ → Bạn có kinh nghiệm ở lĩnh vực nào?</t>
        </is>
      </c>
      <c r="F2921" s="115">
        <f>HYPERLINK("https://youglish.com/pronounce/你在哪个方面有经验/chinese","🔍")</f>
        <v/>
      </c>
    </row>
    <row r="2922" ht="28.5" customHeight="1" s="99">
      <c r="A2922" s="92" t="inlineStr">
        <is>
          <t>PDF-Từ vựng phỏng vấn _ HỌC BÁ CHINESE.pdf</t>
        </is>
      </c>
      <c r="B2922" s="93" t="inlineStr">
        <is>
          <t>25</t>
        </is>
      </c>
      <c r="C2922" s="92" t="inlineStr">
        <is>
          <t>创造效益</t>
        </is>
      </c>
      <c r="D2922" s="92" t="inlineStr">
        <is>
          <t>chuàngzào xiàoyì – tạo hiệu quả kinh doanh</t>
        </is>
      </c>
      <c r="E2922" s="92" t="inlineStr">
        <is>
          <t>25. 创造效益 chuàngzào xiàoyì – tạo hiệu quả kinh doanh</t>
        </is>
      </c>
      <c r="F2922" s="114">
        <f>HYPERLINK("https://youglish.com/pronounce/创造效益/chinese","🔍")</f>
        <v/>
      </c>
    </row>
    <row r="2923" ht="28.5" customHeight="1" s="99">
      <c r="A2923" s="94" t="inlineStr">
        <is>
          <t>PDF-Từ vựng phỏng vấn _ HỌC BÁ CHINESE.pdf</t>
        </is>
      </c>
      <c r="B2923" s="95" t="inlineStr">
        <is>
          <t>104</t>
        </is>
      </c>
      <c r="C2923" s="94" t="inlineStr">
        <is>
          <t>这个方案能为公司创造效益</t>
        </is>
      </c>
      <c r="D2923" s="94" t="inlineStr">
        <is>
          <t>→ Kế hoạch này có thể tạo hiệu quả cho công ty.</t>
        </is>
      </c>
      <c r="E2923" s="94" t="inlineStr">
        <is>
          <t>这个方案能为公司创造效益。 → Kế hoạch này có thể tạo hiệu quả cho công ty.</t>
        </is>
      </c>
      <c r="F2923" s="115">
        <f>HYPERLINK("https://youglish.com/pronounce/这个方案能为公司创造效益/chinese","🔍")</f>
        <v/>
      </c>
    </row>
    <row r="2924" ht="28.5" customHeight="1" s="99">
      <c r="A2924" s="92" t="inlineStr">
        <is>
          <t>PDF-Từ vựng phỏng vấn _ HỌC BÁ CHINESE.pdf</t>
        </is>
      </c>
      <c r="B2924" s="93" t="inlineStr">
        <is>
          <t>105</t>
        </is>
      </c>
      <c r="C2924" s="92" t="inlineStr">
        <is>
          <t>申请职位</t>
        </is>
      </c>
      <c r="D2924" s="92" t="inlineStr">
        <is>
          <t>Bài 3申请职位 (Phỏng vấn – Ứng tuyển vị trí)</t>
        </is>
      </c>
      <c r="E2924" s="92" t="inlineStr">
        <is>
          <t>Bài 3申请职位 (Phỏng vấn – Ứng tuyển vị trí)</t>
        </is>
      </c>
      <c r="F2924" s="114">
        <f>HYPERLINK("https://youglish.com/pronounce/申请职位/chinese","🔍")</f>
        <v/>
      </c>
    </row>
    <row r="2925" ht="28.5" customHeight="1" s="99">
      <c r="A2925" s="94" t="inlineStr">
        <is>
          <t>PDF-Từ vựng phỏng vấn _ HỌC BÁ CHINESE.pdf</t>
        </is>
      </c>
      <c r="B2925" s="95" t="inlineStr">
        <is>
          <t>1</t>
        </is>
      </c>
      <c r="C2925" s="94" t="inlineStr">
        <is>
          <t>录用</t>
        </is>
      </c>
      <c r="D2925" s="94" t="inlineStr">
        <is>
          <t>lùyòng – tuyển dụng</t>
        </is>
      </c>
      <c r="E2925" s="94" t="inlineStr">
        <is>
          <t>1. 录用 lùyòng – tuyển dụng</t>
        </is>
      </c>
      <c r="F2925" s="115">
        <f>HYPERLINK("https://youglish.com/pronounce/录用/chinese","🔍")</f>
        <v/>
      </c>
    </row>
    <row r="2926" ht="28.5" customHeight="1" s="99">
      <c r="A2926" s="92" t="inlineStr">
        <is>
          <t>PDF-Từ vựng phỏng vấn _ HỌC BÁ CHINESE.pdf</t>
        </is>
      </c>
      <c r="B2926" s="93" t="inlineStr">
        <is>
          <t>107</t>
        </is>
      </c>
      <c r="C2926" s="92" t="inlineStr">
        <is>
          <t>公司考虑录用我</t>
        </is>
      </c>
      <c r="D2926" s="92" t="inlineStr">
        <is>
          <t>→ Công ty đang xem xét tuyển dụng tôi.</t>
        </is>
      </c>
      <c r="E2926" s="92" t="inlineStr">
        <is>
          <t>公司考虑录用我。 → Công ty đang xem xét tuyển dụng tôi.</t>
        </is>
      </c>
      <c r="F2926" s="114">
        <f>HYPERLINK("https://youglish.com/pronounce/公司考虑录用我/chinese","🔍")</f>
        <v/>
      </c>
    </row>
    <row r="2927" ht="28.5" customHeight="1" s="99">
      <c r="A2927" s="94" t="inlineStr">
        <is>
          <t>PDF-Từ vựng phỏng vấn _ HỌC BÁ CHINESE.pdf</t>
        </is>
      </c>
      <c r="B2927" s="95" t="inlineStr">
        <is>
          <t>2</t>
        </is>
      </c>
      <c r="C2927" s="94" t="inlineStr">
        <is>
          <t>国际贸易</t>
        </is>
      </c>
      <c r="D2927" s="94" t="inlineStr">
        <is>
          <t>guójì màoyì – thương mại quốc tế</t>
        </is>
      </c>
      <c r="E2927" s="94" t="inlineStr">
        <is>
          <t>2. 国际贸易 guójì màoyì – thương mại quốc tế</t>
        </is>
      </c>
      <c r="F2927" s="115">
        <f>HYPERLINK("https://youglish.com/pronounce/国际贸易/chinese","🔍")</f>
        <v/>
      </c>
    </row>
    <row r="2928" ht="28.5" customHeight="1" s="99">
      <c r="A2928" s="92" t="inlineStr">
        <is>
          <t>PDF-Từ vựng phỏng vấn _ HỌC BÁ CHINESE.pdf</t>
        </is>
      </c>
      <c r="B2928" s="93" t="inlineStr">
        <is>
          <t>109</t>
        </is>
      </c>
      <c r="C2928" s="92" t="inlineStr">
        <is>
          <t>我一直从事国际贸易工作</t>
        </is>
      </c>
      <c r="D2928" s="92" t="inlineStr">
        <is>
          <t>→ Tôi luôn làm việc trong lĩnh vực thương mại quốc tế.</t>
        </is>
      </c>
      <c r="E2928" s="92" t="inlineStr">
        <is>
          <t>我一直从事国际贸易工作。 → Tôi luôn làm việc trong lĩnh vực thương mại quốc tế.</t>
        </is>
      </c>
      <c r="F2928" s="114">
        <f>HYPERLINK("https://youglish.com/pronounce/我一直从事国际贸易工作/chinese","🔍")</f>
        <v/>
      </c>
    </row>
    <row r="2929" ht="28.5" customHeight="1" s="99">
      <c r="A2929" s="94" t="inlineStr">
        <is>
          <t>PDF-Từ vựng phỏng vấn _ HỌC BÁ CHINESE.pdf</t>
        </is>
      </c>
      <c r="B2929" s="95" t="inlineStr">
        <is>
          <t>3</t>
        </is>
      </c>
      <c r="C2929" s="94" t="inlineStr">
        <is>
          <t>成绩</t>
        </is>
      </c>
      <c r="D2929" s="94" t="inlineStr">
        <is>
          <t>chéngjì – thành tích</t>
        </is>
      </c>
      <c r="E2929" s="94" t="inlineStr">
        <is>
          <t>3. 成绩 chéngjì – thành tích</t>
        </is>
      </c>
      <c r="F2929" s="115">
        <f>HYPERLINK("https://youglish.com/pronounce/成绩/chinese","🔍")</f>
        <v/>
      </c>
    </row>
    <row r="2930" ht="28.5" customHeight="1" s="99">
      <c r="A2930" s="92" t="inlineStr">
        <is>
          <t>PDF-Từ vựng phỏng vấn _ HỌC BÁ CHINESE.pdf</t>
        </is>
      </c>
      <c r="B2930" s="93" t="inlineStr">
        <is>
          <t>111</t>
        </is>
      </c>
      <c r="C2930" s="92" t="inlineStr">
        <is>
          <t>公司在国际贸易方面成绩突出</t>
        </is>
      </c>
      <c r="D2930" s="92" t="inlineStr">
        <is>
          <t>→ Công ty có thành tích nổi bật trong thương mại quốc tế.</t>
        </is>
      </c>
      <c r="E2930" s="92" t="inlineStr">
        <is>
          <t>公司在国际贸易方面成绩突出。 → Công ty có thành tích nổi bật trong thương mại quốc tế.</t>
        </is>
      </c>
      <c r="F2930" s="114">
        <f>HYPERLINK("https://youglish.com/pronounce/公司在国际贸易方面成绩突出/chinese","🔍")</f>
        <v/>
      </c>
    </row>
    <row r="2931" ht="28.5" customHeight="1" s="99">
      <c r="A2931" s="94" t="inlineStr">
        <is>
          <t>PDF-Từ vựng phỏng vấn _ HỌC BÁ CHINESE.pdf</t>
        </is>
      </c>
      <c r="B2931" s="95" t="inlineStr">
        <is>
          <t>4</t>
        </is>
      </c>
      <c r="C2931" s="94" t="inlineStr">
        <is>
          <t>经营业务</t>
        </is>
      </c>
      <c r="D2931" s="94" t="inlineStr">
        <is>
          <t>jīngyíng yèwù – nghiệp vụ kinh doanh</t>
        </is>
      </c>
      <c r="E2931" s="94" t="inlineStr">
        <is>
          <t>4. 经营业务 jīngyíng yèwù – nghiệp vụ kinh doanh</t>
        </is>
      </c>
      <c r="F2931" s="115">
        <f>HYPERLINK("https://youglish.com/pronounce/经营业务/chinese","🔍")</f>
        <v/>
      </c>
    </row>
    <row r="2932" ht="28.5" customHeight="1" s="99">
      <c r="A2932" s="92" t="inlineStr">
        <is>
          <t>PDF-Từ vựng phỏng vấn _ HỌC BÁ CHINESE.pdf</t>
        </is>
      </c>
      <c r="B2932" s="93" t="inlineStr">
        <is>
          <t>113</t>
        </is>
      </c>
      <c r="C2932" s="92" t="inlineStr">
        <is>
          <t>我对公司的经营业务十分熟悉</t>
        </is>
      </c>
      <c r="D2932" s="92" t="inlineStr">
        <is>
          <t>→ Tôi rất quen thuộc với nghiệp vụ kinh doanh của công ty.</t>
        </is>
      </c>
      <c r="E2932" s="92" t="inlineStr">
        <is>
          <t>我对公司的经营业务十分熟悉。 → Tôi rất quen thuộc với nghiệp vụ kinh doanh của công ty.</t>
        </is>
      </c>
      <c r="F2932" s="114">
        <f>HYPERLINK("https://youglish.com/pronounce/我对公司的经营业务十分熟悉/chinese","🔍")</f>
        <v/>
      </c>
    </row>
    <row r="2933" ht="28.5" customHeight="1" s="99">
      <c r="A2933" s="94" t="inlineStr">
        <is>
          <t>PDF-Từ vựng phỏng vấn _ HỌC BÁ CHINESE.pdf</t>
        </is>
      </c>
      <c r="B2933" s="95" t="inlineStr">
        <is>
          <t>5</t>
        </is>
      </c>
      <c r="C2933" s="94" t="inlineStr">
        <is>
          <t>实习</t>
        </is>
      </c>
      <c r="D2933" s="94" t="inlineStr">
        <is>
          <t>shúxī – thành thạo / quen thuộc</t>
        </is>
      </c>
      <c r="E2933" s="94" t="inlineStr">
        <is>
          <t>5. 实习 shúxī – thành thạo / quen thuộc</t>
        </is>
      </c>
      <c r="F2933" s="115">
        <f>HYPERLINK("https://youglish.com/pronounce/实习/chinese","🔍")</f>
        <v/>
      </c>
    </row>
    <row r="2934" ht="28.5" customHeight="1" s="99">
      <c r="A2934" s="92" t="inlineStr">
        <is>
          <t>PDF-Từ vựng phỏng vấn _ HỌC BÁ CHINESE.pdf</t>
        </is>
      </c>
      <c r="B2934" s="93" t="inlineStr">
        <is>
          <t>115</t>
        </is>
      </c>
      <c r="C2934" s="92" t="inlineStr">
        <is>
          <t>我对业务流程非常实习</t>
        </is>
      </c>
      <c r="D2934" s="92" t="inlineStr">
        <is>
          <t>→ Tôi rất quen thuộc với quy trình nghiệp vụ.</t>
        </is>
      </c>
      <c r="E2934" s="92" t="inlineStr">
        <is>
          <t>我对业务流程非常实习。 → Tôi rất quen thuộc với quy trình nghiệp vụ.</t>
        </is>
      </c>
      <c r="F2934" s="114">
        <f>HYPERLINK("https://youglish.com/pronounce/我对业务流程非常实习/chinese","🔍")</f>
        <v/>
      </c>
    </row>
    <row r="2935" ht="28.5" customHeight="1" s="99">
      <c r="A2935" s="94" t="inlineStr">
        <is>
          <t>PDF-Từ vựng phỏng vấn _ HỌC BÁ CHINESE.pdf</t>
        </is>
      </c>
      <c r="B2935" s="95" t="inlineStr">
        <is>
          <t>6</t>
        </is>
      </c>
      <c r="C2935" s="94" t="inlineStr">
        <is>
          <t>申请职位</t>
        </is>
      </c>
      <c r="D2935" s="94" t="inlineStr">
        <is>
          <t>shēnqǐng zhíwèi – ứng tuyển vị trí</t>
        </is>
      </c>
      <c r="E2935" s="94" t="inlineStr">
        <is>
          <t>6. 申请职位 shēnqǐng zhíwèi – ứng tuyển vị trí</t>
        </is>
      </c>
      <c r="F2935" s="115">
        <f>HYPERLINK("https://youglish.com/pronounce/申请职位/chinese","🔍")</f>
        <v/>
      </c>
    </row>
    <row r="2936" ht="28.5" customHeight="1" s="99">
      <c r="A2936" s="92" t="inlineStr">
        <is>
          <t>PDF-Từ vựng phỏng vấn _ HỌC BÁ CHINESE.pdf</t>
        </is>
      </c>
      <c r="B2936" s="93" t="inlineStr">
        <is>
          <t>117</t>
        </is>
      </c>
      <c r="C2936" s="92" t="inlineStr">
        <is>
          <t>我准备申请经理的职位</t>
        </is>
      </c>
      <c r="D2936" s="92" t="inlineStr">
        <is>
          <t>→ Tôi chuẩn bị ứng tuyển vị trí quản lý.</t>
        </is>
      </c>
      <c r="E2936" s="92" t="inlineStr">
        <is>
          <t>我准备申请经理的职位。 → Tôi chuẩn bị ứng tuyển vị trí quản lý.</t>
        </is>
      </c>
      <c r="F2936" s="114">
        <f>HYPERLINK("https://youglish.com/pronounce/我准备申请经理的职位/chinese","🔍")</f>
        <v/>
      </c>
    </row>
    <row r="2937" ht="28.5" customHeight="1" s="99">
      <c r="A2937" s="94" t="inlineStr">
        <is>
          <t>PDF-Từ vựng phỏng vấn _ HỌC BÁ CHINESE.pdf</t>
        </is>
      </c>
      <c r="B2937" s="95" t="inlineStr">
        <is>
          <t>7</t>
        </is>
      </c>
      <c r="C2937" s="94" t="inlineStr">
        <is>
          <t>业务部</t>
        </is>
      </c>
      <c r="D2937" s="94" t="inlineStr">
        <is>
          <t>yèwù bù – bộ phận kinh doanh</t>
        </is>
      </c>
      <c r="E2937" s="94" t="inlineStr">
        <is>
          <t>7. 业务部 yèwù bù – bộ phận kinh doanh</t>
        </is>
      </c>
      <c r="F2937" s="115">
        <f>HYPERLINK("https://youglish.com/pronounce/业务部/chinese","🔍")</f>
        <v/>
      </c>
    </row>
    <row r="2938" ht="28.5" customHeight="1" s="99">
      <c r="A2938" s="92" t="inlineStr">
        <is>
          <t>PDF-Từ vựng phỏng vấn _ HỌC BÁ CHINESE.pdf</t>
        </is>
      </c>
      <c r="B2938" s="93" t="inlineStr">
        <is>
          <t>119</t>
        </is>
      </c>
      <c r="C2938" s="92" t="inlineStr">
        <is>
          <t>我想加入公司的业务部</t>
        </is>
      </c>
      <c r="D2938" s="92" t="inlineStr">
        <is>
          <t>→ Tôi muốn gia nhập bộ phận kinh doanh của công ty.</t>
        </is>
      </c>
      <c r="E2938" s="92" t="inlineStr">
        <is>
          <t>我想加入公司的业务部。 → Tôi muốn gia nhập bộ phận kinh doanh của công ty.</t>
        </is>
      </c>
      <c r="F2938" s="114">
        <f>HYPERLINK("https://youglish.com/pronounce/我想加入公司的业务部/chinese","🔍")</f>
        <v/>
      </c>
    </row>
    <row r="2939" ht="28.5" customHeight="1" s="99">
      <c r="A2939" s="94" t="inlineStr">
        <is>
          <t>PDF-Từ vựng phỏng vấn _ HỌC BÁ CHINESE.pdf</t>
        </is>
      </c>
      <c r="B2939" s="95" t="inlineStr">
        <is>
          <t>8</t>
        </is>
      </c>
      <c r="C2939" s="94" t="inlineStr">
        <is>
          <t>经理</t>
        </is>
      </c>
      <c r="D2939" s="94" t="inlineStr">
        <is>
          <t>jīnglǐ – quản lý</t>
        </is>
      </c>
      <c r="E2939" s="94" t="inlineStr">
        <is>
          <t>8. 经理 jīnglǐ – quản lý</t>
        </is>
      </c>
      <c r="F2939" s="115">
        <f>HYPERLINK("https://youglish.com/pronounce/经理/chinese","🔍")</f>
        <v/>
      </c>
    </row>
    <row r="2940" ht="28.5" customHeight="1" s="99">
      <c r="A2940" s="92" t="inlineStr">
        <is>
          <t>PDF-Từ vựng phỏng vấn _ HỌC BÁ CHINESE.pdf</t>
        </is>
      </c>
      <c r="B2940" s="93" t="inlineStr">
        <is>
          <t>121</t>
        </is>
      </c>
      <c r="C2940" s="92" t="inlineStr">
        <is>
          <t>他是业务部的经理</t>
        </is>
      </c>
      <c r="D2940" s="92" t="inlineStr">
        <is>
          <t>→ Anh ấy là quản lý của bộ phận kinh doanh.</t>
        </is>
      </c>
      <c r="E2940" s="92" t="inlineStr">
        <is>
          <t>他是业务部的经理。 → Anh ấy là quản lý của bộ phận kinh doanh.</t>
        </is>
      </c>
      <c r="F2940" s="114">
        <f>HYPERLINK("https://youglish.com/pronounce/他是业务部的经理/chinese","🔍")</f>
        <v/>
      </c>
    </row>
    <row r="2941" ht="28.5" customHeight="1" s="99">
      <c r="A2941" s="94" t="inlineStr">
        <is>
          <t>PDF-Từ vựng phỏng vấn _ HỌC BÁ CHINESE.pdf</t>
        </is>
      </c>
      <c r="B2941" s="95" t="inlineStr">
        <is>
          <t>9</t>
        </is>
      </c>
      <c r="C2941" s="94" t="inlineStr">
        <is>
          <t>今后工作</t>
        </is>
      </c>
      <c r="D2941" s="94" t="inlineStr">
        <is>
          <t>jīnhòu gōngzuò – công việc sắp tới</t>
        </is>
      </c>
      <c r="E2941" s="94" t="inlineStr">
        <is>
          <t>9. 今后工作 jīnhòu gōngzuò – công việc sắp tới</t>
        </is>
      </c>
      <c r="F2941" s="115">
        <f>HYPERLINK("https://youglish.com/pronounce/今后工作/chinese","🔍")</f>
        <v/>
      </c>
    </row>
    <row r="2942" ht="28.5" customHeight="1" s="99">
      <c r="A2942" s="92" t="inlineStr">
        <is>
          <t>PDF-Từ vựng phỏng vấn _ HỌC BÁ CHINESE.pdf</t>
        </is>
      </c>
      <c r="B2942" s="93" t="inlineStr">
        <is>
          <t>123</t>
        </is>
      </c>
      <c r="C2942" s="92" t="inlineStr">
        <is>
          <t>我对今后的工作有规划</t>
        </is>
      </c>
      <c r="D2942" s="92" t="inlineStr">
        <is>
          <t>→ Tôi có kế hoạch cho công việc sắp tới.</t>
        </is>
      </c>
      <c r="E2942" s="92" t="inlineStr">
        <is>
          <t>我对今后的工作有规划。 → Tôi có kế hoạch cho công việc sắp tới.</t>
        </is>
      </c>
      <c r="F2942" s="114">
        <f>HYPERLINK("https://youglish.com/pronounce/我对今后的工作有规划/chinese","🔍")</f>
        <v/>
      </c>
    </row>
    <row r="2943" ht="28.5" customHeight="1" s="99">
      <c r="A2943" s="94" t="inlineStr">
        <is>
          <t>PDF-Từ vựng phỏng vấn _ HỌC BÁ CHINESE.pdf</t>
        </is>
      </c>
      <c r="B2943" s="95" t="inlineStr">
        <is>
          <t>10</t>
        </is>
      </c>
      <c r="C2943" s="94" t="inlineStr">
        <is>
          <t>设想</t>
        </is>
      </c>
      <c r="D2943" s="94" t="inlineStr">
        <is>
          <t>shèxiǎng – ý tưởng/định hướng</t>
        </is>
      </c>
      <c r="E2943" s="94" t="inlineStr">
        <is>
          <t>10. 设想 shèxiǎng – ý tưởng/định hướng</t>
        </is>
      </c>
      <c r="F2943" s="115">
        <f>HYPERLINK("https://youglish.com/pronounce/设想/chinese","🔍")</f>
        <v/>
      </c>
    </row>
    <row r="2944" ht="28.5" customHeight="1" s="99">
      <c r="A2944" s="92" t="inlineStr">
        <is>
          <t>PDF-Từ vựng phỏng vấn _ HỌC BÁ CHINESE.pdf</t>
        </is>
      </c>
      <c r="B2944" s="93" t="inlineStr">
        <is>
          <t>125</t>
        </is>
      </c>
      <c r="C2944" s="92" t="inlineStr">
        <is>
          <t>我对市场调整有具体设想</t>
        </is>
      </c>
      <c r="D2944" s="92" t="inlineStr">
        <is>
          <t>→ Tôi có định hướng cụ thể về điều chỉnh thị trường.</t>
        </is>
      </c>
      <c r="E2944" s="92" t="inlineStr">
        <is>
          <t>我对市场调整有具体设想。 → Tôi có định hướng cụ thể về điều chỉnh thị trường.</t>
        </is>
      </c>
      <c r="F2944" s="114">
        <f>HYPERLINK("https://youglish.com/pronounce/我对市场调整有具体设想/chinese","🔍")</f>
        <v/>
      </c>
    </row>
    <row r="2945" ht="28.5" customHeight="1" s="99">
      <c r="A2945" s="94" t="inlineStr">
        <is>
          <t>PDF-Từ vựng phỏng vấn _ HỌC BÁ CHINESE.pdf</t>
        </is>
      </c>
      <c r="B2945" s="95" t="inlineStr">
        <is>
          <t>11</t>
        </is>
      </c>
      <c r="C2945" s="94" t="inlineStr">
        <is>
          <t>销售市场</t>
        </is>
      </c>
      <c r="D2945" s="94" t="inlineStr">
        <is>
          <t>xiāoshòu shìchǎng – thị trường tiêu thụ</t>
        </is>
      </c>
      <c r="E2945" s="94" t="inlineStr">
        <is>
          <t>11. 销售市场 xiāoshòu shìchǎng – thị trường tiêu thụ</t>
        </is>
      </c>
      <c r="F2945" s="115">
        <f>HYPERLINK("https://youglish.com/pronounce/销售市场/chinese","🔍")</f>
        <v/>
      </c>
    </row>
    <row r="2946" ht="28.5" customHeight="1" s="99">
      <c r="A2946" s="92" t="inlineStr">
        <is>
          <t>PDF-Từ vựng phỏng vấn _ HỌC BÁ CHINESE.pdf</t>
        </is>
      </c>
      <c r="B2946" s="93" t="inlineStr">
        <is>
          <t>127</t>
        </is>
      </c>
      <c r="C2946" s="92" t="inlineStr">
        <is>
          <t>我们从销售市场入手优化结构</t>
        </is>
      </c>
      <c r="D2946" s="92" t="inlineStr">
        <is>
          <t>→ Chúng tôi bắt đầu từ thị trường tiêu thụ để tối ưu hóa.</t>
        </is>
      </c>
      <c r="E2946" s="92" t="inlineStr">
        <is>
          <t>我们从销售市场入手优化结构。 → Chúng tôi bắt đầu từ thị trường tiêu thụ để tối ưu hóa.</t>
        </is>
      </c>
      <c r="F2946" s="114">
        <f>HYPERLINK("https://youglish.com/pronounce/我们从销售市场入手优化结构/chinese","🔍")</f>
        <v/>
      </c>
    </row>
    <row r="2947" ht="28.5" customHeight="1" s="99">
      <c r="A2947" s="94" t="inlineStr">
        <is>
          <t>PDF-Từ vựng phỏng vấn _ HỌC BÁ CHINESE.pdf</t>
        </is>
      </c>
      <c r="B2947" s="95" t="inlineStr">
        <is>
          <t>12</t>
        </is>
      </c>
      <c r="C2947" s="94" t="inlineStr">
        <is>
          <t>入手</t>
        </is>
      </c>
      <c r="D2947" s="94" t="inlineStr">
        <is>
          <t>rùshǒu – bắt đầu từ / bắt tay vào</t>
        </is>
      </c>
      <c r="E2947" s="94" t="inlineStr">
        <is>
          <t>12. 入手 rùshǒu – bắt đầu từ / bắt tay vào</t>
        </is>
      </c>
      <c r="F2947" s="115">
        <f>HYPERLINK("https://youglish.com/pronounce/入手/chinese","🔍")</f>
        <v/>
      </c>
    </row>
    <row r="2948" ht="28.5" customHeight="1" s="99">
      <c r="A2948" s="92" t="inlineStr">
        <is>
          <t>PDF-Từ vựng phỏng vấn _ HỌC BÁ CHINESE.pdf</t>
        </is>
      </c>
      <c r="B2948" s="93" t="inlineStr">
        <is>
          <t>129</t>
        </is>
      </c>
      <c r="C2948" s="92" t="inlineStr">
        <is>
          <t>我们可以从客户需求入手</t>
        </is>
      </c>
      <c r="D2948" s="92" t="inlineStr">
        <is>
          <t>→ Chúng ta có thể bắt đầu từ nhu cầu khách hàng.</t>
        </is>
      </c>
      <c r="E2948" s="92" t="inlineStr">
        <is>
          <t>我们可以从客户需求入手。 → Chúng ta có thể bắt đầu từ nhu cầu khách hàng.</t>
        </is>
      </c>
      <c r="F2948" s="114">
        <f>HYPERLINK("https://youglish.com/pronounce/我们可以从客户需求入手/chinese","🔍")</f>
        <v/>
      </c>
    </row>
    <row r="2949" ht="28.5" customHeight="1" s="99">
      <c r="A2949" s="94" t="inlineStr">
        <is>
          <t>PDF-Từ vựng phỏng vấn _ HỌC BÁ CHINESE.pdf</t>
        </is>
      </c>
      <c r="B2949" s="95" t="inlineStr">
        <is>
          <t>13</t>
        </is>
      </c>
      <c r="C2949" s="94" t="inlineStr">
        <is>
          <t>市场结构</t>
        </is>
      </c>
      <c r="D2949" s="94" t="inlineStr">
        <is>
          <t>shìchǎng jiégòu – cơ cấu thị trường</t>
        </is>
      </c>
      <c r="E2949" s="94" t="inlineStr">
        <is>
          <t>13. 市场结构 shìchǎng jiégòu – cơ cấu thị trường</t>
        </is>
      </c>
      <c r="F2949" s="115">
        <f>HYPERLINK("https://youglish.com/pronounce/市场结构/chinese","🔍")</f>
        <v/>
      </c>
    </row>
    <row r="2950" ht="28.5" customHeight="1" s="99">
      <c r="A2950" s="92" t="inlineStr">
        <is>
          <t>PDF-Từ vựng phỏng vấn _ HỌC BÁ CHINESE.pdf</t>
        </is>
      </c>
      <c r="B2950" s="93" t="inlineStr">
        <is>
          <t>131</t>
        </is>
      </c>
      <c r="C2950" s="92" t="inlineStr">
        <is>
          <t>公司想调整市场结构</t>
        </is>
      </c>
      <c r="D2950" s="92" t="inlineStr">
        <is>
          <t>→ Công ty muốn điều chỉnh cơ cấu thị trường.</t>
        </is>
      </c>
      <c r="E2950" s="92" t="inlineStr">
        <is>
          <t>公司想调整市场结构。 → Công ty muốn điều chỉnh cơ cấu thị trường.</t>
        </is>
      </c>
      <c r="F2950" s="114">
        <f>HYPERLINK("https://youglish.com/pronounce/公司想调整市场结构/chinese","🔍")</f>
        <v/>
      </c>
    </row>
    <row r="2951" ht="28.5" customHeight="1" s="99">
      <c r="A2951" s="94" t="inlineStr">
        <is>
          <t>PDF-Từ vựng phỏng vấn _ HỌC BÁ CHINESE.pdf</t>
        </is>
      </c>
      <c r="B2951" s="95" t="inlineStr">
        <is>
          <t>14</t>
        </is>
      </c>
      <c r="C2951" s="94" t="inlineStr">
        <is>
          <t>市场份额</t>
        </is>
      </c>
      <c r="D2951" s="94" t="inlineStr">
        <is>
          <t>shìchǎng fèn’é – thị phần</t>
        </is>
      </c>
      <c r="E2951" s="94" t="inlineStr">
        <is>
          <t>14. 市场份额 shìchǎng fèn’é – thị phần</t>
        </is>
      </c>
      <c r="F2951" s="115">
        <f>HYPERLINK("https://youglish.com/pronounce/市场份额/chinese","🔍")</f>
        <v/>
      </c>
    </row>
    <row r="2952" ht="28.5" customHeight="1" s="99">
      <c r="A2952" s="92" t="inlineStr">
        <is>
          <t>PDF-Từ vựng phỏng vấn _ HỌC BÁ CHINESE.pdf</t>
        </is>
      </c>
      <c r="B2952" s="93" t="inlineStr">
        <is>
          <t>133</t>
        </is>
      </c>
      <c r="C2952" s="92" t="inlineStr">
        <is>
          <t>我们努力增加市场份额</t>
        </is>
      </c>
      <c r="D2952" s="92" t="inlineStr">
        <is>
          <t>→ Chúng tôi nỗ lực tăng thị phần.</t>
        </is>
      </c>
      <c r="E2952" s="92" t="inlineStr">
        <is>
          <t>我们努力增加市场份额。 → Chúng tôi nỗ lực tăng thị phần.</t>
        </is>
      </c>
      <c r="F2952" s="114">
        <f>HYPERLINK("https://youglish.com/pronounce/我们努力增加市场份额/chinese","🔍")</f>
        <v/>
      </c>
    </row>
    <row r="2953" ht="28.5" customHeight="1" s="99">
      <c r="A2953" s="94" t="inlineStr">
        <is>
          <t>PDF-Từ vựng phỏng vấn _ HỌC BÁ CHINESE.pdf</t>
        </is>
      </c>
      <c r="B2953" s="95" t="inlineStr">
        <is>
          <t>15</t>
        </is>
      </c>
      <c r="C2953" s="94" t="inlineStr">
        <is>
          <t>成功经验</t>
        </is>
      </c>
      <c r="D2953" s="94" t="inlineStr">
        <is>
          <t>chénggōng jīngyàn – kinh nghiệm thành công</t>
        </is>
      </c>
      <c r="E2953" s="94" t="inlineStr">
        <is>
          <t>15. 成功经验 chénggōng jīngyàn – kinh nghiệm thành công</t>
        </is>
      </c>
      <c r="F2953" s="115">
        <f>HYPERLINK("https://youglish.com/pronounce/成功经验/chinese","🔍")</f>
        <v/>
      </c>
    </row>
    <row r="2954" ht="28.5" customHeight="1" s="99">
      <c r="A2954" s="92" t="inlineStr">
        <is>
          <t>PDF-Từ vựng phỏng vấn _ HỌC BÁ CHINESE.pdf</t>
        </is>
      </c>
      <c r="B2954" s="93" t="inlineStr">
        <is>
          <t>135</t>
        </is>
      </c>
      <c r="C2954" s="92" t="inlineStr">
        <is>
          <t>我有过市场推广的成功经验</t>
        </is>
      </c>
      <c r="D2954" s="92" t="inlineStr">
        <is>
          <t>→ Tôi có kinh nghiệm thành công trong việc phát triển thị trường.</t>
        </is>
      </c>
      <c r="E2954" s="92" t="inlineStr">
        <is>
          <t>我有过市场推广的成功经验。 → Tôi có kinh nghiệm thành công trong việc phát triển thị trường.</t>
        </is>
      </c>
      <c r="F2954" s="114">
        <f>HYPERLINK("https://youglish.com/pronounce/我有过市场推广的成功经验/chinese","🔍")</f>
        <v/>
      </c>
    </row>
    <row r="2955" ht="28.5" customHeight="1" s="99">
      <c r="A2955" s="94" t="inlineStr">
        <is>
          <t>PDF-Từ vựng phỏng vấn _ HỌC BÁ CHINESE.pdf</t>
        </is>
      </c>
      <c r="B2955" s="95" t="inlineStr">
        <is>
          <t>16</t>
        </is>
      </c>
      <c r="C2955" s="94" t="inlineStr">
        <is>
          <t>销售方案</t>
        </is>
      </c>
      <c r="D2955" s="94" t="inlineStr">
        <is>
          <t>xiāoshòu fāng’àn – phương án kinh doanh</t>
        </is>
      </c>
      <c r="E2955" s="94" t="inlineStr">
        <is>
          <t>16. 销售方案 xiāoshòu fāng’àn – phương án kinh doanh</t>
        </is>
      </c>
      <c r="F2955" s="115">
        <f>HYPERLINK("https://youglish.com/pronounce/销售方案/chinese","🔍")</f>
        <v/>
      </c>
    </row>
    <row r="2956" ht="28.5" customHeight="1" s="99">
      <c r="A2956" s="92" t="inlineStr">
        <is>
          <t>PDF-Từ vựng phỏng vấn _ HỌC BÁ CHINESE.pdf</t>
        </is>
      </c>
      <c r="B2956" s="93" t="inlineStr">
        <is>
          <t>137</t>
        </is>
      </c>
      <c r="C2956" s="92" t="inlineStr">
        <is>
          <t>我的销售方案提高了效益</t>
        </is>
      </c>
      <c r="D2956" s="92" t="inlineStr">
        <is>
          <t>→ Phương án kinh doanh của tôi nâng cao hiệu quả.</t>
        </is>
      </c>
      <c r="E2956" s="92" t="inlineStr">
        <is>
          <t>我的销售方案提高了效益。 → Phương án kinh doanh của tôi nâng cao hiệu quả.</t>
        </is>
      </c>
      <c r="F2956" s="114">
        <f>HYPERLINK("https://youglish.com/pronounce/我的销售方案提高了效益/chinese","🔍")</f>
        <v/>
      </c>
    </row>
    <row r="2957" ht="28.5" customHeight="1" s="99">
      <c r="A2957" s="94" t="inlineStr">
        <is>
          <t>PDF-Từ vựng phỏng vấn _ HỌC BÁ CHINESE.pdf</t>
        </is>
      </c>
      <c r="B2957" s="95" t="inlineStr">
        <is>
          <t>17</t>
        </is>
      </c>
      <c r="C2957" s="94" t="inlineStr">
        <is>
          <t>创造效益</t>
        </is>
      </c>
      <c r="D2957" s="94" t="inlineStr">
        <is>
          <t>chuàngzào xiàoyì – tạo ra hiệu quả</t>
        </is>
      </c>
      <c r="E2957" s="94" t="inlineStr">
        <is>
          <t>17. 创造效益 chuàngzào xiàoyì – tạo ra hiệu quả</t>
        </is>
      </c>
      <c r="F2957" s="115">
        <f>HYPERLINK("https://youglish.com/pronounce/创造效益/chinese","🔍")</f>
        <v/>
      </c>
    </row>
    <row r="2958" ht="28.5" customHeight="1" s="99">
      <c r="A2958" s="92" t="inlineStr">
        <is>
          <t>PDF-Từ vựng phỏng vấn _ HỌC BÁ CHINESE.pdf</t>
        </is>
      </c>
      <c r="B2958" s="93" t="inlineStr">
        <is>
          <t>139</t>
        </is>
      </c>
      <c r="C2958" s="92" t="inlineStr">
        <is>
          <t>新策略为公司创造效益</t>
        </is>
      </c>
      <c r="D2958" s="92" t="inlineStr">
        <is>
          <t>→ Chiến lược mới tạo hiệu quả cho công ty.</t>
        </is>
      </c>
      <c r="E2958" s="92" t="inlineStr">
        <is>
          <t>新策略为公司创造效益。 → Chiến lược mới tạo hiệu quả cho công ty.</t>
        </is>
      </c>
      <c r="F2958" s="114">
        <f>HYPERLINK("https://youglish.com/pronounce/新策略为公司创造效益/chinese","🔍")</f>
        <v/>
      </c>
    </row>
    <row r="2959" ht="28.5" customHeight="1" s="99">
      <c r="A2959" s="94" t="inlineStr">
        <is>
          <t>PDF-Từ vựng phỏng vấn _ HỌC BÁ CHINESE.pdf</t>
        </is>
      </c>
      <c r="B2959" s="95" t="inlineStr">
        <is>
          <t>18</t>
        </is>
      </c>
      <c r="C2959" s="94" t="inlineStr">
        <is>
          <t>原来的公司</t>
        </is>
      </c>
      <c r="D2959" s="94" t="inlineStr">
        <is>
          <t>yuánlái de gōngsī – công ty trước đây</t>
        </is>
      </c>
      <c r="E2959" s="94" t="inlineStr">
        <is>
          <t>18. 原来的公司 yuánlái de gōngsī – công ty trước đây</t>
        </is>
      </c>
      <c r="F2959" s="115">
        <f>HYPERLINK("https://youglish.com/pronounce/原来的公司/chinese","🔍")</f>
        <v/>
      </c>
    </row>
    <row r="2960" ht="28.5" customHeight="1" s="99">
      <c r="A2960" s="92" t="inlineStr">
        <is>
          <t>PDF-Từ vựng phỏng vấn _ HỌC BÁ CHINESE.pdf</t>
        </is>
      </c>
      <c r="B2960" s="93" t="inlineStr">
        <is>
          <t>141</t>
        </is>
      </c>
      <c r="C2960" s="92" t="inlineStr">
        <is>
          <t>我在原来的公司负责市场</t>
        </is>
      </c>
      <c r="D2960" s="92" t="inlineStr">
        <is>
          <t>→ Tôi phụ trách thị trường ở công ty trước đây.</t>
        </is>
      </c>
      <c r="E2960" s="92" t="inlineStr">
        <is>
          <t>我在原来的公司负责市场。 → Tôi phụ trách thị trường ở công ty trước đây.</t>
        </is>
      </c>
      <c r="F2960" s="114">
        <f>HYPERLINK("https://youglish.com/pronounce/我在原来的公司负责市场/chinese","🔍")</f>
        <v/>
      </c>
    </row>
    <row r="2961" ht="28.5" customHeight="1" s="99">
      <c r="A2961" s="94" t="inlineStr">
        <is>
          <t>PDF-Từ vựng phỏng vấn _ HỌC BÁ CHINESE.pdf</t>
        </is>
      </c>
      <c r="B2961" s="95" t="inlineStr">
        <is>
          <t>19</t>
        </is>
      </c>
      <c r="C2961" s="94" t="inlineStr">
        <is>
          <t>个人简历</t>
        </is>
      </c>
      <c r="D2961" s="94" t="inlineStr">
        <is>
          <t>gèrén jiǎnlì – sơ yếu lý lịch</t>
        </is>
      </c>
      <c r="E2961" s="94" t="inlineStr">
        <is>
          <t>19. 个人简历 gèrén jiǎnlì – sơ yếu lý lịch</t>
        </is>
      </c>
      <c r="F2961" s="115">
        <f>HYPERLINK("https://youglish.com/pronounce/个人简历/chinese","🔍")</f>
        <v/>
      </c>
    </row>
    <row r="2962" ht="28.5" customHeight="1" s="99">
      <c r="A2962" s="92" t="inlineStr">
        <is>
          <t>PDF-Từ vựng phỏng vấn _ HỌC BÁ CHINESE.pdf</t>
        </is>
      </c>
      <c r="B2962" s="93" t="inlineStr">
        <is>
          <t>143</t>
        </is>
      </c>
      <c r="C2962" s="92" t="inlineStr">
        <is>
          <t>你在个人简历里写得很详细</t>
        </is>
      </c>
      <c r="D2962" s="92" t="inlineStr">
        <is>
          <t>→ Bạn viết rất chi tiết trong CV.</t>
        </is>
      </c>
      <c r="E2962" s="92" t="inlineStr">
        <is>
          <t>你在个人简历里写得很详细。 → Bạn viết rất chi tiết trong CV.</t>
        </is>
      </c>
      <c r="F2962" s="114">
        <f>HYPERLINK("https://youglish.com/pronounce/你在个人简历里写得很详细/chinese","🔍")</f>
        <v/>
      </c>
    </row>
    <row r="2963" ht="28.5" customHeight="1" s="99">
      <c r="A2963" s="94" t="inlineStr">
        <is>
          <t>PDF-Từ vựng phỏng vấn _ HỌC BÁ CHINESE.pdf</t>
        </is>
      </c>
      <c r="B2963" s="95" t="inlineStr">
        <is>
          <t>20</t>
        </is>
      </c>
      <c r="C2963" s="94" t="inlineStr">
        <is>
          <t>突破</t>
        </is>
      </c>
      <c r="D2963" s="94" t="inlineStr">
        <is>
          <t>tūpò – đột phá</t>
        </is>
      </c>
      <c r="E2963" s="94" t="inlineStr">
        <is>
          <t>20. 突破 tūpò – đột phá</t>
        </is>
      </c>
      <c r="F2963" s="115">
        <f>HYPERLINK("https://youglish.com/pronounce/突破/chinese","🔍")</f>
        <v/>
      </c>
    </row>
    <row r="2964" ht="28.5" customHeight="1" s="99">
      <c r="A2964" s="92" t="inlineStr">
        <is>
          <t>PDF-Từ vựng phỏng vấn _ HỌC BÁ CHINESE.pdf</t>
        </is>
      </c>
      <c r="B2964" s="93" t="inlineStr">
        <is>
          <t>145</t>
        </is>
      </c>
      <c r="C2964" s="92" t="inlineStr">
        <is>
          <t>希望你能取得新的突破</t>
        </is>
      </c>
      <c r="D2964" s="92" t="inlineStr">
        <is>
          <t>→ Hy vọng bạn đạt được đột phá mới.</t>
        </is>
      </c>
      <c r="E2964" s="92" t="inlineStr">
        <is>
          <t>希望你能取得新的突破。 → Hy vọng bạn đạt được đột phá mới.</t>
        </is>
      </c>
      <c r="F2964" s="114">
        <f>HYPERLINK("https://youglish.com/pronounce/希望你能取得新的突破/chinese","🔍")</f>
        <v/>
      </c>
    </row>
    <row r="2965" ht="28.5" customHeight="1" s="99">
      <c r="A2965" s="94" t="inlineStr">
        <is>
          <t>PDF-Từ vựng phỏng vấn _ HỌC BÁ CHINESE.pdf</t>
        </is>
      </c>
      <c r="B2965" s="95" t="inlineStr">
        <is>
          <t>21</t>
        </is>
      </c>
      <c r="C2965" s="94" t="inlineStr">
        <is>
          <t>信任</t>
        </is>
      </c>
      <c r="D2965" s="94" t="inlineStr">
        <is>
          <t>xìnrèn – tin tưởng</t>
        </is>
      </c>
      <c r="E2965" s="94" t="inlineStr">
        <is>
          <t>21. 信任 xìnrèn – tin tưởng</t>
        </is>
      </c>
      <c r="F2965" s="115">
        <f>HYPERLINK("https://youglish.com/pronounce/信任/chinese","🔍")</f>
        <v/>
      </c>
    </row>
    <row r="2966" ht="28.5" customHeight="1" s="99">
      <c r="A2966" s="92" t="inlineStr">
        <is>
          <t>PDF-Từ vựng phỏng vấn _ HỌC BÁ CHINESE.pdf</t>
        </is>
      </c>
      <c r="B2966" s="93" t="inlineStr">
        <is>
          <t>147</t>
        </is>
      </c>
      <c r="C2966" s="92" t="inlineStr">
        <is>
          <t>谢谢你的信任</t>
        </is>
      </c>
      <c r="D2966" s="92" t="inlineStr">
        <is>
          <t>→ Cảm ơn sự tin tưởng của bạn.</t>
        </is>
      </c>
      <c r="E2966" s="92" t="inlineStr">
        <is>
          <t>谢谢你的信任。 → Cảm ơn sự tin tưởng của bạn.</t>
        </is>
      </c>
      <c r="F2966" s="114">
        <f>HYPERLINK("https://youglish.com/pronounce/谢谢你的信任/chinese","🔍")</f>
        <v/>
      </c>
    </row>
    <row r="2967" ht="28.5" customHeight="1" s="99">
      <c r="A2967" s="94" t="inlineStr">
        <is>
          <t>PDF-Từ vựng phỏng vấn _ HỌC BÁ CHINESE.pdf</t>
        </is>
      </c>
      <c r="B2967" s="95" t="inlineStr">
        <is>
          <t>22</t>
        </is>
      </c>
      <c r="C2967" s="94" t="inlineStr">
        <is>
          <t>方面</t>
        </is>
      </c>
      <c r="D2967" s="94" t="inlineStr">
        <is>
          <t>fāngmiàn – phương diện / lĩnh vực</t>
        </is>
      </c>
      <c r="E2967" s="94" t="inlineStr">
        <is>
          <t>22. 方面 fāngmiàn – phương diện / lĩnh vực</t>
        </is>
      </c>
      <c r="F2967" s="115">
        <f>HYPERLINK("https://youglish.com/pronounce/方面/chinese","🔍")</f>
        <v/>
      </c>
    </row>
    <row r="2968" ht="28.5" customHeight="1" s="99">
      <c r="A2968" s="92" t="inlineStr">
        <is>
          <t>PDF-Từ vựng phỏng vấn _ HỌC BÁ CHINESE.pdf</t>
        </is>
      </c>
      <c r="B2968" s="93" t="inlineStr">
        <is>
          <t>149</t>
        </is>
      </c>
      <c r="C2968" s="92" t="inlineStr">
        <is>
          <t>你在哪个方面有经验</t>
        </is>
      </c>
      <c r="D2968" s="92" t="inlineStr">
        <is>
          <t>→ Bạn có kinh nghiệm ở lĩnh vực nào?</t>
        </is>
      </c>
      <c r="E2968" s="92" t="inlineStr">
        <is>
          <t>你在哪个方面有经验？ → Bạn có kinh nghiệm ở lĩnh vực nào?</t>
        </is>
      </c>
      <c r="F2968" s="114">
        <f>HYPERLINK("https://youglish.com/pronounce/你在哪个方面有经验/chinese","🔍")</f>
        <v/>
      </c>
    </row>
    <row r="2969" ht="28.5" customHeight="1" s="99">
      <c r="A2969" s="94" t="inlineStr">
        <is>
          <t>PDF-Từ vựng phỏng vấn _ HỌC BÁ CHINESE.pdf</t>
        </is>
      </c>
      <c r="B2969" s="95" t="inlineStr">
        <is>
          <t>23</t>
        </is>
      </c>
      <c r="C2969" s="94" t="inlineStr">
        <is>
          <t>突出</t>
        </is>
      </c>
      <c r="D2969" s="94" t="inlineStr">
        <is>
          <t>tūchū – nổi bật</t>
        </is>
      </c>
      <c r="E2969" s="94" t="inlineStr">
        <is>
          <t>23. 突出 tūchū – nổi bật</t>
        </is>
      </c>
      <c r="F2969" s="115">
        <f>HYPERLINK("https://youglish.com/pronounce/突出/chinese","🔍")</f>
        <v/>
      </c>
    </row>
    <row r="2970" ht="28.5" customHeight="1" s="99">
      <c r="A2970" s="92" t="inlineStr">
        <is>
          <t>PDF-Từ vựng phỏng vấn _ HỌC BÁ CHINESE.pdf</t>
        </is>
      </c>
      <c r="B2970" s="93" t="inlineStr">
        <is>
          <t>151</t>
        </is>
      </c>
      <c r="C2970" s="92" t="inlineStr">
        <is>
          <t>公司业绩非常突出</t>
        </is>
      </c>
      <c r="D2970" s="92" t="inlineStr">
        <is>
          <t>→ Thành tích công ty rất nổi bật.</t>
        </is>
      </c>
      <c r="E2970" s="92" t="inlineStr">
        <is>
          <t>公司业绩非常突出。 → Thành tích công ty rất nổi bật.</t>
        </is>
      </c>
      <c r="F2970" s="114">
        <f>HYPERLINK("https://youglish.com/pronounce/公司业绩非常突出/chinese","🔍")</f>
        <v/>
      </c>
    </row>
    <row r="2971" ht="28.5" customHeight="1" s="99">
      <c r="A2971" s="94" t="inlineStr">
        <is>
          <t>PDF-Từ vựng phỏng vấn _ HỌC BÁ CHINESE.pdf</t>
        </is>
      </c>
      <c r="B2971" s="95" t="inlineStr">
        <is>
          <t>24</t>
        </is>
      </c>
      <c r="C2971" s="94" t="inlineStr">
        <is>
          <t>调整</t>
        </is>
      </c>
      <c r="D2971" s="94" t="inlineStr">
        <is>
          <t>tiáozhěng – điều chỉnh</t>
        </is>
      </c>
      <c r="E2971" s="94" t="inlineStr">
        <is>
          <t>24. 调整 tiáozhěng – điều chỉnh</t>
        </is>
      </c>
      <c r="F2971" s="115">
        <f>HYPERLINK("https://youglish.com/pronounce/调整/chinese","🔍")</f>
        <v/>
      </c>
    </row>
    <row r="2972" ht="28.5" customHeight="1" s="99">
      <c r="A2972" s="92" t="inlineStr">
        <is>
          <t>PDF-Từ vựng phỏng vấn _ HỌC BÁ CHINESE.pdf</t>
        </is>
      </c>
      <c r="B2972" s="93" t="inlineStr">
        <is>
          <t>153</t>
        </is>
      </c>
      <c r="C2972" s="92" t="inlineStr">
        <is>
          <t>我们需要调整营销策略</t>
        </is>
      </c>
      <c r="D2972" s="92" t="inlineStr">
        <is>
          <t>→ Chúng ta cần điều chỉnh chiến lược marketing.</t>
        </is>
      </c>
      <c r="E2972" s="92" t="inlineStr">
        <is>
          <t>我们需要调整营销策略。 → Chúng ta cần điều chỉnh chiến lược marketing.</t>
        </is>
      </c>
      <c r="F2972" s="114">
        <f>HYPERLINK("https://youglish.com/pronounce/我们需要调整营销策略/chinese","🔍")</f>
        <v/>
      </c>
    </row>
    <row r="2973" ht="28.5" customHeight="1" s="99">
      <c r="A2973" s="94" t="inlineStr">
        <is>
          <t>PDF-Từ vựng phỏng vấn _ HỌC BÁ CHINESE.pdf</t>
        </is>
      </c>
      <c r="B2973" s="95" t="inlineStr">
        <is>
          <t>25</t>
        </is>
      </c>
      <c r="C2973" s="94" t="inlineStr">
        <is>
          <t>增加</t>
        </is>
      </c>
      <c r="D2973" s="94" t="inlineStr">
        <is>
          <t>zēngjiā – tăng thêm</t>
        </is>
      </c>
      <c r="E2973" s="94" t="inlineStr">
        <is>
          <t>25. 增加 zēngjiā – tăng thêm</t>
        </is>
      </c>
      <c r="F2973" s="115">
        <f>HYPERLINK("https://youglish.com/pronounce/增加/chinese","🔍")</f>
        <v/>
      </c>
    </row>
    <row r="2974" ht="28.5" customHeight="1" s="99">
      <c r="A2974" s="92" t="inlineStr">
        <is>
          <t>PDF-Từ vựng phỏng vấn _ HỌC BÁ CHINESE.pdf</t>
        </is>
      </c>
      <c r="B2974" s="93" t="inlineStr">
        <is>
          <t>155</t>
        </is>
      </c>
      <c r="C2974" s="92" t="inlineStr">
        <is>
          <t>公司计划增加市场份额</t>
        </is>
      </c>
      <c r="D2974" s="92" t="inlineStr">
        <is>
          <t>→ Công ty dự định tăng thêm thị phần.</t>
        </is>
      </c>
      <c r="E2974" s="92" t="inlineStr">
        <is>
          <t>公司计划增加市场份额。 → Công ty dự định tăng thêm thị phần.</t>
        </is>
      </c>
      <c r="F2974" s="114">
        <f>HYPERLINK("https://youglish.com/pronounce/公司计划增加市场份额/chinese","🔍")</f>
        <v/>
      </c>
    </row>
    <row r="2975" ht="28.5" customHeight="1" s="99">
      <c r="A2975" s="94" t="inlineStr">
        <is>
          <t>PDF-Từ vựng phỏng vấn _ HỌC BÁ CHINESE.pdf</t>
        </is>
      </c>
      <c r="B2975" s="95" t="inlineStr">
        <is>
          <t>156</t>
        </is>
      </c>
      <c r="C2975" s="94" t="inlineStr">
        <is>
          <t>个人性格</t>
        </is>
      </c>
      <c r="D2975" s="94" t="inlineStr">
        <is>
          <t>Bài 4.个人性格 (Tính cách cá nhân)</t>
        </is>
      </c>
      <c r="E2975" s="94" t="inlineStr">
        <is>
          <t>Bài 4.个人性格 (Tính cách cá nhân)</t>
        </is>
      </c>
      <c r="F2975" s="115">
        <f>HYPERLINK("https://youglish.com/pronounce/个人性格/chinese","🔍")</f>
        <v/>
      </c>
    </row>
    <row r="2976" ht="28.5" customHeight="1" s="99">
      <c r="A2976" s="92" t="inlineStr">
        <is>
          <t>PDF-Từ vựng phỏng vấn _ HỌC BÁ CHINESE.pdf</t>
        </is>
      </c>
      <c r="B2976" s="93" t="inlineStr">
        <is>
          <t>1</t>
        </is>
      </c>
      <c r="C2976" s="92" t="inlineStr">
        <is>
          <t>性格</t>
        </is>
      </c>
      <c r="D2976" s="92" t="inlineStr">
        <is>
          <t>xìnggé – tính cách</t>
        </is>
      </c>
      <c r="E2976" s="92" t="inlineStr">
        <is>
          <t>1. 性格 xìnggé – tính cách</t>
        </is>
      </c>
      <c r="F2976" s="114">
        <f>HYPERLINK("https://youglish.com/pronounce/性格/chinese","🔍")</f>
        <v/>
      </c>
    </row>
    <row r="2977" ht="28.5" customHeight="1" s="99">
      <c r="A2977" s="94" t="inlineStr">
        <is>
          <t>PDF-Từ vựng phỏng vấn _ HỌC BÁ CHINESE.pdf</t>
        </is>
      </c>
      <c r="B2977" s="95" t="inlineStr">
        <is>
          <t>158</t>
        </is>
      </c>
      <c r="C2977" s="94" t="inlineStr">
        <is>
          <t>她的性格很开朗</t>
        </is>
      </c>
      <c r="D2977" s="94" t="inlineStr">
        <is>
          <t>→ Tính cách của cô ấy rất cởi mở.</t>
        </is>
      </c>
      <c r="E2977" s="94" t="inlineStr">
        <is>
          <t>她的性格很开朗。 → Tính cách của cô ấy rất cởi mở.</t>
        </is>
      </c>
      <c r="F2977" s="115">
        <f>HYPERLINK("https://youglish.com/pronounce/她的性格很开朗/chinese","🔍")</f>
        <v/>
      </c>
    </row>
    <row r="2978" ht="28.5" customHeight="1" s="99">
      <c r="A2978" s="92" t="inlineStr">
        <is>
          <t>PDF-Từ vựng phỏng vấn _ HỌC BÁ CHINESE.pdf</t>
        </is>
      </c>
      <c r="B2978" s="93" t="inlineStr">
        <is>
          <t>2</t>
        </is>
      </c>
      <c r="C2978" s="92" t="inlineStr">
        <is>
          <t>活力</t>
        </is>
      </c>
      <c r="D2978" s="92" t="inlineStr">
        <is>
          <t>huólì – năng lượng/sức sống</t>
        </is>
      </c>
      <c r="E2978" s="92" t="inlineStr">
        <is>
          <t>2. 活力 huólì – năng lượng/sức sống</t>
        </is>
      </c>
      <c r="F2978" s="114">
        <f>HYPERLINK("https://youglish.com/pronounce/活力/chinese","🔍")</f>
        <v/>
      </c>
    </row>
    <row r="2979" ht="28.5" customHeight="1" s="99">
      <c r="A2979" s="94" t="inlineStr">
        <is>
          <t>PDF-Từ vựng phỏng vấn _ HỌC BÁ CHINESE.pdf</t>
        </is>
      </c>
      <c r="B2979" s="95" t="inlineStr">
        <is>
          <t>160</t>
        </is>
      </c>
      <c r="C2979" s="94" t="inlineStr">
        <is>
          <t>他是个充满活力的人</t>
        </is>
      </c>
      <c r="D2979" s="94" t="inlineStr">
        <is>
          <t>→ Anh ấy là người tràn đầy năng lượng.</t>
        </is>
      </c>
      <c r="E2979" s="94" t="inlineStr">
        <is>
          <t>他是个充满活力的人。 → Anh ấy là người tràn đầy năng lượng.</t>
        </is>
      </c>
      <c r="F2979" s="115">
        <f>HYPERLINK("https://youglish.com/pronounce/他是个充满活力的人/chinese","🔍")</f>
        <v/>
      </c>
    </row>
    <row r="2980" ht="28.5" customHeight="1" s="99">
      <c r="A2980" s="92" t="inlineStr">
        <is>
          <t>PDF-Từ vựng phỏng vấn _ HỌC BÁ CHINESE.pdf</t>
        </is>
      </c>
      <c r="B2980" s="93" t="inlineStr">
        <is>
          <t>3</t>
        </is>
      </c>
      <c r="C2980" s="92" t="inlineStr">
        <is>
          <t>积极</t>
        </is>
      </c>
      <c r="D2980" s="92" t="inlineStr">
        <is>
          <t>jījí – tích cực</t>
        </is>
      </c>
      <c r="E2980" s="92" t="inlineStr">
        <is>
          <t>3. 积极 jījí – tích cực</t>
        </is>
      </c>
      <c r="F2980" s="114">
        <f>HYPERLINK("https://youglish.com/pronounce/积极/chinese","🔍")</f>
        <v/>
      </c>
    </row>
    <row r="2981" ht="28.5" customHeight="1" s="99">
      <c r="A2981" s="94" t="inlineStr">
        <is>
          <t>PDF-Từ vựng phỏng vấn _ HỌC BÁ CHINESE.pdf</t>
        </is>
      </c>
      <c r="B2981" s="95" t="inlineStr">
        <is>
          <t>162</t>
        </is>
      </c>
      <c r="C2981" s="94" t="inlineStr">
        <is>
          <t>他对工作一直很积极</t>
        </is>
      </c>
      <c r="D2981" s="94" t="inlineStr">
        <is>
          <t>→ Anh ấy luôn rất tích cực trong công việc.</t>
        </is>
      </c>
      <c r="E2981" s="94" t="inlineStr">
        <is>
          <t>他对工作一直很积极。 → Anh ấy luôn rất tích cực trong công việc.</t>
        </is>
      </c>
      <c r="F2981" s="115">
        <f>HYPERLINK("https://youglish.com/pronounce/他对工作一直很积极/chinese","🔍")</f>
        <v/>
      </c>
    </row>
    <row r="2982" ht="28.5" customHeight="1" s="99">
      <c r="A2982" s="92" t="inlineStr">
        <is>
          <t>PDF-Từ vựng phỏng vấn _ HỌC BÁ CHINESE.pdf</t>
        </is>
      </c>
      <c r="B2982" s="93" t="inlineStr">
        <is>
          <t>4</t>
        </is>
      </c>
      <c r="C2982" s="92" t="inlineStr">
        <is>
          <t>热诚</t>
        </is>
      </c>
      <c r="D2982" s="92" t="inlineStr">
        <is>
          <t>rèchéng – nhiệt thành</t>
        </is>
      </c>
      <c r="E2982" s="92" t="inlineStr">
        <is>
          <t>4. 热诚 rèchéng – nhiệt thành</t>
        </is>
      </c>
      <c r="F2982" s="114">
        <f>HYPERLINK("https://youglish.com/pronounce/热诚/chinese","🔍")</f>
        <v/>
      </c>
    </row>
    <row r="2983" ht="28.5" customHeight="1" s="99">
      <c r="A2983" s="94" t="inlineStr">
        <is>
          <t>PDF-Từ vựng phỏng vấn _ HỌC BÁ CHINESE.pdf</t>
        </is>
      </c>
      <c r="B2983" s="95" t="inlineStr">
        <is>
          <t>164</t>
        </is>
      </c>
      <c r="C2983" s="94" t="inlineStr">
        <is>
          <t>她热诚地帮助同事</t>
        </is>
      </c>
      <c r="D2983" s="94" t="inlineStr">
        <is>
          <t>→ Cô ấy nhiệt thành giúp đỡ đồng nghiệp.</t>
        </is>
      </c>
      <c r="E2983" s="94" t="inlineStr">
        <is>
          <t>她热诚地帮助同事。 → Cô ấy nhiệt thành giúp đỡ đồng nghiệp.</t>
        </is>
      </c>
      <c r="F2983" s="115">
        <f>HYPERLINK("https://youglish.com/pronounce/她热诚地帮助同事/chinese","🔍")</f>
        <v/>
      </c>
    </row>
    <row r="2984" ht="28.5" customHeight="1" s="99">
      <c r="A2984" s="92" t="inlineStr">
        <is>
          <t>PDF-Từ vựng phỏng vấn _ HỌC BÁ CHINESE.pdf</t>
        </is>
      </c>
      <c r="B2984" s="93" t="inlineStr">
        <is>
          <t>5</t>
        </is>
      </c>
      <c r="C2984" s="92" t="inlineStr">
        <is>
          <t>敷衍</t>
        </is>
      </c>
      <c r="D2984" s="92" t="inlineStr">
        <is>
          <t>fūyǎn – qua loa / làm cho có</t>
        </is>
      </c>
      <c r="E2984" s="92" t="inlineStr">
        <is>
          <t>5. 敷衍 fūyǎn – qua loa / làm cho có</t>
        </is>
      </c>
      <c r="F2984" s="114">
        <f>HYPERLINK("https://youglish.com/pronounce/敷衍/chinese","🔍")</f>
        <v/>
      </c>
    </row>
    <row r="2985" ht="28.5" customHeight="1" s="99">
      <c r="A2985" s="94" t="inlineStr">
        <is>
          <t>PDF-Từ vựng phỏng vấn _ HỌC BÁ CHINESE.pdf</t>
        </is>
      </c>
      <c r="B2985" s="95" t="inlineStr">
        <is>
          <t>166</t>
        </is>
      </c>
      <c r="C2985" s="94" t="inlineStr">
        <is>
          <t>我不喜欢别人敷衍工作</t>
        </is>
      </c>
      <c r="D2985" s="94" t="inlineStr">
        <is>
          <t>→ Tôi không thích người khác làm việc qua loa.</t>
        </is>
      </c>
      <c r="E2985" s="94" t="inlineStr">
        <is>
          <t>我不喜欢别人敷衍工作。 → Tôi không thích người khác làm việc qua loa.</t>
        </is>
      </c>
      <c r="F2985" s="115">
        <f>HYPERLINK("https://youglish.com/pronounce/我不喜欢别人敷衍工作/chinese","🔍")</f>
        <v/>
      </c>
    </row>
    <row r="2986" ht="28.5" customHeight="1" s="99">
      <c r="A2986" s="92" t="inlineStr">
        <is>
          <t>PDF-Từ vựng phỏng vấn _ HỌC BÁ CHINESE.pdf</t>
        </is>
      </c>
      <c r="B2986" s="93" t="inlineStr">
        <is>
          <t>6</t>
        </is>
      </c>
      <c r="C2986" s="92" t="inlineStr">
        <is>
          <t>涂而废</t>
        </is>
      </c>
      <c r="D2986" s="92" t="inlineStr">
        <is>
          <t>tú’érfèi – làm qua loa rồi bỏ dở</t>
        </is>
      </c>
      <c r="E2986" s="92" t="inlineStr">
        <is>
          <t>6. 涂而废 tú’érfèi – làm qua loa rồi bỏ dở</t>
        </is>
      </c>
      <c r="F2986" s="114">
        <f>HYPERLINK("https://youglish.com/pronounce/涂而废/chinese","🔍")</f>
        <v/>
      </c>
    </row>
    <row r="2987" ht="28.5" customHeight="1" s="99">
      <c r="A2987" s="94" t="inlineStr">
        <is>
          <t>PDF-Từ vựng phỏng vấn _ HỌC BÁ CHINESE.pdf</t>
        </is>
      </c>
      <c r="B2987" s="95" t="inlineStr">
        <is>
          <t>168</t>
        </is>
      </c>
      <c r="C2987" s="94" t="inlineStr">
        <is>
          <t>他做事从不涂而废</t>
        </is>
      </c>
      <c r="D2987" s="94" t="inlineStr">
        <is>
          <t>→ Anh ấy làm việc không bao giờ bỏ dở.</t>
        </is>
      </c>
      <c r="E2987" s="94" t="inlineStr">
        <is>
          <t>他做事从不涂而废。 → Anh ấy làm việc không bao giờ bỏ dở.</t>
        </is>
      </c>
      <c r="F2987" s="115">
        <f>HYPERLINK("https://youglish.com/pronounce/他做事从不涂而废/chinese","🔍")</f>
        <v/>
      </c>
    </row>
    <row r="2988" ht="28.5" customHeight="1" s="99">
      <c r="A2988" s="92" t="inlineStr">
        <is>
          <t>PDF-Từ vựng phỏng vấn _ HỌC BÁ CHINESE.pdf</t>
        </is>
      </c>
      <c r="B2988" s="93" t="inlineStr">
        <is>
          <t>7</t>
        </is>
      </c>
      <c r="C2988" s="92" t="inlineStr">
        <is>
          <t>幸福</t>
        </is>
      </c>
      <c r="D2988" s="92" t="inlineStr">
        <is>
          <t>xìngfú – hạnh phúc</t>
        </is>
      </c>
      <c r="E2988" s="92" t="inlineStr">
        <is>
          <t>7. 幸福 xìngfú – hạnh phúc</t>
        </is>
      </c>
      <c r="F2988" s="114">
        <f>HYPERLINK("https://youglish.com/pronounce/幸福/chinese","🔍")</f>
        <v/>
      </c>
    </row>
    <row r="2989" ht="28.5" customHeight="1" s="99">
      <c r="A2989" s="94" t="inlineStr">
        <is>
          <t>PDF-Từ vựng phỏng vấn _ HỌC BÁ CHINESE.pdf</t>
        </is>
      </c>
      <c r="B2989" s="95" t="inlineStr">
        <is>
          <t>170</t>
        </is>
      </c>
      <c r="C2989" s="94" t="inlineStr">
        <is>
          <t>对我来说家庭是最大的幸福</t>
        </is>
      </c>
      <c r="D2989" s="94" t="inlineStr">
        <is>
          <t>→ Với tôi gia đình là hạnh phúc lớn nhất.</t>
        </is>
      </c>
      <c r="E2989" s="94" t="inlineStr">
        <is>
          <t>对我来说家庭是最大的幸福。 → Với tôi gia đình là hạnh phúc lớn nhất.</t>
        </is>
      </c>
      <c r="F2989" s="115">
        <f>HYPERLINK("https://youglish.com/pronounce/对我来说家庭是最大的幸福/chinese","🔍")</f>
        <v/>
      </c>
    </row>
    <row r="2990" ht="28.5" customHeight="1" s="99">
      <c r="A2990" s="92" t="inlineStr">
        <is>
          <t>PDF-Từ vựng phỏng vấn _ HỌC BÁ CHINESE.pdf</t>
        </is>
      </c>
      <c r="B2990" s="93" t="inlineStr">
        <is>
          <t>8</t>
        </is>
      </c>
      <c r="C2990" s="92" t="inlineStr">
        <is>
          <t>原则</t>
        </is>
      </c>
      <c r="D2990" s="92" t="inlineStr">
        <is>
          <t>yuánzé – nguyên tắc</t>
        </is>
      </c>
      <c r="E2990" s="92" t="inlineStr">
        <is>
          <t>8. 原则 yuánzé – nguyên tắc</t>
        </is>
      </c>
      <c r="F2990" s="114">
        <f>HYPERLINK("https://youglish.com/pronounce/原则/chinese","🔍")</f>
        <v/>
      </c>
    </row>
    <row r="2991" ht="28.5" customHeight="1" s="99">
      <c r="A2991" s="94" t="inlineStr">
        <is>
          <t>PDF-Từ vựng phỏng vấn _ HỌC BÁ CHINESE.pdf</t>
        </is>
      </c>
      <c r="B2991" s="95" t="inlineStr">
        <is>
          <t>172</t>
        </is>
      </c>
      <c r="C2991" s="94" t="inlineStr">
        <is>
          <t>我做事有自己的原则</t>
        </is>
      </c>
      <c r="D2991" s="94" t="inlineStr">
        <is>
          <t>→ Tôi làm việc có nguyên tắc của riêng mình.</t>
        </is>
      </c>
      <c r="E2991" s="94" t="inlineStr">
        <is>
          <t>我做事有自己的原则。 → Tôi làm việc có nguyên tắc của riêng mình.</t>
        </is>
      </c>
      <c r="F2991" s="115">
        <f>HYPERLINK("https://youglish.com/pronounce/我做事有自己的原则/chinese","🔍")</f>
        <v/>
      </c>
    </row>
    <row r="2992" ht="28.5" customHeight="1" s="99">
      <c r="A2992" s="92" t="inlineStr">
        <is>
          <t>PDF-Từ vựng phỏng vấn _ HỌC BÁ CHINESE.pdf</t>
        </is>
      </c>
      <c r="B2992" s="93" t="inlineStr">
        <is>
          <t>9</t>
        </is>
      </c>
      <c r="C2992" s="92" t="inlineStr">
        <is>
          <t>规律</t>
        </is>
      </c>
      <c r="D2992" s="92" t="inlineStr">
        <is>
          <t>guīlǜ – quy luật / nề nếp</t>
        </is>
      </c>
      <c r="E2992" s="92" t="inlineStr">
        <is>
          <t>9. 规律 guīlǜ – quy luật / nề nếp</t>
        </is>
      </c>
      <c r="F2992" s="114">
        <f>HYPERLINK("https://youglish.com/pronounce/规律/chinese","🔍")</f>
        <v/>
      </c>
    </row>
    <row r="2993" ht="28.5" customHeight="1" s="99">
      <c r="A2993" s="94" t="inlineStr">
        <is>
          <t>PDF-Từ vựng phỏng vấn _ HỌC BÁ CHINESE.pdf</t>
        </is>
      </c>
      <c r="B2993" s="95" t="inlineStr">
        <is>
          <t>174</t>
        </is>
      </c>
      <c r="C2993" s="94" t="inlineStr">
        <is>
          <t>我每天生活得很有规律</t>
        </is>
      </c>
      <c r="D2993" s="94" t="inlineStr">
        <is>
          <t>→ Mỗi ngày tôi sống rất nề nếp.</t>
        </is>
      </c>
      <c r="E2993" s="94" t="inlineStr">
        <is>
          <t>我每天生活得很有规律。 → Mỗi ngày tôi sống rất nề nếp.</t>
        </is>
      </c>
      <c r="F2993" s="115">
        <f>HYPERLINK("https://youglish.com/pronounce/我每天生活得很有规律/chinese","🔍")</f>
        <v/>
      </c>
    </row>
    <row r="2994" ht="28.5" customHeight="1" s="99">
      <c r="A2994" s="92" t="inlineStr">
        <is>
          <t>PDF-Từ vựng phỏng vấn _ HỌC BÁ CHINESE.pdf</t>
        </is>
      </c>
      <c r="B2994" s="93" t="inlineStr">
        <is>
          <t>10</t>
        </is>
      </c>
      <c r="C2994" s="92" t="inlineStr">
        <is>
          <t>信息安排</t>
        </is>
      </c>
      <c r="D2994" s="92" t="inlineStr">
        <is>
          <t>xìnxī ānpái – sắp xếp thông tin / kế hoạch</t>
        </is>
      </c>
      <c r="E2994" s="92" t="inlineStr">
        <is>
          <t>10. 信息安排 xìnxī ānpái – sắp xếp thông tin / kế hoạch</t>
        </is>
      </c>
      <c r="F2994" s="114">
        <f>HYPERLINK("https://youglish.com/pronounce/信息安排/chinese","🔍")</f>
        <v/>
      </c>
    </row>
    <row r="2995" ht="28.5" customHeight="1" s="99">
      <c r="A2995" s="94" t="inlineStr">
        <is>
          <t>PDF-Từ vựng phỏng vấn _ HỌC BÁ CHINESE.pdf</t>
        </is>
      </c>
      <c r="B2995" s="95" t="inlineStr">
        <is>
          <t>176</t>
        </is>
      </c>
      <c r="C2995" s="94" t="inlineStr">
        <is>
          <t>我努力遵守每天的信息安排</t>
        </is>
      </c>
      <c r="D2995" s="94" t="inlineStr">
        <is>
          <t>→ Tôi cố gắng tuân thủ kế hoạch thông tin mỗi ngày.</t>
        </is>
      </c>
      <c r="E2995" s="94" t="inlineStr">
        <is>
          <t>我努力遵守每天的信息安排。 → Tôi cố gắng tuân thủ kế hoạch thông tin mỗi ngày.</t>
        </is>
      </c>
      <c r="F2995" s="115">
        <f>HYPERLINK("https://youglish.com/pronounce/我努力遵守每天的信息安排/chinese","🔍")</f>
        <v/>
      </c>
    </row>
    <row r="2996" ht="28.5" customHeight="1" s="99">
      <c r="A2996" s="92" t="inlineStr">
        <is>
          <t>PDF-Từ vựng phỏng vấn _ HỌC BÁ CHINESE.pdf</t>
        </is>
      </c>
      <c r="B2996" s="93" t="inlineStr">
        <is>
          <t>11</t>
        </is>
      </c>
      <c r="C2996" s="92" t="inlineStr">
        <is>
          <t>团队精神</t>
        </is>
      </c>
      <c r="D2996" s="92" t="inlineStr">
        <is>
          <t>tuánduì jīngshén – tinh thần đồng đội</t>
        </is>
      </c>
      <c r="E2996" s="92" t="inlineStr">
        <is>
          <t>11. 团队精神 tuánduì jīngshén – tinh thần đồng đội</t>
        </is>
      </c>
      <c r="F2996" s="114">
        <f>HYPERLINK("https://youglish.com/pronounce/团队精神/chinese","🔍")</f>
        <v/>
      </c>
    </row>
    <row r="2997" ht="28.5" customHeight="1" s="99">
      <c r="A2997" s="94" t="inlineStr">
        <is>
          <t>PDF-Từ vựng phỏng vấn _ HỌC BÁ CHINESE.pdf</t>
        </is>
      </c>
      <c r="B2997" s="95" t="inlineStr">
        <is>
          <t>178</t>
        </is>
      </c>
      <c r="C2997" s="94" t="inlineStr">
        <is>
          <t>他非常具有团队精神</t>
        </is>
      </c>
      <c r="D2997" s="94" t="inlineStr">
        <is>
          <t>→ Anh ấy có tinh thần đồng đội rất cao.</t>
        </is>
      </c>
      <c r="E2997" s="94" t="inlineStr">
        <is>
          <t>他非常具有团队精神。 → Anh ấy có tinh thần đồng đội rất cao.</t>
        </is>
      </c>
      <c r="F2997" s="115">
        <f>HYPERLINK("https://youglish.com/pronounce/他非常具有团队精神/chinese","🔍")</f>
        <v/>
      </c>
    </row>
    <row r="2998" ht="28.5" customHeight="1" s="99">
      <c r="A2998" s="92" t="inlineStr">
        <is>
          <t>PDF-Từ vựng phỏng vấn _ HỌC BÁ CHINESE.pdf</t>
        </is>
      </c>
      <c r="B2998" s="93" t="inlineStr">
        <is>
          <t>12</t>
        </is>
      </c>
      <c r="C2998" s="92" t="inlineStr">
        <is>
          <t>外向</t>
        </is>
      </c>
      <c r="D2998" s="92" t="inlineStr">
        <is>
          <t>wàixiàng – hướng ngoại</t>
        </is>
      </c>
      <c r="E2998" s="92" t="inlineStr">
        <is>
          <t>12. 外向 wàixiàng – hướng ngoại</t>
        </is>
      </c>
      <c r="F2998" s="114">
        <f>HYPERLINK("https://youglish.com/pronounce/外向/chinese","🔍")</f>
        <v/>
      </c>
    </row>
    <row r="2999" ht="28.5" customHeight="1" s="99">
      <c r="A2999" s="94" t="inlineStr">
        <is>
          <t>PDF-Từ vựng phỏng vấn _ HỌC BÁ CHINESE.pdf</t>
        </is>
      </c>
      <c r="B2999" s="95" t="inlineStr">
        <is>
          <t>180</t>
        </is>
      </c>
      <c r="C2999" s="94" t="inlineStr">
        <is>
          <t>她是个外向的人</t>
        </is>
      </c>
      <c r="D2999" s="94" t="inlineStr">
        <is>
          <t>→ Cô ấy là người hướng ngoại.</t>
        </is>
      </c>
      <c r="E2999" s="94" t="inlineStr">
        <is>
          <t>她是个外向的人。 → Cô ấy là người hướng ngoại.</t>
        </is>
      </c>
      <c r="F2999" s="115">
        <f>HYPERLINK("https://youglish.com/pronounce/她是个外向的人/chinese","🔍")</f>
        <v/>
      </c>
    </row>
    <row r="3000" ht="28.5" customHeight="1" s="99">
      <c r="A3000" s="92" t="inlineStr">
        <is>
          <t>PDF-Từ vựng phỏng vấn _ HỌC BÁ CHINESE.pdf</t>
        </is>
      </c>
      <c r="B3000" s="93" t="inlineStr">
        <is>
          <t>13</t>
        </is>
      </c>
      <c r="C3000" s="92" t="inlineStr">
        <is>
          <t>合作</t>
        </is>
      </c>
      <c r="D3000" s="92" t="inlineStr">
        <is>
          <t>hézuò – hợp tác</t>
        </is>
      </c>
      <c r="E3000" s="92" t="inlineStr">
        <is>
          <t>13. 合作 hézuò – hợp tác</t>
        </is>
      </c>
      <c r="F3000" s="114">
        <f>HYPERLINK("https://youglish.com/pronounce/合作/chinese","🔍")</f>
        <v/>
      </c>
    </row>
    <row r="3001" ht="28.5" customHeight="1" s="99">
      <c r="A3001" s="94" t="inlineStr">
        <is>
          <t>PDF-Từ vựng phỏng vấn _ HỌC BÁ CHINESE.pdf</t>
        </is>
      </c>
      <c r="B3001" s="95" t="inlineStr">
        <is>
          <t>14</t>
        </is>
      </c>
      <c r="C3001" s="94" t="inlineStr">
        <is>
          <t>我喜欢和别人合作</t>
        </is>
      </c>
      <c r="D3001" s="94" t="inlineStr">
        <is>
          <t>→ Tôi thích hợp tác với người khác.</t>
        </is>
      </c>
      <c r="E3001" s="94" t="inlineStr">
        <is>
          <t>14. 我喜欢和别人合作。 → Tôi thích hợp tác với người khác.</t>
        </is>
      </c>
      <c r="F3001" s="115">
        <f>HYPERLINK("https://youglish.com/pronounce/我喜欢和别人合作/chinese","🔍")</f>
        <v/>
      </c>
    </row>
    <row r="3002" ht="28.5" customHeight="1" s="99">
      <c r="A3002" s="92" t="inlineStr">
        <is>
          <t>PDF-Từ vựng phỏng vấn _ HỌC BÁ CHINESE.pdf</t>
        </is>
      </c>
      <c r="B3002" s="93" t="inlineStr">
        <is>
          <t>15</t>
        </is>
      </c>
      <c r="C3002" s="92" t="inlineStr">
        <is>
          <t>单独行事</t>
        </is>
      </c>
      <c r="D3002" s="92" t="inlineStr">
        <is>
          <t>dāndú xíngshì – hành động một mình</t>
        </is>
      </c>
      <c r="E3002" s="92" t="inlineStr">
        <is>
          <t>15. 单独行事 dāndú xíngshì – hành động một mình</t>
        </is>
      </c>
      <c r="F3002" s="114">
        <f>HYPERLINK("https://youglish.com/pronounce/单独行事/chinese","🔍")</f>
        <v/>
      </c>
    </row>
    <row r="3003" ht="28.5" customHeight="1" s="99">
      <c r="A3003" s="94" t="inlineStr">
        <is>
          <t>PDF-Từ vựng phỏng vấn _ HỌC BÁ CHINESE.pdf</t>
        </is>
      </c>
      <c r="B3003" s="95" t="inlineStr">
        <is>
          <t>184</t>
        </is>
      </c>
      <c r="C3003" s="94" t="inlineStr">
        <is>
          <t>有时候我也会单独行事</t>
        </is>
      </c>
      <c r="D3003" s="94" t="inlineStr">
        <is>
          <t>→ Thỉnh thoảng tôi cũng hành động một mình.</t>
        </is>
      </c>
      <c r="E3003" s="94" t="inlineStr">
        <is>
          <t>有时候我也会单独行事。 → Thỉnh thoảng tôi cũng hành động một mình.</t>
        </is>
      </c>
      <c r="F3003" s="115">
        <f>HYPERLINK("https://youglish.com/pronounce/有时候我也会单独行事/chinese","🔍")</f>
        <v/>
      </c>
    </row>
    <row r="3004" ht="28.5" customHeight="1" s="99">
      <c r="A3004" s="92" t="inlineStr">
        <is>
          <t>PDF-Từ vựng phỏng vấn _ HỌC BÁ CHINESE.pdf</t>
        </is>
      </c>
      <c r="B3004" s="93" t="inlineStr">
        <is>
          <t>16</t>
        </is>
      </c>
      <c r="C3004" s="92" t="inlineStr">
        <is>
          <t>欣赏</t>
        </is>
      </c>
      <c r="D3004" s="92" t="inlineStr">
        <is>
          <t>xīnshǎng – đánh giá cao / ngưỡng mộ</t>
        </is>
      </c>
      <c r="E3004" s="92" t="inlineStr">
        <is>
          <t>16. 欣赏 xīnshǎng – đánh giá cao / ngưỡng mộ</t>
        </is>
      </c>
      <c r="F3004" s="114">
        <f>HYPERLINK("https://youglish.com/pronounce/欣赏/chinese","🔍")</f>
        <v/>
      </c>
    </row>
    <row r="3005" ht="28.5" customHeight="1" s="99">
      <c r="A3005" s="94" t="inlineStr">
        <is>
          <t>PDF-Từ vựng phỏng vấn _ HỌC BÁ CHINESE.pdf</t>
        </is>
      </c>
      <c r="B3005" s="95" t="inlineStr">
        <is>
          <t>186</t>
        </is>
      </c>
      <c r="C3005" s="94" t="inlineStr">
        <is>
          <t>我很欣赏你的直率</t>
        </is>
      </c>
      <c r="D3005" s="94" t="inlineStr">
        <is>
          <t>→ Tôi rất đánh giá cao sự thẳng thắn của bạn.</t>
        </is>
      </c>
      <c r="E3005" s="94" t="inlineStr">
        <is>
          <t>我很欣赏你的直率。 → Tôi rất đánh giá cao sự thẳng thắn của bạn.</t>
        </is>
      </c>
      <c r="F3005" s="115">
        <f>HYPERLINK("https://youglish.com/pronounce/我很欣赏你的直率/chinese","🔍")</f>
        <v/>
      </c>
    </row>
    <row r="3006" ht="28.5" customHeight="1" s="99">
      <c r="A3006" s="92" t="inlineStr">
        <is>
          <t>PDF-Từ vựng phỏng vấn _ HỌC BÁ CHINESE.pdf</t>
        </is>
      </c>
      <c r="B3006" s="93" t="inlineStr">
        <is>
          <t>17</t>
        </is>
      </c>
      <c r="C3006" s="92" t="inlineStr">
        <is>
          <t>直率</t>
        </is>
      </c>
      <c r="D3006" s="92" t="inlineStr">
        <is>
          <t>zhíshuài – thẳng thắn</t>
        </is>
      </c>
      <c r="E3006" s="92" t="inlineStr">
        <is>
          <t>17. 直率 zhíshuài – thẳng thắn</t>
        </is>
      </c>
      <c r="F3006" s="114">
        <f>HYPERLINK("https://youglish.com/pronounce/直率/chinese","🔍")</f>
        <v/>
      </c>
    </row>
    <row r="3007" ht="28.5" customHeight="1" s="99">
      <c r="A3007" s="94" t="inlineStr">
        <is>
          <t>PDF-Từ vựng phỏng vấn _ HỌC BÁ CHINESE.pdf</t>
        </is>
      </c>
      <c r="B3007" s="95" t="inlineStr">
        <is>
          <t>188</t>
        </is>
      </c>
      <c r="C3007" s="94" t="inlineStr">
        <is>
          <t>他说话很直率</t>
        </is>
      </c>
      <c r="D3007" s="94" t="inlineStr">
        <is>
          <t>→ Anh ấy nói chuyện rất thẳng thắn.</t>
        </is>
      </c>
      <c r="E3007" s="94" t="inlineStr">
        <is>
          <t>他说话很直率。 → Anh ấy nói chuyện rất thẳng thắn.</t>
        </is>
      </c>
      <c r="F3007" s="115">
        <f>HYPERLINK("https://youglish.com/pronounce/他说话很直率/chinese","🔍")</f>
        <v/>
      </c>
    </row>
    <row r="3008" ht="28.5" customHeight="1" s="99">
      <c r="A3008" s="92" t="inlineStr">
        <is>
          <t>PDF-Từ vựng phỏng vấn _ HỌC BÁ CHINESE.pdf</t>
        </is>
      </c>
      <c r="B3008" s="93" t="inlineStr">
        <is>
          <t>18</t>
        </is>
      </c>
      <c r="C3008" s="92" t="inlineStr">
        <is>
          <t>介意</t>
        </is>
      </c>
      <c r="D3008" s="92" t="inlineStr">
        <is>
          <t>jièyì – để ý / bận lòng</t>
        </is>
      </c>
      <c r="E3008" s="92" t="inlineStr">
        <is>
          <t>18. 介意 jièyì – để ý / bận lòng</t>
        </is>
      </c>
      <c r="F3008" s="114">
        <f>HYPERLINK("https://youglish.com/pronounce/介意/chinese","🔍")</f>
        <v/>
      </c>
    </row>
    <row r="3009" ht="28.5" customHeight="1" s="99">
      <c r="A3009" s="94" t="inlineStr">
        <is>
          <t>PDF-Từ vựng phỏng vấn _ HỌC BÁ CHINESE.pdf</t>
        </is>
      </c>
      <c r="B3009" s="95" t="inlineStr">
        <is>
          <t>190</t>
        </is>
      </c>
      <c r="C3009" s="94" t="inlineStr">
        <is>
          <t>你不会介意我提问吧</t>
        </is>
      </c>
      <c r="D3009" s="94" t="inlineStr">
        <is>
          <t>→ Bạn sẽ không để ý việc tôi hỏi chứ?</t>
        </is>
      </c>
      <c r="E3009" s="94" t="inlineStr">
        <is>
          <t>你不会介意我提问吧？ → Bạn sẽ không để ý việc tôi hỏi chứ?</t>
        </is>
      </c>
      <c r="F3009" s="115">
        <f>HYPERLINK("https://youglish.com/pronounce/你不会介意我提问吧/chinese","🔍")</f>
        <v/>
      </c>
    </row>
    <row r="3010" ht="28.5" customHeight="1" s="99">
      <c r="A3010" s="92" t="inlineStr">
        <is>
          <t>PDF-Từ vựng phỏng vấn _ HỌC BÁ CHINESE.pdf</t>
        </is>
      </c>
      <c r="B3010" s="93" t="inlineStr">
        <is>
          <t>19</t>
        </is>
      </c>
      <c r="C3010" s="92" t="inlineStr">
        <is>
          <t>话题</t>
        </is>
      </c>
      <c r="D3010" s="92" t="inlineStr">
        <is>
          <t>huàtí – chủ đề</t>
        </is>
      </c>
      <c r="E3010" s="92" t="inlineStr">
        <is>
          <t>19. 话题 huàtí – chủ đề</t>
        </is>
      </c>
      <c r="F3010" s="114">
        <f>HYPERLINK("https://youglish.com/pronounce/话题/chinese","🔍")</f>
        <v/>
      </c>
    </row>
    <row r="3011" ht="28.5" customHeight="1" s="99">
      <c r="A3011" s="94" t="inlineStr">
        <is>
          <t>PDF-Từ vựng phỏng vấn _ HỌC BÁ CHINESE.pdf</t>
        </is>
      </c>
      <c r="B3011" s="95" t="inlineStr">
        <is>
          <t>192</t>
        </is>
      </c>
      <c r="C3011" s="94" t="inlineStr">
        <is>
          <t>我们换一个话题吧</t>
        </is>
      </c>
      <c r="D3011" s="94" t="inlineStr">
        <is>
          <t>→ Chúng ta đổi chủ đề nhé.</t>
        </is>
      </c>
      <c r="E3011" s="94" t="inlineStr">
        <is>
          <t>我们换一个话题吧。 → Chúng ta đổi chủ đề nhé.</t>
        </is>
      </c>
      <c r="F3011" s="115">
        <f>HYPERLINK("https://youglish.com/pronounce/我们换一个话题吧/chinese","🔍")</f>
        <v/>
      </c>
    </row>
    <row r="3012" ht="28.5" customHeight="1" s="99">
      <c r="A3012" s="92" t="inlineStr">
        <is>
          <t>PDF-Từ vựng phỏng vấn _ HỌC BÁ CHINESE.pdf</t>
        </is>
      </c>
      <c r="B3012" s="93" t="inlineStr">
        <is>
          <t>20</t>
        </is>
      </c>
      <c r="C3012" s="92" t="inlineStr">
        <is>
          <t>充满</t>
        </is>
      </c>
      <c r="D3012" s="92" t="inlineStr">
        <is>
          <t>chōngmǎn – tràn đầy</t>
        </is>
      </c>
      <c r="E3012" s="92" t="inlineStr">
        <is>
          <t>20. 充满 chōngmǎn – tràn đầy</t>
        </is>
      </c>
      <c r="F3012" s="114">
        <f>HYPERLINK("https://youglish.com/pronounce/充满/chinese","🔍")</f>
        <v/>
      </c>
    </row>
    <row r="3013" ht="28.5" customHeight="1" s="99">
      <c r="A3013" s="94" t="inlineStr">
        <is>
          <t>PDF-Từ vựng phỏng vấn _ HỌC BÁ CHINESE.pdf</t>
        </is>
      </c>
      <c r="B3013" s="95" t="inlineStr">
        <is>
          <t>194</t>
        </is>
      </c>
      <c r="C3013" s="94" t="inlineStr">
        <is>
          <t>她对生活充满信心</t>
        </is>
      </c>
      <c r="D3013" s="94" t="inlineStr">
        <is>
          <t>→ Cô ấy tràn đầy tự tin vào cuộc sống.</t>
        </is>
      </c>
      <c r="E3013" s="94" t="inlineStr">
        <is>
          <t>她对生活充满信心。 → Cô ấy tràn đầy tự tin vào cuộc sống.</t>
        </is>
      </c>
      <c r="F3013" s="115">
        <f>HYPERLINK("https://youglish.com/pronounce/她对生活充满信心/chinese","🔍")</f>
        <v/>
      </c>
    </row>
    <row r="3014" ht="28.5" customHeight="1" s="99">
      <c r="A3014" s="92" t="inlineStr">
        <is>
          <t>PDF-Từ vựng phỏng vấn _ HỌC BÁ CHINESE.pdf</t>
        </is>
      </c>
      <c r="B3014" s="93" t="inlineStr">
        <is>
          <t>21</t>
        </is>
      </c>
      <c r="C3014" s="92" t="inlineStr">
        <is>
          <t>努力</t>
        </is>
      </c>
      <c r="D3014" s="92" t="inlineStr">
        <is>
          <t>nǔlì – nỗ lực</t>
        </is>
      </c>
      <c r="E3014" s="92" t="inlineStr">
        <is>
          <t>21. 努力 nǔlì – nỗ lực</t>
        </is>
      </c>
      <c r="F3014" s="114">
        <f>HYPERLINK("https://youglish.com/pronounce/努力/chinese","🔍")</f>
        <v/>
      </c>
    </row>
    <row r="3015" ht="28.5" customHeight="1" s="99">
      <c r="A3015" s="94" t="inlineStr">
        <is>
          <t>PDF-Từ vựng phỏng vấn _ HỌC BÁ CHINESE.pdf</t>
        </is>
      </c>
      <c r="B3015" s="95" t="inlineStr">
        <is>
          <t>22</t>
        </is>
      </c>
      <c r="C3015" s="94" t="inlineStr">
        <is>
          <t>我努力让生活更规律</t>
        </is>
      </c>
      <c r="D3015" s="94" t="inlineStr">
        <is>
          <t>→ Tôi nỗ lực để sống nề nếp hơn.</t>
        </is>
      </c>
      <c r="E3015" s="94" t="inlineStr">
        <is>
          <t>22. 我努力让生活更规律。 → Tôi nỗ lực để sống nề nếp hơn.</t>
        </is>
      </c>
      <c r="F3015" s="115">
        <f>HYPERLINK("https://youglish.com/pronounce/我努力让生活更规律/chinese","🔍")</f>
        <v/>
      </c>
    </row>
    <row r="3016" ht="28.5" customHeight="1" s="99">
      <c r="A3016" s="92" t="inlineStr">
        <is>
          <t>PDF-Từ vựng phỏng vấn _ HỌC BÁ CHINESE.pdf</t>
        </is>
      </c>
      <c r="B3016" s="93" t="inlineStr">
        <is>
          <t>23</t>
        </is>
      </c>
      <c r="C3016" s="92" t="inlineStr">
        <is>
          <t>遵守</t>
        </is>
      </c>
      <c r="D3016" s="92" t="inlineStr">
        <is>
          <t>zūnshǒu – tuân thủ</t>
        </is>
      </c>
      <c r="E3016" s="92" t="inlineStr">
        <is>
          <t>23. 遵守 zūnshǒu – tuân thủ</t>
        </is>
      </c>
      <c r="F3016" s="114">
        <f>HYPERLINK("https://youglish.com/pronounce/遵守/chinese","🔍")</f>
        <v/>
      </c>
    </row>
    <row r="3017" ht="28.5" customHeight="1" s="99">
      <c r="A3017" s="94" t="inlineStr">
        <is>
          <t>PDF-Từ vựng phỏng vấn _ HỌC BÁ CHINESE.pdf</t>
        </is>
      </c>
      <c r="B3017" s="95" t="inlineStr">
        <is>
          <t>198</t>
        </is>
      </c>
      <c r="C3017" s="94" t="inlineStr">
        <is>
          <t>我们必须遵守安排</t>
        </is>
      </c>
      <c r="D3017" s="94" t="inlineStr">
        <is>
          <t>→ Chúng ta phải tuân thủ sự sắp xếp.</t>
        </is>
      </c>
      <c r="E3017" s="94" t="inlineStr">
        <is>
          <t>我们必须遵守安排。 → Chúng ta phải tuân thủ sự sắp xếp.</t>
        </is>
      </c>
      <c r="F3017" s="115">
        <f>HYPERLINK("https://youglish.com/pronounce/我们必须遵守安排/chinese","🔍")</f>
        <v/>
      </c>
    </row>
    <row r="3018" ht="28.5" customHeight="1" s="99">
      <c r="A3018" s="92" t="inlineStr">
        <is>
          <t>PDF-Từ vựng phỏng vấn _ HỌC BÁ CHINESE.pdf</t>
        </is>
      </c>
      <c r="B3018" s="93" t="inlineStr">
        <is>
          <t>24</t>
        </is>
      </c>
      <c r="C3018" s="92" t="inlineStr">
        <is>
          <t>生活方式</t>
        </is>
      </c>
      <c r="D3018" s="92" t="inlineStr">
        <is>
          <t>shēnghuó fāngshì – cách sống</t>
        </is>
      </c>
      <c r="E3018" s="92" t="inlineStr">
        <is>
          <t>24. 生活方式 shēnghuó fāngshì – cách sống</t>
        </is>
      </c>
      <c r="F3018" s="114">
        <f>HYPERLINK("https://youglish.com/pronounce/生活方式/chinese","🔍")</f>
        <v/>
      </c>
    </row>
    <row r="3019" ht="28.5" customHeight="1" s="99">
      <c r="A3019" s="94" t="inlineStr">
        <is>
          <t>PDF-Từ vựng phỏng vấn _ HỌC BÁ CHINESE.pdf</t>
        </is>
      </c>
      <c r="B3019" s="95" t="inlineStr">
        <is>
          <t>200</t>
        </is>
      </c>
      <c r="C3019" s="94" t="inlineStr">
        <is>
          <t>我喜欢简单的生活方式</t>
        </is>
      </c>
      <c r="D3019" s="94" t="inlineStr">
        <is>
          <t>→ Tôi thích cách sống đơn giản.</t>
        </is>
      </c>
      <c r="E3019" s="94" t="inlineStr">
        <is>
          <t>我喜欢简单的生活方式。 → Tôi thích cách sống đơn giản.</t>
        </is>
      </c>
      <c r="F3019" s="115">
        <f>HYPERLINK("https://youglish.com/pronounce/我喜欢简单的生活方式/chinese","🔍")</f>
        <v/>
      </c>
    </row>
    <row r="3020" ht="28.5" customHeight="1" s="99">
      <c r="A3020" s="92" t="inlineStr">
        <is>
          <t>PDF-Từ vựng phỏng vấn _ HỌC BÁ CHINESE.pdf</t>
        </is>
      </c>
      <c r="B3020" s="93" t="inlineStr">
        <is>
          <t>25</t>
        </is>
      </c>
      <c r="C3020" s="92" t="inlineStr">
        <is>
          <t>欣慰</t>
        </is>
      </c>
      <c r="D3020" s="92" t="inlineStr">
        <is>
          <t>xīnwèi – vui mừng / hài lòng</t>
        </is>
      </c>
      <c r="E3020" s="92" t="inlineStr">
        <is>
          <t>25. 欣慰 xīnwèi – vui mừng / hài lòng</t>
        </is>
      </c>
      <c r="F3020" s="114">
        <f>HYPERLINK("https://youglish.com/pronounce/欣慰/chinese","🔍")</f>
        <v/>
      </c>
    </row>
    <row r="3021" ht="28.5" customHeight="1" s="99">
      <c r="A3021" s="94" t="inlineStr">
        <is>
          <t>PDF-Từ vựng phỏng vấn _ HỌC BÁ CHINESE.pdf</t>
        </is>
      </c>
      <c r="B3021" s="95" t="inlineStr">
        <is>
          <t>202</t>
        </is>
      </c>
      <c r="C3021" s="94" t="inlineStr">
        <is>
          <t>听到这个消息我很欣慰</t>
        </is>
      </c>
      <c r="D3021" s="94" t="inlineStr">
        <is>
          <t>→ Nghe tin này tôi rất vui.</t>
        </is>
      </c>
      <c r="E3021" s="94" t="inlineStr">
        <is>
          <t>听到这个消息我很欣慰。 → Nghe tin này tôi rất vui.</t>
        </is>
      </c>
      <c r="F3021" s="115">
        <f>HYPERLINK("https://youglish.com/pronounce/听到这个消息我很欣慰/chinese","🔍")</f>
        <v/>
      </c>
    </row>
    <row r="3022" ht="28.5" customHeight="1" s="99">
      <c r="A3022" s="92" t="inlineStr">
        <is>
          <t>PDF-Từ vựng phỏng vấn _ HỌC BÁ CHINESE.pdf</t>
        </is>
      </c>
      <c r="B3022" s="93" t="inlineStr">
        <is>
          <t>26</t>
        </is>
      </c>
      <c r="C3022" s="92" t="inlineStr">
        <is>
          <t>态度</t>
        </is>
      </c>
      <c r="D3022" s="92" t="inlineStr">
        <is>
          <t>tàidù – thái độ</t>
        </is>
      </c>
      <c r="E3022" s="92" t="inlineStr">
        <is>
          <t>26. 态度 tàidù – thái độ</t>
        </is>
      </c>
      <c r="F3022" s="114">
        <f>HYPERLINK("https://youglish.com/pronounce/态度/chinese","🔍")</f>
        <v/>
      </c>
    </row>
    <row r="3023" ht="28.5" customHeight="1" s="99">
      <c r="A3023" s="94" t="inlineStr">
        <is>
          <t>PDF-Từ vựng phỏng vấn _ HỌC BÁ CHINESE.pdf</t>
        </is>
      </c>
      <c r="B3023" s="95" t="inlineStr">
        <is>
          <t>204</t>
        </is>
      </c>
      <c r="C3023" s="94" t="inlineStr">
        <is>
          <t>他的工作态度很好</t>
        </is>
      </c>
      <c r="D3023" s="94" t="inlineStr">
        <is>
          <t>→ Thái độ làm việc của anh ấy rất tốt.</t>
        </is>
      </c>
      <c r="E3023" s="94" t="inlineStr">
        <is>
          <t>他的工作态度很好。 → Thái độ làm việc của anh ấy rất tốt.</t>
        </is>
      </c>
      <c r="F3023" s="115">
        <f>HYPERLINK("https://youglish.com/pronounce/他的工作态度很好/chinese","🔍")</f>
        <v/>
      </c>
    </row>
    <row r="3024" ht="28.5" customHeight="1" s="99">
      <c r="A3024" s="92" t="inlineStr">
        <is>
          <t>PDF-Từ vựng phỏng vấn _ HỌC BÁ CHINESE.pdf</t>
        </is>
      </c>
      <c r="B3024" s="93" t="inlineStr">
        <is>
          <t>27</t>
        </is>
      </c>
      <c r="C3024" s="92" t="inlineStr">
        <is>
          <t>表现</t>
        </is>
      </c>
      <c r="D3024" s="92" t="inlineStr">
        <is>
          <t>biǎoxiàn – thể hiện / biểu hiện</t>
        </is>
      </c>
      <c r="E3024" s="92" t="inlineStr">
        <is>
          <t>27. 表现 biǎoxiàn – thể hiện / biểu hiện</t>
        </is>
      </c>
      <c r="F3024" s="114">
        <f>HYPERLINK("https://youglish.com/pronounce/表现/chinese","🔍")</f>
        <v/>
      </c>
    </row>
    <row r="3025" ht="28.5" customHeight="1" s="99">
      <c r="A3025" s="94" t="inlineStr">
        <is>
          <t>PDF-Từ vựng phỏng vấn _ HỌC BÁ CHINESE.pdf</t>
        </is>
      </c>
      <c r="B3025" s="95" t="inlineStr">
        <is>
          <t>206</t>
        </is>
      </c>
      <c r="C3025" s="94" t="inlineStr">
        <is>
          <t>她在团队中的表现很优秀</t>
        </is>
      </c>
      <c r="D3025" s="94" t="inlineStr">
        <is>
          <t>→ Cô ấy thể hiện rất xuất sắc trong đội nhóm.</t>
        </is>
      </c>
      <c r="E3025" s="94" t="inlineStr">
        <is>
          <t>她在团队中的表现很优秀。 → Cô ấy thể hiện rất xuất sắc trong đội nhóm.</t>
        </is>
      </c>
      <c r="F3025" s="115">
        <f>HYPERLINK("https://youglish.com/pronounce/她在团队中的表现很优秀/chinese","🔍")</f>
        <v/>
      </c>
    </row>
    <row r="3026" ht="28.5" customHeight="1" s="99">
      <c r="A3026" s="92" t="inlineStr">
        <is>
          <t>PDF-Từ vựng phỏng vấn _ HỌC BÁ CHINESE.pdf</t>
        </is>
      </c>
      <c r="B3026" s="93" t="inlineStr">
        <is>
          <t>207</t>
        </is>
      </c>
      <c r="C3026" s="92" t="inlineStr">
        <is>
          <t>个人能力</t>
        </is>
      </c>
      <c r="D3026" s="92" t="inlineStr">
        <is>
          <t>Bài 5个人能力 (Năng lực cá nhân)</t>
        </is>
      </c>
      <c r="E3026" s="92" t="inlineStr">
        <is>
          <t>Bài 5个人能力 (Năng lực cá nhân)</t>
        </is>
      </c>
      <c r="F3026" s="114">
        <f>HYPERLINK("https://youglish.com/pronounce/个人能力/chinese","🔍")</f>
        <v/>
      </c>
    </row>
    <row r="3027" ht="28.5" customHeight="1" s="99">
      <c r="A3027" s="94" t="inlineStr">
        <is>
          <t>PDF-Từ vựng phỏng vấn _ HỌC BÁ CHINESE.pdf</t>
        </is>
      </c>
      <c r="B3027" s="95" t="inlineStr">
        <is>
          <t>1</t>
        </is>
      </c>
      <c r="C3027" s="94" t="inlineStr">
        <is>
          <t>长处</t>
        </is>
      </c>
      <c r="D3027" s="94" t="inlineStr">
        <is>
          <t>chángchù – điểm mạnh</t>
        </is>
      </c>
      <c r="E3027" s="94" t="inlineStr">
        <is>
          <t>1. 长处 chángchù – điểm mạnh</t>
        </is>
      </c>
      <c r="F3027" s="115">
        <f>HYPERLINK("https://youglish.com/pronounce/长处/chinese","🔍")</f>
        <v/>
      </c>
    </row>
    <row r="3028" ht="28.5" customHeight="1" s="99">
      <c r="A3028" s="92" t="inlineStr">
        <is>
          <t>PDF-Từ vựng phỏng vấn _ HỌC BÁ CHINESE.pdf</t>
        </is>
      </c>
      <c r="B3028" s="93" t="inlineStr">
        <is>
          <t>209</t>
        </is>
      </c>
      <c r="C3028" s="92" t="inlineStr">
        <is>
          <t>她的长处是善于沟通</t>
        </is>
      </c>
      <c r="D3028" s="92" t="inlineStr">
        <is>
          <t>→ Điểm mạnh của cô ấy là giỏi giao tiếp.</t>
        </is>
      </c>
      <c r="E3028" s="92" t="inlineStr">
        <is>
          <t>她的长处是善于沟通。 → Điểm mạnh của cô ấy là giỏi giao tiếp.</t>
        </is>
      </c>
      <c r="F3028" s="114">
        <f>HYPERLINK("https://youglish.com/pronounce/她的长处是善于沟通/chinese","🔍")</f>
        <v/>
      </c>
    </row>
    <row r="3029" ht="28.5" customHeight="1" s="99">
      <c r="A3029" s="94" t="inlineStr">
        <is>
          <t>PDF-Từ vựng phỏng vấn _ HỌC BÁ CHINESE.pdf</t>
        </is>
      </c>
      <c r="B3029" s="95" t="inlineStr">
        <is>
          <t>2</t>
        </is>
      </c>
      <c r="C3029" s="94" t="inlineStr">
        <is>
          <t>擅长</t>
        </is>
      </c>
      <c r="D3029" s="94" t="inlineStr">
        <is>
          <t>shàncháng – giỏi về / thành thạo</t>
        </is>
      </c>
      <c r="E3029" s="94" t="inlineStr">
        <is>
          <t>2. 擅长 shàncháng – giỏi về / thành thạo</t>
        </is>
      </c>
      <c r="F3029" s="115">
        <f>HYPERLINK("https://youglish.com/pronounce/擅长/chinese","🔍")</f>
        <v/>
      </c>
    </row>
    <row r="3030" ht="28.5" customHeight="1" s="99">
      <c r="A3030" s="92" t="inlineStr">
        <is>
          <t>PDF-Từ vựng phỏng vấn _ HỌC BÁ CHINESE.pdf</t>
        </is>
      </c>
      <c r="B3030" s="93" t="inlineStr">
        <is>
          <t>211</t>
        </is>
      </c>
      <c r="C3030" s="92" t="inlineStr">
        <is>
          <t>我擅长计划工作</t>
        </is>
      </c>
      <c r="D3030" s="92" t="inlineStr">
        <is>
          <t>→ Tôi giỏi lập kế hoạch công việc.</t>
        </is>
      </c>
      <c r="E3030" s="92" t="inlineStr">
        <is>
          <t>我擅长计划工作。 → Tôi giỏi lập kế hoạch công việc.</t>
        </is>
      </c>
      <c r="F3030" s="114">
        <f>HYPERLINK("https://youglish.com/pronounce/我擅长计划工作/chinese","🔍")</f>
        <v/>
      </c>
    </row>
    <row r="3031" ht="28.5" customHeight="1" s="99">
      <c r="A3031" s="94" t="inlineStr">
        <is>
          <t>PDF-Từ vựng phỏng vấn _ HỌC BÁ CHINESE.pdf</t>
        </is>
      </c>
      <c r="B3031" s="95" t="inlineStr">
        <is>
          <t>3</t>
        </is>
      </c>
      <c r="C3031" s="94" t="inlineStr">
        <is>
          <t>利用时间</t>
        </is>
      </c>
      <c r="D3031" s="94" t="inlineStr">
        <is>
          <t>lìyòng shíjiān – tận dụng thời gian</t>
        </is>
      </c>
      <c r="E3031" s="94" t="inlineStr">
        <is>
          <t>3. 利用时间 lìyòng shíjiān – tận dụng thời gian</t>
        </is>
      </c>
      <c r="F3031" s="115">
        <f>HYPERLINK("https://youglish.com/pronounce/利用时间/chinese","🔍")</f>
        <v/>
      </c>
    </row>
    <row r="3032" ht="28.5" customHeight="1" s="99">
      <c r="A3032" s="92" t="inlineStr">
        <is>
          <t>PDF-Từ vựng phỏng vấn _ HỌC BÁ CHINESE.pdf</t>
        </is>
      </c>
      <c r="B3032" s="93" t="inlineStr">
        <is>
          <t>213</t>
        </is>
      </c>
      <c r="C3032" s="92" t="inlineStr">
        <is>
          <t>我会充分利用时间完成任务</t>
        </is>
      </c>
      <c r="D3032" s="92" t="inlineStr">
        <is>
          <t>→ Tôi biết tận dụng thời gian để hoàn thành nhiệm vụ.</t>
        </is>
      </c>
      <c r="E3032" s="92" t="inlineStr">
        <is>
          <t>我会充分利用时间完成任务。 → Tôi biết tận dụng thời gian để hoàn thành nhiệm vụ.</t>
        </is>
      </c>
      <c r="F3032" s="114">
        <f>HYPERLINK("https://youglish.com/pronounce/我会充分利用时间完成任务/chinese","🔍")</f>
        <v/>
      </c>
    </row>
    <row r="3033" ht="28.5" customHeight="1" s="99">
      <c r="A3033" s="94" t="inlineStr">
        <is>
          <t>PDF-Từ vựng phỏng vấn _ HỌC BÁ CHINESE.pdf</t>
        </is>
      </c>
      <c r="B3033" s="95" t="inlineStr">
        <is>
          <t>4</t>
        </is>
      </c>
      <c r="C3033" s="94" t="inlineStr">
        <is>
          <t>准时</t>
        </is>
      </c>
      <c r="D3033" s="94" t="inlineStr">
        <is>
          <t>zhǔnshí – đúng giờ</t>
        </is>
      </c>
      <c r="E3033" s="94" t="inlineStr">
        <is>
          <t>4. 准时 zhǔnshí – đúng giờ</t>
        </is>
      </c>
      <c r="F3033" s="115">
        <f>HYPERLINK("https://youglish.com/pronounce/准时/chinese","🔍")</f>
        <v/>
      </c>
    </row>
    <row r="3034" ht="28.5" customHeight="1" s="99">
      <c r="A3034" s="92" t="inlineStr">
        <is>
          <t>PDF-Từ vựng phỏng vấn _ HỌC BÁ CHINESE.pdf</t>
        </is>
      </c>
      <c r="B3034" s="93" t="inlineStr">
        <is>
          <t>215</t>
        </is>
      </c>
      <c r="C3034" s="92" t="inlineStr">
        <is>
          <t>他每天都准时到公司</t>
        </is>
      </c>
      <c r="D3034" s="92" t="inlineStr">
        <is>
          <t>→ Anh ấy ngày nào cũng đến công ty đúng giờ.</t>
        </is>
      </c>
      <c r="E3034" s="92" t="inlineStr">
        <is>
          <t>他每天都准时到公司。 → Anh ấy ngày nào cũng đến công ty đúng giờ.</t>
        </is>
      </c>
      <c r="F3034" s="114">
        <f>HYPERLINK("https://youglish.com/pronounce/他每天都准时到公司/chinese","🔍")</f>
        <v/>
      </c>
    </row>
    <row r="3035" ht="28.5" customHeight="1" s="99">
      <c r="A3035" s="94" t="inlineStr">
        <is>
          <t>PDF-Từ vựng phỏng vấn _ HỌC BÁ CHINESE.pdf</t>
        </is>
      </c>
      <c r="B3035" s="95" t="inlineStr">
        <is>
          <t>5</t>
        </is>
      </c>
      <c r="C3035" s="94" t="inlineStr">
        <is>
          <t>缺点</t>
        </is>
      </c>
      <c r="D3035" s="94" t="inlineStr">
        <is>
          <t>quēdiǎn – khuyết điểm</t>
        </is>
      </c>
      <c r="E3035" s="94" t="inlineStr">
        <is>
          <t>5. 缺点 quēdiǎn – khuyết điểm</t>
        </is>
      </c>
      <c r="F3035" s="115">
        <f>HYPERLINK("https://youglish.com/pronounce/缺点/chinese","🔍")</f>
        <v/>
      </c>
    </row>
    <row r="3036" ht="28.5" customHeight="1" s="99">
      <c r="A3036" s="92" t="inlineStr">
        <is>
          <t>PDF-Từ vựng phỏng vấn _ HỌC BÁ CHINESE.pdf</t>
        </is>
      </c>
      <c r="B3036" s="93" t="inlineStr">
        <is>
          <t>217</t>
        </is>
      </c>
      <c r="C3036" s="92" t="inlineStr">
        <is>
          <t>每个人都有缺点</t>
        </is>
      </c>
      <c r="D3036" s="92" t="inlineStr">
        <is>
          <t>→ Ai cũng có khuyết điểm.</t>
        </is>
      </c>
      <c r="E3036" s="92" t="inlineStr">
        <is>
          <t>每个人都有缺点。 → Ai cũng có khuyết điểm.</t>
        </is>
      </c>
      <c r="F3036" s="114">
        <f>HYPERLINK("https://youglish.com/pronounce/每个人都有缺点/chinese","🔍")</f>
        <v/>
      </c>
    </row>
    <row r="3037" ht="28.5" customHeight="1" s="99">
      <c r="A3037" s="94" t="inlineStr">
        <is>
          <t>PDF-Từ vựng phỏng vấn _ HỌC BÁ CHINESE.pdf</t>
        </is>
      </c>
      <c r="B3037" s="95" t="inlineStr">
        <is>
          <t>6</t>
        </is>
      </c>
      <c r="C3037" s="94" t="inlineStr">
        <is>
          <t>坚持到底</t>
        </is>
      </c>
      <c r="D3037" s="94" t="inlineStr">
        <is>
          <t>jiānchí dàodǐ – kiên trì đến cùng</t>
        </is>
      </c>
      <c r="E3037" s="94" t="inlineStr">
        <is>
          <t>6. 坚持到底 jiānchí dàodǐ – kiên trì đến cùng</t>
        </is>
      </c>
      <c r="F3037" s="115">
        <f>HYPERLINK("https://youglish.com/pronounce/坚持到底/chinese","🔍")</f>
        <v/>
      </c>
    </row>
    <row r="3038" ht="28.5" customHeight="1" s="99">
      <c r="A3038" s="92" t="inlineStr">
        <is>
          <t>PDF-Từ vựng phỏng vấn _ HỌC BÁ CHINESE.pdf</t>
        </is>
      </c>
      <c r="B3038" s="93" t="inlineStr">
        <is>
          <t>219</t>
        </is>
      </c>
      <c r="C3038" s="92" t="inlineStr">
        <is>
          <t>我决定的事情会坚持到底</t>
        </is>
      </c>
      <c r="D3038" s="92" t="inlineStr">
        <is>
          <t>→ Việc tôi quyết định sẽ kiên trì đến cùng.</t>
        </is>
      </c>
      <c r="E3038" s="92" t="inlineStr">
        <is>
          <t>我决定的事情会坚持到底。 → Việc tôi quyết định sẽ kiên trì đến cùng.</t>
        </is>
      </c>
      <c r="F3038" s="114">
        <f>HYPERLINK("https://youglish.com/pronounce/我决定的事情会坚持到底/chinese","🔍")</f>
        <v/>
      </c>
    </row>
    <row r="3039" ht="28.5" customHeight="1" s="99">
      <c r="A3039" s="94" t="inlineStr">
        <is>
          <t>PDF-Từ vựng phỏng vấn _ HỌC BÁ CHINESE.pdf</t>
        </is>
      </c>
      <c r="B3039" s="95" t="inlineStr">
        <is>
          <t>7</t>
        </is>
      </c>
      <c r="C3039" s="94" t="inlineStr">
        <is>
          <t>固执</t>
        </is>
      </c>
      <c r="D3039" s="94" t="inlineStr">
        <is>
          <t>gùzhí – cố chấp</t>
        </is>
      </c>
      <c r="E3039" s="94" t="inlineStr">
        <is>
          <t>7. 固执 gùzhí – cố chấp</t>
        </is>
      </c>
      <c r="F3039" s="115">
        <f>HYPERLINK("https://youglish.com/pronounce/固执/chinese","🔍")</f>
        <v/>
      </c>
    </row>
    <row r="3040" ht="28.5" customHeight="1" s="99">
      <c r="A3040" s="92" t="inlineStr">
        <is>
          <t>PDF-Từ vựng phỏng vấn _ HỌC BÁ CHINESE.pdf</t>
        </is>
      </c>
      <c r="B3040" s="93" t="inlineStr">
        <is>
          <t>221</t>
        </is>
      </c>
      <c r="C3040" s="92" t="inlineStr">
        <is>
          <t>他有时候有点固执</t>
        </is>
      </c>
      <c r="D3040" s="92" t="inlineStr">
        <is>
          <t>→ Thỉnh thoảng anh ấy hơi cố chấp.</t>
        </is>
      </c>
      <c r="E3040" s="92" t="inlineStr">
        <is>
          <t>他有时候有点固执。 → Thỉnh thoảng anh ấy hơi cố chấp.</t>
        </is>
      </c>
      <c r="F3040" s="114">
        <f>HYPERLINK("https://youglish.com/pronounce/他有时候有点固执/chinese","🔍")</f>
        <v/>
      </c>
    </row>
    <row r="3041" ht="28.5" customHeight="1" s="99">
      <c r="A3041" s="94" t="inlineStr">
        <is>
          <t>PDF-Từ vựng phỏng vấn _ HỌC BÁ CHINESE.pdf</t>
        </is>
      </c>
      <c r="B3041" s="95" t="inlineStr">
        <is>
          <t>8</t>
        </is>
      </c>
      <c r="C3041" s="94" t="inlineStr">
        <is>
          <t>平衡点</t>
        </is>
      </c>
      <c r="D3041" s="94" t="inlineStr">
        <is>
          <t>pínghéngdiǎn – điểm cân bằng</t>
        </is>
      </c>
      <c r="E3041" s="94" t="inlineStr">
        <is>
          <t>8. 平衡点 pínghéngdiǎn – điểm cân bằng</t>
        </is>
      </c>
      <c r="F3041" s="115">
        <f>HYPERLINK("https://youglish.com/pronounce/平衡点/chinese","🔍")</f>
        <v/>
      </c>
    </row>
    <row r="3042" ht="28.5" customHeight="1" s="99">
      <c r="A3042" s="92" t="inlineStr">
        <is>
          <t>PDF-Từ vựng phỏng vấn _ HỌC BÁ CHINESE.pdf</t>
        </is>
      </c>
      <c r="B3042" s="93" t="inlineStr">
        <is>
          <t>223</t>
        </is>
      </c>
      <c r="C3042" s="92" t="inlineStr">
        <is>
          <t>我正在寻找工作的平衡点</t>
        </is>
      </c>
      <c r="D3042" s="92" t="inlineStr">
        <is>
          <t>→ Tôi đang tìm điểm cân bằng trong công việc.</t>
        </is>
      </c>
      <c r="E3042" s="92" t="inlineStr">
        <is>
          <t>我正在寻找工作的平衡点。 → Tôi đang tìm điểm cân bằng trong công việc.</t>
        </is>
      </c>
      <c r="F3042" s="114">
        <f>HYPERLINK("https://youglish.com/pronounce/我正在寻找工作的平衡点/chinese","🔍")</f>
        <v/>
      </c>
    </row>
    <row r="3043" ht="28.5" customHeight="1" s="99">
      <c r="A3043" s="94" t="inlineStr">
        <is>
          <t>PDF-Từ vựng phỏng vấn _ HỌC BÁ CHINESE.pdf</t>
        </is>
      </c>
      <c r="B3043" s="95" t="inlineStr">
        <is>
          <t>9</t>
        </is>
      </c>
      <c r="C3043" s="94" t="inlineStr">
        <is>
          <t>组织能力</t>
        </is>
      </c>
      <c r="D3043" s="94" t="inlineStr">
        <is>
          <t>zǔzhī nénglì – năng lực tổ chức</t>
        </is>
      </c>
      <c r="E3043" s="94" t="inlineStr">
        <is>
          <t>9. 组织能力 zǔzhī nénglì – năng lực tổ chức</t>
        </is>
      </c>
      <c r="F3043" s="115">
        <f>HYPERLINK("https://youglish.com/pronounce/组织能力/chinese","🔍")</f>
        <v/>
      </c>
    </row>
    <row r="3044" ht="28.5" customHeight="1" s="99">
      <c r="A3044" s="92" t="inlineStr">
        <is>
          <t>PDF-Từ vựng phỏng vấn _ HỌC BÁ CHINESE.pdf</t>
        </is>
      </c>
      <c r="B3044" s="93" t="inlineStr">
        <is>
          <t>225</t>
        </is>
      </c>
      <c r="C3044" s="92" t="inlineStr">
        <is>
          <t>他的组织能力很强</t>
        </is>
      </c>
      <c r="D3044" s="92" t="inlineStr">
        <is>
          <t>→ Năng lực tổ chức của anh ấy rất mạnh.</t>
        </is>
      </c>
      <c r="E3044" s="92" t="inlineStr">
        <is>
          <t>他的组织能力很强。 → Năng lực tổ chức của anh ấy rất mạnh.</t>
        </is>
      </c>
      <c r="F3044" s="114">
        <f>HYPERLINK("https://youglish.com/pronounce/他的组织能力很强/chinese","🔍")</f>
        <v/>
      </c>
    </row>
    <row r="3045" ht="28.5" customHeight="1" s="99">
      <c r="A3045" s="94" t="inlineStr">
        <is>
          <t>PDF-Từ vựng phỏng vấn _ HỌC BÁ CHINESE.pdf</t>
        </is>
      </c>
      <c r="B3045" s="95" t="inlineStr">
        <is>
          <t>10</t>
        </is>
      </c>
      <c r="C3045" s="94" t="inlineStr">
        <is>
          <t>市场调查</t>
        </is>
      </c>
      <c r="D3045" s="94" t="inlineStr">
        <is>
          <t>shìchǎng diàochá – khảo sát thị trường</t>
        </is>
      </c>
      <c r="E3045" s="94" t="inlineStr">
        <is>
          <t>10. 市场调查 shìchǎng diàochá – khảo sát thị trường</t>
        </is>
      </c>
      <c r="F3045" s="115">
        <f>HYPERLINK("https://youglish.com/pronounce/市场调查/chinese","🔍")</f>
        <v/>
      </c>
    </row>
    <row r="3046" ht="28.5" customHeight="1" s="99">
      <c r="A3046" s="92" t="inlineStr">
        <is>
          <t>PDF-Từ vựng phỏng vấn _ HỌC BÁ CHINESE.pdf</t>
        </is>
      </c>
      <c r="B3046" s="93" t="inlineStr">
        <is>
          <t>227</t>
        </is>
      </c>
      <c r="C3046" s="92" t="inlineStr">
        <is>
          <t>我们做了一次市场调查</t>
        </is>
      </c>
      <c r="D3046" s="92" t="inlineStr">
        <is>
          <t>→ Chúng tôi đã làm một khảo sát thị trường.</t>
        </is>
      </c>
      <c r="E3046" s="92" t="inlineStr">
        <is>
          <t>我们做了一次市场调查。 → Chúng tôi đã làm một khảo sát thị trường.</t>
        </is>
      </c>
      <c r="F3046" s="114">
        <f>HYPERLINK("https://youglish.com/pronounce/我们做了一次市场调查/chinese","🔍")</f>
        <v/>
      </c>
    </row>
    <row r="3047" ht="28.5" customHeight="1" s="99">
      <c r="A3047" s="94" t="inlineStr">
        <is>
          <t>PDF-Từ vựng phỏng vấn _ HỌC BÁ CHINESE.pdf</t>
        </is>
      </c>
      <c r="B3047" s="95" t="inlineStr">
        <is>
          <t>11</t>
        </is>
      </c>
      <c r="C3047" s="94" t="inlineStr">
        <is>
          <t>小组</t>
        </is>
      </c>
      <c r="D3047" s="94" t="inlineStr">
        <is>
          <t>xiǎozǔ – nhóm / tổ</t>
        </is>
      </c>
      <c r="E3047" s="94" t="inlineStr">
        <is>
          <t>11. 小组 xiǎozǔ – nhóm / tổ</t>
        </is>
      </c>
      <c r="F3047" s="115">
        <f>HYPERLINK("https://youglish.com/pronounce/小组/chinese","🔍")</f>
        <v/>
      </c>
    </row>
    <row r="3048" ht="28.5" customHeight="1" s="99">
      <c r="A3048" s="92" t="inlineStr">
        <is>
          <t>PDF-Từ vựng phỏng vấn _ HỌC BÁ CHINESE.pdf</t>
        </is>
      </c>
      <c r="B3048" s="93" t="inlineStr">
        <is>
          <t>229</t>
        </is>
      </c>
      <c r="C3048" s="92" t="inlineStr">
        <is>
          <t>她负责带领这个小组</t>
        </is>
      </c>
      <c r="D3048" s="92" t="inlineStr">
        <is>
          <t>→ Cô ấy phụ trách dẫn dắt nhóm này.</t>
        </is>
      </c>
      <c r="E3048" s="92" t="inlineStr">
        <is>
          <t>她负责带领这个小组。 → Cô ấy phụ trách dẫn dắt nhóm này.</t>
        </is>
      </c>
      <c r="F3048" s="114">
        <f>HYPERLINK("https://youglish.com/pronounce/她负责带领这个小组/chinese","🔍")</f>
        <v/>
      </c>
    </row>
    <row r="3049" ht="28.5" customHeight="1" s="99">
      <c r="A3049" s="94" t="inlineStr">
        <is>
          <t>PDF-Từ vựng phỏng vấn _ HỌC BÁ CHINESE.pdf</t>
        </is>
      </c>
      <c r="B3049" s="95" t="inlineStr">
        <is>
          <t>12</t>
        </is>
      </c>
      <c r="C3049" s="94" t="inlineStr">
        <is>
          <t>调查报告</t>
        </is>
      </c>
      <c r="D3049" s="94" t="inlineStr">
        <is>
          <t>diàochá bàogào – báo cáo khảo sát</t>
        </is>
      </c>
      <c r="E3049" s="94" t="inlineStr">
        <is>
          <t>12. 调查报告 diàochá bàogào – báo cáo khảo sát</t>
        </is>
      </c>
      <c r="F3049" s="115">
        <f>HYPERLINK("https://youglish.com/pronounce/调查报告/chinese","🔍")</f>
        <v/>
      </c>
    </row>
    <row r="3050" ht="28.5" customHeight="1" s="99">
      <c r="A3050" s="92" t="inlineStr">
        <is>
          <t>PDF-Từ vựng phỏng vấn _ HỌC BÁ CHINESE.pdf</t>
        </is>
      </c>
      <c r="B3050" s="93" t="inlineStr">
        <is>
          <t>231</t>
        </is>
      </c>
      <c r="C3050" s="92" t="inlineStr">
        <is>
          <t>我已经写好调查报告了</t>
        </is>
      </c>
      <c r="D3050" s="92" t="inlineStr">
        <is>
          <t>→ Tôi đã viết xong báo cáo khảo sát.</t>
        </is>
      </c>
      <c r="E3050" s="92" t="inlineStr">
        <is>
          <t>我已经写好调查报告了。 → Tôi đã viết xong báo cáo khảo sát.</t>
        </is>
      </c>
      <c r="F3050" s="114">
        <f>HYPERLINK("https://youglish.com/pronounce/我已经写好调查报告了/chinese","🔍")</f>
        <v/>
      </c>
    </row>
    <row r="3051" ht="28.5" customHeight="1" s="99">
      <c r="A3051" s="94" t="inlineStr">
        <is>
          <t>PDF-Từ vựng phỏng vấn _ HỌC BÁ CHINESE.pdf</t>
        </is>
      </c>
      <c r="B3051" s="95" t="inlineStr">
        <is>
          <t>13</t>
        </is>
      </c>
      <c r="C3051" s="94" t="inlineStr">
        <is>
          <t>成功</t>
        </is>
      </c>
      <c r="D3051" s="94" t="inlineStr">
        <is>
          <t>chénggōng – thành công</t>
        </is>
      </c>
      <c r="E3051" s="94" t="inlineStr">
        <is>
          <t>13. 成功 chénggōng – thành công</t>
        </is>
      </c>
      <c r="F3051" s="115">
        <f>HYPERLINK("https://youglish.com/pronounce/成功/chinese","🔍")</f>
        <v/>
      </c>
    </row>
    <row r="3052" ht="28.5" customHeight="1" s="99">
      <c r="A3052" s="92" t="inlineStr">
        <is>
          <t>PDF-Từ vựng phỏng vấn _ HỌC BÁ CHINESE.pdf</t>
        </is>
      </c>
      <c r="B3052" s="93" t="inlineStr">
        <is>
          <t>233</t>
        </is>
      </c>
      <c r="C3052" s="92" t="inlineStr">
        <is>
          <t>这次活动非常成功</t>
        </is>
      </c>
      <c r="D3052" s="92" t="inlineStr">
        <is>
          <t>→ Hoạt động lần này rất thành công.</t>
        </is>
      </c>
      <c r="E3052" s="92" t="inlineStr">
        <is>
          <t>这次活动非常成功。 → Hoạt động lần này rất thành công.</t>
        </is>
      </c>
      <c r="F3052" s="114">
        <f>HYPERLINK("https://youglish.com/pronounce/这次活动非常成功/chinese","🔍")</f>
        <v/>
      </c>
    </row>
    <row r="3053" ht="28.5" customHeight="1" s="99">
      <c r="A3053" s="94" t="inlineStr">
        <is>
          <t>PDF-Từ vựng phỏng vấn _ HỌC BÁ CHINESE.pdf</t>
        </is>
      </c>
      <c r="B3053" s="95" t="inlineStr">
        <is>
          <t>14</t>
        </is>
      </c>
      <c r="C3053" s="94" t="inlineStr">
        <is>
          <t>具体工作</t>
        </is>
      </c>
      <c r="D3053" s="94" t="inlineStr">
        <is>
          <t>jùtǐ gōngzuò – công việc cụ thể</t>
        </is>
      </c>
      <c r="E3053" s="94" t="inlineStr">
        <is>
          <t>14. 具体工作 jùtǐ gōngzuò – công việc cụ thể</t>
        </is>
      </c>
      <c r="F3053" s="115">
        <f>HYPERLINK("https://youglish.com/pronounce/具体工作/chinese","🔍")</f>
        <v/>
      </c>
    </row>
    <row r="3054" ht="28.5" customHeight="1" s="99">
      <c r="A3054" s="92" t="inlineStr">
        <is>
          <t>PDF-Từ vựng phỏng vấn _ HỌC BÁ CHINESE.pdf</t>
        </is>
      </c>
      <c r="B3054" s="93" t="inlineStr">
        <is>
          <t>235</t>
        </is>
      </c>
      <c r="C3054" s="92" t="inlineStr">
        <is>
          <t>我更适合做具体工作</t>
        </is>
      </c>
      <c r="D3054" s="92" t="inlineStr">
        <is>
          <t>→ Tôi phù hợp làm những công việc cụ thể.</t>
        </is>
      </c>
      <c r="E3054" s="92" t="inlineStr">
        <is>
          <t>我更适合做具体工作。 → Tôi phù hợp làm những công việc cụ thể.</t>
        </is>
      </c>
      <c r="F3054" s="114">
        <f>HYPERLINK("https://youglish.com/pronounce/我更适合做具体工作/chinese","🔍")</f>
        <v/>
      </c>
    </row>
    <row r="3055" ht="28.5" customHeight="1" s="99">
      <c r="A3055" s="94" t="inlineStr">
        <is>
          <t>PDF-Từ vựng phỏng vấn _ HỌC BÁ CHINESE.pdf</t>
        </is>
      </c>
      <c r="B3055" s="95" t="inlineStr">
        <is>
          <t>15</t>
        </is>
      </c>
      <c r="C3055" s="94" t="inlineStr">
        <is>
          <t>性格决定</t>
        </is>
      </c>
      <c r="D3055" s="94" t="inlineStr">
        <is>
          <t>xìnggé juédìng – tính cách quyết định</t>
        </is>
      </c>
      <c r="E3055" s="94" t="inlineStr">
        <is>
          <t>15. 性格决定 xìnggé juédìng – tính cách quyết định</t>
        </is>
      </c>
      <c r="F3055" s="115">
        <f>HYPERLINK("https://youglish.com/pronounce/性格决定/chinese","🔍")</f>
        <v/>
      </c>
    </row>
    <row r="3056" ht="28.5" customHeight="1" s="99">
      <c r="A3056" s="92" t="inlineStr">
        <is>
          <t>PDF-Từ vựng phỏng vấn _ HỌC BÁ CHINESE.pdf</t>
        </is>
      </c>
      <c r="B3056" s="93" t="inlineStr">
        <is>
          <t>237</t>
        </is>
      </c>
      <c r="C3056" s="92" t="inlineStr">
        <is>
          <t>我的性格决定了我的工作方式</t>
        </is>
      </c>
      <c r="D3056" s="92" t="inlineStr">
        <is>
          <t>→ Tính cách quyết định phong cách làm việc của tôi.</t>
        </is>
      </c>
      <c r="E3056" s="92" t="inlineStr">
        <is>
          <t>我的性格决定了我的工作方式。 → Tính cách quyết định phong cách làm việc của tôi.</t>
        </is>
      </c>
      <c r="F3056" s="114">
        <f>HYPERLINK("https://youglish.com/pronounce/我的性格决定了我的工作方式/chinese","🔍")</f>
        <v/>
      </c>
    </row>
    <row r="3057" ht="28.5" customHeight="1" s="99">
      <c r="A3057" s="94" t="inlineStr">
        <is>
          <t>PDF-Từ vựng phỏng vấn _ HỌC BÁ CHINESE.pdf</t>
        </is>
      </c>
      <c r="B3057" s="95" t="inlineStr">
        <is>
          <t>16</t>
        </is>
      </c>
      <c r="C3057" s="94" t="inlineStr">
        <is>
          <t>明确目标</t>
        </is>
      </c>
      <c r="D3057" s="94" t="inlineStr">
        <is>
          <t>míngquè mùbiāo – mục tiêu rõ ràng</t>
        </is>
      </c>
      <c r="E3057" s="94" t="inlineStr">
        <is>
          <t>16. 明确目标 míngquè mùbiāo – mục tiêu rõ ràng</t>
        </is>
      </c>
      <c r="F3057" s="115">
        <f>HYPERLINK("https://youglish.com/pronounce/明确目标/chinese","🔍")</f>
        <v/>
      </c>
    </row>
    <row r="3058" ht="28.5" customHeight="1" s="99">
      <c r="A3058" s="92" t="inlineStr">
        <is>
          <t>PDF-Từ vựng phỏng vấn _ HỌC BÁ CHINESE.pdf</t>
        </is>
      </c>
      <c r="B3058" s="93" t="inlineStr">
        <is>
          <t>239</t>
        </is>
      </c>
      <c r="C3058" s="92" t="inlineStr">
        <is>
          <t>我需要一个明确的目标</t>
        </is>
      </c>
      <c r="D3058" s="92" t="inlineStr">
        <is>
          <t>→ Tôi cần một mục tiêu rõ ràng.</t>
        </is>
      </c>
      <c r="E3058" s="92" t="inlineStr">
        <is>
          <t>我需要一个明确的目标。 → Tôi cần một mục tiêu rõ ràng.</t>
        </is>
      </c>
      <c r="F3058" s="114">
        <f>HYPERLINK("https://youglish.com/pronounce/我需要一个明确的目标/chinese","🔍")</f>
        <v/>
      </c>
    </row>
    <row r="3059" ht="28.5" customHeight="1" s="99">
      <c r="A3059" s="94" t="inlineStr">
        <is>
          <t>PDF-Từ vựng phỏng vấn _ HỌC BÁ CHINESE.pdf</t>
        </is>
      </c>
      <c r="B3059" s="95" t="inlineStr">
        <is>
          <t>17</t>
        </is>
      </c>
      <c r="C3059" s="94" t="inlineStr">
        <is>
          <t>市场管理人员</t>
        </is>
      </c>
      <c r="D3059" s="94" t="inlineStr">
        <is>
          <t>shìchǎng guǎnlǐ rényuán – nhân viên quản lý thị trường</t>
        </is>
      </c>
      <c r="E3059" s="94" t="inlineStr">
        <is>
          <t>17. 市场管理人员 shìchǎng guǎnlǐ rényuán – nhân viên quản lý thị trường</t>
        </is>
      </c>
      <c r="F3059" s="115">
        <f>HYPERLINK("https://youglish.com/pronounce/市场管理人员/chinese","🔍")</f>
        <v/>
      </c>
    </row>
    <row r="3060" ht="28.5" customHeight="1" s="99">
      <c r="A3060" s="92" t="inlineStr">
        <is>
          <t>PDF-Từ vựng phỏng vấn _ HỌC BÁ CHINESE.pdf</t>
        </is>
      </c>
      <c r="B3060" s="93" t="inlineStr">
        <is>
          <t>241</t>
        </is>
      </c>
      <c r="C3060" s="92" t="inlineStr">
        <is>
          <t>市场管理人员需要很强的协调能力</t>
        </is>
      </c>
      <c r="D3060" s="92" t="inlineStr">
        <is>
          <t>→ Nhân viên quản lý thị trường cần khả năng phối hợp mạnh.</t>
        </is>
      </c>
      <c r="E3060" s="92" t="inlineStr">
        <is>
          <t>市场管理人员需要很强的协调能力。 → Nhân viên quản lý thị trường cần khả năng phối hợp mạnh.</t>
        </is>
      </c>
      <c r="F3060" s="114">
        <f>HYPERLINK("https://youglish.com/pronounce/市场管理人员需要很强的协调能力/chinese","🔍")</f>
        <v/>
      </c>
    </row>
    <row r="3061" ht="28.5" customHeight="1" s="99">
      <c r="A3061" s="94" t="inlineStr">
        <is>
          <t>PDF-Từ vựng phỏng vấn _ HỌC BÁ CHINESE.pdf</t>
        </is>
      </c>
      <c r="B3061" s="95" t="inlineStr">
        <is>
          <t>18</t>
        </is>
      </c>
      <c r="C3061" s="94" t="inlineStr">
        <is>
          <t>提醒</t>
        </is>
      </c>
      <c r="D3061" s="94" t="inlineStr">
        <is>
          <t>tíxǐng – nhắc nhở</t>
        </is>
      </c>
      <c r="E3061" s="94" t="inlineStr">
        <is>
          <t>18. 提醒 tíxǐng – nhắc nhở</t>
        </is>
      </c>
      <c r="F3061" s="115">
        <f>HYPERLINK("https://youglish.com/pronounce/提醒/chinese","🔍")</f>
        <v/>
      </c>
    </row>
    <row r="3062" ht="28.5" customHeight="1" s="99">
      <c r="A3062" s="92" t="inlineStr">
        <is>
          <t>PDF-Từ vựng phỏng vấn _ HỌC BÁ CHINESE.pdf</t>
        </is>
      </c>
      <c r="B3062" s="93" t="inlineStr">
        <is>
          <t>243</t>
        </is>
      </c>
      <c r="C3062" s="92" t="inlineStr">
        <is>
          <t>谢谢你的提醒</t>
        </is>
      </c>
      <c r="D3062" s="92" t="inlineStr">
        <is>
          <t>→ Cảm ơn lời nhắc nhở của bạn.</t>
        </is>
      </c>
      <c r="E3062" s="92" t="inlineStr">
        <is>
          <t>谢谢你的提醒。 → Cảm ơn lời nhắc nhở của bạn.</t>
        </is>
      </c>
      <c r="F3062" s="114">
        <f>HYPERLINK("https://youglish.com/pronounce/谢谢你的提醒/chinese","🔍")</f>
        <v/>
      </c>
    </row>
    <row r="3063" ht="28.5" customHeight="1" s="99">
      <c r="A3063" s="94" t="inlineStr">
        <is>
          <t>PDF-Từ vựng phỏng vấn _ HỌC BÁ CHINESE.pdf</t>
        </is>
      </c>
      <c r="B3063" s="95" t="inlineStr">
        <is>
          <t>19</t>
        </is>
      </c>
      <c r="C3063" s="94" t="inlineStr">
        <is>
          <t>能力不够</t>
        </is>
      </c>
      <c r="D3063" s="94" t="inlineStr">
        <is>
          <t>nénglì búgòu – năng lực chưa đủ</t>
        </is>
      </c>
      <c r="E3063" s="94" t="inlineStr">
        <is>
          <t>19. 能力不够 nénglì búgòu – năng lực chưa đủ</t>
        </is>
      </c>
      <c r="F3063" s="115">
        <f>HYPERLINK("https://youglish.com/pronounce/能力不够/chinese","🔍")</f>
        <v/>
      </c>
    </row>
    <row r="3064" ht="28.5" customHeight="1" s="99">
      <c r="A3064" s="92" t="inlineStr">
        <is>
          <t>PDF-Từ vựng phỏng vấn _ HỌC BÁ CHINESE.pdf</t>
        </is>
      </c>
      <c r="B3064" s="93" t="inlineStr">
        <is>
          <t>245</t>
        </is>
      </c>
      <c r="C3064" s="92" t="inlineStr">
        <is>
          <t>我觉得自己能力不够</t>
        </is>
      </c>
      <c r="D3064" s="92" t="inlineStr">
        <is>
          <t>→ Tôi cảm thấy năng lực mình chưa đủ.</t>
        </is>
      </c>
      <c r="E3064" s="92" t="inlineStr">
        <is>
          <t>我觉得自己能力不够。 → Tôi cảm thấy năng lực mình chưa đủ.</t>
        </is>
      </c>
      <c r="F3064" s="114">
        <f>HYPERLINK("https://youglish.com/pronounce/我觉得自己能力不够/chinese","🔍")</f>
        <v/>
      </c>
    </row>
    <row r="3065" ht="28.5" customHeight="1" s="99">
      <c r="A3065" s="94" t="inlineStr">
        <is>
          <t>PDF-Từ vựng phỏng vấn _ HỌC BÁ CHINESE.pdf</t>
        </is>
      </c>
      <c r="B3065" s="95" t="inlineStr">
        <is>
          <t>20</t>
        </is>
      </c>
      <c r="C3065" s="94" t="inlineStr">
        <is>
          <t>努力</t>
        </is>
      </c>
      <c r="D3065" s="94" t="inlineStr">
        <is>
          <t>nǔlì – nỗ lực</t>
        </is>
      </c>
      <c r="E3065" s="94" t="inlineStr">
        <is>
          <t>20. 努力 nǔlì – nỗ lực</t>
        </is>
      </c>
      <c r="F3065" s="115">
        <f>HYPERLINK("https://youglish.com/pronounce/努力/chinese","🔍")</f>
        <v/>
      </c>
    </row>
    <row r="3066" ht="28.5" customHeight="1" s="99">
      <c r="A3066" s="92" t="inlineStr">
        <is>
          <t>PDF-Từ vựng phỏng vấn _ HỌC BÁ CHINESE.pdf</t>
        </is>
      </c>
      <c r="B3066" s="93" t="inlineStr">
        <is>
          <t>247</t>
        </is>
      </c>
      <c r="C3066" s="92" t="inlineStr">
        <is>
          <t>我会继续努力</t>
        </is>
      </c>
      <c r="D3066" s="92" t="inlineStr">
        <is>
          <t>→ Tôi sẽ tiếp tục nỗ lực.</t>
        </is>
      </c>
      <c r="E3066" s="92" t="inlineStr">
        <is>
          <t>我会继续努力。 → Tôi sẽ tiếp tục nỗ lực.</t>
        </is>
      </c>
      <c r="F3066" s="114">
        <f>HYPERLINK("https://youglish.com/pronounce/我会继续努力/chinese","🔍")</f>
        <v/>
      </c>
    </row>
    <row r="3067" ht="28.5" customHeight="1" s="99">
      <c r="A3067" s="94" t="inlineStr">
        <is>
          <t>PDF-Từ vựng phỏng vấn _ HỌC BÁ CHINESE.pdf</t>
        </is>
      </c>
      <c r="B3067" s="95" t="inlineStr">
        <is>
          <t>21</t>
        </is>
      </c>
      <c r="C3067" s="94" t="inlineStr">
        <is>
          <t>任务</t>
        </is>
      </c>
      <c r="D3067" s="94" t="inlineStr">
        <is>
          <t>rènwu – nhiệm vụ</t>
        </is>
      </c>
      <c r="E3067" s="94" t="inlineStr">
        <is>
          <t>21. 任务 rènwu – nhiệm vụ</t>
        </is>
      </c>
      <c r="F3067" s="115">
        <f>HYPERLINK("https://youglish.com/pronounce/任务/chinese","🔍")</f>
        <v/>
      </c>
    </row>
    <row r="3068" ht="28.5" customHeight="1" s="99">
      <c r="A3068" s="92" t="inlineStr">
        <is>
          <t>PDF-Từ vựng phỏng vấn _ HỌC BÁ CHINESE.pdf</t>
        </is>
      </c>
      <c r="B3068" s="93" t="inlineStr">
        <is>
          <t>249</t>
        </is>
      </c>
      <c r="C3068" s="92" t="inlineStr">
        <is>
          <t>我按时完成了所有任务</t>
        </is>
      </c>
      <c r="D3068" s="92" t="inlineStr">
        <is>
          <t>→ Tôi hoàn thành đúng hạn tất cả nhiệm vụ.</t>
        </is>
      </c>
      <c r="E3068" s="92" t="inlineStr">
        <is>
          <t>我按时完成了所有任务。 → Tôi hoàn thành đúng hạn tất cả nhiệm vụ.</t>
        </is>
      </c>
      <c r="F3068" s="114">
        <f>HYPERLINK("https://youglish.com/pronounce/我按时完成了所有任务/chinese","🔍")</f>
        <v/>
      </c>
    </row>
    <row r="3069" ht="28.5" customHeight="1" s="99">
      <c r="A3069" s="94" t="inlineStr">
        <is>
          <t>PDF-Từ vựng phỏng vấn _ HỌC BÁ CHINESE.pdf</t>
        </is>
      </c>
      <c r="B3069" s="95" t="inlineStr">
        <is>
          <t>22</t>
        </is>
      </c>
      <c r="C3069" s="94" t="inlineStr">
        <is>
          <t>尝试</t>
        </is>
      </c>
      <c r="D3069" s="94" t="inlineStr">
        <is>
          <t>chángshì – thử / thử sức</t>
        </is>
      </c>
      <c r="E3069" s="94" t="inlineStr">
        <is>
          <t>22. 尝试 chángshì – thử / thử sức</t>
        </is>
      </c>
      <c r="F3069" s="115">
        <f>HYPERLINK("https://youglish.com/pronounce/尝试/chinese","🔍")</f>
        <v/>
      </c>
    </row>
    <row r="3070" ht="28.5" customHeight="1" s="99">
      <c r="A3070" s="92" t="inlineStr">
        <is>
          <t>PDF-Từ vựng phỏng vấn _ HỌC BÁ CHINESE.pdf</t>
        </is>
      </c>
      <c r="B3070" s="93" t="inlineStr">
        <is>
          <t>251</t>
        </is>
      </c>
      <c r="C3070" s="92" t="inlineStr">
        <is>
          <t>我尝试过领导一个团队</t>
        </is>
      </c>
      <c r="D3070" s="92" t="inlineStr">
        <is>
          <t>→ Tôi đã thử dẫn dắt một đội nhóm.</t>
        </is>
      </c>
      <c r="E3070" s="92" t="inlineStr">
        <is>
          <t>我尝试过领导一个团队。 → Tôi đã thử dẫn dắt một đội nhóm.</t>
        </is>
      </c>
      <c r="F3070" s="114">
        <f>HYPERLINK("https://youglish.com/pronounce/我尝试过领导一个团队/chinese","🔍")</f>
        <v/>
      </c>
    </row>
    <row r="3071" ht="28.5" customHeight="1" s="99">
      <c r="A3071" s="94" t="inlineStr">
        <is>
          <t>PDF-Từ vựng phỏng vấn _ HỌC BÁ CHINESE.pdf</t>
        </is>
      </c>
      <c r="B3071" s="95" t="inlineStr">
        <is>
          <t>23</t>
        </is>
      </c>
      <c r="C3071" s="94" t="inlineStr">
        <is>
          <t>方面</t>
        </is>
      </c>
      <c r="D3071" s="94" t="inlineStr">
        <is>
          <t>fāngmiàn – phương diện / mặt</t>
        </is>
      </c>
      <c r="E3071" s="94" t="inlineStr">
        <is>
          <t>23. 方面 fāngmiàn – phương diện / mặt</t>
        </is>
      </c>
      <c r="F3071" s="115">
        <f>HYPERLINK("https://youglish.com/pronounce/方面/chinese","🔍")</f>
        <v/>
      </c>
    </row>
    <row r="3072" ht="28.5" customHeight="1" s="99">
      <c r="A3072" s="92" t="inlineStr">
        <is>
          <t>PDF-Từ vựng phỏng vấn _ HỌC BÁ CHINESE.pdf</t>
        </is>
      </c>
      <c r="B3072" s="93" t="inlineStr">
        <is>
          <t>253</t>
        </is>
      </c>
      <c r="C3072" s="92" t="inlineStr">
        <is>
          <t>我在这方面还需提高</t>
        </is>
      </c>
      <c r="D3072" s="92" t="inlineStr">
        <is>
          <t>→ Tôi cần cải thiện ở phương diện này.</t>
        </is>
      </c>
      <c r="E3072" s="92" t="inlineStr">
        <is>
          <t>我在这方面还需提高。 → Tôi cần cải thiện ở phương diện này.</t>
        </is>
      </c>
      <c r="F3072" s="114">
        <f>HYPERLINK("https://youglish.com/pronounce/我在这方面还需提高/chinese","🔍")</f>
        <v/>
      </c>
    </row>
    <row r="3073" ht="28.5" customHeight="1" s="99">
      <c r="A3073" s="94" t="inlineStr">
        <is>
          <t>PDF-Từ vựng phỏng vấn _ HỌC BÁ CHINESE.pdf</t>
        </is>
      </c>
      <c r="B3073" s="95" t="inlineStr">
        <is>
          <t>24</t>
        </is>
      </c>
      <c r="C3073" s="94" t="inlineStr">
        <is>
          <t>完成</t>
        </is>
      </c>
      <c r="D3073" s="94" t="inlineStr">
        <is>
          <t>wánchéng – hoàn thành</t>
        </is>
      </c>
      <c r="E3073" s="94" t="inlineStr">
        <is>
          <t>24. 完成 wánchéng – hoàn thành</t>
        </is>
      </c>
      <c r="F3073" s="115">
        <f>HYPERLINK("https://youglish.com/pronounce/完成/chinese","🔍")</f>
        <v/>
      </c>
    </row>
    <row r="3074" ht="28.5" customHeight="1" s="99">
      <c r="A3074" s="92" t="inlineStr">
        <is>
          <t>PDF-Từ vựng phỏng vấn _ HỌC BÁ CHINESE.pdf</t>
        </is>
      </c>
      <c r="B3074" s="93" t="inlineStr">
        <is>
          <t>255</t>
        </is>
      </c>
      <c r="C3074" s="92" t="inlineStr">
        <is>
          <t>我们按计划完成了项目</t>
        </is>
      </c>
      <c r="D3074" s="92" t="inlineStr">
        <is>
          <t>→ Chúng tôi đã hoàn thành dự án theo kế hoạch.</t>
        </is>
      </c>
      <c r="E3074" s="92" t="inlineStr">
        <is>
          <t>我们按计划完成了项目。 → Chúng tôi đã hoàn thành dự án theo kế hoạch.</t>
        </is>
      </c>
      <c r="F3074" s="114">
        <f>HYPERLINK("https://youglish.com/pronounce/我们按计划完成了项目/chinese","🔍")</f>
        <v/>
      </c>
    </row>
    <row r="3075" ht="28.5" customHeight="1" s="99">
      <c r="A3075" s="94" t="inlineStr">
        <is>
          <t>PDF-Từ vựng phỏng vấn _ HỌC BÁ CHINESE.pdf</t>
        </is>
      </c>
      <c r="B3075" s="95" t="inlineStr">
        <is>
          <t>25</t>
        </is>
      </c>
      <c r="C3075" s="94" t="inlineStr">
        <is>
          <t>目标管理</t>
        </is>
      </c>
      <c r="D3075" s="94" t="inlineStr">
        <is>
          <t>mùbiāo guǎnlǐ – quản lý mục tiêu</t>
        </is>
      </c>
      <c r="E3075" s="94" t="inlineStr">
        <is>
          <t>25. 目标管理 mùbiāo guǎnlǐ – quản lý mục tiêu</t>
        </is>
      </c>
      <c r="F3075" s="115">
        <f>HYPERLINK("https://youglish.com/pronounce/目标管理/chinese","🔍")</f>
        <v/>
      </c>
    </row>
    <row r="3076" ht="28.5" customHeight="1" s="99">
      <c r="A3076" s="92" t="inlineStr">
        <is>
          <t>PDF-Từ vựng phỏng vấn _ HỌC BÁ CHINESE.pdf</t>
        </is>
      </c>
      <c r="B3076" s="93" t="inlineStr">
        <is>
          <t>257</t>
        </is>
      </c>
      <c r="C3076" s="92" t="inlineStr">
        <is>
          <t>目标管理可以提高效率</t>
        </is>
      </c>
      <c r="D3076" s="92" t="inlineStr">
        <is>
          <t>→ Quản lý mục tiêu có thể nâng cao hiệu quả.</t>
        </is>
      </c>
      <c r="E3076" s="92" t="inlineStr">
        <is>
          <t>目标管理可以提高效率。 → Quản lý mục tiêu có thể nâng cao hiệu quả.</t>
        </is>
      </c>
      <c r="F3076" s="114">
        <f>HYPERLINK("https://youglish.com/pronounce/目标管理可以提高效率/chinese","🔍")</f>
        <v/>
      </c>
    </row>
    <row r="3077" ht="28.5" customHeight="1" s="99">
      <c r="A3077" s="94" t="inlineStr">
        <is>
          <t>PDF-Từ vựng phỏng vấn _ HỌC BÁ CHINESE.pdf</t>
        </is>
      </c>
      <c r="B3077" s="95" t="inlineStr">
        <is>
          <t>258</t>
        </is>
      </c>
      <c r="C3077" s="94" t="inlineStr">
        <is>
          <t>薪酬待遇</t>
        </is>
      </c>
      <c r="D3077" s="94" t="inlineStr">
        <is>
          <t>Bài 6,7薪酬待遇 (Lương thưởng &amp; đãi ngộ).</t>
        </is>
      </c>
      <c r="E3077" s="94" t="inlineStr">
        <is>
          <t>Bài 6,7薪酬待遇 (Lương thưởng &amp; đãi ngộ).</t>
        </is>
      </c>
      <c r="F3077" s="115">
        <f>HYPERLINK("https://youglish.com/pronounce/薪酬待遇/chinese","🔍")</f>
        <v/>
      </c>
    </row>
    <row r="3078" ht="28.5" customHeight="1" s="99">
      <c r="A3078" s="92" t="inlineStr">
        <is>
          <t>PDF-Từ vựng phỏng vấn _ HỌC BÁ CHINESE.pdf</t>
        </is>
      </c>
      <c r="B3078" s="93" t="inlineStr">
        <is>
          <t>1</t>
        </is>
      </c>
      <c r="C3078" s="92" t="inlineStr">
        <is>
          <t>薪酬</t>
        </is>
      </c>
      <c r="D3078" s="92" t="inlineStr">
        <is>
          <t>xīnchóu – lương thưởng</t>
        </is>
      </c>
      <c r="E3078" s="92" t="inlineStr">
        <is>
          <t>1. 薪酬 xīnchóu – lương thưởng</t>
        </is>
      </c>
      <c r="F3078" s="114">
        <f>HYPERLINK("https://youglish.com/pronounce/薪酬/chinese","🔍")</f>
        <v/>
      </c>
    </row>
    <row r="3079" ht="28.5" customHeight="1" s="99">
      <c r="A3079" s="94" t="inlineStr">
        <is>
          <t>PDF-Từ vựng phỏng vấn _ HỌC BÁ CHINESE.pdf</t>
        </is>
      </c>
      <c r="B3079" s="95" t="inlineStr">
        <is>
          <t>260</t>
        </is>
      </c>
      <c r="C3079" s="94" t="inlineStr">
        <is>
          <t>公司的薪酬待遇很不错</t>
        </is>
      </c>
      <c r="D3079" s="94" t="inlineStr">
        <is>
          <t>→ Chế độ lương thưởng của công ty rất tốt.</t>
        </is>
      </c>
      <c r="E3079" s="94" t="inlineStr">
        <is>
          <t>公司的薪酬待遇很不错。 → Chế độ lương thưởng của công ty rất tốt.</t>
        </is>
      </c>
      <c r="F3079" s="115">
        <f>HYPERLINK("https://youglish.com/pronounce/公司的薪酬待遇很不错/chinese","🔍")</f>
        <v/>
      </c>
    </row>
    <row r="3080" ht="28.5" customHeight="1" s="99">
      <c r="A3080" s="92" t="inlineStr">
        <is>
          <t>PDF-Từ vựng phỏng vấn _ HỌC BÁ CHINESE.pdf</t>
        </is>
      </c>
      <c r="B3080" s="93" t="inlineStr">
        <is>
          <t>2</t>
        </is>
      </c>
      <c r="C3080" s="92" t="inlineStr">
        <is>
          <t>待遇</t>
        </is>
      </c>
      <c r="D3080" s="92" t="inlineStr">
        <is>
          <t>dàiyù – đãi ngộ</t>
        </is>
      </c>
      <c r="E3080" s="92" t="inlineStr">
        <is>
          <t>2. 待遇 dàiyù – đãi ngộ</t>
        </is>
      </c>
      <c r="F3080" s="114">
        <f>HYPERLINK("https://youglish.com/pronounce/待遇/chinese","🔍")</f>
        <v/>
      </c>
    </row>
    <row r="3081" ht="28.5" customHeight="1" s="99">
      <c r="A3081" s="94" t="inlineStr">
        <is>
          <t>PDF-Từ vựng phỏng vấn _ HỌC BÁ CHINESE.pdf</t>
        </is>
      </c>
      <c r="B3081" s="95" t="inlineStr">
        <is>
          <t>262</t>
        </is>
      </c>
      <c r="C3081" s="94" t="inlineStr">
        <is>
          <t>我对公司的待遇很满意</t>
        </is>
      </c>
      <c r="D3081" s="94" t="inlineStr">
        <is>
          <t>→ Tôi rất hài lòng với đãi ngộ của công ty.</t>
        </is>
      </c>
      <c r="E3081" s="94" t="inlineStr">
        <is>
          <t>我对公司的待遇很满意。 → Tôi rất hài lòng với đãi ngộ của công ty.</t>
        </is>
      </c>
      <c r="F3081" s="115">
        <f>HYPERLINK("https://youglish.com/pronounce/我对公司的待遇很满意/chinese","🔍")</f>
        <v/>
      </c>
    </row>
    <row r="3082" ht="28.5" customHeight="1" s="99">
      <c r="A3082" s="92" t="inlineStr">
        <is>
          <t>PDF-Từ vựng phỏng vấn _ HỌC BÁ CHINESE.pdf</t>
        </is>
      </c>
      <c r="B3082" s="93" t="inlineStr">
        <is>
          <t>3</t>
        </is>
      </c>
      <c r="C3082" s="92" t="inlineStr">
        <is>
          <t>聘用</t>
        </is>
      </c>
      <c r="D3082" s="92" t="inlineStr">
        <is>
          <t>pìnyòng – tuyển dụng chính thức</t>
        </is>
      </c>
      <c r="E3082" s="92" t="inlineStr">
        <is>
          <t>3. 聘用 pìnyòng – tuyển dụng chính thức</t>
        </is>
      </c>
      <c r="F3082" s="114">
        <f>HYPERLINK("https://youglish.com/pronounce/聘用/chinese","🔍")</f>
        <v/>
      </c>
    </row>
    <row r="3083" ht="28.5" customHeight="1" s="99">
      <c r="A3083" s="94" t="inlineStr">
        <is>
          <t>PDF-Từ vựng phỏng vấn _ HỌC BÁ CHINESE.pdf</t>
        </is>
      </c>
      <c r="B3083" s="95" t="inlineStr">
        <is>
          <t>264</t>
        </is>
      </c>
      <c r="C3083" s="94" t="inlineStr">
        <is>
          <t>公司决定正式聘用你</t>
        </is>
      </c>
      <c r="D3083" s="94" t="inlineStr">
        <is>
          <t>→ Công ty quyết định tuyển dụng chính thức bạn.</t>
        </is>
      </c>
      <c r="E3083" s="94" t="inlineStr">
        <is>
          <t>公司决定正式聘用你。 → Công ty quyết định tuyển dụng chính thức bạn.</t>
        </is>
      </c>
      <c r="F3083" s="115">
        <f>HYPERLINK("https://youglish.com/pronounce/公司决定正式聘用你/chinese","🔍")</f>
        <v/>
      </c>
    </row>
    <row r="3084" ht="28.5" customHeight="1" s="99">
      <c r="A3084" s="92" t="inlineStr">
        <is>
          <t>PDF-Từ vựng phỏng vấn _ HỌC BÁ CHINESE.pdf</t>
        </is>
      </c>
      <c r="B3084" s="93" t="inlineStr">
        <is>
          <t>4</t>
        </is>
      </c>
      <c r="C3084" s="92" t="inlineStr">
        <is>
          <t>薪水</t>
        </is>
      </c>
      <c r="D3084" s="92" t="inlineStr">
        <is>
          <t>xīnshuǐ – tiền lương</t>
        </is>
      </c>
      <c r="E3084" s="92" t="inlineStr">
        <is>
          <t>4. 薪水 xīnshuǐ – tiền lương</t>
        </is>
      </c>
      <c r="F3084" s="114">
        <f>HYPERLINK("https://youglish.com/pronounce/薪水/chinese","🔍")</f>
        <v/>
      </c>
    </row>
    <row r="3085" ht="28.5" customHeight="1" s="99">
      <c r="A3085" s="94" t="inlineStr">
        <is>
          <t>PDF-Từ vựng phỏng vấn _ HỌC BÁ CHINESE.pdf</t>
        </is>
      </c>
      <c r="B3085" s="95" t="inlineStr">
        <is>
          <t>266</t>
        </is>
      </c>
      <c r="C3085" s="94" t="inlineStr">
        <is>
          <t>你希望拿到多少薪水</t>
        </is>
      </c>
      <c r="D3085" s="94" t="inlineStr">
        <is>
          <t>→ Bạn mong muốn nhận mức lương bao nhiêu?</t>
        </is>
      </c>
      <c r="E3085" s="94" t="inlineStr">
        <is>
          <t>你希望拿到多少薪水？ → Bạn mong muốn nhận mức lương bao nhiêu?</t>
        </is>
      </c>
      <c r="F3085" s="115">
        <f>HYPERLINK("https://youglish.com/pronounce/你希望拿到多少薪水/chinese","🔍")</f>
        <v/>
      </c>
    </row>
    <row r="3086" ht="28.5" customHeight="1" s="99">
      <c r="A3086" s="92" t="inlineStr">
        <is>
          <t>PDF-Từ vựng phỏng vấn _ HỌC BÁ CHINESE.pdf</t>
        </is>
      </c>
      <c r="B3086" s="93" t="inlineStr">
        <is>
          <t>5</t>
        </is>
      </c>
      <c r="C3086" s="92" t="inlineStr">
        <is>
          <t>检验能力</t>
        </is>
      </c>
      <c r="D3086" s="92" t="inlineStr">
        <is>
          <t>jiǎnyàn nénglì – kiểm nghiệm năng lực</t>
        </is>
      </c>
      <c r="E3086" s="92" t="inlineStr">
        <is>
          <t>5. 检验能力 jiǎnyàn nénglì – kiểm nghiệm năng lực</t>
        </is>
      </c>
      <c r="F3086" s="114">
        <f>HYPERLINK("https://youglish.com/pronounce/检验能力/chinese","🔍")</f>
        <v/>
      </c>
    </row>
    <row r="3087" ht="28.5" customHeight="1" s="99">
      <c r="A3087" s="94" t="inlineStr">
        <is>
          <t>PDF-Từ vựng phỏng vấn _ HỌC BÁ CHINESE.pdf</t>
        </is>
      </c>
      <c r="B3087" s="95" t="inlineStr">
        <is>
          <t>268</t>
        </is>
      </c>
      <c r="C3087" s="94" t="inlineStr">
        <is>
          <t>公司需要时间检验你的能力</t>
        </is>
      </c>
      <c r="D3087" s="94" t="inlineStr">
        <is>
          <t>→ Công ty cần thời gian kiểm nghiệm năng lực của bạn.</t>
        </is>
      </c>
      <c r="E3087" s="94" t="inlineStr">
        <is>
          <t>公司需要时间检验你的能力。 → Công ty cần thời gian kiểm nghiệm năng lực của bạn.</t>
        </is>
      </c>
      <c r="F3087" s="115">
        <f>HYPERLINK("https://youglish.com/pronounce/公司需要时间检验你的能力/chinese","🔍")</f>
        <v/>
      </c>
    </row>
    <row r="3088" ht="28.5" customHeight="1" s="99">
      <c r="A3088" s="92" t="inlineStr">
        <is>
          <t>PDF-Từ vựng phỏng vấn _ HỌC BÁ CHINESE.pdf</t>
        </is>
      </c>
      <c r="B3088" s="93" t="inlineStr">
        <is>
          <t>6</t>
        </is>
      </c>
      <c r="C3088" s="92" t="inlineStr">
        <is>
          <t>希望值</t>
        </is>
      </c>
      <c r="D3088" s="92" t="inlineStr">
        <is>
          <t>xīwàngzhí – mức kỳ vọng</t>
        </is>
      </c>
      <c r="E3088" s="92" t="inlineStr">
        <is>
          <t>6. 希望值 xīwàngzhí – mức kỳ vọng</t>
        </is>
      </c>
      <c r="F3088" s="114">
        <f>HYPERLINK("https://youglish.com/pronounce/希望值/chinese","🔍")</f>
        <v/>
      </c>
    </row>
    <row r="3089" ht="28.5" customHeight="1" s="99">
      <c r="A3089" s="94" t="inlineStr">
        <is>
          <t>PDF-Từ vựng phỏng vấn _ HỌC BÁ CHINESE.pdf</t>
        </is>
      </c>
      <c r="B3089" s="95" t="inlineStr">
        <is>
          <t>270</t>
        </is>
      </c>
      <c r="C3089" s="94" t="inlineStr">
        <is>
          <t>我想了解你的希望值是多少</t>
        </is>
      </c>
      <c r="D3089" s="94" t="inlineStr">
        <is>
          <t>→ Tôi muốn biết mức kỳ vọng của bạn là bao nhiêu.</t>
        </is>
      </c>
      <c r="E3089" s="94" t="inlineStr">
        <is>
          <t>我想了解你的希望值是多少。 → Tôi muốn biết mức kỳ vọng của bạn là bao nhiêu.</t>
        </is>
      </c>
      <c r="F3089" s="115">
        <f>HYPERLINK("https://youglish.com/pronounce/我想了解你的希望值是多少/chinese","🔍")</f>
        <v/>
      </c>
    </row>
    <row r="3090" ht="28.5" customHeight="1" s="99">
      <c r="A3090" s="92" t="inlineStr">
        <is>
          <t>PDF-Từ vựng phỏng vấn _ HỌC BÁ CHINESE.pdf</t>
        </is>
      </c>
      <c r="B3090" s="93" t="inlineStr">
        <is>
          <t>7</t>
        </is>
      </c>
      <c r="C3090" s="92" t="inlineStr">
        <is>
          <t>实际工作</t>
        </is>
      </c>
      <c r="D3090" s="92" t="inlineStr">
        <is>
          <t>shíjì gōngzuò – công việc thực tế</t>
        </is>
      </c>
      <c r="E3090" s="92" t="inlineStr">
        <is>
          <t>7. 实际工作 shíjì gōngzuò – công việc thực tế</t>
        </is>
      </c>
      <c r="F3090" s="114">
        <f>HYPERLINK("https://youglish.com/pronounce/实际工作/chinese","🔍")</f>
        <v/>
      </c>
    </row>
    <row r="3091" ht="28.5" customHeight="1" s="99">
      <c r="A3091" s="94" t="inlineStr">
        <is>
          <t>PDF-Từ vựng phỏng vấn _ HỌC BÁ CHINESE.pdf</t>
        </is>
      </c>
      <c r="B3091" s="95" t="inlineStr">
        <is>
          <t>272</t>
        </is>
      </c>
      <c r="C3091" s="94" t="inlineStr">
        <is>
          <t>我要在实际工作中证明价值</t>
        </is>
      </c>
      <c r="D3091" s="94" t="inlineStr">
        <is>
          <t>→ Tôi muốn chứng minh giá trị trong công việc thực tế.</t>
        </is>
      </c>
      <c r="E3091" s="94" t="inlineStr">
        <is>
          <t>我要在实际工作中证明价值。 → Tôi muốn chứng minh giá trị trong công việc thực tế.</t>
        </is>
      </c>
      <c r="F3091" s="115">
        <f>HYPERLINK("https://youglish.com/pronounce/我要在实际工作中证明价值/chinese","🔍")</f>
        <v/>
      </c>
    </row>
    <row r="3092" ht="28.5" customHeight="1" s="99">
      <c r="A3092" s="92" t="inlineStr">
        <is>
          <t>PDF-Từ vựng phỏng vấn _ HỌC BÁ CHINESE.pdf</t>
        </is>
      </c>
      <c r="B3092" s="93" t="inlineStr">
        <is>
          <t>8</t>
        </is>
      </c>
      <c r="C3092" s="92" t="inlineStr">
        <is>
          <t>价值</t>
        </is>
      </c>
      <c r="D3092" s="92" t="inlineStr">
        <is>
          <t>jiàzhí – giá trị</t>
        </is>
      </c>
      <c r="E3092" s="92" t="inlineStr">
        <is>
          <t>8. 价值 jiàzhí – giá trị</t>
        </is>
      </c>
      <c r="F3092" s="114">
        <f>HYPERLINK("https://youglish.com/pronounce/价值/chinese","🔍")</f>
        <v/>
      </c>
    </row>
    <row r="3093" ht="28.5" customHeight="1" s="99">
      <c r="A3093" s="94" t="inlineStr">
        <is>
          <t>PDF-Từ vựng phỏng vấn _ HỌC BÁ CHINESE.pdf</t>
        </is>
      </c>
      <c r="B3093" s="95" t="inlineStr">
        <is>
          <t>274</t>
        </is>
      </c>
      <c r="C3093" s="94" t="inlineStr">
        <is>
          <t>我想在工作中体现自己的价值</t>
        </is>
      </c>
      <c r="D3093" s="94" t="inlineStr">
        <is>
          <t>→ Tôi muốn thể hiện giá trị của mình trong công việc.</t>
        </is>
      </c>
      <c r="E3093" s="94" t="inlineStr">
        <is>
          <t>我想在工作中体现自己的价值。 → Tôi muốn thể hiện giá trị của mình trong công việc.</t>
        </is>
      </c>
      <c r="F3093" s="115">
        <f>HYPERLINK("https://youglish.com/pronounce/我想在工作中体现自己的价值/chinese","🔍")</f>
        <v/>
      </c>
    </row>
    <row r="3094" ht="28.5" customHeight="1" s="99">
      <c r="A3094" s="92" t="inlineStr">
        <is>
          <t>PDF-Từ vựng phỏng vấn _ HỌC BÁ CHINESE.pdf</t>
        </is>
      </c>
      <c r="B3094" s="93" t="inlineStr">
        <is>
          <t>9</t>
        </is>
      </c>
      <c r="C3094" s="92" t="inlineStr">
        <is>
          <t>个性</t>
        </is>
      </c>
      <c r="D3094" s="92" t="inlineStr">
        <is>
          <t>gèxìng – cá tính</t>
        </is>
      </c>
      <c r="E3094" s="92" t="inlineStr">
        <is>
          <t>9. 个性 gèxìng – cá tính</t>
        </is>
      </c>
      <c r="F3094" s="114">
        <f>HYPERLINK("https://youglish.com/pronounce/个性/chinese","🔍")</f>
        <v/>
      </c>
    </row>
    <row r="3095" ht="28.5" customHeight="1" s="99">
      <c r="A3095" s="94" t="inlineStr">
        <is>
          <t>PDF-Từ vựng phỏng vấn _ HỌC BÁ CHINESE.pdf</t>
        </is>
      </c>
      <c r="B3095" s="95" t="inlineStr">
        <is>
          <t>276</t>
        </is>
      </c>
      <c r="C3095" s="94" t="inlineStr">
        <is>
          <t>你是一个很有个性的人</t>
        </is>
      </c>
      <c r="D3095" s="94" t="inlineStr">
        <is>
          <t>→ Bạn là một người rất có cá tính.</t>
        </is>
      </c>
      <c r="E3095" s="94" t="inlineStr">
        <is>
          <t>你是一个很有个性的人。 → Bạn là một người rất có cá tính.</t>
        </is>
      </c>
      <c r="F3095" s="115">
        <f>HYPERLINK("https://youglish.com/pronounce/你是一个很有个性的人/chinese","🔍")</f>
        <v/>
      </c>
    </row>
    <row r="3096" ht="28.5" customHeight="1" s="99">
      <c r="A3096" s="92" t="inlineStr">
        <is>
          <t>PDF-Từ vựng phỏng vấn _ HỌC BÁ CHINESE.pdf</t>
        </is>
      </c>
      <c r="B3096" s="93" t="inlineStr">
        <is>
          <t>10</t>
        </is>
      </c>
      <c r="C3096" s="92" t="inlineStr">
        <is>
          <t>检验期限</t>
        </is>
      </c>
      <c r="D3096" s="92" t="inlineStr">
        <is>
          <t>jiǎnyàn qīxiàn – thời hạn kiểm tra / thử việc</t>
        </is>
      </c>
      <c r="E3096" s="92" t="inlineStr">
        <is>
          <t>10. 检验期限 jiǎnyàn qīxiàn – thời hạn kiểm tra / thử việc</t>
        </is>
      </c>
      <c r="F3096" s="114">
        <f>HYPERLINK("https://youglish.com/pronounce/检验期限/chinese","🔍")</f>
        <v/>
      </c>
    </row>
    <row r="3097" ht="28.5" customHeight="1" s="99">
      <c r="A3097" s="94" t="inlineStr">
        <is>
          <t>PDF-Từ vựng phỏng vấn _ HỌC BÁ CHINESE.pdf</t>
        </is>
      </c>
      <c r="B3097" s="95" t="inlineStr">
        <is>
          <t>278</t>
        </is>
      </c>
      <c r="C3097" s="94" t="inlineStr">
        <is>
          <t>我们先定一个检验期限</t>
        </is>
      </c>
      <c r="D3097" s="94" t="inlineStr">
        <is>
          <t>→ Chúng ta đặt một thời hạn kiểm tra trước.</t>
        </is>
      </c>
      <c r="E3097" s="94" t="inlineStr">
        <is>
          <t>我们先定一个检验期限。 → Chúng ta đặt một thời hạn kiểm tra trước.</t>
        </is>
      </c>
      <c r="F3097" s="115">
        <f>HYPERLINK("https://youglish.com/pronounce/我们先定一个检验期限/chinese","🔍")</f>
        <v/>
      </c>
    </row>
    <row r="3098" ht="28.5" customHeight="1" s="99">
      <c r="A3098" s="92" t="inlineStr">
        <is>
          <t>PDF-Từ vựng phỏng vấn _ HỌC BÁ CHINESE.pdf</t>
        </is>
      </c>
      <c r="B3098" s="93" t="inlineStr">
        <is>
          <t>11</t>
        </is>
      </c>
      <c r="C3098" s="92" t="inlineStr">
        <is>
          <t>三个月试用期</t>
        </is>
      </c>
      <c r="D3098" s="92" t="inlineStr">
        <is>
          <t>sān gè yuè shìyòngqī – thời gian thử việc 3 tháng</t>
        </is>
      </c>
      <c r="E3098" s="92" t="inlineStr">
        <is>
          <t>11. 三个月试用期 sān gè yuè shìyòngqī – thời gian thử việc 3 tháng</t>
        </is>
      </c>
      <c r="F3098" s="114">
        <f>HYPERLINK("https://youglish.com/pronounce/三个月试用期/chinese","🔍")</f>
        <v/>
      </c>
    </row>
    <row r="3099" ht="28.5" customHeight="1" s="99">
      <c r="A3099" s="94" t="inlineStr">
        <is>
          <t>PDF-Từ vựng phỏng vấn _ HỌC BÁ CHINESE.pdf</t>
        </is>
      </c>
      <c r="B3099" s="95" t="inlineStr">
        <is>
          <t>280</t>
        </is>
      </c>
      <c r="C3099" s="94" t="inlineStr">
        <is>
          <t>公司的试用期是三个月</t>
        </is>
      </c>
      <c r="D3099" s="94" t="inlineStr">
        <is>
          <t>→ Thời gian thử việc của công ty là 3 tháng.</t>
        </is>
      </c>
      <c r="E3099" s="94" t="inlineStr">
        <is>
          <t>公司的试用期是三个月。 → Thời gian thử việc của công ty là 3 tháng.</t>
        </is>
      </c>
      <c r="F3099" s="115">
        <f>HYPERLINK("https://youglish.com/pronounce/公司的试用期是三个月/chinese","🔍")</f>
        <v/>
      </c>
    </row>
    <row r="3100" ht="28.5" customHeight="1" s="99">
      <c r="A3100" s="92" t="inlineStr">
        <is>
          <t>PDF-Từ vựng phỏng vấn _ HỌC BÁ CHINESE.pdf</t>
        </is>
      </c>
      <c r="B3100" s="93" t="inlineStr">
        <is>
          <t>12</t>
        </is>
      </c>
      <c r="C3100" s="92" t="inlineStr">
        <is>
          <t>底薪</t>
        </is>
      </c>
      <c r="D3100" s="92" t="inlineStr">
        <is>
          <t>dǐxīn – lương cơ bản</t>
        </is>
      </c>
      <c r="E3100" s="92" t="inlineStr">
        <is>
          <t>12. 底薪 dǐxīn – lương cơ bản</t>
        </is>
      </c>
      <c r="F3100" s="114">
        <f>HYPERLINK("https://youglish.com/pronounce/底薪/chinese","🔍")</f>
        <v/>
      </c>
    </row>
    <row r="3101" ht="28.5" customHeight="1" s="99">
      <c r="A3101" s="94" t="inlineStr">
        <is>
          <t>PDF-Từ vựng phỏng vấn _ HỌC BÁ CHINESE.pdf</t>
        </is>
      </c>
      <c r="B3101" s="95" t="inlineStr">
        <is>
          <t>282</t>
        </is>
      </c>
      <c r="C3101" s="94" t="inlineStr">
        <is>
          <t>每月的底薪是 / 元</t>
        </is>
      </c>
      <c r="D3101" s="94" t="inlineStr">
        <is>
          <t>每月的底薪是2000元。 → Lương cơ bản mỗi tháng là 2000 tệ.</t>
        </is>
      </c>
      <c r="E3101" s="94" t="inlineStr">
        <is>
          <t>每月的底薪是2000元。 → Lương cơ bản mỗi tháng là 2000 tệ.</t>
        </is>
      </c>
      <c r="F3101" s="115">
        <f>HYPERLINK("https://youglish.com/pronounce/每月的底薪是元/chinese","🔍")</f>
        <v/>
      </c>
    </row>
    <row r="3102" ht="28.5" customHeight="1" s="99">
      <c r="A3102" s="92" t="inlineStr">
        <is>
          <t>PDF-Từ vựng phỏng vấn _ HỌC BÁ CHINESE.pdf</t>
        </is>
      </c>
      <c r="B3102" s="93" t="inlineStr">
        <is>
          <t>13</t>
        </is>
      </c>
      <c r="C3102" s="92" t="inlineStr">
        <is>
          <t>满意</t>
        </is>
      </c>
      <c r="D3102" s="92" t="inlineStr">
        <is>
          <t>mǎnyì – hài lòng</t>
        </is>
      </c>
      <c r="E3102" s="92" t="inlineStr">
        <is>
          <t>13. 满意 mǎnyì – hài lòng</t>
        </is>
      </c>
      <c r="F3102" s="114">
        <f>HYPERLINK("https://youglish.com/pronounce/满意/chinese","🔍")</f>
        <v/>
      </c>
    </row>
    <row r="3103" ht="28.5" customHeight="1" s="99">
      <c r="A3103" s="94" t="inlineStr">
        <is>
          <t>PDF-Từ vựng phỏng vấn _ HỌC BÁ CHINESE.pdf</t>
        </is>
      </c>
      <c r="B3103" s="95" t="inlineStr">
        <is>
          <t>284</t>
        </is>
      </c>
      <c r="C3103" s="94" t="inlineStr">
        <is>
          <t>我对这个底薪很满意</t>
        </is>
      </c>
      <c r="D3103" s="94" t="inlineStr">
        <is>
          <t>→ Tôi rất hài lòng với mức lương cơ bản này.</t>
        </is>
      </c>
      <c r="E3103" s="94" t="inlineStr">
        <is>
          <t>我对这个底薪很满意。 → Tôi rất hài lòng với mức lương cơ bản này.</t>
        </is>
      </c>
      <c r="F3103" s="115">
        <f>HYPERLINK("https://youglish.com/pronounce/我对这个底薪很满意/chinese","🔍")</f>
        <v/>
      </c>
    </row>
    <row r="3104" ht="28.5" customHeight="1" s="99">
      <c r="A3104" s="92" t="inlineStr">
        <is>
          <t>PDF-Từ vựng phỏng vấn _ HỌC BÁ CHINESE.pdf</t>
        </is>
      </c>
      <c r="B3104" s="93" t="inlineStr">
        <is>
          <t>14</t>
        </is>
      </c>
      <c r="C3104" s="92" t="inlineStr">
        <is>
          <t>期望</t>
        </is>
      </c>
      <c r="D3104" s="92" t="inlineStr">
        <is>
          <t>qīwàng – kỳ vọng</t>
        </is>
      </c>
      <c r="E3104" s="92" t="inlineStr">
        <is>
          <t>14. 期望 qīwàng – kỳ vọng</t>
        </is>
      </c>
      <c r="F3104" s="114">
        <f>HYPERLINK("https://youglish.com/pronounce/期望/chinese","🔍")</f>
        <v/>
      </c>
    </row>
    <row r="3105" ht="28.5" customHeight="1" s="99">
      <c r="A3105" s="94" t="inlineStr">
        <is>
          <t>PDF-Từ vựng phỏng vấn _ HỌC BÁ CHINESE.pdf</t>
        </is>
      </c>
      <c r="B3105" s="95" t="inlineStr">
        <is>
          <t>286</t>
        </is>
      </c>
      <c r="C3105" s="94" t="inlineStr">
        <is>
          <t>这个薪水高于我的期望</t>
        </is>
      </c>
      <c r="D3105" s="94" t="inlineStr">
        <is>
          <t>→ Mức lương này cao hơn kỳ vọng của tôi.</t>
        </is>
      </c>
      <c r="E3105" s="94" t="inlineStr">
        <is>
          <t>这个薪水高于我的期望。 → Mức lương này cao hơn kỳ vọng của tôi.</t>
        </is>
      </c>
      <c r="F3105" s="115">
        <f>HYPERLINK("https://youglish.com/pronounce/这个薪水高于我的期望/chinese","🔍")</f>
        <v/>
      </c>
    </row>
    <row r="3106" ht="28.5" customHeight="1" s="99">
      <c r="A3106" s="92" t="inlineStr">
        <is>
          <t>PDF-Từ vựng phỏng vấn _ HỌC BÁ CHINESE.pdf</t>
        </is>
      </c>
      <c r="B3106" s="93" t="inlineStr">
        <is>
          <t>15</t>
        </is>
      </c>
      <c r="C3106" s="92" t="inlineStr">
        <is>
          <t>开始工作</t>
        </is>
      </c>
      <c r="D3106" s="92" t="inlineStr">
        <is>
          <t>kāishǐ gōngzuò – bắt đầu công việc</t>
        </is>
      </c>
      <c r="E3106" s="92" t="inlineStr">
        <is>
          <t>15. 开始工作 kāishǐ gōngzuò – bắt đầu công việc</t>
        </is>
      </c>
      <c r="F3106" s="114">
        <f>HYPERLINK("https://youglish.com/pronounce/开始工作/chinese","🔍")</f>
        <v/>
      </c>
    </row>
    <row r="3107" ht="28.5" customHeight="1" s="99">
      <c r="A3107" s="94" t="inlineStr">
        <is>
          <t>PDF-Từ vựng phỏng vấn _ HỌC BÁ CHINESE.pdf</t>
        </is>
      </c>
      <c r="B3107" s="95" t="inlineStr">
        <is>
          <t>288</t>
        </is>
      </c>
      <c r="C3107" s="94" t="inlineStr">
        <is>
          <t>那我们就开始工作吧</t>
        </is>
      </c>
      <c r="D3107" s="94" t="inlineStr">
        <is>
          <t>→ Vậy chúng ta bắt đầu công việc thôi.</t>
        </is>
      </c>
      <c r="E3107" s="94" t="inlineStr">
        <is>
          <t>那我们就开始工作吧。 → Vậy chúng ta bắt đầu công việc thôi.</t>
        </is>
      </c>
      <c r="F3107" s="115">
        <f>HYPERLINK("https://youglish.com/pronounce/那我们就开始工作吧/chinese","🔍")</f>
        <v/>
      </c>
    </row>
    <row r="3108" ht="28.5" customHeight="1" s="99">
      <c r="A3108" s="92" t="inlineStr">
        <is>
          <t>PDF-Từ vựng phỏng vấn _ HỌC BÁ CHINESE.pdf</t>
        </is>
      </c>
      <c r="B3108" s="93" t="inlineStr">
        <is>
          <t>16</t>
        </is>
      </c>
      <c r="C3108" s="92" t="inlineStr">
        <is>
          <t>决定</t>
        </is>
      </c>
      <c r="D3108" s="92" t="inlineStr">
        <is>
          <t>juédìng – quyết định</t>
        </is>
      </c>
      <c r="E3108" s="92" t="inlineStr">
        <is>
          <t>16. 决定 juédìng – quyết định</t>
        </is>
      </c>
      <c r="F3108" s="114">
        <f>HYPERLINK("https://youglish.com/pronounce/决定/chinese","🔍")</f>
        <v/>
      </c>
    </row>
    <row r="3109" ht="28.5" customHeight="1" s="99">
      <c r="A3109" s="94" t="inlineStr">
        <is>
          <t>PDF-Từ vựng phỏng vấn _ HỌC BÁ CHINESE.pdf</t>
        </is>
      </c>
      <c r="B3109" s="95" t="inlineStr">
        <is>
          <t>290</t>
        </is>
      </c>
      <c r="C3109" s="94" t="inlineStr">
        <is>
          <t>公司已经做出正式决定</t>
        </is>
      </c>
      <c r="D3109" s="94" t="inlineStr">
        <is>
          <t>→ Công ty đã đưa ra quyết định chính thức.</t>
        </is>
      </c>
      <c r="E3109" s="94" t="inlineStr">
        <is>
          <t>公司已经做出正式决定。 → Công ty đã đưa ra quyết định chính thức.</t>
        </is>
      </c>
      <c r="F3109" s="115">
        <f>HYPERLINK("https://youglish.com/pronounce/公司已经做出正式决定/chinese","🔍")</f>
        <v/>
      </c>
    </row>
    <row r="3110" ht="28.5" customHeight="1" s="99">
      <c r="A3110" s="92" t="inlineStr">
        <is>
          <t>PDF-Từ vựng phỏng vấn _ HỌC BÁ CHINESE.pdf</t>
        </is>
      </c>
      <c r="B3110" s="93" t="inlineStr">
        <is>
          <t>17</t>
        </is>
      </c>
      <c r="C3110" s="92" t="inlineStr">
        <is>
          <t>正式</t>
        </is>
      </c>
      <c r="D3110" s="92" t="inlineStr">
        <is>
          <t>zhèngshì – chính thức</t>
        </is>
      </c>
      <c r="E3110" s="92" t="inlineStr">
        <is>
          <t>17. 正式 zhèngshì – chính thức</t>
        </is>
      </c>
      <c r="F3110" s="114">
        <f>HYPERLINK("https://youglish.com/pronounce/正式/chinese","🔍")</f>
        <v/>
      </c>
    </row>
    <row r="3111" ht="28.5" customHeight="1" s="99">
      <c r="A3111" s="94" t="inlineStr">
        <is>
          <t>PDF-Từ vựng phỏng vấn _ HỌC BÁ CHINESE.pdf</t>
        </is>
      </c>
      <c r="B3111" s="95" t="inlineStr">
        <is>
          <t>292</t>
        </is>
      </c>
      <c r="C3111" s="94" t="inlineStr">
        <is>
          <t>我们今天正式签合同</t>
        </is>
      </c>
      <c r="D3111" s="94" t="inlineStr">
        <is>
          <t>→ Hôm nay chúng ta ký hợp đồng chính thức.</t>
        </is>
      </c>
      <c r="E3111" s="94" t="inlineStr">
        <is>
          <t>我们今天正式签合同。 → Hôm nay chúng ta ký hợp đồng chính thức.</t>
        </is>
      </c>
      <c r="F3111" s="115">
        <f>HYPERLINK("https://youglish.com/pronounce/我们今天正式签合同/chinese","🔍")</f>
        <v/>
      </c>
    </row>
    <row r="3112" ht="28.5" customHeight="1" s="99">
      <c r="A3112" s="92" t="inlineStr">
        <is>
          <t>PDF-Từ vựng phỏng vấn _ HỌC BÁ CHINESE.pdf</t>
        </is>
      </c>
      <c r="B3112" s="93" t="inlineStr">
        <is>
          <t>18</t>
        </is>
      </c>
      <c r="C3112" s="92" t="inlineStr">
        <is>
          <t>能力评估</t>
        </is>
      </c>
      <c r="D3112" s="92" t="inlineStr">
        <is>
          <t>nénglì pínggū – đánh giá năng lực</t>
        </is>
      </c>
      <c r="E3112" s="92" t="inlineStr">
        <is>
          <t>18. 能力评估 nénglì pínggū – đánh giá năng lực</t>
        </is>
      </c>
      <c r="F3112" s="114">
        <f>HYPERLINK("https://youglish.com/pronounce/能力评估/chinese","🔍")</f>
        <v/>
      </c>
    </row>
    <row r="3113" ht="28.5" customHeight="1" s="99">
      <c r="A3113" s="94" t="inlineStr">
        <is>
          <t>PDF-Từ vựng phỏng vấn _ HỌC BÁ CHINESE.pdf</t>
        </is>
      </c>
      <c r="B3113" s="95" t="inlineStr">
        <is>
          <t>294</t>
        </is>
      </c>
      <c r="C3113" s="94" t="inlineStr">
        <is>
          <t>试用期后会有能力评估</t>
        </is>
      </c>
      <c r="D3113" s="94" t="inlineStr">
        <is>
          <t>→ Sau thử việc sẽ có đánh giá năng lực.</t>
        </is>
      </c>
      <c r="E3113" s="94" t="inlineStr">
        <is>
          <t>试用期后会有能力评估。 → Sau thử việc sẽ có đánh giá năng lực.</t>
        </is>
      </c>
      <c r="F3113" s="115">
        <f>HYPERLINK("https://youglish.com/pronounce/试用期后会有能力评估/chinese","🔍")</f>
        <v/>
      </c>
    </row>
    <row r="3114" ht="28.5" customHeight="1" s="99">
      <c r="A3114" s="92" t="inlineStr">
        <is>
          <t>PDF-Từ vựng phỏng vấn _ HỌC BÁ CHINESE.pdf</t>
        </is>
      </c>
      <c r="B3114" s="93" t="inlineStr">
        <is>
          <t>19</t>
        </is>
      </c>
      <c r="C3114" s="92" t="inlineStr">
        <is>
          <t>工资标准</t>
        </is>
      </c>
      <c r="D3114" s="92" t="inlineStr">
        <is>
          <t>gōngzī biāozhǔn – mức lương tiêu chuẩn</t>
        </is>
      </c>
      <c r="E3114" s="92" t="inlineStr">
        <is>
          <t>19. 工资标准 gōngzī biāozhǔn – mức lương tiêu chuẩn</t>
        </is>
      </c>
      <c r="F3114" s="114">
        <f>HYPERLINK("https://youglish.com/pronounce/工资标准/chinese","🔍")</f>
        <v/>
      </c>
    </row>
    <row r="3115" ht="28.5" customHeight="1" s="99">
      <c r="A3115" s="94" t="inlineStr">
        <is>
          <t>PDF-Từ vựng phỏng vấn _ HỌC BÁ CHINESE.pdf</t>
        </is>
      </c>
      <c r="B3115" s="95" t="inlineStr">
        <is>
          <t>296</t>
        </is>
      </c>
      <c r="C3115" s="94" t="inlineStr">
        <is>
          <t>公司有统一的工资标准</t>
        </is>
      </c>
      <c r="D3115" s="94" t="inlineStr">
        <is>
          <t>→ Công ty có mức lương tiêu chuẩn thống nhất.</t>
        </is>
      </c>
      <c r="E3115" s="94" t="inlineStr">
        <is>
          <t>公司有统一的工资标准。 → Công ty có mức lương tiêu chuẩn thống nhất.</t>
        </is>
      </c>
      <c r="F3115" s="115">
        <f>HYPERLINK("https://youglish.com/pronounce/公司有统一的工资标准/chinese","🔍")</f>
        <v/>
      </c>
    </row>
    <row r="3116" ht="28.5" customHeight="1" s="99">
      <c r="A3116" s="92" t="inlineStr">
        <is>
          <t>PDF-Từ vựng phỏng vấn _ HỌC BÁ CHINESE.pdf</t>
        </is>
      </c>
      <c r="B3116" s="93" t="inlineStr">
        <is>
          <t>20</t>
        </is>
      </c>
      <c r="C3116" s="92" t="inlineStr">
        <is>
          <t>雇佣关系</t>
        </is>
      </c>
      <c r="D3116" s="92" t="inlineStr">
        <is>
          <t>gùyōng guānxì – quan hệ lao động</t>
        </is>
      </c>
      <c r="E3116" s="92" t="inlineStr">
        <is>
          <t>20. 雇佣关系 gùyōng guānxì – quan hệ lao động</t>
        </is>
      </c>
      <c r="F3116" s="114">
        <f>HYPERLINK("https://youglish.com/pronounce/雇佣关系/chinese","🔍")</f>
        <v/>
      </c>
    </row>
    <row r="3117" ht="28.5" customHeight="1" s="99">
      <c r="A3117" s="94" t="inlineStr">
        <is>
          <t>PDF-Từ vựng phỏng vấn _ HỌC BÁ CHINESE.pdf</t>
        </is>
      </c>
      <c r="B3117" s="95" t="inlineStr">
        <is>
          <t>298</t>
        </is>
      </c>
      <c r="C3117" s="94" t="inlineStr">
        <is>
          <t>我们之间建立了雇佣关系</t>
        </is>
      </c>
      <c r="D3117" s="94" t="inlineStr">
        <is>
          <t>→ Chúng ta đã hình thành quan hệ lao động.</t>
        </is>
      </c>
      <c r="E3117" s="94" t="inlineStr">
        <is>
          <t>我们之间建立了雇佣关系。 → Chúng ta đã hình thành quan hệ lao động.</t>
        </is>
      </c>
      <c r="F3117" s="115">
        <f>HYPERLINK("https://youglish.com/pronounce/我们之间建立了雇佣关系/chinese","🔍")</f>
        <v/>
      </c>
    </row>
    <row r="3118" ht="28.5" customHeight="1" s="99">
      <c r="A3118" s="92" t="inlineStr">
        <is>
          <t>PDF-Từ vựng phỏng vấn _ HỌC BÁ CHINESE.pdf</t>
        </is>
      </c>
      <c r="B3118" s="93" t="inlineStr">
        <is>
          <t>21</t>
        </is>
      </c>
      <c r="C3118" s="92" t="inlineStr">
        <is>
          <t>工作表现</t>
        </is>
      </c>
      <c r="D3118" s="92" t="inlineStr">
        <is>
          <t>gōngzuò biǎoxiàn – hiệu suất công việc</t>
        </is>
      </c>
      <c r="E3118" s="92" t="inlineStr">
        <is>
          <t>21. 工作表现 gōngzuò biǎoxiàn – hiệu suất công việc</t>
        </is>
      </c>
      <c r="F3118" s="114">
        <f>HYPERLINK("https://youglish.com/pronounce/工作表现/chinese","🔍")</f>
        <v/>
      </c>
    </row>
    <row r="3119" ht="28.5" customHeight="1" s="99">
      <c r="A3119" s="94" t="inlineStr">
        <is>
          <t>PDF-Từ vựng phỏng vấn _ HỌC BÁ CHINESE.pdf</t>
        </is>
      </c>
      <c r="B3119" s="95" t="inlineStr">
        <is>
          <t>300</t>
        </is>
      </c>
      <c r="C3119" s="94" t="inlineStr">
        <is>
          <t>你的工作表现会影响薪水调整</t>
        </is>
      </c>
      <c r="D3119" s="94" t="inlineStr">
        <is>
          <t>→ Hiệu suất công việc sẽ ảnh hưởng điều chỉnh lương.</t>
        </is>
      </c>
      <c r="E3119" s="94" t="inlineStr">
        <is>
          <t>你的工作表现会影响薪水调整。 → Hiệu suất công việc sẽ ảnh hưởng điều chỉnh lương.</t>
        </is>
      </c>
      <c r="F3119" s="115">
        <f>HYPERLINK("https://youglish.com/pronounce/你的工作表现会影响薪水调整/chinese","🔍")</f>
        <v/>
      </c>
    </row>
    <row r="3120" ht="28.5" customHeight="1" s="99">
      <c r="A3120" s="92" t="inlineStr">
        <is>
          <t>PDF-Từ vựng phỏng vấn _ HỌC BÁ CHINESE.pdf</t>
        </is>
      </c>
      <c r="B3120" s="93" t="inlineStr">
        <is>
          <t>22</t>
        </is>
      </c>
      <c r="C3120" s="92" t="inlineStr">
        <is>
          <t>薪资调整</t>
        </is>
      </c>
      <c r="D3120" s="92" t="inlineStr">
        <is>
          <t>xīnzī tiáozhěng – điều chỉnh lương</t>
        </is>
      </c>
      <c r="E3120" s="92" t="inlineStr">
        <is>
          <t>22. 薪资调整 xīnzī tiáozhěng – điều chỉnh lương</t>
        </is>
      </c>
      <c r="F3120" s="114">
        <f>HYPERLINK("https://youglish.com/pronounce/薪资调整/chinese","🔍")</f>
        <v/>
      </c>
    </row>
    <row r="3121" ht="28.5" customHeight="1" s="99">
      <c r="A3121" s="94" t="inlineStr">
        <is>
          <t>PDF-Từ vựng phỏng vấn _ HỌC BÁ CHINESE.pdf</t>
        </is>
      </c>
      <c r="B3121" s="95" t="inlineStr">
        <is>
          <t>302</t>
        </is>
      </c>
      <c r="C3121" s="94" t="inlineStr">
        <is>
          <t>三个月后再进行薪资调整</t>
        </is>
      </c>
      <c r="D3121" s="94" t="inlineStr">
        <is>
          <t>→ Sau 3 tháng sẽ điều chỉnh lương.</t>
        </is>
      </c>
      <c r="E3121" s="94" t="inlineStr">
        <is>
          <t>三个月后再进行薪资调整。 → Sau 3 tháng sẽ điều chỉnh lương.</t>
        </is>
      </c>
      <c r="F3121" s="115">
        <f>HYPERLINK("https://youglish.com/pronounce/三个月后再进行薪资调整/chinese","🔍")</f>
        <v/>
      </c>
    </row>
    <row r="3122" ht="28.5" customHeight="1" s="99">
      <c r="A3122" s="92" t="inlineStr">
        <is>
          <t>PDF-Từ vựng phỏng vấn _ HỌC BÁ CHINESE.pdf</t>
        </is>
      </c>
      <c r="B3122" s="93" t="inlineStr">
        <is>
          <t>23</t>
        </is>
      </c>
      <c r="C3122" s="92" t="inlineStr">
        <is>
          <t>录用通知</t>
        </is>
      </c>
      <c r="D3122" s="92" t="inlineStr">
        <is>
          <t>lùyòng tōngzhī – thông báo nhận việc</t>
        </is>
      </c>
      <c r="E3122" s="92" t="inlineStr">
        <is>
          <t>23. 录用通知 lùyòng tōngzhī – thông báo nhận việc</t>
        </is>
      </c>
      <c r="F3122" s="114">
        <f>HYPERLINK("https://youglish.com/pronounce/录用通知/chinese","🔍")</f>
        <v/>
      </c>
    </row>
    <row r="3123" ht="28.5" customHeight="1" s="99">
      <c r="A3123" s="94" t="inlineStr">
        <is>
          <t>PDF-Từ vựng phỏng vấn _ HỌC BÁ CHINESE.pdf</t>
        </is>
      </c>
      <c r="B3123" s="95" t="inlineStr">
        <is>
          <t>304</t>
        </is>
      </c>
      <c r="C3123" s="94" t="inlineStr">
        <is>
          <t>明天给你发录用通知</t>
        </is>
      </c>
      <c r="D3123" s="94" t="inlineStr">
        <is>
          <t>→ Ngày mai sẽ gửi bạn thông báo nhận việc.</t>
        </is>
      </c>
      <c r="E3123" s="94" t="inlineStr">
        <is>
          <t>明天给你发录用通知。 → Ngày mai sẽ gửi bạn thông báo nhận việc.</t>
        </is>
      </c>
      <c r="F3123" s="115">
        <f>HYPERLINK("https://youglish.com/pronounce/明天给你发录用通知/chinese","🔍")</f>
        <v/>
      </c>
    </row>
    <row r="3124" ht="28.5" customHeight="1" s="99">
      <c r="A3124" s="92" t="inlineStr">
        <is>
          <t>PDF-Từ vựng phỏng vấn _ HỌC BÁ CHINESE.pdf</t>
        </is>
      </c>
      <c r="B3124" s="93" t="inlineStr">
        <is>
          <t>24</t>
        </is>
      </c>
      <c r="C3124" s="92" t="inlineStr">
        <is>
          <t>工作价值</t>
        </is>
      </c>
      <c r="D3124" s="92" t="inlineStr">
        <is>
          <t>gōngzuò jiàzhí – giá trị công việc</t>
        </is>
      </c>
      <c r="E3124" s="92" t="inlineStr">
        <is>
          <t>24. 工作价值 gōngzuò jiàzhí – giá trị công việc</t>
        </is>
      </c>
      <c r="F3124" s="114">
        <f>HYPERLINK("https://youglish.com/pronounce/工作价值/chinese","🔍")</f>
        <v/>
      </c>
    </row>
    <row r="3125" ht="28.5" customHeight="1" s="99">
      <c r="A3125" s="94" t="inlineStr">
        <is>
          <t>PDF-Từ vựng phỏng vấn _ HỌC BÁ CHINESE.pdf</t>
        </is>
      </c>
      <c r="B3125" s="95" t="inlineStr">
        <is>
          <t>306</t>
        </is>
      </c>
      <c r="C3125" s="94" t="inlineStr">
        <is>
          <t>我想通过努力体现工作价值</t>
        </is>
      </c>
      <c r="D3125" s="94" t="inlineStr">
        <is>
          <t>→ Tôi muốn thể hiện giá trị công việc thông qua nỗ lực.</t>
        </is>
      </c>
      <c r="E3125" s="94" t="inlineStr">
        <is>
          <t>我想通过努力体现工作价值。 → Tôi muốn thể hiện giá trị công việc thông qua nỗ lực.</t>
        </is>
      </c>
      <c r="F3125" s="115">
        <f>HYPERLINK("https://youglish.com/pronounce/我想通过努力体现工作价值/chinese","🔍")</f>
        <v/>
      </c>
    </row>
    <row r="3126" ht="28.5" customHeight="1" s="99">
      <c r="A3126" s="92" t="inlineStr">
        <is>
          <t>PDF-Từ vựng phỏng vấn _ HỌC BÁ CHINESE.pdf</t>
        </is>
      </c>
      <c r="B3126" s="93" t="inlineStr">
        <is>
          <t>25</t>
        </is>
      </c>
      <c r="C3126" s="92" t="inlineStr">
        <is>
          <t>能力证明</t>
        </is>
      </c>
      <c r="D3126" s="92" t="inlineStr">
        <is>
          <t>nénglì zhèngmíng – chứng minh năng lực</t>
        </is>
      </c>
      <c r="E3126" s="92" t="inlineStr">
        <is>
          <t>25. 能力证明 nénglì zhèngmíng – chứng minh năng lực</t>
        </is>
      </c>
      <c r="F3126" s="114">
        <f>HYPERLINK("https://youglish.com/pronounce/能力证明/chinese","🔍")</f>
        <v/>
      </c>
    </row>
    <row r="3127" ht="28.5" customHeight="1" s="99">
      <c r="A3127" s="94" t="inlineStr">
        <is>
          <t>PDF-Từ vựng phỏng vấn _ HỌC BÁ CHINESE.pdf</t>
        </is>
      </c>
      <c r="B3127" s="95" t="inlineStr">
        <is>
          <t>308</t>
        </is>
      </c>
      <c r="C3127" s="94" t="inlineStr">
        <is>
          <t>试用期是能力证明的机会</t>
        </is>
      </c>
      <c r="D3127" s="94" t="inlineStr">
        <is>
          <t>→ Thời gian thử việc là cơ hội chứng minh năng lực.</t>
        </is>
      </c>
      <c r="E3127" s="94" t="inlineStr">
        <is>
          <t>试用期是能力证明的机会。 → Thời gian thử việc là cơ hội chứng minh năng lực.</t>
        </is>
      </c>
      <c r="F3127" s="115">
        <f>HYPERLINK("https://youglish.com/pronounce/试用期是能力证明的机会/chinese","🔍")</f>
        <v/>
      </c>
    </row>
    <row r="3128" ht="28.5" customHeight="1" s="99">
      <c r="A3128" s="92" t="inlineStr">
        <is>
          <t>PDF-Từ vựng phỏng vấn _ HỌC BÁ CHINESE.pdf</t>
        </is>
      </c>
      <c r="B3128" s="93" t="inlineStr">
        <is>
          <t>309</t>
        </is>
      </c>
      <c r="C3128" s="92" t="inlineStr">
        <is>
          <t>求职原因</t>
        </is>
      </c>
      <c r="D3128" s="92" t="inlineStr">
        <is>
          <t>Bài 8. 求职原因</t>
        </is>
      </c>
      <c r="E3128" s="92" t="inlineStr">
        <is>
          <t>Bài 8. 求职原因</t>
        </is>
      </c>
      <c r="F3128" s="114">
        <f>HYPERLINK("https://youglish.com/pronounce/求职原因/chinese","🔍")</f>
        <v/>
      </c>
    </row>
    <row r="3129" ht="28.5" customHeight="1" s="99">
      <c r="A3129" s="94" t="inlineStr">
        <is>
          <t>PDF-Từ vựng phỏng vấn _ HỌC BÁ CHINESE.pdf</t>
        </is>
      </c>
      <c r="B3129" s="95" t="inlineStr">
        <is>
          <t>1</t>
        </is>
      </c>
      <c r="C3129" s="94" t="inlineStr">
        <is>
          <t>上班</t>
        </is>
      </c>
      <c r="D3129" s="94" t="inlineStr">
        <is>
          <t>shàngbān – đi làm</t>
        </is>
      </c>
      <c r="E3129" s="94" t="inlineStr">
        <is>
          <t>1. 上班 shàngbān – đi làm</t>
        </is>
      </c>
      <c r="F3129" s="115">
        <f>HYPERLINK("https://youglish.com/pronounce/上班/chinese","🔍")</f>
        <v/>
      </c>
    </row>
    <row r="3130" ht="28.5" customHeight="1" s="99">
      <c r="A3130" s="92" t="inlineStr">
        <is>
          <t>PDF-Từ vựng phỏng vấn _ HỌC BÁ CHINESE.pdf</t>
        </is>
      </c>
      <c r="B3130" s="93" t="inlineStr">
        <is>
          <t>311</t>
        </is>
      </c>
      <c r="C3130" s="92" t="inlineStr">
        <is>
          <t>我可以明天就上班</t>
        </is>
      </c>
      <c r="D3130" s="92" t="inlineStr">
        <is>
          <t>Tôi có thể đi làm ngay ngày mai.</t>
        </is>
      </c>
      <c r="E3130" s="92" t="inlineStr">
        <is>
          <t>我可以明天就上班。– Tôi có thể đi làm ngay ngày mai.</t>
        </is>
      </c>
      <c r="F3130" s="114">
        <f>HYPERLINK("https://youglish.com/pronounce/我可以明天就上班/chinese","🔍")</f>
        <v/>
      </c>
    </row>
    <row r="3131" ht="28.5" customHeight="1" s="99">
      <c r="A3131" s="94" t="inlineStr">
        <is>
          <t>PDF-Từ vựng phỏng vấn _ HỌC BÁ CHINESE.pdf</t>
        </is>
      </c>
      <c r="B3131" s="95" t="inlineStr">
        <is>
          <t>2</t>
        </is>
      </c>
      <c r="C3131" s="94" t="inlineStr">
        <is>
          <t>放弃</t>
        </is>
      </c>
      <c r="D3131" s="94" t="inlineStr">
        <is>
          <t>fàngqì – bỏ, từ bỏ</t>
        </is>
      </c>
      <c r="E3131" s="94" t="inlineStr">
        <is>
          <t>2. 放弃 fàngqì – bỏ, từ bỏ</t>
        </is>
      </c>
      <c r="F3131" s="115">
        <f>HYPERLINK("https://youglish.com/pronounce/放弃/chinese","🔍")</f>
        <v/>
      </c>
    </row>
    <row r="3132" ht="28.5" customHeight="1" s="99">
      <c r="A3132" s="92" t="inlineStr">
        <is>
          <t>PDF-Từ vựng phỏng vấn _ HỌC BÁ CHINESE.pdf</t>
        </is>
      </c>
      <c r="B3132" s="93" t="inlineStr">
        <is>
          <t>313</t>
        </is>
      </c>
      <c r="C3132" s="92" t="inlineStr">
        <is>
          <t>我决定放弃原来的工作</t>
        </is>
      </c>
      <c r="D3132" s="92" t="inlineStr">
        <is>
          <t>Tôi quyết định bỏ công việc cũ.</t>
        </is>
      </c>
      <c r="E3132" s="92" t="inlineStr">
        <is>
          <t>我决定放弃原来的工作。– Tôi quyết định bỏ công việc cũ.</t>
        </is>
      </c>
      <c r="F3132" s="114">
        <f>HYPERLINK("https://youglish.com/pronounce/我决定放弃原来的工作/chinese","🔍")</f>
        <v/>
      </c>
    </row>
    <row r="3133" ht="28.5" customHeight="1" s="99">
      <c r="A3133" s="94" t="inlineStr">
        <is>
          <t>PDF-Từ vựng phỏng vấn _ HỌC BÁ CHINESE.pdf</t>
        </is>
      </c>
      <c r="B3133" s="95" t="inlineStr">
        <is>
          <t>3</t>
        </is>
      </c>
      <c r="C3133" s="94" t="inlineStr">
        <is>
          <t>人事调整</t>
        </is>
      </c>
      <c r="D3133" s="94" t="inlineStr">
        <is>
          <t>rénshì tiáozhěng – điều chỉnh nhân sự</t>
        </is>
      </c>
      <c r="E3133" s="94" t="inlineStr">
        <is>
          <t>3. 人事调整 rénshì tiáozhěng – điều chỉnh nhân sự</t>
        </is>
      </c>
      <c r="F3133" s="115">
        <f>HYPERLINK("https://youglish.com/pronounce/人事调整/chinese","🔍")</f>
        <v/>
      </c>
    </row>
    <row r="3134" ht="28.5" customHeight="1" s="99">
      <c r="A3134" s="92" t="inlineStr">
        <is>
          <t>PDF-Từ vựng phỏng vấn _ HỌC BÁ CHINESE.pdf</t>
        </is>
      </c>
      <c r="B3134" s="93" t="inlineStr">
        <is>
          <t>315</t>
        </is>
      </c>
      <c r="C3134" s="92" t="inlineStr">
        <is>
          <t>公司最近有人事调整</t>
        </is>
      </c>
      <c r="D3134" s="92" t="inlineStr">
        <is>
          <t>Công ty gần đây có điều chỉnh nhân sự.</t>
        </is>
      </c>
      <c r="E3134" s="92" t="inlineStr">
        <is>
          <t>公司最近有人事调整。– Công ty gần đây có điều chỉnh nhân sự.</t>
        </is>
      </c>
      <c r="F3134" s="114">
        <f>HYPERLINK("https://youglish.com/pronounce/公司最近有人事调整/chinese","🔍")</f>
        <v/>
      </c>
    </row>
    <row r="3135" ht="28.5" customHeight="1" s="99">
      <c r="A3135" s="94" t="inlineStr">
        <is>
          <t>PDF-Từ vựng phỏng vấn _ HỌC BÁ CHINESE.pdf</t>
        </is>
      </c>
      <c r="B3135" s="95" t="inlineStr">
        <is>
          <t>4</t>
        </is>
      </c>
      <c r="C3135" s="94" t="inlineStr">
        <is>
          <t>部门经理</t>
        </is>
      </c>
      <c r="D3135" s="94" t="inlineStr">
        <is>
          <t>bùmén jīnglǐ – trưởng bộ phận</t>
        </is>
      </c>
      <c r="E3135" s="94" t="inlineStr">
        <is>
          <t>4. 部门经理 bùmén jīnglǐ – trưởng bộ phận</t>
        </is>
      </c>
      <c r="F3135" s="115">
        <f>HYPERLINK("https://youglish.com/pronounce/部门经理/chinese","🔍")</f>
        <v/>
      </c>
    </row>
    <row r="3136" ht="28.5" customHeight="1" s="99">
      <c r="A3136" s="92" t="inlineStr">
        <is>
          <t>PDF-Từ vựng phỏng vấn _ HỌC BÁ CHINESE.pdf</t>
        </is>
      </c>
      <c r="B3136" s="93" t="inlineStr">
        <is>
          <t>317</t>
        </is>
      </c>
      <c r="C3136" s="92" t="inlineStr">
        <is>
          <t>新的部门经理和我相处不太好</t>
        </is>
      </c>
      <c r="D3136" s="92" t="inlineStr">
        <is>
          <t>Trưởng bộ phận mới không hợp với tôi.</t>
        </is>
      </c>
      <c r="E3136" s="92" t="inlineStr">
        <is>
          <t>新的部门经理和我相处不太好。– Trưởng bộ phận mới không hợp với tôi.</t>
        </is>
      </c>
      <c r="F3136" s="114">
        <f>HYPERLINK("https://youglish.com/pronounce/新的部门经理和我相处不太好/chinese","🔍")</f>
        <v/>
      </c>
    </row>
    <row r="3137" ht="28.5" customHeight="1" s="99">
      <c r="A3137" s="94" t="inlineStr">
        <is>
          <t>PDF-Từ vựng phỏng vấn _ HỌC BÁ CHINESE.pdf</t>
        </is>
      </c>
      <c r="B3137" s="95" t="inlineStr">
        <is>
          <t>5</t>
        </is>
      </c>
      <c r="C3137" s="94" t="inlineStr">
        <is>
          <t>相处不融洽</t>
        </is>
      </c>
      <c r="D3137" s="94" t="inlineStr">
        <is>
          <t>xiāngchǔ bù róngqià – quan hệ không hòa hợp</t>
        </is>
      </c>
      <c r="E3137" s="94" t="inlineStr">
        <is>
          <t>5. 相处不融洽 xiāngchǔ bù róngqià – quan hệ không hòa hợp</t>
        </is>
      </c>
      <c r="F3137" s="115">
        <f>HYPERLINK("https://youglish.com/pronounce/相处不融洽/chinese","🔍")</f>
        <v/>
      </c>
    </row>
    <row r="3138" ht="28.5" customHeight="1" s="99">
      <c r="A3138" s="92" t="inlineStr">
        <is>
          <t>PDF-Từ vựng phỏng vấn _ HỌC BÁ CHINESE.pdf</t>
        </is>
      </c>
      <c r="B3138" s="93" t="inlineStr">
        <is>
          <t>319</t>
        </is>
      </c>
      <c r="C3138" s="92" t="inlineStr">
        <is>
          <t>我们之间相处得很不融洽</t>
        </is>
      </c>
      <c r="D3138" s="92" t="inlineStr">
        <is>
          <t>Quan hệ giữa chúng tôi không hòa hợp.</t>
        </is>
      </c>
      <c r="E3138" s="92" t="inlineStr">
        <is>
          <t>我们之间相处得很不融洽。– Quan hệ giữa chúng tôi không hòa hợp.</t>
        </is>
      </c>
      <c r="F3138" s="114">
        <f>HYPERLINK("https://youglish.com/pronounce/我们之间相处得很不融洽/chinese","🔍")</f>
        <v/>
      </c>
    </row>
    <row r="3139" ht="28.5" customHeight="1" s="99">
      <c r="A3139" s="94" t="inlineStr">
        <is>
          <t>PDF-Từ vựng phỏng vấn _ HỌC BÁ CHINESE.pdf</t>
        </is>
      </c>
      <c r="B3139" s="95" t="inlineStr">
        <is>
          <t>6</t>
        </is>
      </c>
      <c r="C3139" s="94" t="inlineStr">
        <is>
          <t>炒鱿鱼</t>
        </is>
      </c>
      <c r="D3139" s="94" t="inlineStr">
        <is>
          <t>chǎo yóuyú – sa thải</t>
        </is>
      </c>
      <c r="E3139" s="94" t="inlineStr">
        <is>
          <t>6. 炒鱿鱼 chǎo yóuyú – sa thải</t>
        </is>
      </c>
      <c r="F3139" s="115">
        <f>HYPERLINK("https://youglish.com/pronounce/炒鱿鱼/chinese","🔍")</f>
        <v/>
      </c>
    </row>
    <row r="3140" ht="28.5" customHeight="1" s="99">
      <c r="A3140" s="92" t="inlineStr">
        <is>
          <t>PDF-Từ vựng phỏng vấn _ HỌC BÁ CHINESE.pdf</t>
        </is>
      </c>
      <c r="B3140" s="93" t="inlineStr">
        <is>
          <t>321</t>
        </is>
      </c>
      <c r="C3140" s="92" t="inlineStr">
        <is>
          <t>他以为我是被炒鱿鱼的</t>
        </is>
      </c>
      <c r="D3140" s="92" t="inlineStr">
        <is>
          <t>Anh ấy tưởng tôi bị sa thải.</t>
        </is>
      </c>
      <c r="E3140" s="92" t="inlineStr">
        <is>
          <t>他以为我是被炒鱿鱼的。– Anh ấy tưởng tôi bị sa thải.</t>
        </is>
      </c>
      <c r="F3140" s="114">
        <f>HYPERLINK("https://youglish.com/pronounce/他以为我是被炒鱿鱼的/chinese","🔍")</f>
        <v/>
      </c>
    </row>
    <row r="3141" ht="28.5" customHeight="1" s="99">
      <c r="A3141" s="94" t="inlineStr">
        <is>
          <t>PDF-Từ vựng phỏng vấn _ HỌC BÁ CHINESE.pdf</t>
        </is>
      </c>
      <c r="B3141" s="95" t="inlineStr">
        <is>
          <t>7</t>
        </is>
      </c>
      <c r="C3141" s="94" t="inlineStr">
        <is>
          <t>主动离职</t>
        </is>
      </c>
      <c r="D3141" s="94" t="inlineStr">
        <is>
          <t>zhǔdòng lízhí – tự xin nghỉ việc</t>
        </is>
      </c>
      <c r="E3141" s="94" t="inlineStr">
        <is>
          <t>7. 主动离职 zhǔdòng lízhí – tự xin nghỉ việc</t>
        </is>
      </c>
      <c r="F3141" s="115">
        <f>HYPERLINK("https://youglish.com/pronounce/主动离职/chinese","🔍")</f>
        <v/>
      </c>
    </row>
    <row r="3142" ht="28.5" customHeight="1" s="99">
      <c r="A3142" s="92" t="inlineStr">
        <is>
          <t>PDF-Từ vựng phỏng vấn _ HỌC BÁ CHINESE.pdf</t>
        </is>
      </c>
      <c r="B3142" s="93" t="inlineStr">
        <is>
          <t>323</t>
        </is>
      </c>
      <c r="C3142" s="92" t="inlineStr">
        <is>
          <t>这是我主动离职的决定</t>
        </is>
      </c>
      <c r="D3142" s="92" t="inlineStr">
        <is>
          <t>Đây là quyết định tôi tự xin nghỉ.</t>
        </is>
      </c>
      <c r="E3142" s="92" t="inlineStr">
        <is>
          <t>这是我主动离职的决定。– Đây là quyết định tôi tự xin nghỉ.</t>
        </is>
      </c>
      <c r="F3142" s="114">
        <f>HYPERLINK("https://youglish.com/pronounce/这是我主动离职的决定/chinese","🔍")</f>
        <v/>
      </c>
    </row>
    <row r="3143" ht="28.5" customHeight="1" s="99">
      <c r="A3143" s="94" t="inlineStr">
        <is>
          <t>PDF-Từ vựng phỏng vấn _ HỌC BÁ CHINESE.pdf</t>
        </is>
      </c>
      <c r="B3143" s="95" t="inlineStr">
        <is>
          <t>8</t>
        </is>
      </c>
      <c r="C3143" s="94" t="inlineStr">
        <is>
          <t>经营理念</t>
        </is>
      </c>
      <c r="D3143" s="94" t="inlineStr">
        <is>
          <t>jīngyíng lǐniàn – triết lý kinh doanh</t>
        </is>
      </c>
      <c r="E3143" s="94" t="inlineStr">
        <is>
          <t>8. 经营理念 jīngyíng lǐniàn – triết lý kinh doanh</t>
        </is>
      </c>
      <c r="F3143" s="115">
        <f>HYPERLINK("https://youglish.com/pronounce/经营理念/chinese","🔍")</f>
        <v/>
      </c>
    </row>
    <row r="3144" ht="28.5" customHeight="1" s="99">
      <c r="A3144" s="92" t="inlineStr">
        <is>
          <t>PDF-Từ vựng phỏng vấn _ HỌC BÁ CHINESE.pdf</t>
        </is>
      </c>
      <c r="B3144" s="93" t="inlineStr">
        <is>
          <t>325</t>
        </is>
      </c>
      <c r="C3144" s="92" t="inlineStr">
        <is>
          <t>我不同意他们的经营理念</t>
        </is>
      </c>
      <c r="D3144" s="92" t="inlineStr">
        <is>
          <t>Tôi không đồng ý với triết lý kinh doanh của họ.</t>
        </is>
      </c>
      <c r="E3144" s="92" t="inlineStr">
        <is>
          <t>我不同意他们的经营理念。– Tôi không đồng ý với triết lý kinh doanh của họ.</t>
        </is>
      </c>
      <c r="F3144" s="114">
        <f>HYPERLINK("https://youglish.com/pronounce/我不同意他们的经营理念/chinese","🔍")</f>
        <v/>
      </c>
    </row>
    <row r="3145" ht="28.5" customHeight="1" s="99">
      <c r="A3145" s="94" t="inlineStr">
        <is>
          <t>PDF-Từ vựng phỏng vấn _ HỌC BÁ CHINESE.pdf</t>
        </is>
      </c>
      <c r="B3145" s="95" t="inlineStr">
        <is>
          <t>9</t>
        </is>
      </c>
      <c r="C3145" s="94" t="inlineStr">
        <is>
          <t>胜任</t>
        </is>
      </c>
      <c r="D3145" s="94" t="inlineStr">
        <is>
          <t>shèngrèn – đảm nhiệm được</t>
        </is>
      </c>
      <c r="E3145" s="94" t="inlineStr">
        <is>
          <t>9. 胜任 shèngrèn – đảm nhiệm được</t>
        </is>
      </c>
      <c r="F3145" s="115">
        <f>HYPERLINK("https://youglish.com/pronounce/胜任/chinese","🔍")</f>
        <v/>
      </c>
    </row>
    <row r="3146" ht="28.5" customHeight="1" s="99">
      <c r="A3146" s="92" t="inlineStr">
        <is>
          <t>PDF-Từ vựng phỏng vấn _ HỌC BÁ CHINESE.pdf</t>
        </is>
      </c>
      <c r="B3146" s="93" t="inlineStr">
        <is>
          <t>327</t>
        </is>
      </c>
      <c r="C3146" s="92" t="inlineStr">
        <is>
          <t>我可以胜任这份工作</t>
        </is>
      </c>
      <c r="D3146" s="92" t="inlineStr">
        <is>
          <t>Tôi có thể đảm nhiệm công việc này.</t>
        </is>
      </c>
      <c r="E3146" s="92" t="inlineStr">
        <is>
          <t>我可以胜任这份工作。– Tôi có thể đảm nhiệm công việc này.</t>
        </is>
      </c>
      <c r="F3146" s="114">
        <f>HYPERLINK("https://youglish.com/pronounce/我可以胜任这份工作/chinese","🔍")</f>
        <v/>
      </c>
    </row>
    <row r="3147" ht="28.5" customHeight="1" s="99">
      <c r="A3147" s="94" t="inlineStr">
        <is>
          <t>PDF-Từ vựng phỏng vấn _ HỌC BÁ CHINESE.pdf</t>
        </is>
      </c>
      <c r="B3147" s="95" t="inlineStr">
        <is>
          <t>10</t>
        </is>
      </c>
      <c r="C3147" s="94" t="inlineStr">
        <is>
          <t>在行</t>
        </is>
      </c>
      <c r="D3147" s="94" t="inlineStr">
        <is>
          <t>zàiháng – giỏi, thạo</t>
        </is>
      </c>
      <c r="E3147" s="94" t="inlineStr">
        <is>
          <t>10. 在行 zàiháng – giỏi, thạo</t>
        </is>
      </c>
      <c r="F3147" s="115">
        <f>HYPERLINK("https://youglish.com/pronounce/在行/chinese","🔍")</f>
        <v/>
      </c>
    </row>
    <row r="3148" ht="28.5" customHeight="1" s="99">
      <c r="A3148" s="92" t="inlineStr">
        <is>
          <t>PDF-Từ vựng phỏng vấn _ HỌC BÁ CHINESE.pdf</t>
        </is>
      </c>
      <c r="B3148" s="93" t="inlineStr">
        <is>
          <t>329</t>
        </is>
      </c>
      <c r="C3148" s="92" t="inlineStr">
        <is>
          <t>我在这个领域很在行</t>
        </is>
      </c>
      <c r="D3148" s="92" t="inlineStr">
        <is>
          <t>Tôi rất thạo trong lĩnh vực này.</t>
        </is>
      </c>
      <c r="E3148" s="92" t="inlineStr">
        <is>
          <t>我在这个领域很在行。– Tôi rất thạo trong lĩnh vực này.</t>
        </is>
      </c>
      <c r="F3148" s="114">
        <f>HYPERLINK("https://youglish.com/pronounce/我在这个领域很在行/chinese","🔍")</f>
        <v/>
      </c>
    </row>
    <row r="3149" ht="28.5" customHeight="1" s="99">
      <c r="A3149" s="94" t="inlineStr">
        <is>
          <t>PDF-Từ vựng phỏng vấn _ HỌC BÁ CHINESE.pdf</t>
        </is>
      </c>
      <c r="B3149" s="95" t="inlineStr">
        <is>
          <t>11</t>
        </is>
      </c>
      <c r="C3149" s="94" t="inlineStr">
        <is>
          <t>挑战性</t>
        </is>
      </c>
      <c r="D3149" s="94" t="inlineStr">
        <is>
          <t>tiǎozhànxìng – tính thử thách</t>
        </is>
      </c>
      <c r="E3149" s="94" t="inlineStr">
        <is>
          <t>11. 挑战性 tiǎozhànxìng – tính thử thách</t>
        </is>
      </c>
      <c r="F3149" s="115">
        <f>HYPERLINK("https://youglish.com/pronounce/挑战性/chinese","🔍")</f>
        <v/>
      </c>
    </row>
    <row r="3150" ht="28.5" customHeight="1" s="99">
      <c r="A3150" s="92" t="inlineStr">
        <is>
          <t>PDF-Từ vựng phỏng vấn _ HỌC BÁ CHINESE.pdf</t>
        </is>
      </c>
      <c r="B3150" s="93" t="inlineStr">
        <is>
          <t>331</t>
        </is>
      </c>
      <c r="C3150" s="92" t="inlineStr">
        <is>
          <t>我喜欢有挑战性的工作</t>
        </is>
      </c>
      <c r="D3150" s="92" t="inlineStr">
        <is>
          <t>Tôi thích công việc mang tính thử thách.</t>
        </is>
      </c>
      <c r="E3150" s="92" t="inlineStr">
        <is>
          <t>我喜欢有挑战性的工作。– Tôi thích công việc mang tính thử thách.</t>
        </is>
      </c>
      <c r="F3150" s="114">
        <f>HYPERLINK("https://youglish.com/pronounce/我喜欢有挑战性的工作/chinese","🔍")</f>
        <v/>
      </c>
    </row>
    <row r="3151" ht="28.5" customHeight="1" s="99">
      <c r="A3151" s="94" t="inlineStr">
        <is>
          <t>PDF-Từ vựng phỏng vấn _ HỌC BÁ CHINESE.pdf</t>
        </is>
      </c>
      <c r="B3151" s="95" t="inlineStr">
        <is>
          <t>12</t>
        </is>
      </c>
      <c r="C3151" s="94" t="inlineStr">
        <is>
          <t>努力</t>
        </is>
      </c>
      <c r="D3151" s="94" t="inlineStr">
        <is>
          <t>nǔlì – nỗ lực</t>
        </is>
      </c>
      <c r="E3151" s="94" t="inlineStr">
        <is>
          <t>12. 努力 nǔlì – nỗ lực</t>
        </is>
      </c>
      <c r="F3151" s="115">
        <f>HYPERLINK("https://youglish.com/pronounce/努力/chinese","🔍")</f>
        <v/>
      </c>
    </row>
    <row r="3152" ht="28.5" customHeight="1" s="99">
      <c r="A3152" s="92" t="inlineStr">
        <is>
          <t>PDF-Từ vựng phỏng vấn _ HỌC BÁ CHINESE.pdf</t>
        </is>
      </c>
      <c r="B3152" s="93" t="inlineStr">
        <is>
          <t>333</t>
        </is>
      </c>
      <c r="C3152" s="92" t="inlineStr">
        <is>
          <t>遇到困难我会更加努力</t>
        </is>
      </c>
      <c r="D3152" s="92" t="inlineStr">
        <is>
          <t>Khi gặp khó khăn tôi sẽ nỗ lực hơn.</t>
        </is>
      </c>
      <c r="E3152" s="92" t="inlineStr">
        <is>
          <t>遇到困难我会更加努力。– Khi gặp khó khăn tôi sẽ nỗ lực hơn.</t>
        </is>
      </c>
      <c r="F3152" s="114">
        <f>HYPERLINK("https://youglish.com/pronounce/遇到困难我会更加努力/chinese","🔍")</f>
        <v/>
      </c>
    </row>
    <row r="3153" ht="28.5" customHeight="1" s="99">
      <c r="A3153" s="94" t="inlineStr">
        <is>
          <t>PDF-Từ vựng phỏng vấn _ HỌC BÁ CHINESE.pdf</t>
        </is>
      </c>
      <c r="B3153" s="95" t="inlineStr">
        <is>
          <t>13</t>
        </is>
      </c>
      <c r="C3153" s="94" t="inlineStr">
        <is>
          <t>工作经验</t>
        </is>
      </c>
      <c r="D3153" s="94" t="inlineStr">
        <is>
          <t>gōngzuò jīngyàn – kinh nghiệm làm việc</t>
        </is>
      </c>
      <c r="E3153" s="94" t="inlineStr">
        <is>
          <t>13. 工作经验 gōngzuò jīngyàn – kinh nghiệm làm việc</t>
        </is>
      </c>
      <c r="F3153" s="115">
        <f>HYPERLINK("https://youglish.com/pronounce/工作经验/chinese","🔍")</f>
        <v/>
      </c>
    </row>
    <row r="3154" ht="28.5" customHeight="1" s="99">
      <c r="A3154" s="92" t="inlineStr">
        <is>
          <t>PDF-Từ vựng phỏng vấn _ HỌC BÁ CHINESE.pdf</t>
        </is>
      </c>
      <c r="B3154" s="93" t="inlineStr">
        <is>
          <t>335</t>
        </is>
      </c>
      <c r="C3154" s="92" t="inlineStr">
        <is>
          <t>我有三年的工作经验</t>
        </is>
      </c>
      <c r="D3154" s="92" t="inlineStr">
        <is>
          <t>Tôi có ba năm kinh nghiệm làm việc.</t>
        </is>
      </c>
      <c r="E3154" s="92" t="inlineStr">
        <is>
          <t>我有三年的工作经验。– Tôi có ba năm kinh nghiệm làm việc.</t>
        </is>
      </c>
      <c r="F3154" s="114">
        <f>HYPERLINK("https://youglish.com/pronounce/我有三年的工作经验/chinese","🔍")</f>
        <v/>
      </c>
    </row>
    <row r="3155" ht="28.5" customHeight="1" s="99">
      <c r="A3155" s="94" t="inlineStr">
        <is>
          <t>PDF-Từ vựng phỏng vấn _ HỌC BÁ CHINESE.pdf</t>
        </is>
      </c>
      <c r="B3155" s="95" t="inlineStr">
        <is>
          <t>14</t>
        </is>
      </c>
      <c r="C3155" s="94" t="inlineStr">
        <is>
          <t>策划工作</t>
        </is>
      </c>
      <c r="D3155" s="94" t="inlineStr">
        <is>
          <t>cèhuà gōngzuò – công việc hoạch định/marketing planning</t>
        </is>
      </c>
      <c r="E3155" s="94" t="inlineStr">
        <is>
          <t>14. 策划工作 cèhuà gōngzuò – công việc hoạch định/marketing planning</t>
        </is>
      </c>
      <c r="F3155" s="115">
        <f>HYPERLINK("https://youglish.com/pronounce/策划工作/chinese","🔍")</f>
        <v/>
      </c>
    </row>
    <row r="3156" ht="28.5" customHeight="1" s="99">
      <c r="A3156" s="92" t="inlineStr">
        <is>
          <t>PDF-Từ vựng phỏng vấn _ HỌC BÁ CHINESE.pdf</t>
        </is>
      </c>
      <c r="B3156" s="93" t="inlineStr">
        <is>
          <t>337</t>
        </is>
      </c>
      <c r="C3156" s="92" t="inlineStr">
        <is>
          <t>我一直从事策划工作</t>
        </is>
      </c>
      <c r="D3156" s="92" t="inlineStr">
        <is>
          <t>Tôi luôn làm công việc hoạch định.</t>
        </is>
      </c>
      <c r="E3156" s="92" t="inlineStr">
        <is>
          <t>我一直从事策划工作。– Tôi luôn làm công việc hoạch định.</t>
        </is>
      </c>
      <c r="F3156" s="114">
        <f>HYPERLINK("https://youglish.com/pronounce/我一直从事策划工作/chinese","🔍")</f>
        <v/>
      </c>
    </row>
    <row r="3157" ht="28.5" customHeight="1" s="99">
      <c r="A3157" s="94" t="inlineStr">
        <is>
          <t>PDF-Từ vựng phỏng vấn _ HỌC BÁ CHINESE.pdf</t>
        </is>
      </c>
      <c r="B3157" s="95" t="inlineStr">
        <is>
          <t>15</t>
        </is>
      </c>
      <c r="C3157" s="94" t="inlineStr">
        <is>
          <t>开始上班</t>
        </is>
      </c>
      <c r="D3157" s="94" t="inlineStr">
        <is>
          <t>kāishǐ shàngbān – bắt đầu đi làm</t>
        </is>
      </c>
      <c r="E3157" s="94" t="inlineStr">
        <is>
          <t>15. 开始上班 kāishǐ shàngbān – bắt đầu đi làm</t>
        </is>
      </c>
      <c r="F3157" s="115">
        <f>HYPERLINK("https://youglish.com/pronounce/开始上班/chinese","🔍")</f>
        <v/>
      </c>
    </row>
    <row r="3158" ht="28.5" customHeight="1" s="99">
      <c r="A3158" s="92" t="inlineStr">
        <is>
          <t>PDF-Từ vựng phỏng vấn _ HỌC BÁ CHINESE.pdf</t>
        </is>
      </c>
      <c r="B3158" s="93" t="inlineStr">
        <is>
          <t>339</t>
        </is>
      </c>
      <c r="C3158" s="92" t="inlineStr">
        <is>
          <t>你下周一开始上班</t>
        </is>
      </c>
      <c r="D3158" s="92" t="inlineStr">
        <is>
          <t>Bạn bắt đầu đi làm vào thứ hai tuần sau.</t>
        </is>
      </c>
      <c r="E3158" s="92" t="inlineStr">
        <is>
          <t>你下周一开始上班。– Bạn bắt đầu đi làm vào thứ hai tuần sau.</t>
        </is>
      </c>
      <c r="F3158" s="114">
        <f>HYPERLINK("https://youglish.com/pronounce/你下周一开始上班/chinese","🔍")</f>
        <v/>
      </c>
    </row>
    <row r="3159" ht="28.5" customHeight="1" s="99">
      <c r="A3159" s="94" t="inlineStr">
        <is>
          <t>PDF-Từ vựng phỏng vấn _ HỌC BÁ CHINESE.pdf</t>
        </is>
      </c>
      <c r="B3159" s="95" t="inlineStr">
        <is>
          <t>16</t>
        </is>
      </c>
      <c r="C3159" s="94" t="inlineStr">
        <is>
          <t>聘用</t>
        </is>
      </c>
      <c r="D3159" s="94" t="inlineStr">
        <is>
          <t>pànyòng – tuyển dụng chính thức</t>
        </is>
      </c>
      <c r="E3159" s="94" t="inlineStr">
        <is>
          <t>16. 聘用 pànyòng – tuyển dụng chính thức</t>
        </is>
      </c>
      <c r="F3159" s="115">
        <f>HYPERLINK("https://youglish.com/pronounce/聘用/chinese","🔍")</f>
        <v/>
      </c>
    </row>
    <row r="3160" ht="28.5" customHeight="1" s="99">
      <c r="A3160" s="92" t="inlineStr">
        <is>
          <t>PDF-Từ vựng phỏng vấn _ HỌC BÁ CHINESE.pdf</t>
        </is>
      </c>
      <c r="B3160" s="93" t="inlineStr">
        <is>
          <t>341</t>
        </is>
      </c>
      <c r="C3160" s="92" t="inlineStr">
        <is>
          <t>公司决定聘用你</t>
        </is>
      </c>
      <c r="D3160" s="92" t="inlineStr">
        <is>
          <t>Công ty quyết định tuyển dụng bạn.</t>
        </is>
      </c>
      <c r="E3160" s="92" t="inlineStr">
        <is>
          <t>公司决定聘用你。– Công ty quyết định tuyển dụng bạn.</t>
        </is>
      </c>
      <c r="F3160" s="114">
        <f>HYPERLINK("https://youglish.com/pronounce/公司决定聘用你/chinese","🔍")</f>
        <v/>
      </c>
    </row>
    <row r="3161" ht="28.5" customHeight="1" s="99">
      <c r="A3161" s="94" t="inlineStr">
        <is>
          <t>PDF-Từ vựng phỏng vấn _ HỌC BÁ CHINESE.pdf</t>
        </is>
      </c>
      <c r="B3161" s="95" t="inlineStr">
        <is>
          <t>17</t>
        </is>
      </c>
      <c r="C3161" s="94" t="inlineStr">
        <is>
          <t>工作原因</t>
        </is>
      </c>
      <c r="D3161" s="94" t="inlineStr">
        <is>
          <t>gōngzuò yuányīn – lý do công việc</t>
        </is>
      </c>
      <c r="E3161" s="94" t="inlineStr">
        <is>
          <t>17. 工作原因 gōngzuò yuányīn – lý do công việc</t>
        </is>
      </c>
      <c r="F3161" s="115">
        <f>HYPERLINK("https://youglish.com/pronounce/工作原因/chinese","🔍")</f>
        <v/>
      </c>
    </row>
    <row r="3162" ht="28.5" customHeight="1" s="99">
      <c r="A3162" s="92" t="inlineStr">
        <is>
          <t>PDF-Từ vựng phỏng vấn _ HỌC BÁ CHINESE.pdf</t>
        </is>
      </c>
      <c r="B3162" s="93" t="inlineStr">
        <is>
          <t>343</t>
        </is>
      </c>
      <c r="C3162" s="92" t="inlineStr">
        <is>
          <t>我可以解释离职的工作原因</t>
        </is>
      </c>
      <c r="D3162" s="92" t="inlineStr">
        <is>
          <t>Tôi có thể giải thích lý do nghỉ việc.</t>
        </is>
      </c>
      <c r="E3162" s="92" t="inlineStr">
        <is>
          <t>我可以解释离职的工作原因。– Tôi có thể giải thích lý do nghỉ việc.</t>
        </is>
      </c>
      <c r="F3162" s="114">
        <f>HYPERLINK("https://youglish.com/pronounce/我可以解释离职的工作原因/chinese","🔍")</f>
        <v/>
      </c>
    </row>
    <row r="3163" ht="28.5" customHeight="1" s="99">
      <c r="A3163" s="94" t="inlineStr">
        <is>
          <t>PDF-Từ vựng phỏng vấn _ HỌC BÁ CHINESE.pdf</t>
        </is>
      </c>
      <c r="B3163" s="95" t="inlineStr">
        <is>
          <t>18</t>
        </is>
      </c>
      <c r="C3163" s="94" t="inlineStr">
        <is>
          <t>随时</t>
        </is>
      </c>
      <c r="D3163" s="94" t="inlineStr">
        <is>
          <t>suíshí – bất cứ lúc nào</t>
        </is>
      </c>
      <c r="E3163" s="94" t="inlineStr">
        <is>
          <t>18. 随时 suíshí – bất cứ lúc nào</t>
        </is>
      </c>
      <c r="F3163" s="115">
        <f>HYPERLINK("https://youglish.com/pronounce/随时/chinese","🔍")</f>
        <v/>
      </c>
    </row>
    <row r="3164" ht="28.5" customHeight="1" s="99">
      <c r="A3164" s="92" t="inlineStr">
        <is>
          <t>PDF-Từ vựng phỏng vấn _ HỌC BÁ CHINESE.pdf</t>
        </is>
      </c>
      <c r="B3164" s="93" t="inlineStr">
        <is>
          <t>345</t>
        </is>
      </c>
      <c r="C3164" s="92" t="inlineStr">
        <is>
          <t>我可以随时开始工作</t>
        </is>
      </c>
      <c r="D3164" s="92" t="inlineStr">
        <is>
          <t>Tôi có thể bắt đầu bất cứ lúc nào.</t>
        </is>
      </c>
      <c r="E3164" s="92" t="inlineStr">
        <is>
          <t>我可以随时开始工作。– Tôi có thể bắt đầu bất cứ lúc nào.</t>
        </is>
      </c>
      <c r="F3164" s="114">
        <f>HYPERLINK("https://youglish.com/pronounce/我可以随时开始工作/chinese","🔍")</f>
        <v/>
      </c>
    </row>
    <row r="3165" ht="28.5" customHeight="1" s="99">
      <c r="A3165" s="94" t="inlineStr">
        <is>
          <t>PDF-Từ vựng phỏng vấn _ HỌC BÁ CHINESE.pdf</t>
        </is>
      </c>
      <c r="B3165" s="95" t="inlineStr">
        <is>
          <t>19</t>
        </is>
      </c>
      <c r="C3165" s="94" t="inlineStr">
        <is>
          <t>不赞同</t>
        </is>
      </c>
      <c r="D3165" s="94" t="inlineStr">
        <is>
          <t>bú zàntóng – không tán thành</t>
        </is>
      </c>
      <c r="E3165" s="94" t="inlineStr">
        <is>
          <t>19. 不赞同 bú zàntóng – không tán thành</t>
        </is>
      </c>
      <c r="F3165" s="115">
        <f>HYPERLINK("https://youglish.com/pronounce/不赞同/chinese","🔍")</f>
        <v/>
      </c>
    </row>
    <row r="3166" ht="28.5" customHeight="1" s="99">
      <c r="A3166" s="92" t="inlineStr">
        <is>
          <t>PDF-Từ vựng phỏng vấn _ HỌC BÁ CHINESE.pdf</t>
        </is>
      </c>
      <c r="B3166" s="93" t="inlineStr">
        <is>
          <t>347</t>
        </is>
      </c>
      <c r="C3166" s="92" t="inlineStr">
        <is>
          <t>我不赞同他们的做法</t>
        </is>
      </c>
      <c r="D3166" s="92" t="inlineStr">
        <is>
          <t>Tôi không tán thành cách làm của họ.</t>
        </is>
      </c>
      <c r="E3166" s="92" t="inlineStr">
        <is>
          <t>我不赞同他们的做法。– Tôi không tán thành cách làm của họ.</t>
        </is>
      </c>
      <c r="F3166" s="114">
        <f>HYPERLINK("https://youglish.com/pronounce/我不赞同他们的做法/chinese","🔍")</f>
        <v/>
      </c>
    </row>
    <row r="3167" ht="28.5" customHeight="1" s="99">
      <c r="A3167" s="94" t="inlineStr">
        <is>
          <t>PDF-Từ vựng phỏng vấn _ HỌC BÁ CHINESE.pdf</t>
        </is>
      </c>
      <c r="B3167" s="95" t="inlineStr">
        <is>
          <t>20</t>
        </is>
      </c>
      <c r="C3167" s="94" t="inlineStr">
        <is>
          <t>理念冲突</t>
        </is>
      </c>
      <c r="D3167" s="94" t="inlineStr">
        <is>
          <t>lǐniàn chōngtū – xung đột quan điểm</t>
        </is>
      </c>
      <c r="E3167" s="94" t="inlineStr">
        <is>
          <t>20. 理念冲突 lǐniàn chōngtū – xung đột quan điểm</t>
        </is>
      </c>
      <c r="F3167" s="115">
        <f>HYPERLINK("https://youglish.com/pronounce/理念冲突/chinese","🔍")</f>
        <v/>
      </c>
    </row>
    <row r="3168" ht="28.5" customHeight="1" s="99">
      <c r="A3168" s="92" t="inlineStr">
        <is>
          <t>PDF-Từ vựng phỏng vấn _ HỌC BÁ CHINESE.pdf</t>
        </is>
      </c>
      <c r="B3168" s="93" t="inlineStr">
        <is>
          <t>349</t>
        </is>
      </c>
      <c r="C3168" s="92" t="inlineStr">
        <is>
          <t>我们有理念冲突</t>
        </is>
      </c>
      <c r="D3168" s="92" t="inlineStr">
        <is>
          <t>Chúng tôi có xung đột quan điểm.</t>
        </is>
      </c>
      <c r="E3168" s="92" t="inlineStr">
        <is>
          <t>我们有理念冲突。– Chúng tôi có xung đột quan điểm.</t>
        </is>
      </c>
      <c r="F3168" s="114">
        <f>HYPERLINK("https://youglish.com/pronounce/我们有理念冲突/chinese","🔍")</f>
        <v/>
      </c>
    </row>
    <row r="3169" ht="28.5" customHeight="1" s="99">
      <c r="A3169" s="94" t="inlineStr">
        <is>
          <t>PDF-Từ vựng phỏng vấn _ HỌC BÁ CHINESE.pdf</t>
        </is>
      </c>
      <c r="B3169" s="95" t="inlineStr">
        <is>
          <t>21</t>
        </is>
      </c>
      <c r="C3169" s="94" t="inlineStr">
        <is>
          <t>从事</t>
        </is>
      </c>
      <c r="D3169" s="94" t="inlineStr">
        <is>
          <t>cóngshì – làm, theo ngành</t>
        </is>
      </c>
      <c r="E3169" s="94" t="inlineStr">
        <is>
          <t>21. 从事 cóngshì – làm, theo ngành</t>
        </is>
      </c>
      <c r="F3169" s="115">
        <f>HYPERLINK("https://youglish.com/pronounce/从事/chinese","🔍")</f>
        <v/>
      </c>
    </row>
    <row r="3170" ht="28.5" customHeight="1" s="99">
      <c r="A3170" s="92" t="inlineStr">
        <is>
          <t>PDF-Từ vựng phỏng vấn _ HỌC BÁ CHINESE.pdf</t>
        </is>
      </c>
      <c r="B3170" s="93" t="inlineStr">
        <is>
          <t>351</t>
        </is>
      </c>
      <c r="C3170" s="92" t="inlineStr">
        <is>
          <t>我从事市场策划已经三年</t>
        </is>
      </c>
      <c r="D3170" s="92" t="inlineStr">
        <is>
          <t>Tôi làm quy hoạch thị trường đã ba năm.</t>
        </is>
      </c>
      <c r="E3170" s="92" t="inlineStr">
        <is>
          <t>我从事市场策划已经三年。– Tôi làm quy hoạch thị trường đã ba năm.</t>
        </is>
      </c>
      <c r="F3170" s="114">
        <f>HYPERLINK("https://youglish.com/pronounce/我从事市场策划已经三年/chinese","🔍")</f>
        <v/>
      </c>
    </row>
    <row r="3171" ht="28.5" customHeight="1" s="99">
      <c r="A3171" s="94" t="inlineStr">
        <is>
          <t>PDF-Từ vựng phỏng vấn _ HỌC BÁ CHINESE.pdf</t>
        </is>
      </c>
      <c r="B3171" s="95" t="inlineStr">
        <is>
          <t>22</t>
        </is>
      </c>
      <c r="C3171" s="94" t="inlineStr">
        <is>
          <t>被误会</t>
        </is>
      </c>
      <c r="D3171" s="94" t="inlineStr">
        <is>
          <t>bèi wùhuì – bị hiểu lầm</t>
        </is>
      </c>
      <c r="E3171" s="94" t="inlineStr">
        <is>
          <t>22. 被误会 bèi wùhuì – bị hiểu lầm</t>
        </is>
      </c>
      <c r="F3171" s="115">
        <f>HYPERLINK("https://youglish.com/pronounce/被误会/chinese","🔍")</f>
        <v/>
      </c>
    </row>
    <row r="3172" ht="28.5" customHeight="1" s="99">
      <c r="A3172" s="92" t="inlineStr">
        <is>
          <t>PDF-Từ vựng phỏng vấn _ HỌC BÁ CHINESE.pdf</t>
        </is>
      </c>
      <c r="B3172" s="93" t="inlineStr">
        <is>
          <t>353</t>
        </is>
      </c>
      <c r="C3172" s="92" t="inlineStr">
        <is>
          <t>他误会我被辞退了</t>
        </is>
      </c>
      <c r="D3172" s="92" t="inlineStr">
        <is>
          <t>Anh ấy hiểu lầm là tôi bị đuổi việc.</t>
        </is>
      </c>
      <c r="E3172" s="92" t="inlineStr">
        <is>
          <t>他误会我被辞退了。– Anh ấy hiểu lầm là tôi bị đuổi việc.</t>
        </is>
      </c>
      <c r="F3172" s="114">
        <f>HYPERLINK("https://youglish.com/pronounce/他误会我被辞退了/chinese","🔍")</f>
        <v/>
      </c>
    </row>
    <row r="3173" ht="28.5" customHeight="1" s="99">
      <c r="A3173" s="94" t="inlineStr">
        <is>
          <t>PDF-Từ vựng phỏng vấn _ HỌC BÁ CHINESE.pdf</t>
        </is>
      </c>
      <c r="B3173" s="95" t="inlineStr">
        <is>
          <t>23</t>
        </is>
      </c>
      <c r="C3173" s="94" t="inlineStr">
        <is>
          <t>主动</t>
        </is>
      </c>
      <c r="D3173" s="94" t="inlineStr">
        <is>
          <t>zhǔdòng – chủ động</t>
        </is>
      </c>
      <c r="E3173" s="94" t="inlineStr">
        <is>
          <t>23. 主动 zhǔdòng – chủ động</t>
        </is>
      </c>
      <c r="F3173" s="115">
        <f>HYPERLINK("https://youglish.com/pronounce/主动/chinese","🔍")</f>
        <v/>
      </c>
    </row>
    <row r="3174" ht="28.5" customHeight="1" s="99">
      <c r="A3174" s="92" t="inlineStr">
        <is>
          <t>PDF-Từ vựng phỏng vấn _ HỌC BÁ CHINESE.pdf</t>
        </is>
      </c>
      <c r="B3174" s="93" t="inlineStr">
        <is>
          <t>355</t>
        </is>
      </c>
      <c r="C3174" s="92" t="inlineStr">
        <is>
          <t>我主动提出了离职</t>
        </is>
      </c>
      <c r="D3174" s="92" t="inlineStr">
        <is>
          <t>Tôi chủ động đề xuất nghỉ việc.</t>
        </is>
      </c>
      <c r="E3174" s="92" t="inlineStr">
        <is>
          <t>我主动提出了离职。– Tôi chủ động đề xuất nghỉ việc.</t>
        </is>
      </c>
      <c r="F3174" s="114">
        <f>HYPERLINK("https://youglish.com/pronounce/我主动提出了离职/chinese","🔍")</f>
        <v/>
      </c>
    </row>
    <row r="3175" ht="28.5" customHeight="1" s="99">
      <c r="A3175" s="94" t="inlineStr">
        <is>
          <t>PDF-Từ vựng phỏng vấn _ HỌC BÁ CHINESE.pdf</t>
        </is>
      </c>
      <c r="B3175" s="95" t="inlineStr">
        <is>
          <t>24</t>
        </is>
      </c>
      <c r="C3175" s="94" t="inlineStr">
        <is>
          <t>经验丰富</t>
        </is>
      </c>
      <c r="D3175" s="94" t="inlineStr">
        <is>
          <t>jīngyàn fēngfù – kinh nghiệm phong phú</t>
        </is>
      </c>
      <c r="E3175" s="94" t="inlineStr">
        <is>
          <t>24. 经验丰富 jīngyàn fēngfù – kinh nghiệm phong phú</t>
        </is>
      </c>
      <c r="F3175" s="115">
        <f>HYPERLINK("https://youglish.com/pronounce/经验丰富/chinese","🔍")</f>
        <v/>
      </c>
    </row>
    <row r="3176" ht="28.5" customHeight="1" s="99">
      <c r="A3176" s="92" t="inlineStr">
        <is>
          <t>PDF-Từ vựng phỏng vấn _ HỌC BÁ CHINESE.pdf</t>
        </is>
      </c>
      <c r="B3176" s="93" t="inlineStr">
        <is>
          <t>357</t>
        </is>
      </c>
      <c r="C3176" s="92" t="inlineStr">
        <is>
          <t>她在策划方面经验丰富</t>
        </is>
      </c>
      <c r="D3176" s="92" t="inlineStr">
        <is>
          <t>Cô ấy có kinh nghiệm phong phú về hoạch định.</t>
        </is>
      </c>
      <c r="E3176" s="92" t="inlineStr">
        <is>
          <t>她在策划方面经验丰富。– Cô ấy có kinh nghiệm phong phú về hoạch định.</t>
        </is>
      </c>
      <c r="F3176" s="114">
        <f>HYPERLINK("https://youglish.com/pronounce/她在策划方面经验丰富/chinese","🔍")</f>
        <v/>
      </c>
    </row>
    <row r="3177" ht="28.5" customHeight="1" s="99">
      <c r="A3177" s="94" t="inlineStr">
        <is>
          <t>PDF-Từ vựng phỏng vấn _ HỌC BÁ CHINESE.pdf</t>
        </is>
      </c>
      <c r="B3177" s="95" t="inlineStr">
        <is>
          <t>25</t>
        </is>
      </c>
      <c r="C3177" s="94" t="inlineStr">
        <is>
          <t>上岗</t>
        </is>
      </c>
      <c r="D3177" s="94" t="inlineStr">
        <is>
          <t>shànggǎng – nhận việc</t>
        </is>
      </c>
      <c r="E3177" s="94" t="inlineStr">
        <is>
          <t>25. 上岗 shànggǎng – nhận việc</t>
        </is>
      </c>
      <c r="F3177" s="115">
        <f>HYPERLINK("https://youglish.com/pronounce/上岗/chinese","🔍")</f>
        <v/>
      </c>
    </row>
    <row r="3178" ht="28.5" customHeight="1" s="99">
      <c r="A3178" s="92" t="inlineStr">
        <is>
          <t>PDF-Từ vựng phỏng vấn _ HỌC BÁ CHINESE.pdf</t>
        </is>
      </c>
      <c r="B3178" s="93" t="inlineStr">
        <is>
          <t>359</t>
        </is>
      </c>
      <c r="C3178" s="92" t="inlineStr">
        <is>
          <t>我可以马上上岗</t>
        </is>
      </c>
      <c r="D3178" s="92" t="inlineStr">
        <is>
          <t>Tôi có thể nhận việc ngay.</t>
        </is>
      </c>
      <c r="E3178" s="92" t="inlineStr">
        <is>
          <t>我可以马上上岗。– Tôi có thể nhận việc ngay.</t>
        </is>
      </c>
      <c r="F3178" s="114">
        <f>HYPERLINK("https://youglish.com/pronounce/我可以马上上岗/chinese","🔍")</f>
        <v/>
      </c>
    </row>
    <row r="3179" ht="28.5" customHeight="1" s="99">
      <c r="A3179" s="94" t="inlineStr">
        <is>
          <t>PDF-Từ vựng phỏng vấn _ HỌC BÁ CHINESE.pdf</t>
        </is>
      </c>
      <c r="B3179" s="95" t="inlineStr">
        <is>
          <t>360</t>
        </is>
      </c>
      <c r="C3179" s="94" t="inlineStr">
        <is>
          <t>工作经验</t>
        </is>
      </c>
      <c r="D3179" s="94" t="inlineStr">
        <is>
          <t>Bài 9 “工作经验”</t>
        </is>
      </c>
      <c r="E3179" s="94" t="inlineStr">
        <is>
          <t>Bài 9 “工作经验”</t>
        </is>
      </c>
      <c r="F3179" s="115">
        <f>HYPERLINK("https://youglish.com/pronounce/工作经验/chinese","🔍")</f>
        <v/>
      </c>
    </row>
    <row r="3180" ht="28.5" customHeight="1" s="99">
      <c r="A3180" s="92" t="inlineStr">
        <is>
          <t>PDF-Từ vựng phỏng vấn _ HỌC BÁ CHINESE.pdf</t>
        </is>
      </c>
      <c r="B3180" s="93" t="inlineStr">
        <is>
          <t>1</t>
        </is>
      </c>
      <c r="C3180" s="92" t="inlineStr">
        <is>
          <t>从事</t>
        </is>
      </c>
      <c r="D3180" s="92" t="inlineStr">
        <is>
          <t>cóngshì – làm, theo ngành</t>
        </is>
      </c>
      <c r="E3180" s="92" t="inlineStr">
        <is>
          <t>1. 从事 cóngshì – làm, theo ngành</t>
        </is>
      </c>
      <c r="F3180" s="114">
        <f>HYPERLINK("https://youglish.com/pronounce/从事/chinese","🔍")</f>
        <v/>
      </c>
    </row>
    <row r="3181" ht="28.5" customHeight="1" s="99">
      <c r="A3181" s="94" t="inlineStr">
        <is>
          <t>PDF-Từ vựng phỏng vấn _ HỌC BÁ CHINESE.pdf</t>
        </is>
      </c>
      <c r="B3181" s="95" t="inlineStr">
        <is>
          <t>362</t>
        </is>
      </c>
      <c r="C3181" s="94" t="inlineStr">
        <is>
          <t>我从事编辑工作三年了</t>
        </is>
      </c>
      <c r="D3181" s="94" t="inlineStr">
        <is>
          <t>Tôi làm công việc biên tập được ba năm rồi.</t>
        </is>
      </c>
      <c r="E3181" s="94" t="inlineStr">
        <is>
          <t>我从事编辑工作三年了。– Tôi làm công việc biên tập được ba năm rồi.</t>
        </is>
      </c>
      <c r="F3181" s="115">
        <f>HYPERLINK("https://youglish.com/pronounce/我从事编辑工作三年了/chinese","🔍")</f>
        <v/>
      </c>
    </row>
    <row r="3182" ht="28.5" customHeight="1" s="99">
      <c r="A3182" s="92" t="inlineStr">
        <is>
          <t>PDF-Từ vựng phỏng vấn _ HỌC BÁ CHINESE.pdf</t>
        </is>
      </c>
      <c r="B3182" s="93" t="inlineStr">
        <is>
          <t>2</t>
        </is>
      </c>
      <c r="C3182" s="92" t="inlineStr">
        <is>
          <t>行业</t>
        </is>
      </c>
      <c r="D3182" s="92" t="inlineStr">
        <is>
          <t>hángyè – ngành nghề</t>
        </is>
      </c>
      <c r="E3182" s="92" t="inlineStr">
        <is>
          <t>2. 行业 hángyè – ngành nghề</t>
        </is>
      </c>
      <c r="F3182" s="114">
        <f>HYPERLINK("https://youglish.com/pronounce/行业/chinese","🔍")</f>
        <v/>
      </c>
    </row>
    <row r="3183" ht="28.5" customHeight="1" s="99">
      <c r="A3183" s="94" t="inlineStr">
        <is>
          <t>PDF-Từ vựng phỏng vấn _ HỌC BÁ CHINESE.pdf</t>
        </is>
      </c>
      <c r="B3183" s="95" t="inlineStr">
        <is>
          <t>364</t>
        </is>
      </c>
      <c r="C3183" s="94" t="inlineStr">
        <is>
          <t>你现在从事什么行业</t>
        </is>
      </c>
      <c r="D3183" s="94" t="inlineStr">
        <is>
          <t>Hiện bạn làm trong ngành gì?</t>
        </is>
      </c>
      <c r="E3183" s="94" t="inlineStr">
        <is>
          <t>你现在从事什么行业？– Hiện bạn làm trong ngành gì?</t>
        </is>
      </c>
      <c r="F3183" s="115">
        <f>HYPERLINK("https://youglish.com/pronounce/你现在从事什么行业/chinese","🔍")</f>
        <v/>
      </c>
    </row>
    <row r="3184" ht="28.5" customHeight="1" s="99">
      <c r="A3184" s="92" t="inlineStr">
        <is>
          <t>PDF-Từ vựng phỏng vấn _ HỌC BÁ CHINESE.pdf</t>
        </is>
      </c>
      <c r="B3184" s="93" t="inlineStr">
        <is>
          <t>3</t>
        </is>
      </c>
      <c r="C3184" s="92" t="inlineStr">
        <is>
          <t>编辑</t>
        </is>
      </c>
      <c r="D3184" s="92" t="inlineStr">
        <is>
          <t>biānjí – biên tập</t>
        </is>
      </c>
      <c r="E3184" s="92" t="inlineStr">
        <is>
          <t>3. 编辑 biānjí – biên tập</t>
        </is>
      </c>
      <c r="F3184" s="114">
        <f>HYPERLINK("https://youglish.com/pronounce/编辑/chinese","🔍")</f>
        <v/>
      </c>
    </row>
    <row r="3185" ht="28.5" customHeight="1" s="99">
      <c r="A3185" s="94" t="inlineStr">
        <is>
          <t>PDF-Từ vựng phỏng vấn _ HỌC BÁ CHINESE.pdf</t>
        </is>
      </c>
      <c r="B3185" s="95" t="inlineStr">
        <is>
          <t>366</t>
        </is>
      </c>
      <c r="C3185" s="94" t="inlineStr">
        <is>
          <t>我在网站做编辑</t>
        </is>
      </c>
      <c r="D3185" s="94" t="inlineStr">
        <is>
          <t>Tôi làm biên tập cho một trang web.</t>
        </is>
      </c>
      <c r="E3185" s="94" t="inlineStr">
        <is>
          <t>我在网站做编辑。– Tôi làm biên tập cho một trang web.</t>
        </is>
      </c>
      <c r="F3185" s="115">
        <f>HYPERLINK("https://youglish.com/pronounce/我在网站做编辑/chinese","🔍")</f>
        <v/>
      </c>
    </row>
    <row r="3186" ht="28.5" customHeight="1" s="99">
      <c r="A3186" s="92" t="inlineStr">
        <is>
          <t>PDF-Từ vựng phỏng vấn _ HỌC BÁ CHINESE.pdf</t>
        </is>
      </c>
      <c r="B3186" s="93" t="inlineStr">
        <is>
          <t>4</t>
        </is>
      </c>
      <c r="C3186" s="92" t="inlineStr">
        <is>
          <t>广告</t>
        </is>
      </c>
      <c r="D3186" s="92" t="inlineStr">
        <is>
          <t>guǎnggào – quảng cáo</t>
        </is>
      </c>
      <c r="E3186" s="92" t="inlineStr">
        <is>
          <t>4. 广告 guǎnggào – quảng cáo</t>
        </is>
      </c>
      <c r="F3186" s="114">
        <f>HYPERLINK("https://youglish.com/pronounce/广告/chinese","🔍")</f>
        <v/>
      </c>
    </row>
    <row r="3187" ht="28.5" customHeight="1" s="99">
      <c r="A3187" s="94" t="inlineStr">
        <is>
          <t>PDF-Từ vựng phỏng vấn _ HỌC BÁ CHINESE.pdf</t>
        </is>
      </c>
      <c r="B3187" s="95" t="inlineStr">
        <is>
          <t>368</t>
        </is>
      </c>
      <c r="C3187" s="94" t="inlineStr">
        <is>
          <t>我有广告方面的经验</t>
        </is>
      </c>
      <c r="D3187" s="94" t="inlineStr">
        <is>
          <t>Tôi có kinh nghiệm trong lĩnh vực quảng cáo.</t>
        </is>
      </c>
      <c r="E3187" s="94" t="inlineStr">
        <is>
          <t>我有广告方面的经验。– Tôi có kinh nghiệm trong lĩnh vực quảng cáo.</t>
        </is>
      </c>
      <c r="F3187" s="115">
        <f>HYPERLINK("https://youglish.com/pronounce/我有广告方面的经验/chinese","🔍")</f>
        <v/>
      </c>
    </row>
    <row r="3188" ht="28.5" customHeight="1" s="99">
      <c r="A3188" s="92" t="inlineStr">
        <is>
          <t>PDF-Từ vựng phỏng vấn _ HỌC BÁ CHINESE.pdf</t>
        </is>
      </c>
      <c r="B3188" s="93" t="inlineStr">
        <is>
          <t>5</t>
        </is>
      </c>
      <c r="C3188" s="92" t="inlineStr">
        <is>
          <t>广告公司</t>
        </is>
      </c>
      <c r="D3188" s="92" t="inlineStr">
        <is>
          <t>guǎnggào gōngsī – công ty quảng cáo</t>
        </is>
      </c>
      <c r="E3188" s="92" t="inlineStr">
        <is>
          <t>5. 广告公司 guǎnggào gōngsī – công ty quảng cáo</t>
        </is>
      </c>
      <c r="F3188" s="114">
        <f>HYPERLINK("https://youglish.com/pronounce/广告公司/chinese","🔍")</f>
        <v/>
      </c>
    </row>
    <row r="3189" ht="28.5" customHeight="1" s="99">
      <c r="A3189" s="94" t="inlineStr">
        <is>
          <t>PDF-Từ vựng phỏng vấn _ HỌC BÁ CHINESE.pdf</t>
        </is>
      </c>
      <c r="B3189" s="95" t="inlineStr">
        <is>
          <t>370</t>
        </is>
      </c>
      <c r="C3189" s="94" t="inlineStr">
        <is>
          <t>我以前在广告公司上班</t>
        </is>
      </c>
      <c r="D3189" s="94" t="inlineStr">
        <is>
          <t>Trước đây tôi làm ở công ty quảng cáo.</t>
        </is>
      </c>
      <c r="E3189" s="94" t="inlineStr">
        <is>
          <t>我以前在广告公司上班。– Trước đây tôi làm ở công ty quảng cáo.</t>
        </is>
      </c>
      <c r="F3189" s="115">
        <f>HYPERLINK("https://youglish.com/pronounce/我以前在广告公司上班/chinese","🔍")</f>
        <v/>
      </c>
    </row>
    <row r="3190" ht="28.5" customHeight="1" s="99">
      <c r="A3190" s="92" t="inlineStr">
        <is>
          <t>PDF-Từ vựng phỏng vấn _ HỌC BÁ CHINESE.pdf</t>
        </is>
      </c>
      <c r="B3190" s="93" t="inlineStr">
        <is>
          <t>6</t>
        </is>
      </c>
      <c r="C3190" s="92" t="inlineStr">
        <is>
          <t>主管</t>
        </is>
      </c>
      <c r="D3190" s="92" t="inlineStr">
        <is>
          <t>zhǔguǎn – phụ trách</t>
        </is>
      </c>
      <c r="E3190" s="92" t="inlineStr">
        <is>
          <t>6. 主管 zhǔguǎn – phụ trách</t>
        </is>
      </c>
      <c r="F3190" s="114">
        <f>HYPERLINK("https://youglish.com/pronounce/主管/chinese","🔍")</f>
        <v/>
      </c>
    </row>
    <row r="3191" ht="28.5" customHeight="1" s="99">
      <c r="A3191" s="94" t="inlineStr">
        <is>
          <t>PDF-Từ vựng phỏng vấn _ HỌC BÁ CHINESE.pdf</t>
        </is>
      </c>
      <c r="B3191" s="95" t="inlineStr">
        <is>
          <t>372</t>
        </is>
      </c>
      <c r="C3191" s="94" t="inlineStr">
        <is>
          <t>我在公司主管市场推广</t>
        </is>
      </c>
      <c r="D3191" s="94" t="inlineStr">
        <is>
          <t>Tôi phụ trách marketing tại công ty.</t>
        </is>
      </c>
      <c r="E3191" s="94" t="inlineStr">
        <is>
          <t>我在公司主管市场推广。– Tôi phụ trách marketing tại công ty.</t>
        </is>
      </c>
      <c r="F3191" s="115">
        <f>HYPERLINK("https://youglish.com/pronounce/我在公司主管市场推广/chinese","🔍")</f>
        <v/>
      </c>
    </row>
    <row r="3192" ht="28.5" customHeight="1" s="99">
      <c r="A3192" s="92" t="inlineStr">
        <is>
          <t>PDF-Từ vựng phỏng vấn _ HỌC BÁ CHINESE.pdf</t>
        </is>
      </c>
      <c r="B3192" s="93" t="inlineStr">
        <is>
          <t>7</t>
        </is>
      </c>
      <c r="C3192" s="92" t="inlineStr">
        <is>
          <t>市场推广</t>
        </is>
      </c>
      <c r="D3192" s="92" t="inlineStr">
        <is>
          <t>shìchǎng tuīguǎng – xúc tiến thị trường</t>
        </is>
      </c>
      <c r="E3192" s="92" t="inlineStr">
        <is>
          <t>7. 市场推广 shìchǎng tuīguǎng – xúc tiến thị trường</t>
        </is>
      </c>
      <c r="F3192" s="114">
        <f>HYPERLINK("https://youglish.com/pronounce/市场推广/chinese","🔍")</f>
        <v/>
      </c>
    </row>
    <row r="3193" ht="28.5" customHeight="1" s="99">
      <c r="A3193" s="94" t="inlineStr">
        <is>
          <t>PDF-Từ vựng phỏng vấn _ HỌC BÁ CHINESE.pdf</t>
        </is>
      </c>
      <c r="B3193" s="95" t="inlineStr">
        <is>
          <t>374</t>
        </is>
      </c>
      <c r="C3193" s="94" t="inlineStr">
        <is>
          <t>我负责代理产品的市场推广</t>
        </is>
      </c>
      <c r="D3193" s="94" t="inlineStr">
        <is>
          <t>Tôi phụ trách xúc tiến thị trường cho sản phẩm đại lý.</t>
        </is>
      </c>
      <c r="E3193" s="94" t="inlineStr">
        <is>
          <t>我负责代理产品的市场推广。– Tôi phụ trách xúc tiến thị trường cho sản phẩm đại lý.</t>
        </is>
      </c>
      <c r="F3193" s="115">
        <f>HYPERLINK("https://youglish.com/pronounce/我负责代理产品的市场推广/chinese","🔍")</f>
        <v/>
      </c>
    </row>
    <row r="3194" ht="28.5" customHeight="1" s="99">
      <c r="A3194" s="92" t="inlineStr">
        <is>
          <t>PDF-Từ vựng phỏng vấn _ HỌC BÁ CHINESE.pdf</t>
        </is>
      </c>
      <c r="B3194" s="93" t="inlineStr">
        <is>
          <t>8</t>
        </is>
      </c>
      <c r="C3194" s="92" t="inlineStr">
        <is>
          <t>名气</t>
        </is>
      </c>
      <c r="D3194" s="92" t="inlineStr">
        <is>
          <t>míngqì – danh tiếng</t>
        </is>
      </c>
      <c r="E3194" s="92" t="inlineStr">
        <is>
          <t>8. 名气 míngqì – danh tiếng</t>
        </is>
      </c>
      <c r="F3194" s="114">
        <f>HYPERLINK("https://youglish.com/pronounce/名气/chinese","🔍")</f>
        <v/>
      </c>
    </row>
    <row r="3195" ht="28.5" customHeight="1" s="99">
      <c r="A3195" s="94" t="inlineStr">
        <is>
          <t>PDF-Từ vựng phỏng vấn _ HỌC BÁ CHINESE.pdf</t>
        </is>
      </c>
      <c r="B3195" s="95" t="inlineStr">
        <is>
          <t>376</t>
        </is>
      </c>
      <c r="C3195" s="94" t="inlineStr">
        <is>
          <t>那家公司很有名气</t>
        </is>
      </c>
      <c r="D3195" s="94" t="inlineStr">
        <is>
          <t>Công ty đó rất nổi tiếng.</t>
        </is>
      </c>
      <c r="E3195" s="94" t="inlineStr">
        <is>
          <t>那家公司很有名气。– Công ty đó rất nổi tiếng.</t>
        </is>
      </c>
      <c r="F3195" s="115">
        <f>HYPERLINK("https://youglish.com/pronounce/那家公司很有名气/chinese","🔍")</f>
        <v/>
      </c>
    </row>
    <row r="3196" ht="28.5" customHeight="1" s="99">
      <c r="A3196" s="92" t="inlineStr">
        <is>
          <t>PDF-Từ vựng phỏng vấn _ HỌC BÁ CHINESE.pdf</t>
        </is>
      </c>
      <c r="B3196" s="93" t="inlineStr">
        <is>
          <t>9</t>
        </is>
      </c>
      <c r="C3196" s="92" t="inlineStr">
        <is>
          <t>代理产品</t>
        </is>
      </c>
      <c r="D3196" s="92" t="inlineStr">
        <is>
          <t>dàilǐ chǎnpǐn – sản phẩm đại lý</t>
        </is>
      </c>
      <c r="E3196" s="92" t="inlineStr">
        <is>
          <t>9. 代理产品 dàilǐ chǎnpǐn – sản phẩm đại lý</t>
        </is>
      </c>
      <c r="F3196" s="114">
        <f>HYPERLINK("https://youglish.com/pronounce/代理产品/chinese","🔍")</f>
        <v/>
      </c>
    </row>
    <row r="3197" ht="28.5" customHeight="1" s="99">
      <c r="A3197" s="94" t="inlineStr">
        <is>
          <t>PDF-Từ vựng phỏng vấn _ HỌC BÁ CHINESE.pdf</t>
        </is>
      </c>
      <c r="B3197" s="95" t="inlineStr">
        <is>
          <t>378</t>
        </is>
      </c>
      <c r="C3197" s="94" t="inlineStr">
        <is>
          <t>我们负责多个代理产品</t>
        </is>
      </c>
      <c r="D3197" s="94" t="inlineStr">
        <is>
          <t>Chúng tôi phụ trách nhiều sản phẩm đại lý.</t>
        </is>
      </c>
      <c r="E3197" s="94" t="inlineStr">
        <is>
          <t>我们负责多个代理产品。– Chúng tôi phụ trách nhiều sản phẩm đại lý.</t>
        </is>
      </c>
      <c r="F3197" s="115">
        <f>HYPERLINK("https://youglish.com/pronounce/我们负责多个代理产品/chinese","🔍")</f>
        <v/>
      </c>
    </row>
    <row r="3198" ht="28.5" customHeight="1" s="99">
      <c r="A3198" s="92" t="inlineStr">
        <is>
          <t>PDF-Từ vựng phỏng vấn _ HỌC BÁ CHINESE.pdf</t>
        </is>
      </c>
      <c r="B3198" s="93" t="inlineStr">
        <is>
          <t>10</t>
        </is>
      </c>
      <c r="C3198" s="92" t="inlineStr">
        <is>
          <t>成绩</t>
        </is>
      </c>
      <c r="D3198" s="92" t="inlineStr">
        <is>
          <t>chéngjì – thành tích</t>
        </is>
      </c>
      <c r="E3198" s="92" t="inlineStr">
        <is>
          <t>10. 成绩 chéngjì – thành tích</t>
        </is>
      </c>
      <c r="F3198" s="114">
        <f>HYPERLINK("https://youglish.com/pronounce/成绩/chinese","🔍")</f>
        <v/>
      </c>
    </row>
    <row r="3199" ht="28.5" customHeight="1" s="99">
      <c r="A3199" s="94" t="inlineStr">
        <is>
          <t>PDF-Từ vựng phỏng vấn _ HỌC BÁ CHINESE.pdf</t>
        </is>
      </c>
      <c r="B3199" s="95" t="inlineStr">
        <is>
          <t>380</t>
        </is>
      </c>
      <c r="C3199" s="94" t="inlineStr">
        <is>
          <t>你的工作成绩不错</t>
        </is>
      </c>
      <c r="D3199" s="94" t="inlineStr">
        <is>
          <t>Thành tích công việc của bạn khá tốt.</t>
        </is>
      </c>
      <c r="E3199" s="94" t="inlineStr">
        <is>
          <t>你的工作成绩不错。– Thành tích công việc của bạn khá tốt.</t>
        </is>
      </c>
      <c r="F3199" s="115">
        <f>HYPERLINK("https://youglish.com/pronounce/你的工作成绩不错/chinese","🔍")</f>
        <v/>
      </c>
    </row>
    <row r="3200" ht="28.5" customHeight="1" s="99">
      <c r="A3200" s="92" t="inlineStr">
        <is>
          <t>PDF-Từ vựng phỏng vấn _ HỌC BÁ CHINESE.pdf</t>
        </is>
      </c>
      <c r="B3200" s="93" t="inlineStr">
        <is>
          <t>11</t>
        </is>
      </c>
      <c r="C3200" s="92" t="inlineStr">
        <is>
          <t>成就</t>
        </is>
      </c>
      <c r="D3200" s="92" t="inlineStr">
        <is>
          <t>chéngjiù – thành tựu</t>
        </is>
      </c>
      <c r="E3200" s="92" t="inlineStr">
        <is>
          <t>11. 成就 chéngjiù – thành tựu</t>
        </is>
      </c>
      <c r="F3200" s="114">
        <f>HYPERLINK("https://youglish.com/pronounce/成就/chinese","🔍")</f>
        <v/>
      </c>
    </row>
    <row r="3201" ht="28.5" customHeight="1" s="99">
      <c r="A3201" s="94" t="inlineStr">
        <is>
          <t>PDF-Từ vựng phỏng vấn _ HỌC BÁ CHINESE.pdf</t>
        </is>
      </c>
      <c r="B3201" s="95" t="inlineStr">
        <is>
          <t>382</t>
        </is>
      </c>
      <c r="C3201" s="94" t="inlineStr">
        <is>
          <t>我最大的成就是建立团队精神</t>
        </is>
      </c>
      <c r="D3201" s="94" t="inlineStr">
        <is>
          <t>Thành tựu lớn nhất của tôi là xây dựng tinh thần đội nhóm.</t>
        </is>
      </c>
      <c r="E3201" s="94" t="inlineStr">
        <is>
          <t>我最大的成就是建立团队精神。– Thành tựu lớn nhất của tôi là xây dựng tinh thần đội nhóm.</t>
        </is>
      </c>
      <c r="F3201" s="115">
        <f>HYPERLINK("https://youglish.com/pronounce/我最大的成就是建立团队精神/chinese","🔍")</f>
        <v/>
      </c>
    </row>
    <row r="3202" ht="28.5" customHeight="1" s="99">
      <c r="A3202" s="92" t="inlineStr">
        <is>
          <t>PDF-Từ vựng phỏng vấn _ HỌC BÁ CHINESE.pdf</t>
        </is>
      </c>
      <c r="B3202" s="93" t="inlineStr">
        <is>
          <t>12</t>
        </is>
      </c>
      <c r="C3202" s="92" t="inlineStr">
        <is>
          <t>同事</t>
        </is>
      </c>
      <c r="D3202" s="92" t="inlineStr">
        <is>
          <t>tóngshì – đồng nghiệp</t>
        </is>
      </c>
      <c r="E3202" s="92" t="inlineStr">
        <is>
          <t>12. 同事 tóngshì – đồng nghiệp</t>
        </is>
      </c>
      <c r="F3202" s="114">
        <f>HYPERLINK("https://youglish.com/pronounce/同事/chinese","🔍")</f>
        <v/>
      </c>
    </row>
    <row r="3203" ht="28.5" customHeight="1" s="99">
      <c r="A3203" s="94" t="inlineStr">
        <is>
          <t>PDF-Từ vựng phỏng vấn _ HỌC BÁ CHINESE.pdf</t>
        </is>
      </c>
      <c r="B3203" s="95" t="inlineStr">
        <is>
          <t>384</t>
        </is>
      </c>
      <c r="C3203" s="94" t="inlineStr">
        <is>
          <t>我和同事的关系很好</t>
        </is>
      </c>
      <c r="D3203" s="94" t="inlineStr">
        <is>
          <t>Tôi có quan hệ tốt với đồng nghiệp.</t>
        </is>
      </c>
      <c r="E3203" s="94" t="inlineStr">
        <is>
          <t>我和同事的关系很好。– Tôi có quan hệ tốt với đồng nghiệp.</t>
        </is>
      </c>
      <c r="F3203" s="115">
        <f>HYPERLINK("https://youglish.com/pronounce/我和同事的关系很好/chinese","🔍")</f>
        <v/>
      </c>
    </row>
    <row r="3204" ht="28.5" customHeight="1" s="99">
      <c r="A3204" s="92" t="inlineStr">
        <is>
          <t>PDF-Từ vựng phỏng vấn _ HỌC BÁ CHINESE.pdf</t>
        </is>
      </c>
      <c r="B3204" s="93" t="inlineStr">
        <is>
          <t>13</t>
        </is>
      </c>
      <c r="C3204" s="92" t="inlineStr">
        <is>
          <t>团队精神</t>
        </is>
      </c>
      <c r="D3204" s="92" t="inlineStr">
        <is>
          <t>tuánduì jīngshén – tinh thần đội nhóm</t>
        </is>
      </c>
      <c r="E3204" s="92" t="inlineStr">
        <is>
          <t>13. 团队精神 tuánduì jīngshén – tinh thần đội nhóm</t>
        </is>
      </c>
      <c r="F3204" s="114">
        <f>HYPERLINK("https://youglish.com/pronounce/团队精神/chinese","🔍")</f>
        <v/>
      </c>
    </row>
    <row r="3205" ht="28.5" customHeight="1" s="99">
      <c r="A3205" s="94" t="inlineStr">
        <is>
          <t>PDF-Từ vựng phỏng vấn _ HỌC BÁ CHINESE.pdf</t>
        </is>
      </c>
      <c r="B3205" s="95" t="inlineStr">
        <is>
          <t>386</t>
        </is>
      </c>
      <c r="C3205" s="94" t="inlineStr">
        <is>
          <t>我们团队精神很强</t>
        </is>
      </c>
      <c r="D3205" s="94" t="inlineStr">
        <is>
          <t>Nhóm của chúng tôi có tinh thần đội nhóm rất mạnh.</t>
        </is>
      </c>
      <c r="E3205" s="94" t="inlineStr">
        <is>
          <t>我们团队精神很强。– Nhóm của chúng tôi có tinh thần đội nhóm rất mạnh.</t>
        </is>
      </c>
      <c r="F3205" s="115">
        <f>HYPERLINK("https://youglish.com/pronounce/我们团队精神很强/chinese","🔍")</f>
        <v/>
      </c>
    </row>
    <row r="3206" ht="28.5" customHeight="1" s="99">
      <c r="A3206" s="92" t="inlineStr">
        <is>
          <t>PDF-Từ vựng phỏng vấn _ HỌC BÁ CHINESE.pdf</t>
        </is>
      </c>
      <c r="B3206" s="93" t="inlineStr">
        <is>
          <t>14</t>
        </is>
      </c>
      <c r="C3206" s="92" t="inlineStr">
        <is>
          <t>建立</t>
        </is>
      </c>
      <c r="D3206" s="92" t="inlineStr">
        <is>
          <t>jiànlì – xây dựng</t>
        </is>
      </c>
      <c r="E3206" s="92" t="inlineStr">
        <is>
          <t>14. 建立 jiànlì – xây dựng</t>
        </is>
      </c>
      <c r="F3206" s="114">
        <f>HYPERLINK("https://youglish.com/pronounce/建立/chinese","🔍")</f>
        <v/>
      </c>
    </row>
    <row r="3207" ht="28.5" customHeight="1" s="99">
      <c r="A3207" s="94" t="inlineStr">
        <is>
          <t>PDF-Từ vựng phỏng vấn _ HỌC BÁ CHINESE.pdf</t>
        </is>
      </c>
      <c r="B3207" s="95" t="inlineStr">
        <is>
          <t>388</t>
        </is>
      </c>
      <c r="C3207" s="94" t="inlineStr">
        <is>
          <t>我建立了一个很好的团队文化</t>
        </is>
      </c>
      <c r="D3207" s="94" t="inlineStr">
        <is>
          <t>Tôi xây dựng được một văn hóa đội nhóm tốt.</t>
        </is>
      </c>
      <c r="E3207" s="94" t="inlineStr">
        <is>
          <t>我建立了一个很好的团队文化。– Tôi xây dựng được một văn hóa đội nhóm tốt.</t>
        </is>
      </c>
      <c r="F3207" s="115">
        <f>HYPERLINK("https://youglish.com/pronounce/我建立了一个很好的团队文化/chinese","🔍")</f>
        <v/>
      </c>
    </row>
    <row r="3208" ht="28.5" customHeight="1" s="99">
      <c r="A3208" s="92" t="inlineStr">
        <is>
          <t>PDF-Từ vựng phỏng vấn _ HỌC BÁ CHINESE.pdf</t>
        </is>
      </c>
      <c r="B3208" s="93" t="inlineStr">
        <is>
          <t>15</t>
        </is>
      </c>
      <c r="C3208" s="92" t="inlineStr">
        <is>
          <t>做到</t>
        </is>
      </c>
      <c r="D3208" s="92" t="inlineStr">
        <is>
          <t>zuòdào – thực hiện được</t>
        </is>
      </c>
      <c r="E3208" s="92" t="inlineStr">
        <is>
          <t>15. 做到 zuòdào – thực hiện được</t>
        </is>
      </c>
      <c r="F3208" s="114">
        <f>HYPERLINK("https://youglish.com/pronounce/做到/chinese","🔍")</f>
        <v/>
      </c>
    </row>
    <row r="3209" ht="28.5" customHeight="1" s="99">
      <c r="A3209" s="94" t="inlineStr">
        <is>
          <t>PDF-Từ vựng phỏng vấn _ HỌC BÁ CHINESE.pdf</t>
        </is>
      </c>
      <c r="B3209" s="95" t="inlineStr">
        <is>
          <t>390</t>
        </is>
      </c>
      <c r="C3209" s="94" t="inlineStr">
        <is>
          <t>你是怎么做到的</t>
        </is>
      </c>
      <c r="D3209" s="94" t="inlineStr">
        <is>
          <t>Bạn làm thế nào để đạt được điều đó?</t>
        </is>
      </c>
      <c r="E3209" s="94" t="inlineStr">
        <is>
          <t>你是怎么做到的？– Bạn làm thế nào để đạt được điều đó?</t>
        </is>
      </c>
      <c r="F3209" s="115">
        <f>HYPERLINK("https://youglish.com/pronounce/你是怎么做到的/chinese","🔍")</f>
        <v/>
      </c>
    </row>
    <row r="3210" ht="28.5" customHeight="1" s="99">
      <c r="A3210" s="92" t="inlineStr">
        <is>
          <t>PDF-Từ vựng phỏng vấn _ HỌC BÁ CHINESE.pdf</t>
        </is>
      </c>
      <c r="B3210" s="93" t="inlineStr">
        <is>
          <t>16</t>
        </is>
      </c>
      <c r="C3210" s="92" t="inlineStr">
        <is>
          <t>循序渐进</t>
        </is>
      </c>
      <c r="D3210" s="92" t="inlineStr">
        <is>
          <t>xúnxù jiànjìn – từng bước, tiến triển dần</t>
        </is>
      </c>
      <c r="E3210" s="92" t="inlineStr">
        <is>
          <t>16. 循序渐进 xúnxù jiànjìn – từng bước, tiến triển dần</t>
        </is>
      </c>
      <c r="F3210" s="114">
        <f>HYPERLINK("https://youglish.com/pronounce/循序渐进/chinese","🔍")</f>
        <v/>
      </c>
    </row>
    <row r="3211" ht="28.5" customHeight="1" s="99">
      <c r="A3211" s="94" t="inlineStr">
        <is>
          <t>PDF-Từ vựng phỏng vấn _ HỌC BÁ CHINESE.pdf</t>
        </is>
      </c>
      <c r="B3211" s="95" t="inlineStr">
        <is>
          <t>392</t>
        </is>
      </c>
      <c r="C3211" s="94" t="inlineStr">
        <is>
          <t>这种改变是循序渐进的</t>
        </is>
      </c>
      <c r="D3211" s="94" t="inlineStr">
        <is>
          <t>Sự thay đổi này diễn ra từng bước.</t>
        </is>
      </c>
      <c r="E3211" s="94" t="inlineStr">
        <is>
          <t>这种改变是循序渐进的。– Sự thay đổi này diễn ra từng bước.</t>
        </is>
      </c>
      <c r="F3211" s="115">
        <f>HYPERLINK("https://youglish.com/pronounce/这种改变是循序渐进的/chinese","🔍")</f>
        <v/>
      </c>
    </row>
    <row r="3212" ht="28.5" customHeight="1" s="99">
      <c r="A3212" s="92" t="inlineStr">
        <is>
          <t>PDF-Từ vựng phỏng vấn _ HỌC BÁ CHINESE.pdf</t>
        </is>
      </c>
      <c r="B3212" s="93" t="inlineStr">
        <is>
          <t>17</t>
        </is>
      </c>
      <c r="C3212" s="92" t="inlineStr">
        <is>
          <t>归功于</t>
        </is>
      </c>
      <c r="D3212" s="92" t="inlineStr">
        <is>
          <t>guīgūng yú – nhờ vào</t>
        </is>
      </c>
      <c r="E3212" s="92" t="inlineStr">
        <is>
          <t>17. 归功于 guīgūng yú – nhờ vào</t>
        </is>
      </c>
      <c r="F3212" s="114">
        <f>HYPERLINK("https://youglish.com/pronounce/归功于/chinese","🔍")</f>
        <v/>
      </c>
    </row>
    <row r="3213" ht="28.5" customHeight="1" s="99">
      <c r="A3213" s="94" t="inlineStr">
        <is>
          <t>PDF-Từ vựng phỏng vấn _ HỌC BÁ CHINESE.pdf</t>
        </is>
      </c>
      <c r="B3213" s="95" t="inlineStr">
        <is>
          <t>394</t>
        </is>
      </c>
      <c r="C3213" s="94" t="inlineStr">
        <is>
          <t>成功主要归功于团队合作</t>
        </is>
      </c>
      <c r="D3213" s="94" t="inlineStr">
        <is>
          <t>Thành công chủ yếu nhờ vào sự hợp tác của đội.</t>
        </is>
      </c>
      <c r="E3213" s="94" t="inlineStr">
        <is>
          <t>成功主要归功于团队合作。– Thành công chủ yếu nhờ vào sự hợp tác của đội.</t>
        </is>
      </c>
      <c r="F3213" s="115">
        <f>HYPERLINK("https://youglish.com/pronounce/成功主要归功于团队合作/chinese","🔍")</f>
        <v/>
      </c>
    </row>
    <row r="3214" ht="28.5" customHeight="1" s="99">
      <c r="A3214" s="92" t="inlineStr">
        <is>
          <t>PDF-Từ vựng phỏng vấn _ HỌC BÁ CHINESE.pdf</t>
        </is>
      </c>
      <c r="B3214" s="93" t="inlineStr">
        <is>
          <t>18</t>
        </is>
      </c>
      <c r="C3214" s="92" t="inlineStr">
        <is>
          <t>努力</t>
        </is>
      </c>
      <c r="D3214" s="92" t="inlineStr">
        <is>
          <t>nǔlì – nỗ lực</t>
        </is>
      </c>
      <c r="E3214" s="92" t="inlineStr">
        <is>
          <t>18. 努力 nǔlì – nỗ lực</t>
        </is>
      </c>
      <c r="F3214" s="114">
        <f>HYPERLINK("https://youglish.com/pronounce/努力/chinese","🔍")</f>
        <v/>
      </c>
    </row>
    <row r="3215" ht="28.5" customHeight="1" s="99">
      <c r="A3215" s="94" t="inlineStr">
        <is>
          <t>PDF-Từ vựng phỏng vấn _ HỌC BÁ CHINESE.pdf</t>
        </is>
      </c>
      <c r="B3215" s="95" t="inlineStr">
        <is>
          <t>396</t>
        </is>
      </c>
      <c r="C3215" s="94" t="inlineStr">
        <is>
          <t>我通过努力改善团队关系</t>
        </is>
      </c>
      <c r="D3215" s="94" t="inlineStr">
        <is>
          <t>Tôi nỗ lực để cải thiện quan hệ trong nhóm.</t>
        </is>
      </c>
      <c r="E3215" s="94" t="inlineStr">
        <is>
          <t>我通过努力改善团队关系。– Tôi nỗ lực để cải thiện quan hệ trong nhóm.</t>
        </is>
      </c>
      <c r="F3215" s="115">
        <f>HYPERLINK("https://youglish.com/pronounce/我通过努力改善团队关系/chinese","🔍")</f>
        <v/>
      </c>
    </row>
    <row r="3216" ht="28.5" customHeight="1" s="99">
      <c r="A3216" s="92" t="inlineStr">
        <is>
          <t>PDF-Từ vựng phỏng vấn _ HỌC BÁ CHINESE.pdf</t>
        </is>
      </c>
      <c r="B3216" s="93" t="inlineStr">
        <is>
          <t>19</t>
        </is>
      </c>
      <c r="C3216" s="92" t="inlineStr">
        <is>
          <t>网站</t>
        </is>
      </c>
      <c r="D3216" s="92" t="inlineStr">
        <is>
          <t>wǎngzhàn – trang web</t>
        </is>
      </c>
      <c r="E3216" s="92" t="inlineStr">
        <is>
          <t>19. 网站 wǎngzhàn – trang web</t>
        </is>
      </c>
      <c r="F3216" s="114">
        <f>HYPERLINK("https://youglish.com/pronounce/网站/chinese","🔍")</f>
        <v/>
      </c>
    </row>
    <row r="3217" ht="28.5" customHeight="1" s="99">
      <c r="A3217" s="94" t="inlineStr">
        <is>
          <t>PDF-Từ vựng phỏng vấn _ HỌC BÁ CHINESE.pdf</t>
        </is>
      </c>
      <c r="B3217" s="95" t="inlineStr">
        <is>
          <t>398</t>
        </is>
      </c>
      <c r="C3217" s="94" t="inlineStr">
        <is>
          <t>我在网站编辑部上班</t>
        </is>
      </c>
      <c r="D3217" s="94" t="inlineStr">
        <is>
          <t>Tôi làm ở bộ phận biên tập website.</t>
        </is>
      </c>
      <c r="E3217" s="94" t="inlineStr">
        <is>
          <t>我在网站编辑部上班。– Tôi làm ở bộ phận biên tập website.</t>
        </is>
      </c>
      <c r="F3217" s="115">
        <f>HYPERLINK("https://youglish.com/pronounce/我在网站编辑部上班/chinese","🔍")</f>
        <v/>
      </c>
    </row>
    <row r="3218" ht="28.5" customHeight="1" s="99">
      <c r="A3218" s="92" t="inlineStr">
        <is>
          <t>PDF-Từ vựng phỏng vấn _ HỌC BÁ CHINESE.pdf</t>
        </is>
      </c>
      <c r="B3218" s="93" t="inlineStr">
        <is>
          <t>20</t>
        </is>
      </c>
      <c r="C3218" s="92" t="inlineStr">
        <is>
          <t>经验</t>
        </is>
      </c>
      <c r="D3218" s="92" t="inlineStr">
        <is>
          <t>jīngyàn – kinh nghiệm</t>
        </is>
      </c>
      <c r="E3218" s="92" t="inlineStr">
        <is>
          <t>20. 经验 jīngyàn – kinh nghiệm</t>
        </is>
      </c>
      <c r="F3218" s="114">
        <f>HYPERLINK("https://youglish.com/pronounce/经验/chinese","🔍")</f>
        <v/>
      </c>
    </row>
    <row r="3219" ht="28.5" customHeight="1" s="99">
      <c r="A3219" s="94" t="inlineStr">
        <is>
          <t>PDF-Từ vựng phỏng vấn _ HỌC BÁ CHINESE.pdf</t>
        </is>
      </c>
      <c r="B3219" s="95" t="inlineStr">
        <is>
          <t>400</t>
        </is>
      </c>
      <c r="C3219" s="94" t="inlineStr">
        <is>
          <t>我有三年广告经验</t>
        </is>
      </c>
      <c r="D3219" s="94" t="inlineStr">
        <is>
          <t>Tôi có ba năm kinh nghiệm quảng cáo.</t>
        </is>
      </c>
      <c r="E3219" s="94" t="inlineStr">
        <is>
          <t>我有三年广告经验。– Tôi có ba năm kinh nghiệm quảng cáo.</t>
        </is>
      </c>
      <c r="F3219" s="115">
        <f>HYPERLINK("https://youglish.com/pronounce/我有三年广告经验/chinese","🔍")</f>
        <v/>
      </c>
    </row>
    <row r="3220" ht="28.5" customHeight="1" s="99">
      <c r="A3220" s="92" t="inlineStr">
        <is>
          <t>PDF-Từ vựng phỏng vấn _ HỌC BÁ CHINESE.pdf</t>
        </is>
      </c>
      <c r="B3220" s="93" t="inlineStr">
        <is>
          <t>21</t>
        </is>
      </c>
      <c r="C3220" s="92" t="inlineStr">
        <is>
          <t>负责</t>
        </is>
      </c>
      <c r="D3220" s="92" t="inlineStr">
        <is>
          <t>fùzé – phụ trách</t>
        </is>
      </c>
      <c r="E3220" s="92" t="inlineStr">
        <is>
          <t>21. 负责 fùzé – phụ trách</t>
        </is>
      </c>
      <c r="F3220" s="114">
        <f>HYPERLINK("https://youglish.com/pronounce/负责/chinese","🔍")</f>
        <v/>
      </c>
    </row>
    <row r="3221" ht="28.5" customHeight="1" s="99">
      <c r="A3221" s="94" t="inlineStr">
        <is>
          <t>PDF-Từ vựng phỏng vấn _ HỌC BÁ CHINESE.pdf</t>
        </is>
      </c>
      <c r="B3221" s="95" t="inlineStr">
        <is>
          <t>402</t>
        </is>
      </c>
      <c r="C3221" s="94" t="inlineStr">
        <is>
          <t>我负责产品宣传</t>
        </is>
      </c>
      <c r="D3221" s="94" t="inlineStr">
        <is>
          <t>Tôi phụ trách quảng bá sản phẩm.</t>
        </is>
      </c>
      <c r="E3221" s="94" t="inlineStr">
        <is>
          <t>我负责产品宣传。– Tôi phụ trách quảng bá sản phẩm.</t>
        </is>
      </c>
      <c r="F3221" s="115">
        <f>HYPERLINK("https://youglish.com/pronounce/我负责产品宣传/chinese","🔍")</f>
        <v/>
      </c>
    </row>
    <row r="3222" ht="28.5" customHeight="1" s="99">
      <c r="A3222" s="92" t="inlineStr">
        <is>
          <t>PDF-Từ vựng phỏng vấn _ HỌC BÁ CHINESE.pdf</t>
        </is>
      </c>
      <c r="B3222" s="93" t="inlineStr">
        <is>
          <t>22</t>
        </is>
      </c>
      <c r="C3222" s="92" t="inlineStr">
        <is>
          <t>宣传</t>
        </is>
      </c>
      <c r="D3222" s="92" t="inlineStr">
        <is>
          <t>xuānchuán – truyền thông, quảng bá</t>
        </is>
      </c>
      <c r="E3222" s="92" t="inlineStr">
        <is>
          <t>22. 宣传 xuānchuán – truyền thông, quảng bá</t>
        </is>
      </c>
      <c r="F3222" s="114">
        <f>HYPERLINK("https://youglish.com/pronounce/宣传/chinese","🔍")</f>
        <v/>
      </c>
    </row>
    <row r="3223" ht="28.5" customHeight="1" s="99">
      <c r="A3223" s="94" t="inlineStr">
        <is>
          <t>PDF-Từ vựng phỏng vấn _ HỌC BÁ CHINESE.pdf</t>
        </is>
      </c>
      <c r="B3223" s="95" t="inlineStr">
        <is>
          <t>404</t>
        </is>
      </c>
      <c r="C3223" s="94" t="inlineStr">
        <is>
          <t>我们正在宣传新产品</t>
        </is>
      </c>
      <c r="D3223" s="94" t="inlineStr">
        <is>
          <t>Chúng tôi đang quảng bá sản phẩm mới.</t>
        </is>
      </c>
      <c r="E3223" s="94" t="inlineStr">
        <is>
          <t>我们正在宣传新产品。– Chúng tôi đang quảng bá sản phẩm mới.</t>
        </is>
      </c>
      <c r="F3223" s="115">
        <f>HYPERLINK("https://youglish.com/pronounce/我们正在宣传新产品/chinese","🔍")</f>
        <v/>
      </c>
    </row>
    <row r="3224" ht="28.5" customHeight="1" s="99">
      <c r="A3224" s="92" t="inlineStr">
        <is>
          <t>PDF-Từ vựng phỏng vấn _ HỌC BÁ CHINESE.pdf</t>
        </is>
      </c>
      <c r="B3224" s="93" t="inlineStr">
        <is>
          <t>23</t>
        </is>
      </c>
      <c r="C3224" s="92" t="inlineStr">
        <is>
          <t>名牌</t>
        </is>
      </c>
      <c r="D3224" s="92" t="inlineStr">
        <is>
          <t>míngpái – thương hiệu nổi tiếng</t>
        </is>
      </c>
      <c r="E3224" s="92" t="inlineStr">
        <is>
          <t>23. 名牌 míngpái – thương hiệu nổi tiếng</t>
        </is>
      </c>
      <c r="F3224" s="114">
        <f>HYPERLINK("https://youglish.com/pronounce/名牌/chinese","🔍")</f>
        <v/>
      </c>
    </row>
    <row r="3225" ht="28.5" customHeight="1" s="99">
      <c r="A3225" s="94" t="inlineStr">
        <is>
          <t>PDF-Từ vựng phỏng vấn _ HỌC BÁ CHINESE.pdf</t>
        </is>
      </c>
      <c r="B3225" s="95" t="inlineStr">
        <is>
          <t>406</t>
        </is>
      </c>
      <c r="C3225" s="94" t="inlineStr">
        <is>
          <t>那是一个名牌广告公司</t>
        </is>
      </c>
      <c r="D3225" s="94" t="inlineStr">
        <is>
          <t>Đó là một công ty quảng cáo thương hiệu lớn.</t>
        </is>
      </c>
      <c r="E3225" s="94" t="inlineStr">
        <is>
          <t>那是一个名牌广告公司。– Đó là một công ty quảng cáo thương hiệu lớn.</t>
        </is>
      </c>
      <c r="F3225" s="115">
        <f>HYPERLINK("https://youglish.com/pronounce/那是一个名牌广告公司/chinese","🔍")</f>
        <v/>
      </c>
    </row>
    <row r="3226" ht="28.5" customHeight="1" s="99">
      <c r="A3226" s="92" t="inlineStr">
        <is>
          <t>PDF-Từ vựng phỏng vấn _ HỌC BÁ CHINESE.pdf</t>
        </is>
      </c>
      <c r="B3226" s="93" t="inlineStr">
        <is>
          <t>24</t>
        </is>
      </c>
      <c r="C3226" s="92" t="inlineStr">
        <is>
          <t>成绩突出</t>
        </is>
      </c>
      <c r="D3226" s="92" t="inlineStr">
        <is>
          <t>chéngjì tūchū – thành tích nổi bật</t>
        </is>
      </c>
      <c r="E3226" s="92" t="inlineStr">
        <is>
          <t>24. 成绩突出 chéngjì tūchū – thành tích nổi bật</t>
        </is>
      </c>
      <c r="F3226" s="114">
        <f>HYPERLINK("https://youglish.com/pronounce/成绩突出/chinese","🔍")</f>
        <v/>
      </c>
    </row>
    <row r="3227" ht="28.5" customHeight="1" s="99">
      <c r="A3227" s="94" t="inlineStr">
        <is>
          <t>PDF-Từ vựng phỏng vấn _ HỌC BÁ CHINESE.pdf</t>
        </is>
      </c>
      <c r="B3227" s="95" t="inlineStr">
        <is>
          <t>408</t>
        </is>
      </c>
      <c r="C3227" s="94" t="inlineStr">
        <is>
          <t>他在市场推广方面成绩突出</t>
        </is>
      </c>
      <c r="D3227" s="94" t="inlineStr">
        <is>
          <t>Anh ấy có thành tích nổi bật trong marketing.</t>
        </is>
      </c>
      <c r="E3227" s="94" t="inlineStr">
        <is>
          <t>他在市场推广方面成绩突出。– Anh ấy có thành tích nổi bật trong marketing.</t>
        </is>
      </c>
      <c r="F3227" s="115">
        <f>HYPERLINK("https://youglish.com/pronounce/他在市场推广方面成绩突出/chinese","🔍")</f>
        <v/>
      </c>
    </row>
    <row r="3228" ht="28.5" customHeight="1" s="99">
      <c r="A3228" s="92" t="inlineStr">
        <is>
          <t>PDF-Từ vựng phỏng vấn _ HỌC BÁ CHINESE.pdf</t>
        </is>
      </c>
      <c r="B3228" s="93" t="inlineStr">
        <is>
          <t>25</t>
        </is>
      </c>
      <c r="C3228" s="92" t="inlineStr">
        <is>
          <t>职业发展</t>
        </is>
      </c>
      <c r="D3228" s="92" t="inlineStr">
        <is>
          <t>zhíyè fāzhǎn – phát triển nghề nghiệp</t>
        </is>
      </c>
      <c r="E3228" s="92" t="inlineStr">
        <is>
          <t>25. 职业发展 zhíyè fāzhǎn – phát triển nghề nghiệp</t>
        </is>
      </c>
      <c r="F3228" s="114">
        <f>HYPERLINK("https://youglish.com/pronounce/职业发展/chinese","🔍")</f>
        <v/>
      </c>
    </row>
    <row r="3229" ht="28.5" customHeight="1" s="99">
      <c r="A3229" s="94" t="inlineStr">
        <is>
          <t>PDF-Từ vựng phỏng vấn _ HỌC BÁ CHINESE.pdf</t>
        </is>
      </c>
      <c r="B3229" s="95" t="inlineStr">
        <is>
          <t>410</t>
        </is>
      </c>
      <c r="C3229" s="94" t="inlineStr">
        <is>
          <t>我想在这家公司继续职业发展</t>
        </is>
      </c>
      <c r="D3229" s="94" t="inlineStr">
        <is>
          <t>Tôi muốn tiếp tục phát triển nghề nghiệp ở công ty này.</t>
        </is>
      </c>
      <c r="E3229" s="94" t="inlineStr">
        <is>
          <t>我想在这家公司继续职业发展。– Tôi muốn tiếp tục phát triển nghề nghiệp ở công ty này.</t>
        </is>
      </c>
      <c r="F3229" s="115">
        <f>HYPERLINK("https://youglish.com/pronounce/我想在这家公司继续职业发展/chinese","🔍")</f>
        <v/>
      </c>
    </row>
    <row r="3230" ht="28.5" customHeight="1" s="99">
      <c r="A3230" s="92" t="inlineStr">
        <is>
          <t>PDF-Từ vựng phỏng vấn _ HỌC BÁ CHINESE.pdf</t>
        </is>
      </c>
      <c r="B3230" s="93" t="inlineStr">
        <is>
          <t>411</t>
        </is>
      </c>
      <c r="C3230" s="92" t="inlineStr">
        <is>
          <t>业余爱好</t>
        </is>
      </c>
      <c r="D3230" s="92" t="inlineStr">
        <is>
          <t>Bài 10业余爱好 – sở thích cá nhân</t>
        </is>
      </c>
      <c r="E3230" s="92" t="inlineStr">
        <is>
          <t>Bài 10业余爱好 – sở thích cá nhân</t>
        </is>
      </c>
      <c r="F3230" s="114">
        <f>HYPERLINK("https://youglish.com/pronounce/业余爱好/chinese","🔍")</f>
        <v/>
      </c>
    </row>
    <row r="3231" ht="28.5" customHeight="1" s="99">
      <c r="A3231" s="94" t="inlineStr">
        <is>
          <t>PDF-Từ vựng phỏng vấn _ HỌC BÁ CHINESE.pdf</t>
        </is>
      </c>
      <c r="B3231" s="95" t="inlineStr">
        <is>
          <t>1</t>
        </is>
      </c>
      <c r="C3231" s="94" t="inlineStr">
        <is>
          <t>爱好</t>
        </is>
      </c>
      <c r="D3231" s="94" t="inlineStr">
        <is>
          <t>àihào – sở thích</t>
        </is>
      </c>
      <c r="E3231" s="94" t="inlineStr">
        <is>
          <t>1. 爱好 àihào – sở thích</t>
        </is>
      </c>
      <c r="F3231" s="115">
        <f>HYPERLINK("https://youglish.com/pronounce/爱好/chinese","🔍")</f>
        <v/>
      </c>
    </row>
    <row r="3232" ht="28.5" customHeight="1" s="99">
      <c r="A3232" s="92" t="inlineStr">
        <is>
          <t>PDF-Từ vựng phỏng vấn _ HỌC BÁ CHINESE.pdf</t>
        </is>
      </c>
      <c r="B3232" s="93" t="inlineStr">
        <is>
          <t>413</t>
        </is>
      </c>
      <c r="C3232" s="92" t="inlineStr">
        <is>
          <t>我的爱好多</t>
        </is>
      </c>
      <c r="D3232" s="92" t="inlineStr">
        <is>
          <t>Sở thích của tôi rất nhiều.</t>
        </is>
      </c>
      <c r="E3232" s="92" t="inlineStr">
        <is>
          <t>我的爱好多。– Sở thích của tôi rất nhiều.</t>
        </is>
      </c>
      <c r="F3232" s="114">
        <f>HYPERLINK("https://youglish.com/pronounce/我的爱好多/chinese","🔍")</f>
        <v/>
      </c>
    </row>
    <row r="3233" ht="28.5" customHeight="1" s="99">
      <c r="A3233" s="94" t="inlineStr">
        <is>
          <t>PDF-Từ vựng phỏng vấn _ HỌC BÁ CHINESE.pdf</t>
        </is>
      </c>
      <c r="B3233" s="95" t="inlineStr">
        <is>
          <t>2</t>
        </is>
      </c>
      <c r="C3233" s="94" t="inlineStr">
        <is>
          <t>古典音乐</t>
        </is>
      </c>
      <c r="D3233" s="94" t="inlineStr">
        <is>
          <t>gǔdiǎn yīnyuè – nhạc cổ điển</t>
        </is>
      </c>
      <c r="E3233" s="94" t="inlineStr">
        <is>
          <t>2. 古典音乐 gǔdiǎn yīnyuè – nhạc cổ điển</t>
        </is>
      </c>
      <c r="F3233" s="115">
        <f>HYPERLINK("https://youglish.com/pronounce/古典音乐/chinese","🔍")</f>
        <v/>
      </c>
    </row>
    <row r="3234" ht="28.5" customHeight="1" s="99">
      <c r="A3234" s="92" t="inlineStr">
        <is>
          <t>PDF-Từ vựng phỏng vấn _ HỌC BÁ CHINESE.pdf</t>
        </is>
      </c>
      <c r="B3234" s="93" t="inlineStr">
        <is>
          <t>415</t>
        </is>
      </c>
      <c r="C3234" s="92" t="inlineStr">
        <is>
          <t>我很喜欢古典音乐</t>
        </is>
      </c>
      <c r="D3234" s="92" t="inlineStr">
        <is>
          <t>Tôi rất thích nhạc cổ điển.</t>
        </is>
      </c>
      <c r="E3234" s="92" t="inlineStr">
        <is>
          <t>我很喜欢古典音乐。– Tôi rất thích nhạc cổ điển.</t>
        </is>
      </c>
      <c r="F3234" s="114">
        <f>HYPERLINK("https://youglish.com/pronounce/我很喜欢古典音乐/chinese","🔍")</f>
        <v/>
      </c>
    </row>
    <row r="3235" ht="28.5" customHeight="1" s="99">
      <c r="A3235" s="94" t="inlineStr">
        <is>
          <t>PDF-Từ vựng phỏng vấn _ HỌC BÁ CHINESE.pdf</t>
        </is>
      </c>
      <c r="B3235" s="95" t="inlineStr">
        <is>
          <t>3</t>
        </is>
      </c>
      <c r="C3235" s="94" t="inlineStr">
        <is>
          <t>时装</t>
        </is>
      </c>
      <c r="D3235" s="94" t="inlineStr">
        <is>
          <t>shízhuāng – thời trang</t>
        </is>
      </c>
      <c r="E3235" s="94" t="inlineStr">
        <is>
          <t>3. 时装 shízhuāng – thời trang</t>
        </is>
      </c>
      <c r="F3235" s="115">
        <f>HYPERLINK("https://youglish.com/pronounce/时装/chinese","🔍")</f>
        <v/>
      </c>
    </row>
    <row r="3236" ht="28.5" customHeight="1" s="99">
      <c r="A3236" s="92" t="inlineStr">
        <is>
          <t>PDF-Từ vựng phỏng vấn _ HỌC BÁ CHINESE.pdf</t>
        </is>
      </c>
      <c r="B3236" s="93" t="inlineStr">
        <is>
          <t>417</t>
        </is>
      </c>
      <c r="C3236" s="92" t="inlineStr">
        <is>
          <t>她对时装很有兴趣</t>
        </is>
      </c>
      <c r="D3236" s="92" t="inlineStr">
        <is>
          <t>Cô ấy rất hứng thú với thời trang.</t>
        </is>
      </c>
      <c r="E3236" s="92" t="inlineStr">
        <is>
          <t>她对时装很有兴趣。– Cô ấy rất hứng thú với thời trang.</t>
        </is>
      </c>
      <c r="F3236" s="114">
        <f>HYPERLINK("https://youglish.com/pronounce/她对时装很有兴趣/chinese","🔍")</f>
        <v/>
      </c>
    </row>
    <row r="3237" ht="28.5" customHeight="1" s="99">
      <c r="A3237" s="94" t="inlineStr">
        <is>
          <t>PDF-Từ vựng phỏng vấn _ HỌC BÁ CHINESE.pdf</t>
        </is>
      </c>
      <c r="B3237" s="95" t="inlineStr">
        <is>
          <t>4</t>
        </is>
      </c>
      <c r="C3237" s="94" t="inlineStr">
        <is>
          <t>装束</t>
        </is>
      </c>
      <c r="D3237" s="94" t="inlineStr">
        <is>
          <t>zhuāngshù – trang phục, cách ăn mặc</t>
        </is>
      </c>
      <c r="E3237" s="94" t="inlineStr">
        <is>
          <t>4. 装束 zhuāngshù – trang phục, cách ăn mặc</t>
        </is>
      </c>
      <c r="F3237" s="115">
        <f>HYPERLINK("https://youglish.com/pronounce/装束/chinese","🔍")</f>
        <v/>
      </c>
    </row>
    <row r="3238" ht="28.5" customHeight="1" s="99">
      <c r="A3238" s="92" t="inlineStr">
        <is>
          <t>PDF-Từ vựng phỏng vấn _ HỌC BÁ CHINESE.pdf</t>
        </is>
      </c>
      <c r="B3238" s="93" t="inlineStr">
        <is>
          <t>419</t>
        </is>
      </c>
      <c r="C3238" s="92" t="inlineStr">
        <is>
          <t>从你的装束可以看出来</t>
        </is>
      </c>
      <c r="D3238" s="92" t="inlineStr">
        <is>
          <t>Nhìn trang phục của bạn có thể thấy được.</t>
        </is>
      </c>
      <c r="E3238" s="92" t="inlineStr">
        <is>
          <t>从你的装束可以看出来。– Nhìn trang phục của bạn có thể thấy được.</t>
        </is>
      </c>
      <c r="F3238" s="114">
        <f>HYPERLINK("https://youglish.com/pronounce/从你的装束可以看出来/chinese","🔍")</f>
        <v/>
      </c>
    </row>
    <row r="3239" ht="28.5" customHeight="1" s="99">
      <c r="A3239" s="94" t="inlineStr">
        <is>
          <t>PDF-Từ vựng phỏng vấn _ HỌC BÁ CHINESE.pdf</t>
        </is>
      </c>
      <c r="B3239" s="95" t="inlineStr">
        <is>
          <t>5</t>
        </is>
      </c>
      <c r="C3239" s="94" t="inlineStr">
        <is>
          <t>运动</t>
        </is>
      </c>
      <c r="D3239" s="94" t="inlineStr">
        <is>
          <t>yùndòng – vận động, thể thao</t>
        </is>
      </c>
      <c r="E3239" s="94" t="inlineStr">
        <is>
          <t>5. 运动 yùndòng – vận động, thể thao</t>
        </is>
      </c>
      <c r="F3239" s="115">
        <f>HYPERLINK("https://youglish.com/pronounce/运动/chinese","🔍")</f>
        <v/>
      </c>
    </row>
    <row r="3240" ht="28.5" customHeight="1" s="99">
      <c r="A3240" s="92" t="inlineStr">
        <is>
          <t>PDF-Từ vựng phỏng vấn _ HỌC BÁ CHINESE.pdf</t>
        </is>
      </c>
      <c r="B3240" s="93" t="inlineStr">
        <is>
          <t>421</t>
        </is>
      </c>
      <c r="C3240" s="92" t="inlineStr">
        <is>
          <t>我喜欢做一些简单的运动</t>
        </is>
      </c>
      <c r="D3240" s="92" t="inlineStr">
        <is>
          <t>Tôi thích làm vài môn thể thao nhẹ nhàng.</t>
        </is>
      </c>
      <c r="E3240" s="92" t="inlineStr">
        <is>
          <t>我喜欢做一些简单的运动。– Tôi thích làm vài môn thể thao nhẹ nhàng.</t>
        </is>
      </c>
      <c r="F3240" s="114">
        <f>HYPERLINK("https://youglish.com/pronounce/我喜欢做一些简单的运动/chinese","🔍")</f>
        <v/>
      </c>
    </row>
    <row r="3241" ht="28.5" customHeight="1" s="99">
      <c r="A3241" s="94" t="inlineStr">
        <is>
          <t>PDF-Từ vựng phỏng vấn _ HỌC BÁ CHINESE.pdf</t>
        </is>
      </c>
      <c r="B3241" s="95" t="inlineStr">
        <is>
          <t>6</t>
        </is>
      </c>
      <c r="C3241" s="94" t="inlineStr">
        <is>
          <t>体质</t>
        </is>
      </c>
      <c r="D3241" s="94" t="inlineStr">
        <is>
          <t>tǐzhì – thể chất</t>
        </is>
      </c>
      <c r="E3241" s="94" t="inlineStr">
        <is>
          <t>6. 体质 tǐzhì – thể chất</t>
        </is>
      </c>
      <c r="F3241" s="115">
        <f>HYPERLINK("https://youglish.com/pronounce/体质/chinese","🔍")</f>
        <v/>
      </c>
    </row>
    <row r="3242" ht="28.5" customHeight="1" s="99">
      <c r="A3242" s="92" t="inlineStr">
        <is>
          <t>PDF-Từ vựng phỏng vấn _ HỌC BÁ CHINESE.pdf</t>
        </is>
      </c>
      <c r="B3242" s="93" t="inlineStr">
        <is>
          <t>423</t>
        </is>
      </c>
      <c r="C3242" s="92" t="inlineStr">
        <is>
          <t>我的体质比较差</t>
        </is>
      </c>
      <c r="D3242" s="92" t="inlineStr">
        <is>
          <t>Thể chất của tôi hơi kém.</t>
        </is>
      </c>
      <c r="E3242" s="92" t="inlineStr">
        <is>
          <t>我的体质比较差。– Thể chất của tôi hơi kém.</t>
        </is>
      </c>
      <c r="F3242" s="114">
        <f>HYPERLINK("https://youglish.com/pronounce/我的体质比较差/chinese","🔍")</f>
        <v/>
      </c>
    </row>
    <row r="3243" ht="28.5" customHeight="1" s="99">
      <c r="A3243" s="94" t="inlineStr">
        <is>
          <t>PDF-Từ vựng phỏng vấn _ HỌC BÁ CHINESE.pdf</t>
        </is>
      </c>
      <c r="B3243" s="95" t="inlineStr">
        <is>
          <t>7</t>
        </is>
      </c>
      <c r="C3243" s="94" t="inlineStr">
        <is>
          <t>运动量</t>
        </is>
      </c>
      <c r="D3243" s="94" t="inlineStr">
        <is>
          <t>yùndòngliàng – cường độ vận động</t>
        </is>
      </c>
      <c r="E3243" s="94" t="inlineStr">
        <is>
          <t>7. 运动量 yùndòngliàng – cường độ vận động</t>
        </is>
      </c>
      <c r="F3243" s="115">
        <f>HYPERLINK("https://youglish.com/pronounce/运动量/chinese","🔍")</f>
        <v/>
      </c>
    </row>
    <row r="3244" ht="28.5" customHeight="1" s="99">
      <c r="A3244" s="92" t="inlineStr">
        <is>
          <t>PDF-Từ vựng phỏng vấn _ HỌC BÁ CHINESE.pdf</t>
        </is>
      </c>
      <c r="B3244" s="93" t="inlineStr">
        <is>
          <t>425</t>
        </is>
      </c>
      <c r="C3244" s="92" t="inlineStr">
        <is>
          <t>我只参加运动量小的活动</t>
        </is>
      </c>
      <c r="D3244" s="92" t="inlineStr">
        <is>
          <t>Tôi chỉ tham gia các hoạt động có cường độ nhẹ.</t>
        </is>
      </c>
      <c r="E3244" s="92" t="inlineStr">
        <is>
          <t>我只参加运动量小的活动。– Tôi chỉ tham gia các hoạt động có cường độ nhẹ.</t>
        </is>
      </c>
      <c r="F3244" s="114">
        <f>HYPERLINK("https://youglish.com/pronounce/我只参加运动量小的活动/chinese","🔍")</f>
        <v/>
      </c>
    </row>
    <row r="3245" ht="28.5" customHeight="1" s="99">
      <c r="A3245" s="94" t="inlineStr">
        <is>
          <t>PDF-Từ vựng phỏng vấn _ HỌC BÁ CHINESE.pdf</t>
        </is>
      </c>
      <c r="B3245" s="95" t="inlineStr">
        <is>
          <t>8</t>
        </is>
      </c>
      <c r="C3245" s="94" t="inlineStr">
        <is>
          <t>保龄球</t>
        </is>
      </c>
      <c r="D3245" s="94" t="inlineStr">
        <is>
          <t>bǎolíngqiú – bowling</t>
        </is>
      </c>
      <c r="E3245" s="94" t="inlineStr">
        <is>
          <t>8. 保龄球 bǎolíngqiú – bowling</t>
        </is>
      </c>
      <c r="F3245" s="115">
        <f>HYPERLINK("https://youglish.com/pronounce/保龄球/chinese","🔍")</f>
        <v/>
      </c>
    </row>
    <row r="3246" ht="28.5" customHeight="1" s="99">
      <c r="A3246" s="92" t="inlineStr">
        <is>
          <t>PDF-Từ vựng phỏng vấn _ HỌC BÁ CHINESE.pdf</t>
        </is>
      </c>
      <c r="B3246" s="93" t="inlineStr">
        <is>
          <t>427</t>
        </is>
      </c>
      <c r="C3246" s="92" t="inlineStr">
        <is>
          <t>我喜欢打保龄球</t>
        </is>
      </c>
      <c r="D3246" s="92" t="inlineStr">
        <is>
          <t>Tôi thích chơi bowling.</t>
        </is>
      </c>
      <c r="E3246" s="92" t="inlineStr">
        <is>
          <t>我喜欢打保龄球。– Tôi thích chơi bowling.</t>
        </is>
      </c>
      <c r="F3246" s="114">
        <f>HYPERLINK("https://youglish.com/pronounce/我喜欢打保龄球/chinese","🔍")</f>
        <v/>
      </c>
    </row>
    <row r="3247" ht="28.5" customHeight="1" s="99">
      <c r="A3247" s="94" t="inlineStr">
        <is>
          <t>PDF-Từ vựng phỏng vấn _ HỌC BÁ CHINESE.pdf</t>
        </is>
      </c>
      <c r="B3247" s="95" t="inlineStr">
        <is>
          <t>9</t>
        </is>
      </c>
      <c r="C3247" s="94" t="inlineStr">
        <is>
          <t>散步</t>
        </is>
      </c>
      <c r="D3247" s="94" t="inlineStr">
        <is>
          <t>sànbù – đi bộ</t>
        </is>
      </c>
      <c r="E3247" s="94" t="inlineStr">
        <is>
          <t>9. 散步 sànbù – đi bộ</t>
        </is>
      </c>
      <c r="F3247" s="115">
        <f>HYPERLINK("https://youglish.com/pronounce/散步/chinese","🔍")</f>
        <v/>
      </c>
    </row>
    <row r="3248" ht="28.5" customHeight="1" s="99">
      <c r="A3248" s="92" t="inlineStr">
        <is>
          <t>PDF-Từ vựng phỏng vấn _ HỌC BÁ CHINESE.pdf</t>
        </is>
      </c>
      <c r="B3248" s="93" t="inlineStr">
        <is>
          <t>429</t>
        </is>
      </c>
      <c r="C3248" s="92" t="inlineStr">
        <is>
          <t>我每天晚上都会去散步</t>
        </is>
      </c>
      <c r="D3248" s="92" t="inlineStr">
        <is>
          <t>Tôi mỗi tối đều đi bộ.</t>
        </is>
      </c>
      <c r="E3248" s="92" t="inlineStr">
        <is>
          <t>我每天晚上都会去散步。– Tôi mỗi tối đều đi bộ.</t>
        </is>
      </c>
      <c r="F3248" s="114">
        <f>HYPERLINK("https://youglish.com/pronounce/我每天晚上都会去散步/chinese","🔍")</f>
        <v/>
      </c>
    </row>
    <row r="3249" ht="28.5" customHeight="1" s="99">
      <c r="A3249" s="94" t="inlineStr">
        <is>
          <t>PDF-Từ vựng phỏng vấn _ HỌC BÁ CHINESE.pdf</t>
        </is>
      </c>
      <c r="B3249" s="95" t="inlineStr">
        <is>
          <t>10</t>
        </is>
      </c>
      <c r="C3249" s="94" t="inlineStr">
        <is>
          <t>钓鱼</t>
        </is>
      </c>
      <c r="D3249" s="94" t="inlineStr">
        <is>
          <t>diàoyú – câu cá</t>
        </is>
      </c>
      <c r="E3249" s="94" t="inlineStr">
        <is>
          <t>10. 钓鱼 diàoyú – câu cá</t>
        </is>
      </c>
      <c r="F3249" s="115">
        <f>HYPERLINK("https://youglish.com/pronounce/钓鱼/chinese","🔍")</f>
        <v/>
      </c>
    </row>
    <row r="3250" ht="28.5" customHeight="1" s="99">
      <c r="A3250" s="92" t="inlineStr">
        <is>
          <t>PDF-Từ vựng phỏng vấn _ HỌC BÁ CHINESE.pdf</t>
        </is>
      </c>
      <c r="B3250" s="93" t="inlineStr">
        <is>
          <t>431</t>
        </is>
      </c>
      <c r="C3250" s="92" t="inlineStr">
        <is>
          <t>我周末喜欢去钓鱼</t>
        </is>
      </c>
      <c r="D3250" s="92" t="inlineStr">
        <is>
          <t>Cuối tuần tôi thích đi câu cá.</t>
        </is>
      </c>
      <c r="E3250" s="92" t="inlineStr">
        <is>
          <t>我周末喜欢去钓鱼。– Cuối tuần tôi thích đi câu cá.</t>
        </is>
      </c>
      <c r="F3250" s="114">
        <f>HYPERLINK("https://youglish.com/pronounce/我周末喜欢去钓鱼/chinese","🔍")</f>
        <v/>
      </c>
    </row>
    <row r="3251" ht="28.5" customHeight="1" s="99">
      <c r="A3251" s="94" t="inlineStr">
        <is>
          <t>PDF-Từ vựng phỏng vấn _ HỌC BÁ CHINESE.pdf</t>
        </is>
      </c>
      <c r="B3251" s="95" t="inlineStr">
        <is>
          <t>11</t>
        </is>
      </c>
      <c r="C3251" s="94" t="inlineStr">
        <is>
          <t>美术</t>
        </is>
      </c>
      <c r="D3251" s="94" t="inlineStr">
        <is>
          <t>měishù – mỹ thuật</t>
        </is>
      </c>
      <c r="E3251" s="94" t="inlineStr">
        <is>
          <t>11. 美术 měishù – mỹ thuật</t>
        </is>
      </c>
      <c r="F3251" s="115">
        <f>HYPERLINK("https://youglish.com/pronounce/美术/chinese","🔍")</f>
        <v/>
      </c>
    </row>
    <row r="3252" ht="28.5" customHeight="1" s="99">
      <c r="A3252" s="92" t="inlineStr">
        <is>
          <t>PDF-Từ vựng phỏng vấn _ HỌC BÁ CHINESE.pdf</t>
        </is>
      </c>
      <c r="B3252" s="93" t="inlineStr">
        <is>
          <t>433</t>
        </is>
      </c>
      <c r="C3252" s="92" t="inlineStr">
        <is>
          <t>你在美术方面有特长吗</t>
        </is>
      </c>
      <c r="D3252" s="92" t="inlineStr">
        <is>
          <t>Bạn có sở trường gì về mỹ thuật không?</t>
        </is>
      </c>
      <c r="E3252" s="92" t="inlineStr">
        <is>
          <t>你在美术方面有特长吗？– Bạn có sở trường gì về mỹ thuật không?</t>
        </is>
      </c>
      <c r="F3252" s="114">
        <f>HYPERLINK("https://youglish.com/pronounce/你在美术方面有特长吗/chinese","🔍")</f>
        <v/>
      </c>
    </row>
    <row r="3253" ht="28.5" customHeight="1" s="99">
      <c r="A3253" s="94" t="inlineStr">
        <is>
          <t>PDF-Từ vựng phỏng vấn _ HỌC BÁ CHINESE.pdf</t>
        </is>
      </c>
      <c r="B3253" s="95" t="inlineStr">
        <is>
          <t>12</t>
        </is>
      </c>
      <c r="C3253" s="94" t="inlineStr">
        <is>
          <t>特长</t>
        </is>
      </c>
      <c r="D3253" s="94" t="inlineStr">
        <is>
          <t>tècháng – sở trường</t>
        </is>
      </c>
      <c r="E3253" s="94" t="inlineStr">
        <is>
          <t>12. 特长 tècháng – sở trường</t>
        </is>
      </c>
      <c r="F3253" s="115">
        <f>HYPERLINK("https://youglish.com/pronounce/特长/chinese","🔍")</f>
        <v/>
      </c>
    </row>
    <row r="3254" ht="28.5" customHeight="1" s="99">
      <c r="A3254" s="92" t="inlineStr">
        <is>
          <t>PDF-Từ vựng phỏng vấn _ HỌC BÁ CHINESE.pdf</t>
        </is>
      </c>
      <c r="B3254" s="93" t="inlineStr">
        <is>
          <t>435</t>
        </is>
      </c>
      <c r="C3254" s="92" t="inlineStr">
        <is>
          <t>她的特长是绘画</t>
        </is>
      </c>
      <c r="D3254" s="92" t="inlineStr">
        <is>
          <t>Sở trường của cô ấy là vẽ.</t>
        </is>
      </c>
      <c r="E3254" s="92" t="inlineStr">
        <is>
          <t>她的特长是绘画。– Sở trường của cô ấy là vẽ.</t>
        </is>
      </c>
      <c r="F3254" s="114">
        <f>HYPERLINK("https://youglish.com/pronounce/她的特长是绘画/chinese","🔍")</f>
        <v/>
      </c>
    </row>
    <row r="3255" ht="28.5" customHeight="1" s="99">
      <c r="A3255" s="94" t="inlineStr">
        <is>
          <t>PDF-Từ vựng phỏng vấn _ HỌC BÁ CHINESE.pdf</t>
        </is>
      </c>
      <c r="B3255" s="95" t="inlineStr">
        <is>
          <t>13</t>
        </is>
      </c>
      <c r="C3255" s="94" t="inlineStr">
        <is>
          <t>中国画</t>
        </is>
      </c>
      <c r="D3255" s="94" t="inlineStr">
        <is>
          <t>Zhōngguóhuà – tranh Trung Quốc (tranh thủy mặc)</t>
        </is>
      </c>
      <c r="E3255" s="94" t="inlineStr">
        <is>
          <t>13. 中国画 Zhōngguóhuà – tranh Trung Quốc (tranh thủy mặc)</t>
        </is>
      </c>
      <c r="F3255" s="115">
        <f>HYPERLINK("https://youglish.com/pronounce/中国画/chinese","🔍")</f>
        <v/>
      </c>
    </row>
    <row r="3256" ht="28.5" customHeight="1" s="99">
      <c r="A3256" s="92" t="inlineStr">
        <is>
          <t>PDF-Từ vựng phỏng vấn _ HỌC BÁ CHINESE.pdf</t>
        </is>
      </c>
      <c r="B3256" s="93" t="inlineStr">
        <is>
          <t>437</t>
        </is>
      </c>
      <c r="C3256" s="92" t="inlineStr">
        <is>
          <t>我小时候学过中国画</t>
        </is>
      </c>
      <c r="D3256" s="92" t="inlineStr">
        <is>
          <t>Hồi nhỏ tôi có học vẽ tranh Trung Quốc.</t>
        </is>
      </c>
      <c r="E3256" s="92" t="inlineStr">
        <is>
          <t>我小时候学过中国画。– Hồi nhỏ tôi có học vẽ tranh Trung Quốc.</t>
        </is>
      </c>
      <c r="F3256" s="114">
        <f>HYPERLINK("https://youglish.com/pronounce/我小时候学过中国画/chinese","🔍")</f>
        <v/>
      </c>
    </row>
    <row r="3257" ht="28.5" customHeight="1" s="99">
      <c r="A3257" s="94" t="inlineStr">
        <is>
          <t>PDF-Từ vựng phỏng vấn _ HỌC BÁ CHINESE.pdf</t>
        </is>
      </c>
      <c r="B3257" s="95" t="inlineStr">
        <is>
          <t>14</t>
        </is>
      </c>
      <c r="C3257" s="94" t="inlineStr">
        <is>
          <t>绘画</t>
        </is>
      </c>
      <c r="D3257" s="94" t="inlineStr">
        <is>
          <t>huìhuà – hội họa, vẽ</t>
        </is>
      </c>
      <c r="E3257" s="94" t="inlineStr">
        <is>
          <t>14. 绘画 huìhuà – hội họa, vẽ</t>
        </is>
      </c>
      <c r="F3257" s="115">
        <f>HYPERLINK("https://youglish.com/pronounce/绘画/chinese","🔍")</f>
        <v/>
      </c>
    </row>
    <row r="3258" ht="28.5" customHeight="1" s="99">
      <c r="A3258" s="92" t="inlineStr">
        <is>
          <t>PDF-Từ vựng phỏng vấn _ HỌC BÁ CHINESE.pdf</t>
        </is>
      </c>
      <c r="B3258" s="93" t="inlineStr">
        <is>
          <t>439</t>
        </is>
      </c>
      <c r="C3258" s="92" t="inlineStr">
        <is>
          <t>我喜欢绘画</t>
        </is>
      </c>
      <c r="D3258" s="92" t="inlineStr">
        <is>
          <t>Tôi thích hội họa.</t>
        </is>
      </c>
      <c r="E3258" s="92" t="inlineStr">
        <is>
          <t>我喜欢绘画。– Tôi thích hội họa.</t>
        </is>
      </c>
      <c r="F3258" s="114">
        <f>HYPERLINK("https://youglish.com/pronounce/我喜欢绘画/chinese","🔍")</f>
        <v/>
      </c>
    </row>
    <row r="3259" ht="28.5" customHeight="1" s="99">
      <c r="A3259" s="94" t="inlineStr">
        <is>
          <t>PDF-Từ vựng phỏng vấn _ HỌC BÁ CHINESE.pdf</t>
        </is>
      </c>
      <c r="B3259" s="95" t="inlineStr">
        <is>
          <t>15</t>
        </is>
      </c>
      <c r="C3259" s="94" t="inlineStr">
        <is>
          <t>奖励</t>
        </is>
      </c>
      <c r="D3259" s="94" t="inlineStr">
        <is>
          <t>jiǎnglì – giải thưởng</t>
        </is>
      </c>
      <c r="E3259" s="94" t="inlineStr">
        <is>
          <t>15. 奖励 jiǎnglì – giải thưởng</t>
        </is>
      </c>
      <c r="F3259" s="115">
        <f>HYPERLINK("https://youglish.com/pronounce/奖励/chinese","🔍")</f>
        <v/>
      </c>
    </row>
    <row r="3260" ht="28.5" customHeight="1" s="99">
      <c r="A3260" s="92" t="inlineStr">
        <is>
          <t>PDF-Từ vựng phỏng vấn _ HỌC BÁ CHINESE.pdf</t>
        </is>
      </c>
      <c r="B3260" s="93" t="inlineStr">
        <is>
          <t>441</t>
        </is>
      </c>
      <c r="C3260" s="92" t="inlineStr">
        <is>
          <t>我得过一次绘画奖励</t>
        </is>
      </c>
      <c r="D3260" s="92" t="inlineStr">
        <is>
          <t>Tôi từng nhận một giải thưởng hội họa.</t>
        </is>
      </c>
      <c r="E3260" s="92" t="inlineStr">
        <is>
          <t>我得过一次绘画奖励。– Tôi từng nhận một giải thưởng hội họa.</t>
        </is>
      </c>
      <c r="F3260" s="114">
        <f>HYPERLINK("https://youglish.com/pronounce/我得过一次绘画奖励/chinese","🔍")</f>
        <v/>
      </c>
    </row>
    <row r="3261" ht="28.5" customHeight="1" s="99">
      <c r="A3261" s="94" t="inlineStr">
        <is>
          <t>PDF-Từ vựng phỏng vấn _ HỌC BÁ CHINESE.pdf</t>
        </is>
      </c>
      <c r="B3261" s="95" t="inlineStr">
        <is>
          <t>16</t>
        </is>
      </c>
      <c r="C3261" s="94" t="inlineStr">
        <is>
          <t>比赛</t>
        </is>
      </c>
      <c r="D3261" s="94" t="inlineStr">
        <is>
          <t>bǐsài – cuộc thi</t>
        </is>
      </c>
      <c r="E3261" s="94" t="inlineStr">
        <is>
          <t>16. 比赛 bǐsài – cuộc thi</t>
        </is>
      </c>
      <c r="F3261" s="115">
        <f>HYPERLINK("https://youglish.com/pronounce/比赛/chinese","🔍")</f>
        <v/>
      </c>
    </row>
    <row r="3262" ht="28.5" customHeight="1" s="99">
      <c r="A3262" s="92" t="inlineStr">
        <is>
          <t>PDF-Từ vựng phỏng vấn _ HỌC BÁ CHINESE.pdf</t>
        </is>
      </c>
      <c r="B3262" s="93" t="inlineStr">
        <is>
          <t>443</t>
        </is>
      </c>
      <c r="C3262" s="92" t="inlineStr">
        <is>
          <t>我参加过绘画比赛</t>
        </is>
      </c>
      <c r="D3262" s="92" t="inlineStr">
        <is>
          <t>Tôi từng tham gia cuộc thi vẽ.</t>
        </is>
      </c>
      <c r="E3262" s="92" t="inlineStr">
        <is>
          <t>我参加过绘画比赛。– Tôi từng tham gia cuộc thi vẽ.</t>
        </is>
      </c>
      <c r="F3262" s="114">
        <f>HYPERLINK("https://youglish.com/pronounce/我参加过绘画比赛/chinese","🔍")</f>
        <v/>
      </c>
    </row>
    <row r="3263" ht="28.5" customHeight="1" s="99">
      <c r="A3263" s="94" t="inlineStr">
        <is>
          <t>PDF-Từ vựng phỏng vấn _ HỌC BÁ CHINESE.pdf</t>
        </is>
      </c>
      <c r="B3263" s="95" t="inlineStr">
        <is>
          <t>17</t>
        </is>
      </c>
      <c r="C3263" s="94" t="inlineStr">
        <is>
          <t>青少年</t>
        </is>
      </c>
      <c r="D3263" s="94" t="inlineStr">
        <is>
          <t>qīngshàonián – thanh thiếu niên</t>
        </is>
      </c>
      <c r="E3263" s="94" t="inlineStr">
        <is>
          <t>17. 青少年 qīngshàonián – thanh thiếu niên</t>
        </is>
      </c>
      <c r="F3263" s="115">
        <f>HYPERLINK("https://youglish.com/pronounce/青少年/chinese","🔍")</f>
        <v/>
      </c>
    </row>
    <row r="3264" ht="28.5" customHeight="1" s="99">
      <c r="A3264" s="92" t="inlineStr">
        <is>
          <t>PDF-Từ vựng phỏng vấn _ HỌC BÁ CHINESE.pdf</t>
        </is>
      </c>
      <c r="B3264" s="93" t="inlineStr">
        <is>
          <t>445</t>
        </is>
      </c>
      <c r="C3264" s="92" t="inlineStr">
        <is>
          <t>那是青少年绘画比赛</t>
        </is>
      </c>
      <c r="D3264" s="92" t="inlineStr">
        <is>
          <t>Đó là cuộc thi vẽ thanh thiếu niên.</t>
        </is>
      </c>
      <c r="E3264" s="92" t="inlineStr">
        <is>
          <t>那是青少年绘画比赛。– Đó là cuộc thi vẽ thanh thiếu niên.</t>
        </is>
      </c>
      <c r="F3264" s="114">
        <f>HYPERLINK("https://youglish.com/pronounce/那是青少年绘画比赛/chinese","🔍")</f>
        <v/>
      </c>
    </row>
    <row r="3265" ht="28.5" customHeight="1" s="99">
      <c r="A3265" s="94" t="inlineStr">
        <is>
          <t>PDF-Từ vựng phỏng vấn _ HỌC BÁ CHINESE.pdf</t>
        </is>
      </c>
      <c r="B3265" s="95" t="inlineStr">
        <is>
          <t>18</t>
        </is>
      </c>
      <c r="C3265" s="94" t="inlineStr">
        <is>
          <t>三等奖</t>
        </is>
      </c>
      <c r="D3265" s="94" t="inlineStr">
        <is>
          <t>sānděng jiǎng – giải ba</t>
        </is>
      </c>
      <c r="E3265" s="94" t="inlineStr">
        <is>
          <t>18. 三等奖 sānděng jiǎng – giải ba</t>
        </is>
      </c>
      <c r="F3265" s="115">
        <f>HYPERLINK("https://youglish.com/pronounce/三等奖/chinese","🔍")</f>
        <v/>
      </c>
    </row>
    <row r="3266" ht="28.5" customHeight="1" s="99">
      <c r="A3266" s="92" t="inlineStr">
        <is>
          <t>PDF-Từ vựng phỏng vấn _ HỌC BÁ CHINESE.pdf</t>
        </is>
      </c>
      <c r="B3266" s="93" t="inlineStr">
        <is>
          <t>447</t>
        </is>
      </c>
      <c r="C3266" s="92" t="inlineStr">
        <is>
          <t>我得过三等奖</t>
        </is>
      </c>
      <c r="D3266" s="92" t="inlineStr">
        <is>
          <t>Tôi từng đạt giải ba.</t>
        </is>
      </c>
      <c r="E3266" s="92" t="inlineStr">
        <is>
          <t>我得过三等奖。– Tôi từng đạt giải ba.</t>
        </is>
      </c>
      <c r="F3266" s="114">
        <f>HYPERLINK("https://youglish.com/pronounce/我得过三等奖/chinese","🔍")</f>
        <v/>
      </c>
    </row>
    <row r="3267" ht="28.5" customHeight="1" s="99">
      <c r="A3267" s="94" t="inlineStr">
        <is>
          <t>PDF-Từ vựng phỏng vấn _ HỌC BÁ CHINESE.pdf</t>
        </is>
      </c>
      <c r="B3267" s="95" t="inlineStr">
        <is>
          <t>19</t>
        </is>
      </c>
      <c r="C3267" s="94" t="inlineStr">
        <is>
          <t>坚持</t>
        </is>
      </c>
      <c r="D3267" s="94" t="inlineStr">
        <is>
          <t>jiānchí – kiên trì</t>
        </is>
      </c>
      <c r="E3267" s="94" t="inlineStr">
        <is>
          <t>19. 坚持 jiānchí – kiên trì</t>
        </is>
      </c>
      <c r="F3267" s="115">
        <f>HYPERLINK("https://youglish.com/pronounce/坚持/chinese","🔍")</f>
        <v/>
      </c>
    </row>
    <row r="3268" ht="28.5" customHeight="1" s="99">
      <c r="A3268" s="92" t="inlineStr">
        <is>
          <t>PDF-Từ vựng phỏng vấn _ HỌC BÁ CHINESE.pdf</t>
        </is>
      </c>
      <c r="B3268" s="93" t="inlineStr">
        <is>
          <t>449</t>
        </is>
      </c>
      <c r="C3268" s="92" t="inlineStr">
        <is>
          <t>如果坚持到现在会有发展</t>
        </is>
      </c>
      <c r="D3268" s="92" t="inlineStr">
        <is>
          <t>Nếu kiên trì đến giờ chắc đã phát triển rồi.</t>
        </is>
      </c>
      <c r="E3268" s="92" t="inlineStr">
        <is>
          <t>如果坚持到现在会有发展。– Nếu kiên trì đến giờ chắc đã phát triển rồi.</t>
        </is>
      </c>
      <c r="F3268" s="114">
        <f>HYPERLINK("https://youglish.com/pronounce/如果坚持到现在会有发展/chinese","🔍")</f>
        <v/>
      </c>
    </row>
    <row r="3269" ht="28.5" customHeight="1" s="99">
      <c r="A3269" s="94" t="inlineStr">
        <is>
          <t>PDF-Từ vựng phỏng vấn _ HỌC BÁ CHINESE.pdf</t>
        </is>
      </c>
      <c r="B3269" s="95" t="inlineStr">
        <is>
          <t>20</t>
        </is>
      </c>
      <c r="C3269" s="94" t="inlineStr">
        <is>
          <t>发展</t>
        </is>
      </c>
      <c r="D3269" s="94" t="inlineStr">
        <is>
          <t>fāzhǎn – phát triển</t>
        </is>
      </c>
      <c r="E3269" s="94" t="inlineStr">
        <is>
          <t>20. 发展 fāzhǎn – phát triển</t>
        </is>
      </c>
      <c r="F3269" s="115">
        <f>HYPERLINK("https://youglish.com/pronounce/发展/chinese","🔍")</f>
        <v/>
      </c>
    </row>
    <row r="3270" ht="28.5" customHeight="1" s="99">
      <c r="A3270" s="92" t="inlineStr">
        <is>
          <t>PDF-Từ vựng phỏng vấn _ HỌC BÁ CHINESE.pdf</t>
        </is>
      </c>
      <c r="B3270" s="93" t="inlineStr">
        <is>
          <t>451</t>
        </is>
      </c>
      <c r="C3270" s="92" t="inlineStr">
        <is>
          <t>画画坚持下去一定会有发展</t>
        </is>
      </c>
      <c r="D3270" s="92" t="inlineStr">
        <is>
          <t>Vẽ mà kiên trì sẽ có phát triển.</t>
        </is>
      </c>
      <c r="E3270" s="92" t="inlineStr">
        <is>
          <t>画画坚持下去一定会有发展。– Vẽ mà kiên trì sẽ có phát triển.</t>
        </is>
      </c>
      <c r="F3270" s="114">
        <f>HYPERLINK("https://youglish.com/pronounce/画画坚持下去一定会有发展/chinese","🔍")</f>
        <v/>
      </c>
    </row>
    <row r="3271" ht="28.5" customHeight="1" s="99">
      <c r="A3271" s="94" t="inlineStr">
        <is>
          <t>PDF-Từ vựng phỏng vấn _ HỌC BÁ CHINESE.pdf</t>
        </is>
      </c>
      <c r="B3271" s="95" t="inlineStr">
        <is>
          <t>21</t>
        </is>
      </c>
      <c r="C3271" s="94" t="inlineStr">
        <is>
          <t>兴趣</t>
        </is>
      </c>
      <c r="D3271" s="94" t="inlineStr">
        <is>
          <t>xìngqù – hứng thú</t>
        </is>
      </c>
      <c r="E3271" s="94" t="inlineStr">
        <is>
          <t>21. 兴趣 xìngqù – hứng thú</t>
        </is>
      </c>
      <c r="F3271" s="115">
        <f>HYPERLINK("https://youglish.com/pronounce/兴趣/chinese","🔍")</f>
        <v/>
      </c>
    </row>
    <row r="3272" ht="28.5" customHeight="1" s="99">
      <c r="A3272" s="92" t="inlineStr">
        <is>
          <t>PDF-Từ vựng phỏng vấn _ HỌC BÁ CHINESE.pdf</t>
        </is>
      </c>
      <c r="B3272" s="93" t="inlineStr">
        <is>
          <t>453</t>
        </is>
      </c>
      <c r="C3272" s="92" t="inlineStr">
        <is>
          <t>我对音乐很有兴趣</t>
        </is>
      </c>
      <c r="D3272" s="92" t="inlineStr">
        <is>
          <t>Tôi rất hứng thú với âm nhạc.</t>
        </is>
      </c>
      <c r="E3272" s="92" t="inlineStr">
        <is>
          <t>我对音乐很有兴趣。– Tôi rất hứng thú với âm nhạc.</t>
        </is>
      </c>
      <c r="F3272" s="114">
        <f>HYPERLINK("https://youglish.com/pronounce/我对音乐很有兴趣/chinese","🔍")</f>
        <v/>
      </c>
    </row>
    <row r="3273" ht="28.5" customHeight="1" s="99">
      <c r="A3273" s="94" t="inlineStr">
        <is>
          <t>PDF-Từ vựng phỏng vấn _ HỌC BÁ CHINESE.pdf</t>
        </is>
      </c>
      <c r="B3273" s="95" t="inlineStr">
        <is>
          <t>22</t>
        </is>
      </c>
      <c r="C3273" s="94" t="inlineStr">
        <is>
          <t>活动</t>
        </is>
      </c>
      <c r="D3273" s="94" t="inlineStr">
        <is>
          <t>huódòng – hoạt động</t>
        </is>
      </c>
      <c r="E3273" s="94" t="inlineStr">
        <is>
          <t>22. 活动 huódòng – hoạt động</t>
        </is>
      </c>
      <c r="F3273" s="115">
        <f>HYPERLINK("https://youglish.com/pronounce/活动/chinese","🔍")</f>
        <v/>
      </c>
    </row>
    <row r="3274" ht="28.5" customHeight="1" s="99">
      <c r="A3274" s="92" t="inlineStr">
        <is>
          <t>PDF-Từ vựng phỏng vấn _ HỌC BÁ CHINESE.pdf</t>
        </is>
      </c>
      <c r="B3274" s="93" t="inlineStr">
        <is>
          <t>455</t>
        </is>
      </c>
      <c r="C3274" s="92" t="inlineStr">
        <is>
          <t>我喜欢参加户外活动</t>
        </is>
      </c>
      <c r="D3274" s="92" t="inlineStr">
        <is>
          <t>Tôi thích tham gia các hoạt động ngoài trời.</t>
        </is>
      </c>
      <c r="E3274" s="92" t="inlineStr">
        <is>
          <t>我喜欢参加户外活动。– Tôi thích tham gia các hoạt động ngoài trời.</t>
        </is>
      </c>
      <c r="F3274" s="114">
        <f>HYPERLINK("https://youglish.com/pronounce/我喜欢参加户外活动/chinese","🔍")</f>
        <v/>
      </c>
    </row>
    <row r="3275" ht="28.5" customHeight="1" s="99">
      <c r="A3275" s="94" t="inlineStr">
        <is>
          <t>PDF-Từ vựng phỏng vấn _ HỌC BÁ CHINESE.pdf</t>
        </is>
      </c>
      <c r="B3275" s="95" t="inlineStr">
        <is>
          <t>23</t>
        </is>
      </c>
      <c r="C3275" s="94" t="inlineStr">
        <is>
          <t>大学</t>
        </is>
      </c>
      <c r="D3275" s="94" t="inlineStr">
        <is>
          <t>dàxué – đại học</t>
        </is>
      </c>
      <c r="E3275" s="94" t="inlineStr">
        <is>
          <t>23. 大学 dàxué – đại học</t>
        </is>
      </c>
      <c r="F3275" s="115">
        <f>HYPERLINK("https://youglish.com/pronounce/大学/chinese","🔍")</f>
        <v/>
      </c>
    </row>
    <row r="3276" ht="28.5" customHeight="1" s="99">
      <c r="A3276" s="92" t="inlineStr">
        <is>
          <t>PDF-Từ vựng phỏng vấn _ HỌC BÁ CHINESE.pdf</t>
        </is>
      </c>
      <c r="B3276" s="93" t="inlineStr">
        <is>
          <t>457</t>
        </is>
      </c>
      <c r="C3276" s="92" t="inlineStr">
        <is>
          <t>上了大学以后我就很少画画了</t>
        </is>
      </c>
      <c r="D3276" s="92" t="inlineStr">
        <is>
          <t>Lên đại học tôi ít vẽ hơn.</t>
        </is>
      </c>
      <c r="E3276" s="92" t="inlineStr">
        <is>
          <t>上了大学以后我就很少画画了。– Lên đại học tôi ít vẽ hơn.</t>
        </is>
      </c>
      <c r="F3276" s="114">
        <f>HYPERLINK("https://youglish.com/pronounce/上了大学以后我就很少画画了/chinese","🔍")</f>
        <v/>
      </c>
    </row>
    <row r="3277" ht="28.5" customHeight="1" s="99">
      <c r="A3277" s="94" t="inlineStr">
        <is>
          <t>PDF-Từ vựng phỏng vấn _ HỌC BÁ CHINESE.pdf</t>
        </is>
      </c>
      <c r="B3277" s="95" t="inlineStr">
        <is>
          <t>24</t>
        </is>
      </c>
      <c r="C3277" s="94" t="inlineStr">
        <is>
          <t>参加</t>
        </is>
      </c>
      <c r="D3277" s="94" t="inlineStr">
        <is>
          <t>cānjiā – tham gia</t>
        </is>
      </c>
      <c r="E3277" s="94" t="inlineStr">
        <is>
          <t>24. 参加 cānjiā – tham gia</t>
        </is>
      </c>
      <c r="F3277" s="115">
        <f>HYPERLINK("https://youglish.com/pronounce/参加/chinese","🔍")</f>
        <v/>
      </c>
    </row>
    <row r="3278" ht="28.5" customHeight="1" s="99">
      <c r="A3278" s="92" t="inlineStr">
        <is>
          <t>PDF-Từ vựng phỏng vấn _ HỌC BÁ CHINESE.pdf</t>
        </is>
      </c>
      <c r="B3278" s="93" t="inlineStr">
        <is>
          <t>459</t>
        </is>
      </c>
      <c r="C3278" s="92" t="inlineStr">
        <is>
          <t>我参加过不少兴趣班</t>
        </is>
      </c>
      <c r="D3278" s="92" t="inlineStr">
        <is>
          <t>Tôi từng tham gia nhiều lớp sở thích.</t>
        </is>
      </c>
      <c r="E3278" s="92" t="inlineStr">
        <is>
          <t>我参加过不少兴趣班。– Tôi từng tham gia nhiều lớp sở thích.</t>
        </is>
      </c>
      <c r="F3278" s="114">
        <f>HYPERLINK("https://youglish.com/pronounce/我参加过不少兴趣班/chinese","🔍")</f>
        <v/>
      </c>
    </row>
    <row r="3279" ht="28.5" customHeight="1" s="99">
      <c r="A3279" s="94" t="inlineStr">
        <is>
          <t>PDF-Từ vựng phỏng vấn _ HỌC BÁ CHINESE.pdf</t>
        </is>
      </c>
      <c r="B3279" s="95" t="inlineStr">
        <is>
          <t>25</t>
        </is>
      </c>
      <c r="C3279" s="94" t="inlineStr">
        <is>
          <t>成功</t>
        </is>
      </c>
      <c r="D3279" s="94" t="inlineStr">
        <is>
          <t>chénggōng – thành công</t>
        </is>
      </c>
      <c r="E3279" s="94" t="inlineStr">
        <is>
          <t>25. 成功 chénggōng – thành công</t>
        </is>
      </c>
      <c r="F3279" s="115">
        <f>HYPERLINK("https://youglish.com/pronounce/成功/chinese","🔍")</f>
        <v/>
      </c>
    </row>
    <row r="3280" ht="28.5" customHeight="1" s="99">
      <c r="A3280" s="92" t="inlineStr">
        <is>
          <t>PDF-Từ vựng phỏng vấn _ HỌC BÁ CHINESE.pdf</t>
        </is>
      </c>
      <c r="B3280" s="93" t="inlineStr">
        <is>
          <t>461</t>
        </is>
      </c>
      <c r="C3280" s="92" t="inlineStr">
        <is>
          <t>祝您今后工作顺利成功</t>
        </is>
      </c>
      <c r="D3280" s="92" t="inlineStr">
        <is>
          <t>Chúc bạn sau này công việc thành công suôn sẻ.</t>
        </is>
      </c>
      <c r="E3280" s="92" t="inlineStr">
        <is>
          <t>祝您今后工作顺利成功。– Chúc bạn sau này công việc thành công suôn sẻ.</t>
        </is>
      </c>
      <c r="F3280" s="114">
        <f>HYPERLINK("https://youglish.com/pronounce/祝您今后工作顺利成功/chinese","🔍")</f>
        <v/>
      </c>
    </row>
    <row r="3281" ht="28.5" customHeight="1" s="99">
      <c r="A3281" s="94" t="inlineStr">
        <is>
          <t>PDF-Từ vựng phỏng vấn _ HỌC BÁ CHINESE.pdf</t>
        </is>
      </c>
      <c r="B3281" s="95" t="inlineStr">
        <is>
          <t>462</t>
        </is>
      </c>
      <c r="C3281" s="94" t="inlineStr">
        <is>
          <t>工作目标</t>
        </is>
      </c>
      <c r="D3281" s="94" t="inlineStr">
        <is>
          <t>Bài 11工作目标 – mục tiêu công việc</t>
        </is>
      </c>
      <c r="E3281" s="94" t="inlineStr">
        <is>
          <t>Bài 11工作目标 – mục tiêu công việc</t>
        </is>
      </c>
      <c r="F3281" s="115">
        <f>HYPERLINK("https://youglish.com/pronounce/工作目标/chinese","🔍")</f>
        <v/>
      </c>
    </row>
    <row r="3282" ht="28.5" customHeight="1" s="99">
      <c r="A3282" s="92" t="inlineStr">
        <is>
          <t>PDF-Từ vựng phỏng vấn _ HỌC BÁ CHINESE.pdf</t>
        </is>
      </c>
      <c r="B3282" s="93" t="inlineStr">
        <is>
          <t>1</t>
        </is>
      </c>
      <c r="C3282" s="92" t="inlineStr">
        <is>
          <t>录用</t>
        </is>
      </c>
      <c r="D3282" s="92" t="inlineStr">
        <is>
          <t>lùyòng – tuyển dụng</t>
        </is>
      </c>
      <c r="E3282" s="92" t="inlineStr">
        <is>
          <t>1. 录用 lùyòng – tuyển dụng</t>
        </is>
      </c>
      <c r="F3282" s="114">
        <f>HYPERLINK("https://youglish.com/pronounce/录用/chinese","🔍")</f>
        <v/>
      </c>
    </row>
    <row r="3283" ht="28.5" customHeight="1" s="99">
      <c r="A3283" s="94" t="inlineStr">
        <is>
          <t>PDF-Từ vựng phỏng vấn _ HỌC BÁ CHINESE.pdf</t>
        </is>
      </c>
      <c r="B3283" s="95" t="inlineStr">
        <is>
          <t>464</t>
        </is>
      </c>
      <c r="C3283" s="94" t="inlineStr">
        <is>
          <t>公司正式录用了我</t>
        </is>
      </c>
      <c r="D3283" s="94" t="inlineStr">
        <is>
          <t>Công ty đã chính thức tuyển dụng tôi.</t>
        </is>
      </c>
      <c r="E3283" s="94" t="inlineStr">
        <is>
          <t>公司正式录用了我。– Công ty đã chính thức tuyển dụng tôi.</t>
        </is>
      </c>
      <c r="F3283" s="115">
        <f>HYPERLINK("https://youglish.com/pronounce/公司正式录用了我/chinese","🔍")</f>
        <v/>
      </c>
    </row>
    <row r="3284" ht="28.5" customHeight="1" s="99">
      <c r="A3284" s="92" t="inlineStr">
        <is>
          <t>PDF-Từ vựng phỏng vấn _ HỌC BÁ CHINESE.pdf</t>
        </is>
      </c>
      <c r="B3284" s="93" t="inlineStr">
        <is>
          <t>2</t>
        </is>
      </c>
      <c r="C3284" s="92" t="inlineStr">
        <is>
          <t>打算</t>
        </is>
      </c>
      <c r="D3284" s="92" t="inlineStr">
        <is>
          <t>dǎsuàn – dự định</t>
        </is>
      </c>
      <c r="E3284" s="92" t="inlineStr">
        <is>
          <t>2. 打算 dǎsuàn – dự định</t>
        </is>
      </c>
      <c r="F3284" s="114">
        <f>HYPERLINK("https://youglish.com/pronounce/打算/chinese","🔍")</f>
        <v/>
      </c>
    </row>
    <row r="3285" ht="28.5" customHeight="1" s="99">
      <c r="A3285" s="94" t="inlineStr">
        <is>
          <t>PDF-Từ vựng phỏng vấn _ HỌC BÁ CHINESE.pdf</t>
        </is>
      </c>
      <c r="B3285" s="95" t="inlineStr">
        <is>
          <t>466</t>
        </is>
      </c>
      <c r="C3285" s="94" t="inlineStr">
        <is>
          <t>我打算长期在这家公司工作</t>
        </is>
      </c>
      <c r="D3285" s="94" t="inlineStr">
        <is>
          <t>Tôi dự định làm lâu dài ở công ty này.</t>
        </is>
      </c>
      <c r="E3285" s="94" t="inlineStr">
        <is>
          <t>我打算长期在这家公司工作。– Tôi dự định làm lâu dài ở công ty này.</t>
        </is>
      </c>
      <c r="F3285" s="115">
        <f>HYPERLINK("https://youglish.com/pronounce/我打算长期在这家公司工作/chinese","🔍")</f>
        <v/>
      </c>
    </row>
    <row r="3286" ht="28.5" customHeight="1" s="99">
      <c r="A3286" s="92" t="inlineStr">
        <is>
          <t>PDF-Từ vựng phỏng vấn _ HỌC BÁ CHINESE.pdf</t>
        </is>
      </c>
      <c r="B3286" s="93" t="inlineStr">
        <is>
          <t>3</t>
        </is>
      </c>
      <c r="C3286" s="92" t="inlineStr">
        <is>
          <t>具体</t>
        </is>
      </c>
      <c r="D3286" s="92" t="inlineStr">
        <is>
          <t>jùtǐ – cụ thể</t>
        </is>
      </c>
      <c r="E3286" s="92" t="inlineStr">
        <is>
          <t>3. 具体 jùtǐ – cụ thể</t>
        </is>
      </c>
      <c r="F3286" s="114">
        <f>HYPERLINK("https://youglish.com/pronounce/具体/chinese","🔍")</f>
        <v/>
      </c>
    </row>
    <row r="3287" ht="28.5" customHeight="1" s="99">
      <c r="A3287" s="94" t="inlineStr">
        <is>
          <t>PDF-Từ vựng phỏng vấn _ HỌC BÁ CHINESE.pdf</t>
        </is>
      </c>
      <c r="B3287" s="95" t="inlineStr">
        <is>
          <t>468</t>
        </is>
      </c>
      <c r="C3287" s="94" t="inlineStr">
        <is>
          <t>我还没有具体想过</t>
        </is>
      </c>
      <c r="D3287" s="94" t="inlineStr">
        <is>
          <t>Tôi vẫn chưa nghĩ cụ thể.</t>
        </is>
      </c>
      <c r="E3287" s="94" t="inlineStr">
        <is>
          <t>我还没有具体想过。– Tôi vẫn chưa nghĩ cụ thể.</t>
        </is>
      </c>
      <c r="F3287" s="115">
        <f>HYPERLINK("https://youglish.com/pronounce/我还没有具体想过/chinese","🔍")</f>
        <v/>
      </c>
    </row>
    <row r="3288" ht="28.5" customHeight="1" s="99">
      <c r="A3288" s="92" t="inlineStr">
        <is>
          <t>PDF-Từ vựng phỏng vấn _ HỌC BÁ CHINESE.pdf</t>
        </is>
      </c>
      <c r="B3288" s="93" t="inlineStr">
        <is>
          <t>4</t>
        </is>
      </c>
      <c r="C3288" s="92" t="inlineStr">
        <is>
          <t>因素</t>
        </is>
      </c>
      <c r="D3288" s="92" t="inlineStr">
        <is>
          <t>yīnsù – yếu tố</t>
        </is>
      </c>
      <c r="E3288" s="92" t="inlineStr">
        <is>
          <t>4. 因素 yīnsù – yếu tố</t>
        </is>
      </c>
      <c r="F3288" s="114">
        <f>HYPERLINK("https://youglish.com/pronounce/因素/chinese","🔍")</f>
        <v/>
      </c>
    </row>
    <row r="3289" ht="28.5" customHeight="1" s="99">
      <c r="A3289" s="94" t="inlineStr">
        <is>
          <t>PDF-Từ vựng phỏng vấn _ HỌC BÁ CHINESE.pdf</t>
        </is>
      </c>
      <c r="B3289" s="95" t="inlineStr">
        <is>
          <t>470</t>
        </is>
      </c>
      <c r="C3289" s="94" t="inlineStr">
        <is>
          <t>这个问题受到很多因素的影响</t>
        </is>
      </c>
      <c r="D3289" s="94" t="inlineStr">
        <is>
          <t>Câu hỏi này bị ảnh hưởng bởi nhiều yếu tố.</t>
        </is>
      </c>
      <c r="E3289" s="94" t="inlineStr">
        <is>
          <t>这个问题受到很多因素的影响。– Câu hỏi này bị ảnh hưởng bởi nhiều yếu tố.</t>
        </is>
      </c>
      <c r="F3289" s="115">
        <f>HYPERLINK("https://youglish.com/pronounce/这个问题受到很多因素的影响/chinese","🔍")</f>
        <v/>
      </c>
    </row>
    <row r="3290" ht="28.5" customHeight="1" s="99">
      <c r="A3290" s="92" t="inlineStr">
        <is>
          <t>PDF-Từ vựng phỏng vấn _ HỌC BÁ CHINESE.pdf</t>
        </is>
      </c>
      <c r="B3290" s="93" t="inlineStr">
        <is>
          <t>5</t>
        </is>
      </c>
      <c r="C3290" s="92" t="inlineStr">
        <is>
          <t>取决于</t>
        </is>
      </c>
      <c r="D3290" s="92" t="inlineStr">
        <is>
          <t>qǔjué yú – phụ thuộc vào</t>
        </is>
      </c>
      <c r="E3290" s="92" t="inlineStr">
        <is>
          <t>5. 取决于 qǔjué yú – phụ thuộc vào</t>
        </is>
      </c>
      <c r="F3290" s="114">
        <f>HYPERLINK("https://youglish.com/pronounce/取决于/chinese","🔍")</f>
        <v/>
      </c>
    </row>
    <row r="3291" ht="28.5" customHeight="1" s="99">
      <c r="A3291" s="94" t="inlineStr">
        <is>
          <t>PDF-Từ vựng phỏng vấn _ HỌC BÁ CHINESE.pdf</t>
        </is>
      </c>
      <c r="B3291" s="95" t="inlineStr">
        <is>
          <t>472</t>
        </is>
      </c>
      <c r="C3291" s="94" t="inlineStr">
        <is>
          <t>结果取决于你的能力</t>
        </is>
      </c>
      <c r="D3291" s="94" t="inlineStr">
        <is>
          <t>Kết quả phụ thuộc vào năng lực của bạn.</t>
        </is>
      </c>
      <c r="E3291" s="94" t="inlineStr">
        <is>
          <t>结果取决于你的能力。– Kết quả phụ thuộc vào năng lực của bạn.</t>
        </is>
      </c>
      <c r="F3291" s="115">
        <f>HYPERLINK("https://youglish.com/pronounce/结果取决于你的能力/chinese","🔍")</f>
        <v/>
      </c>
    </row>
    <row r="3292" ht="28.5" customHeight="1" s="99">
      <c r="A3292" s="92" t="inlineStr">
        <is>
          <t>PDF-Từ vựng phỏng vấn _ HỌC BÁ CHINESE.pdf</t>
        </is>
      </c>
      <c r="B3292" s="93" t="inlineStr">
        <is>
          <t>6</t>
        </is>
      </c>
      <c r="C3292" s="92" t="inlineStr">
        <is>
          <t>适应能力</t>
        </is>
      </c>
      <c r="D3292" s="92" t="inlineStr">
        <is>
          <t>shìyìng nénglì – khả năng thích ứng</t>
        </is>
      </c>
      <c r="E3292" s="92" t="inlineStr">
        <is>
          <t>6. 适应能力 shìyìng nénglì – khả năng thích ứng</t>
        </is>
      </c>
      <c r="F3292" s="114">
        <f>HYPERLINK("https://youglish.com/pronounce/适应能力/chinese","🔍")</f>
        <v/>
      </c>
    </row>
    <row r="3293" ht="28.5" customHeight="1" s="99">
      <c r="A3293" s="94" t="inlineStr">
        <is>
          <t>PDF-Từ vựng phỏng vấn _ HỌC BÁ CHINESE.pdf</t>
        </is>
      </c>
      <c r="B3293" s="95" t="inlineStr">
        <is>
          <t>474</t>
        </is>
      </c>
      <c r="C3293" s="94" t="inlineStr">
        <is>
          <t>她的适应能力很强</t>
        </is>
      </c>
      <c r="D3293" s="94" t="inlineStr">
        <is>
          <t>Khả năng thích ứng của cô ấy rất tốt.</t>
        </is>
      </c>
      <c r="E3293" s="94" t="inlineStr">
        <is>
          <t>她的适应能力很强。– Khả năng thích ứng của cô ấy rất tốt.</t>
        </is>
      </c>
      <c r="F3293" s="115">
        <f>HYPERLINK("https://youglish.com/pronounce/她的适应能力很强/chinese","🔍")</f>
        <v/>
      </c>
    </row>
    <row r="3294" ht="28.5" customHeight="1" s="99">
      <c r="A3294" s="92" t="inlineStr">
        <is>
          <t>PDF-Từ vựng phỏng vấn _ HỌC BÁ CHINESE.pdf</t>
        </is>
      </c>
      <c r="B3294" s="93" t="inlineStr">
        <is>
          <t>7</t>
        </is>
      </c>
      <c r="C3294" s="92" t="inlineStr">
        <is>
          <t>到位</t>
        </is>
      </c>
      <c r="D3294" s="92" t="inlineStr">
        <is>
          <t>dàowèi – thấu đáo, đúng chỗ</t>
        </is>
      </c>
      <c r="E3294" s="92" t="inlineStr">
        <is>
          <t>7. 到位 dàowèi – thấu đáo, đúng chỗ</t>
        </is>
      </c>
      <c r="F3294" s="114">
        <f>HYPERLINK("https://youglish.com/pronounce/到位/chinese","🔍")</f>
        <v/>
      </c>
    </row>
    <row r="3295" ht="28.5" customHeight="1" s="99">
      <c r="A3295" s="94" t="inlineStr">
        <is>
          <t>PDF-Từ vựng phỏng vấn _ HỌC BÁ CHINESE.pdf</t>
        </is>
      </c>
      <c r="B3295" s="95" t="inlineStr">
        <is>
          <t>476</t>
        </is>
      </c>
      <c r="C3295" s="94" t="inlineStr">
        <is>
          <t>你谈得很到位</t>
        </is>
      </c>
      <c r="D3295" s="94" t="inlineStr">
        <is>
          <t>Bạn nói rất thấu đáo.</t>
        </is>
      </c>
      <c r="E3295" s="94" t="inlineStr">
        <is>
          <t>你谈得很到位。– Bạn nói rất thấu đáo.</t>
        </is>
      </c>
      <c r="F3295" s="115">
        <f>HYPERLINK("https://youglish.com/pronounce/你谈得很到位/chinese","🔍")</f>
        <v/>
      </c>
    </row>
    <row r="3296" ht="28.5" customHeight="1" s="99">
      <c r="A3296" s="92" t="inlineStr">
        <is>
          <t>PDF-Từ vựng phỏng vấn _ HỌC BÁ CHINESE.pdf</t>
        </is>
      </c>
      <c r="B3296" s="93" t="inlineStr">
        <is>
          <t>8</t>
        </is>
      </c>
      <c r="C3296" s="92" t="inlineStr">
        <is>
          <t>资格</t>
        </is>
      </c>
      <c r="D3296" s="92" t="inlineStr">
        <is>
          <t>zīgé – tư cách, đủ điều kiện</t>
        </is>
      </c>
      <c r="E3296" s="92" t="inlineStr">
        <is>
          <t>8. 资格 zīgé – tư cách, đủ điều kiện</t>
        </is>
      </c>
      <c r="F3296" s="114">
        <f>HYPERLINK("https://youglish.com/pronounce/资格/chinese","🔍")</f>
        <v/>
      </c>
    </row>
    <row r="3297" ht="28.5" customHeight="1" s="99">
      <c r="A3297" s="94" t="inlineStr">
        <is>
          <t>PDF-Từ vựng phỏng vấn _ HỌC BÁ CHINESE.pdf</t>
        </is>
      </c>
      <c r="B3297" s="95" t="inlineStr">
        <is>
          <t>478</t>
        </is>
      </c>
      <c r="C3297" s="94" t="inlineStr">
        <is>
          <t>你有资格做这个职位</t>
        </is>
      </c>
      <c r="D3297" s="94" t="inlineStr">
        <is>
          <t>Bạn đủ tư cách làm vị trí này.</t>
        </is>
      </c>
      <c r="E3297" s="94" t="inlineStr">
        <is>
          <t>你有资格做这个职位。– Bạn đủ tư cách làm vị trí này.</t>
        </is>
      </c>
      <c r="F3297" s="115">
        <f>HYPERLINK("https://youglish.com/pronounce/你有资格做这个职位/chinese","🔍")</f>
        <v/>
      </c>
    </row>
    <row r="3298" ht="28.5" customHeight="1" s="99">
      <c r="A3298" s="92" t="inlineStr">
        <is>
          <t>PDF-Từ vựng phỏng vấn _ HỌC BÁ CHINESE.pdf</t>
        </is>
      </c>
      <c r="B3298" s="93" t="inlineStr">
        <is>
          <t>9</t>
        </is>
      </c>
      <c r="C3298" s="92" t="inlineStr">
        <is>
          <t>胜任</t>
        </is>
      </c>
      <c r="D3298" s="92" t="inlineStr">
        <is>
          <t>shèngrèn – đảm nhiệm, làm tốt</t>
        </is>
      </c>
      <c r="E3298" s="92" t="inlineStr">
        <is>
          <t>9. 胜任 shèngrèn – đảm nhiệm, làm tốt</t>
        </is>
      </c>
      <c r="F3298" s="114">
        <f>HYPERLINK("https://youglish.com/pronounce/胜任/chinese","🔍")</f>
        <v/>
      </c>
    </row>
    <row r="3299" ht="28.5" customHeight="1" s="99">
      <c r="A3299" s="94" t="inlineStr">
        <is>
          <t>PDF-Từ vựng phỏng vấn _ HỌC BÁ CHINESE.pdf</t>
        </is>
      </c>
      <c r="B3299" s="95" t="inlineStr">
        <is>
          <t>480</t>
        </is>
      </c>
      <c r="C3299" s="94" t="inlineStr">
        <is>
          <t>我能胜任这份工作</t>
        </is>
      </c>
      <c r="D3299" s="94" t="inlineStr">
        <is>
          <t>Tôi có thể đảm nhiệm công việc này.</t>
        </is>
      </c>
      <c r="E3299" s="94" t="inlineStr">
        <is>
          <t>我能胜任这份工作。– Tôi có thể đảm nhiệm công việc này.</t>
        </is>
      </c>
      <c r="F3299" s="115">
        <f>HYPERLINK("https://youglish.com/pronounce/我能胜任这份工作/chinese","🔍")</f>
        <v/>
      </c>
    </row>
    <row r="3300" ht="28.5" customHeight="1" s="99">
      <c r="A3300" s="92" t="inlineStr">
        <is>
          <t>PDF-Từ vựng phỏng vấn _ HỌC BÁ CHINESE.pdf</t>
        </is>
      </c>
      <c r="B3300" s="93" t="inlineStr">
        <is>
          <t>10</t>
        </is>
      </c>
      <c r="C3300" s="92" t="inlineStr">
        <is>
          <t>流利</t>
        </is>
      </c>
      <c r="D3300" s="92" t="inlineStr">
        <is>
          <t>liúlì – lưu loát</t>
        </is>
      </c>
      <c r="E3300" s="92" t="inlineStr">
        <is>
          <t>10. 流利 liúlì – lưu loát</t>
        </is>
      </c>
      <c r="F3300" s="114">
        <f>HYPERLINK("https://youglish.com/pronounce/流利/chinese","🔍")</f>
        <v/>
      </c>
    </row>
    <row r="3301" ht="28.5" customHeight="1" s="99">
      <c r="A3301" s="94" t="inlineStr">
        <is>
          <t>PDF-Từ vựng phỏng vấn _ HỌC BÁ CHINESE.pdf</t>
        </is>
      </c>
      <c r="B3301" s="95" t="inlineStr">
        <is>
          <t>482</t>
        </is>
      </c>
      <c r="C3301" s="94" t="inlineStr">
        <is>
          <t>我的英语说得很流利</t>
        </is>
      </c>
      <c r="D3301" s="94" t="inlineStr">
        <is>
          <t>Tiếng Anh của tôi nói rất lưu loát.</t>
        </is>
      </c>
      <c r="E3301" s="94" t="inlineStr">
        <is>
          <t>我的英语说得很流利。– Tiếng Anh của tôi nói rất lưu loát.</t>
        </is>
      </c>
      <c r="F3301" s="115">
        <f>HYPERLINK("https://youglish.com/pronounce/我的英语说得很流利/chinese","🔍")</f>
        <v/>
      </c>
    </row>
    <row r="3302" ht="28.5" customHeight="1" s="99">
      <c r="A3302" s="92" t="inlineStr">
        <is>
          <t>PDF-Từ vựng phỏng vấn _ HỌC BÁ CHINESE.pdf</t>
        </is>
      </c>
      <c r="B3302" s="93" t="inlineStr">
        <is>
          <t>11</t>
        </is>
      </c>
      <c r="C3302" s="92" t="inlineStr">
        <is>
          <t>接触</t>
        </is>
      </c>
      <c r="D3302" s="92" t="inlineStr">
        <is>
          <t>jiēchù – tiếp xúc</t>
        </is>
      </c>
      <c r="E3302" s="92" t="inlineStr">
        <is>
          <t>11. 接触 jiēchù – tiếp xúc</t>
        </is>
      </c>
      <c r="F3302" s="114">
        <f>HYPERLINK("https://youglish.com/pronounce/接触/chinese","🔍")</f>
        <v/>
      </c>
    </row>
    <row r="3303" ht="28.5" customHeight="1" s="99">
      <c r="A3303" s="94" t="inlineStr">
        <is>
          <t>PDF-Từ vựng phỏng vấn _ HỌC BÁ CHINESE.pdf</t>
        </is>
      </c>
      <c r="B3303" s="95" t="inlineStr">
        <is>
          <t>484</t>
        </is>
      </c>
      <c r="C3303" s="94" t="inlineStr">
        <is>
          <t>我喜欢接触不同的人</t>
        </is>
      </c>
      <c r="D3303" s="94" t="inlineStr">
        <is>
          <t>Tôi thích tiếp xúc với nhiều người khác nhau.</t>
        </is>
      </c>
      <c r="E3303" s="94" t="inlineStr">
        <is>
          <t>我喜欢接触不同的人。– Tôi thích tiếp xúc với nhiều người khác nhau.</t>
        </is>
      </c>
      <c r="F3303" s="115">
        <f>HYPERLINK("https://youglish.com/pronounce/我喜欢接触不同的人/chinese","🔍")</f>
        <v/>
      </c>
    </row>
    <row r="3304" ht="28.5" customHeight="1" s="99">
      <c r="A3304" s="92" t="inlineStr">
        <is>
          <t>PDF-Từ vựng phỏng vấn _ HỌC BÁ CHINESE.pdf</t>
        </is>
      </c>
      <c r="B3304" s="93" t="inlineStr">
        <is>
          <t>12</t>
        </is>
      </c>
      <c r="C3304" s="92" t="inlineStr">
        <is>
          <t>考虑</t>
        </is>
      </c>
      <c r="D3304" s="92" t="inlineStr">
        <is>
          <t>kǎolǜ – cân nhắc, xem xét</t>
        </is>
      </c>
      <c r="E3304" s="92" t="inlineStr">
        <is>
          <t>12. 考虑 kǎolǜ – cân nhắc, xem xét</t>
        </is>
      </c>
      <c r="F3304" s="114">
        <f>HYPERLINK("https://youglish.com/pronounce/考虑/chinese","🔍")</f>
        <v/>
      </c>
    </row>
    <row r="3305" ht="28.5" customHeight="1" s="99">
      <c r="A3305" s="94" t="inlineStr">
        <is>
          <t>PDF-Từ vựng phỏng vấn _ HỌC BÁ CHINESE.pdf</t>
        </is>
      </c>
      <c r="B3305" s="95" t="inlineStr">
        <is>
          <t>486</t>
        </is>
      </c>
      <c r="C3305" s="94" t="inlineStr">
        <is>
          <t>我会认真考虑这个问题</t>
        </is>
      </c>
      <c r="D3305" s="94" t="inlineStr">
        <is>
          <t>Tôi sẽ cân nhắc nghiêm túc vấn đề này.</t>
        </is>
      </c>
      <c r="E3305" s="94" t="inlineStr">
        <is>
          <t>我会认真考虑这个问题。– Tôi sẽ cân nhắc nghiêm túc vấn đề này.</t>
        </is>
      </c>
      <c r="F3305" s="115">
        <f>HYPERLINK("https://youglish.com/pronounce/我会认真考虑这个问题/chinese","🔍")</f>
        <v/>
      </c>
    </row>
    <row r="3306" ht="28.5" customHeight="1" s="99">
      <c r="A3306" s="92" t="inlineStr">
        <is>
          <t>PDF-Từ vựng phỏng vấn _ HỌC BÁ CHINESE.pdf</t>
        </is>
      </c>
      <c r="B3306" s="93" t="inlineStr">
        <is>
          <t>13</t>
        </is>
      </c>
      <c r="C3306" s="92" t="inlineStr">
        <is>
          <t>发展</t>
        </is>
      </c>
      <c r="D3306" s="92" t="inlineStr">
        <is>
          <t>fāzhǎn – phát triển</t>
        </is>
      </c>
      <c r="E3306" s="92" t="inlineStr">
        <is>
          <t>13. 发展 fāzhǎn – phát triển</t>
        </is>
      </c>
      <c r="F3306" s="114">
        <f>HYPERLINK("https://youglish.com/pronounce/发展/chinese","🔍")</f>
        <v/>
      </c>
    </row>
    <row r="3307" ht="28.5" customHeight="1" s="99">
      <c r="A3307" s="94" t="inlineStr">
        <is>
          <t>PDF-Từ vựng phỏng vấn _ HỌC BÁ CHINESE.pdf</t>
        </is>
      </c>
      <c r="B3307" s="95" t="inlineStr">
        <is>
          <t>488</t>
        </is>
      </c>
      <c r="C3307" s="94" t="inlineStr">
        <is>
          <t>我希望在工作中得到发展</t>
        </is>
      </c>
      <c r="D3307" s="94" t="inlineStr">
        <is>
          <t>Tôi mong được phát triển trong công việc.</t>
        </is>
      </c>
      <c r="E3307" s="94" t="inlineStr">
        <is>
          <t>我希望在工作中得到发展。– Tôi mong được phát triển trong công việc.</t>
        </is>
      </c>
      <c r="F3307" s="115">
        <f>HYPERLINK("https://youglish.com/pronounce/我希望在工作中得到发展/chinese","🔍")</f>
        <v/>
      </c>
    </row>
    <row r="3308" ht="28.5" customHeight="1" s="99">
      <c r="A3308" s="92" t="inlineStr">
        <is>
          <t>PDF-Từ vựng phỏng vấn _ HỌC BÁ CHINESE.pdf</t>
        </is>
      </c>
      <c r="B3308" s="93" t="inlineStr">
        <is>
          <t>14</t>
        </is>
      </c>
      <c r="C3308" s="92" t="inlineStr">
        <is>
          <t>切合实际</t>
        </is>
      </c>
      <c r="D3308" s="92" t="inlineStr">
        <is>
          <t>qièhés shíjì – thực tế</t>
        </is>
      </c>
      <c r="E3308" s="92" t="inlineStr">
        <is>
          <t>14. 切合实际 qièhés shíjì – thực tế</t>
        </is>
      </c>
      <c r="F3308" s="114">
        <f>HYPERLINK("https://youglish.com/pronounce/切合实际/chinese","🔍")</f>
        <v/>
      </c>
    </row>
    <row r="3309" ht="28.5" customHeight="1" s="99">
      <c r="A3309" s="94" t="inlineStr">
        <is>
          <t>PDF-Từ vựng phỏng vấn _ HỌC BÁ CHINESE.pdf</t>
        </is>
      </c>
      <c r="B3309" s="95" t="inlineStr">
        <is>
          <t>490</t>
        </is>
      </c>
      <c r="C3309" s="94" t="inlineStr">
        <is>
          <t>你的想法很切合实际</t>
        </is>
      </c>
      <c r="D3309" s="94" t="inlineStr">
        <is>
          <t>Ý tưởng của bạn rất thực tế.</t>
        </is>
      </c>
      <c r="E3309" s="94" t="inlineStr">
        <is>
          <t>你的想法很切合实际。– Ý tưởng của bạn rất thực tế.</t>
        </is>
      </c>
      <c r="F3309" s="115">
        <f>HYPERLINK("https://youglish.com/pronounce/你的想法很切合实际/chinese","🔍")</f>
        <v/>
      </c>
    </row>
    <row r="3310" ht="28.5" customHeight="1" s="99">
      <c r="A3310" s="92" t="inlineStr">
        <is>
          <t>PDF-Từ vựng phỏng vấn _ HỌC BÁ CHINESE.pdf</t>
        </is>
      </c>
      <c r="B3310" s="93" t="inlineStr">
        <is>
          <t>15</t>
        </is>
      </c>
      <c r="C3310" s="92" t="inlineStr">
        <is>
          <t>消息</t>
        </is>
      </c>
      <c r="D3310" s="92" t="inlineStr">
        <is>
          <t>xiāoxi – tin tức, thông báo</t>
        </is>
      </c>
      <c r="E3310" s="92" t="inlineStr">
        <is>
          <t>15. 消息 xiāoxi – tin tức, thông báo</t>
        </is>
      </c>
      <c r="F3310" s="114">
        <f>HYPERLINK("https://youglish.com/pronounce/消息/chinese","🔍")</f>
        <v/>
      </c>
    </row>
    <row r="3311" ht="28.5" customHeight="1" s="99">
      <c r="A3311" s="94" t="inlineStr">
        <is>
          <t>PDF-Từ vựng phỏng vấn _ HỌC BÁ CHINESE.pdf</t>
        </is>
      </c>
      <c r="B3311" s="95" t="inlineStr">
        <is>
          <t>492</t>
        </is>
      </c>
      <c r="C3311" s="94" t="inlineStr">
        <is>
          <t>请你等我的消息</t>
        </is>
      </c>
      <c r="D3311" s="94" t="inlineStr">
        <is>
          <t>Vui lòng chờ tin của tôi.</t>
        </is>
      </c>
      <c r="E3311" s="94" t="inlineStr">
        <is>
          <t>请你等我的消息。– Vui lòng chờ tin của tôi.</t>
        </is>
      </c>
      <c r="F3311" s="115">
        <f>HYPERLINK("https://youglish.com/pronounce/请你等我的消息/chinese","🔍")</f>
        <v/>
      </c>
    </row>
    <row r="3312" ht="28.5" customHeight="1" s="99">
      <c r="A3312" s="92" t="inlineStr">
        <is>
          <t>PDF-Từ vựng phỏng vấn _ HỌC BÁ CHINESE.pdf</t>
        </is>
      </c>
      <c r="B3312" s="93" t="inlineStr">
        <is>
          <t>16</t>
        </is>
      </c>
      <c r="C3312" s="92" t="inlineStr">
        <is>
          <t>能力</t>
        </is>
      </c>
      <c r="D3312" s="92" t="inlineStr">
        <is>
          <t>nénglì – năng lực</t>
        </is>
      </c>
      <c r="E3312" s="92" t="inlineStr">
        <is>
          <t>16. 能力 nénglì – năng lực</t>
        </is>
      </c>
      <c r="F3312" s="114">
        <f>HYPERLINK("https://youglish.com/pronounce/能力/chinese","🔍")</f>
        <v/>
      </c>
    </row>
    <row r="3313" ht="28.5" customHeight="1" s="99">
      <c r="A3313" s="94" t="inlineStr">
        <is>
          <t>PDF-Từ vựng phỏng vấn _ HỌC BÁ CHINESE.pdf</t>
        </is>
      </c>
      <c r="B3313" s="95" t="inlineStr">
        <is>
          <t>494</t>
        </is>
      </c>
      <c r="C3313" s="94" t="inlineStr">
        <is>
          <t>她的能力很强</t>
        </is>
      </c>
      <c r="D3313" s="94" t="inlineStr">
        <is>
          <t>Năng lực của cô ấy rất mạnh.</t>
        </is>
      </c>
      <c r="E3313" s="94" t="inlineStr">
        <is>
          <t>她的能力很强。– Năng lực của cô ấy rất mạnh.</t>
        </is>
      </c>
      <c r="F3313" s="115">
        <f>HYPERLINK("https://youglish.com/pronounce/她的能力很强/chinese","🔍")</f>
        <v/>
      </c>
    </row>
    <row r="3314" ht="28.5" customHeight="1" s="99">
      <c r="A3314" s="92" t="inlineStr">
        <is>
          <t>PDF-Từ vựng phỏng vấn _ HỌC BÁ CHINESE.pdf</t>
        </is>
      </c>
      <c r="B3314" s="93" t="inlineStr">
        <is>
          <t>17</t>
        </is>
      </c>
      <c r="C3314" s="92" t="inlineStr">
        <is>
          <t>职位</t>
        </is>
      </c>
      <c r="D3314" s="92" t="inlineStr">
        <is>
          <t>zhíwèi – vị trí công việc</t>
        </is>
      </c>
      <c r="E3314" s="92" t="inlineStr">
        <is>
          <t>17. 职位 zhíwèi – vị trí công việc</t>
        </is>
      </c>
      <c r="F3314" s="114">
        <f>HYPERLINK("https://youglish.com/pronounce/职位/chinese","🔍")</f>
        <v/>
      </c>
    </row>
    <row r="3315" ht="28.5" customHeight="1" s="99">
      <c r="A3315" s="94" t="inlineStr">
        <is>
          <t>PDF-Từ vựng phỏng vấn _ HỌC BÁ CHINESE.pdf</t>
        </is>
      </c>
      <c r="B3315" s="95" t="inlineStr">
        <is>
          <t>496</t>
        </is>
      </c>
      <c r="C3315" s="94" t="inlineStr">
        <is>
          <t>我申请的是经理职位</t>
        </is>
      </c>
      <c r="D3315" s="94" t="inlineStr">
        <is>
          <t>Tôi ứng tuyển vị trí quản lý.</t>
        </is>
      </c>
      <c r="E3315" s="94" t="inlineStr">
        <is>
          <t>我申请的是经理职位。– Tôi ứng tuyển vị trí quản lý.</t>
        </is>
      </c>
      <c r="F3315" s="115">
        <f>HYPERLINK("https://youglish.com/pronounce/我申请的是经理职位/chinese","🔍")</f>
        <v/>
      </c>
    </row>
    <row r="3316" ht="28.5" customHeight="1" s="99">
      <c r="A3316" s="92" t="inlineStr">
        <is>
          <t>PDF-Từ vựng phỏng vấn _ HỌC BÁ CHINESE.pdf</t>
        </is>
      </c>
      <c r="B3316" s="93" t="inlineStr">
        <is>
          <t>18</t>
        </is>
      </c>
      <c r="C3316" s="92" t="inlineStr">
        <is>
          <t>工作目标</t>
        </is>
      </c>
      <c r="D3316" s="92" t="inlineStr">
        <is>
          <t>gōngzuò mùbiāo – mục tiêu công việc</t>
        </is>
      </c>
      <c r="E3316" s="92" t="inlineStr">
        <is>
          <t>18. 工作目标 gōngzuò mùbiāo – mục tiêu công việc</t>
        </is>
      </c>
      <c r="F3316" s="114">
        <f>HYPERLINK("https://youglish.com/pronounce/工作目标/chinese","🔍")</f>
        <v/>
      </c>
    </row>
    <row r="3317" ht="28.5" customHeight="1" s="99">
      <c r="A3317" s="94" t="inlineStr">
        <is>
          <t>PDF-Từ vựng phỏng vấn _ HỌC BÁ CHINESE.pdf</t>
        </is>
      </c>
      <c r="B3317" s="95" t="inlineStr">
        <is>
          <t>498</t>
        </is>
      </c>
      <c r="C3317" s="94" t="inlineStr">
        <is>
          <t>我现在要确定我的工作目标</t>
        </is>
      </c>
      <c r="D3317" s="94" t="inlineStr">
        <is>
          <t>Tôi cần xác định mục tiêu công việc của mình.</t>
        </is>
      </c>
      <c r="E3317" s="94" t="inlineStr">
        <is>
          <t>我现在要确定我的工作目标。– Tôi cần xác định mục tiêu công việc của mình.</t>
        </is>
      </c>
      <c r="F3317" s="115">
        <f>HYPERLINK("https://youglish.com/pronounce/我现在要确定我的工作目标/chinese","🔍")</f>
        <v/>
      </c>
    </row>
    <row r="3318" ht="28.5" customHeight="1" s="99">
      <c r="A3318" s="92" t="inlineStr">
        <is>
          <t>PDF-Từ vựng phỏng vấn _ HỌC BÁ CHINESE.pdf</t>
        </is>
      </c>
      <c r="B3318" s="93" t="inlineStr">
        <is>
          <t>19</t>
        </is>
      </c>
      <c r="C3318" s="92" t="inlineStr">
        <is>
          <t>影响</t>
        </is>
      </c>
      <c r="D3318" s="92" t="inlineStr">
        <is>
          <t>yǐngxiǎng – ảnh hưởng</t>
        </is>
      </c>
      <c r="E3318" s="92" t="inlineStr">
        <is>
          <t>19. 影响 yǐngxiǎng – ảnh hưởng</t>
        </is>
      </c>
      <c r="F3318" s="114">
        <f>HYPERLINK("https://youglish.com/pronounce/影响/chinese","🔍")</f>
        <v/>
      </c>
    </row>
    <row r="3319" ht="28.5" customHeight="1" s="99">
      <c r="A3319" s="94" t="inlineStr">
        <is>
          <t>PDF-Từ vựng phỏng vấn _ HỌC BÁ CHINESE.pdf</t>
        </is>
      </c>
      <c r="B3319" s="95" t="inlineStr">
        <is>
          <t>500</t>
        </is>
      </c>
      <c r="C3319" s="94" t="inlineStr">
        <is>
          <t>这会影响你的决定</t>
        </is>
      </c>
      <c r="D3319" s="94" t="inlineStr">
        <is>
          <t>Việc này sẽ ảnh hưởng đến quyết định của bạn.</t>
        </is>
      </c>
      <c r="E3319" s="94" t="inlineStr">
        <is>
          <t>这会影响你的决定。– Việc này sẽ ảnh hưởng đến quyết định của bạn.</t>
        </is>
      </c>
      <c r="F3319" s="115">
        <f>HYPERLINK("https://youglish.com/pronounce/这会影响你的决定/chinese","🔍")</f>
        <v/>
      </c>
    </row>
    <row r="3320" ht="28.5" customHeight="1" s="99">
      <c r="A3320" s="92" t="inlineStr">
        <is>
          <t>PDF-Từ vựng phỏng vấn _ HỌC BÁ CHINESE.pdf</t>
        </is>
      </c>
      <c r="B3320" s="93" t="inlineStr">
        <is>
          <t>20</t>
        </is>
      </c>
      <c r="C3320" s="92" t="inlineStr">
        <is>
          <t>适合</t>
        </is>
      </c>
      <c r="D3320" s="92" t="inlineStr">
        <is>
          <t>shìhé – phù hợp</t>
        </is>
      </c>
      <c r="E3320" s="92" t="inlineStr">
        <is>
          <t>20. 适合 shìhé – phù hợp</t>
        </is>
      </c>
      <c r="F3320" s="114">
        <f>HYPERLINK("https://youglish.com/pronounce/适合/chinese","🔍")</f>
        <v/>
      </c>
    </row>
    <row r="3321" ht="28.5" customHeight="1" s="99">
      <c r="A3321" s="94" t="inlineStr">
        <is>
          <t>PDF-Từ vựng phỏng vấn _ HỌC BÁ CHINESE.pdf</t>
        </is>
      </c>
      <c r="B3321" s="95" t="inlineStr">
        <is>
          <t>502</t>
        </is>
      </c>
      <c r="C3321" s="94" t="inlineStr">
        <is>
          <t>我觉得这份工作很适合我</t>
        </is>
      </c>
      <c r="D3321" s="94" t="inlineStr">
        <is>
          <t>Tôi thấy công việc này rất phù hợp với mình.</t>
        </is>
      </c>
      <c r="E3321" s="94" t="inlineStr">
        <is>
          <t>我觉得这份工作很适合我。– Tôi thấy công việc này rất phù hợp với mình.</t>
        </is>
      </c>
      <c r="F3321" s="115">
        <f>HYPERLINK("https://youglish.com/pronounce/我觉得这份工作很适合我/chinese","🔍")</f>
        <v/>
      </c>
    </row>
    <row r="3322" ht="28.5" customHeight="1" s="99">
      <c r="A3322" s="92" t="inlineStr">
        <is>
          <t>PDF-Từ vựng phỏng vấn _ HỌC BÁ CHINESE.pdf</t>
        </is>
      </c>
      <c r="B3322" s="93" t="inlineStr">
        <is>
          <t>21</t>
        </is>
      </c>
      <c r="C3322" s="92" t="inlineStr">
        <is>
          <t>长期</t>
        </is>
      </c>
      <c r="D3322" s="92" t="inlineStr">
        <is>
          <t>chángqī – dài hạn</t>
        </is>
      </c>
      <c r="E3322" s="92" t="inlineStr">
        <is>
          <t>21. 长期 chángqī – dài hạn</t>
        </is>
      </c>
      <c r="F3322" s="114">
        <f>HYPERLINK("https://youglish.com/pronounce/长期/chinese","🔍")</f>
        <v/>
      </c>
    </row>
    <row r="3323" ht="28.5" customHeight="1" s="99">
      <c r="A3323" s="94" t="inlineStr">
        <is>
          <t>PDF-Từ vựng phỏng vấn _ HỌC BÁ CHINESE.pdf</t>
        </is>
      </c>
      <c r="B3323" s="95" t="inlineStr">
        <is>
          <t>504</t>
        </is>
      </c>
      <c r="C3323" s="94" t="inlineStr">
        <is>
          <t>我考虑的是长期发展</t>
        </is>
      </c>
      <c r="D3323" s="94" t="inlineStr">
        <is>
          <t>Tôi hướng đến phát triển dài hạn.</t>
        </is>
      </c>
      <c r="E3323" s="94" t="inlineStr">
        <is>
          <t>我考虑的是长期发展。– Tôi hướng đến phát triển dài hạn.</t>
        </is>
      </c>
      <c r="F3323" s="115">
        <f>HYPERLINK("https://youglish.com/pronounce/我考虑的是长期发展/chinese","🔍")</f>
        <v/>
      </c>
    </row>
    <row r="3324" ht="28.5" customHeight="1" s="99">
      <c r="A3324" s="92" t="inlineStr">
        <is>
          <t>PDF-Từ vựng phỏng vấn _ HỌC BÁ CHINESE.pdf</t>
        </is>
      </c>
      <c r="B3324" s="93" t="inlineStr">
        <is>
          <t>22</t>
        </is>
      </c>
      <c r="C3324" s="92" t="inlineStr">
        <is>
          <t>决定</t>
        </is>
      </c>
      <c r="D3324" s="92" t="inlineStr">
        <is>
          <t>juédìng – quyết định</t>
        </is>
      </c>
      <c r="E3324" s="92" t="inlineStr">
        <is>
          <t>22. 决定 juédìng – quyết định</t>
        </is>
      </c>
      <c r="F3324" s="114">
        <f>HYPERLINK("https://youglish.com/pronounce/决定/chinese","🔍")</f>
        <v/>
      </c>
    </row>
    <row r="3325" ht="28.5" customHeight="1" s="99">
      <c r="A3325" s="94" t="inlineStr">
        <is>
          <t>PDF-Từ vựng phỏng vấn _ HỌC BÁ CHINESE.pdf</t>
        </is>
      </c>
      <c r="B3325" s="95" t="inlineStr">
        <is>
          <t>506</t>
        </is>
      </c>
      <c r="C3325" s="94" t="inlineStr">
        <is>
          <t>公司会决定是否继续录用我</t>
        </is>
      </c>
      <c r="D3325" s="94" t="inlineStr">
        <is>
          <t>Công ty sẽ quyết định có tiếp tục tuyển dụng tôi hay không.</t>
        </is>
      </c>
      <c r="E3325" s="94" t="inlineStr">
        <is>
          <t>公司会决定是否继续录用我。– Công ty sẽ quyết định có tiếp tục tuyển dụng tôi hay không.</t>
        </is>
      </c>
      <c r="F3325" s="115">
        <f>HYPERLINK("https://youglish.com/pronounce/公司会决定是否继续录用我/chinese","🔍")</f>
        <v/>
      </c>
    </row>
    <row r="3326" ht="28.5" customHeight="1" s="99">
      <c r="A3326" s="92" t="inlineStr">
        <is>
          <t>PDF-Từ vựng phỏng vấn _ HỌC BÁ CHINESE.pdf</t>
        </is>
      </c>
      <c r="B3326" s="93" t="inlineStr">
        <is>
          <t>23</t>
        </is>
      </c>
      <c r="C3326" s="92" t="inlineStr">
        <is>
          <t>喜欢</t>
        </is>
      </c>
      <c r="D3326" s="92" t="inlineStr">
        <is>
          <t>xǐhuan – thích</t>
        </is>
      </c>
      <c r="E3326" s="92" t="inlineStr">
        <is>
          <t>23. 喜欢 xǐhuan – thích</t>
        </is>
      </c>
      <c r="F3326" s="114">
        <f>HYPERLINK("https://youglish.com/pronounce/喜欢/chinese","🔍")</f>
        <v/>
      </c>
    </row>
    <row r="3327" ht="28.5" customHeight="1" s="99">
      <c r="A3327" s="94" t="inlineStr">
        <is>
          <t>PDF-Từ vựng phỏng vấn _ HỌC BÁ CHINESE.pdf</t>
        </is>
      </c>
      <c r="B3327" s="95" t="inlineStr">
        <is>
          <t>508</t>
        </is>
      </c>
      <c r="C3327" s="94" t="inlineStr">
        <is>
          <t>我喜欢与人沟通</t>
        </is>
      </c>
      <c r="D3327" s="94" t="inlineStr">
        <is>
          <t>Tôi thích giao tiếp với mọi người.</t>
        </is>
      </c>
      <c r="E3327" s="94" t="inlineStr">
        <is>
          <t>我喜欢与人沟通。– Tôi thích giao tiếp với mọi người.</t>
        </is>
      </c>
      <c r="F3327" s="115">
        <f>HYPERLINK("https://youglish.com/pronounce/我喜欢与人沟通/chinese","🔍")</f>
        <v/>
      </c>
    </row>
    <row r="3328" ht="28.5" customHeight="1" s="99">
      <c r="A3328" s="92" t="inlineStr">
        <is>
          <t>PDF-Từ vựng phỏng vấn _ HỌC BÁ CHINESE.pdf</t>
        </is>
      </c>
      <c r="B3328" s="93" t="inlineStr">
        <is>
          <t>24</t>
        </is>
      </c>
      <c r="C3328" s="92" t="inlineStr">
        <is>
          <t>工作经验</t>
        </is>
      </c>
      <c r="D3328" s="92" t="inlineStr">
        <is>
          <t>gōngzuò jīngyàn – kinh nghiệm làm việc</t>
        </is>
      </c>
      <c r="E3328" s="92" t="inlineStr">
        <is>
          <t>24. 工作经验 gōngzuò jīngyàn – kinh nghiệm làm việc</t>
        </is>
      </c>
      <c r="F3328" s="114">
        <f>HYPERLINK("https://youglish.com/pronounce/工作经验/chinese","🔍")</f>
        <v/>
      </c>
    </row>
    <row r="3329" ht="28.5" customHeight="1" s="99">
      <c r="A3329" s="94" t="inlineStr">
        <is>
          <t>PDF-Từ vựng phỏng vấn _ HỌC BÁ CHINESE.pdf</t>
        </is>
      </c>
      <c r="B3329" s="95" t="inlineStr">
        <is>
          <t>510</t>
        </is>
      </c>
      <c r="C3329" s="94" t="inlineStr">
        <is>
          <t>我有三年的工作经验</t>
        </is>
      </c>
      <c r="D3329" s="94" t="inlineStr">
        <is>
          <t>Tôi có ba năm kinh nghiệm làm việc.</t>
        </is>
      </c>
      <c r="E3329" s="94" t="inlineStr">
        <is>
          <t>我有三年的工作经验。– Tôi có ba năm kinh nghiệm làm việc.</t>
        </is>
      </c>
      <c r="F3329" s="115">
        <f>HYPERLINK("https://youglish.com/pronounce/我有三年的工作经验/chinese","🔍")</f>
        <v/>
      </c>
    </row>
    <row r="3330" ht="28.5" customHeight="1" s="99">
      <c r="A3330" s="92" t="inlineStr">
        <is>
          <t>PDF-Từ vựng phỏng vấn _ HỌC BÁ CHINESE.pdf</t>
        </is>
      </c>
      <c r="B3330" s="93" t="inlineStr">
        <is>
          <t>25</t>
        </is>
      </c>
      <c r="C3330" s="92" t="inlineStr">
        <is>
          <t>认真</t>
        </is>
      </c>
      <c r="D3330" s="92" t="inlineStr">
        <is>
          <t>rènzhēn – nghiêm túc</t>
        </is>
      </c>
      <c r="E3330" s="92" t="inlineStr">
        <is>
          <t>25. 认真 rènzhēn – nghiêm túc</t>
        </is>
      </c>
      <c r="F3330" s="114">
        <f>HYPERLINK("https://youglish.com/pronounce/认真/chinese","🔍")</f>
        <v/>
      </c>
    </row>
    <row r="3331" ht="28.5" customHeight="1" s="99">
      <c r="A3331" s="94" t="inlineStr">
        <is>
          <t>PDF-Từ vựng phỏng vấn _ HỌC BÁ CHINESE.pdf</t>
        </is>
      </c>
      <c r="B3331" s="95" t="inlineStr">
        <is>
          <t>512</t>
        </is>
      </c>
      <c r="C3331" s="94" t="inlineStr">
        <is>
          <t>我会认真对待这份工作</t>
        </is>
      </c>
      <c r="D3331" s="94" t="inlineStr">
        <is>
          <t>Tôi sẽ nghiêm túc với công việc này.</t>
        </is>
      </c>
      <c r="E3331" s="94" t="inlineStr">
        <is>
          <t>我会认真对待这份工作。– Tôi sẽ nghiêm túc với công việc này.</t>
        </is>
      </c>
      <c r="F3331" s="115">
        <f>HYPERLINK("https://youglish.com/pronounce/我会认真对待这份工作/chinese","🔍")</f>
        <v/>
      </c>
    </row>
  </sheetData>
  <autoFilter ref="A1:E333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4.25"/>
  <cols>
    <col width="6" customWidth="1" style="99" min="1" max="1"/>
    <col width="52" customWidth="1" style="99" min="2" max="2"/>
    <col width="12" customWidth="1" style="99" min="3" max="3"/>
    <col width="55" customWidth="1" style="99" min="4" max="4"/>
  </cols>
  <sheetData>
    <row r="1" ht="22.05" customHeight="1" s="99">
      <c r="A1" s="103" t="inlineStr">
        <is>
          <t>📊 THỐNG KÊ SỐ CÂU/MỤC TRÍCH TỪ NGUỒN NotebookLM</t>
        </is>
      </c>
    </row>
    <row r="2">
      <c r="A2" s="104" t="inlineStr">
        <is>
          <t>Notebook: Trọn bộ 500 Từ vựng HSK 1 Đầy đủ  •  Trích xuất: 20260813_001110</t>
        </is>
      </c>
    </row>
    <row r="4">
      <c r="A4" s="90" t="inlineStr">
        <is>
          <t>STT</t>
        </is>
      </c>
      <c r="B4" s="90" t="inlineStr">
        <is>
          <t>Nguồn (PDF)</t>
        </is>
      </c>
      <c r="C4" s="90" t="inlineStr">
        <is>
          <t>Số câu/mục</t>
        </is>
      </c>
      <c r="D4" s="90" t="inlineStr">
        <is>
          <t>Ghi chú</t>
        </is>
      </c>
    </row>
    <row r="5">
      <c r="A5" s="95" t="n">
        <v>1</v>
      </c>
      <c r="B5" s="94" t="inlineStr">
        <is>
          <t>626 ĐPTM.pdf</t>
        </is>
      </c>
      <c r="C5" s="95" t="n">
        <v>646</v>
      </c>
      <c r="D5" s="94" t="inlineStr">
        <is>
          <t>Đàm phán TM - đã ghép lại câu bị vỡ dòng (2 cột)</t>
        </is>
      </c>
    </row>
    <row r="6">
      <c r="A6" s="95" t="n">
        <v>2</v>
      </c>
      <c r="B6" s="94" t="inlineStr">
        <is>
          <t>PDF Tiếng Trung Đàm Phán Thương Mại _ HỌC BÁ CHINESE.pdf</t>
        </is>
      </c>
      <c r="C6" s="95" t="n">
        <v>202</v>
      </c>
      <c r="D6" s="94" t="inlineStr">
        <is>
          <t>Câu Hán + Pinyin + Nghĩa</t>
        </is>
      </c>
    </row>
    <row r="7">
      <c r="A7" s="95" t="n">
        <v>3</v>
      </c>
      <c r="B7" s="94" t="inlineStr">
        <is>
          <t>PDF_Tiếng trung Full BỘ BCT.pdf</t>
        </is>
      </c>
      <c r="C7" s="95" t="n">
        <v>999</v>
      </c>
      <c r="D7" s="94" t="inlineStr">
        <is>
          <t>Thuật ngữ PMC/chuỗi cung ứng (Hán+Pinyin+Anh+Việt)</t>
        </is>
      </c>
    </row>
    <row r="8">
      <c r="A8" s="95" t="n">
        <v>4</v>
      </c>
      <c r="B8" s="94" t="inlineStr">
        <is>
          <t>PDF 300+ Mẫu Câu Giao tiếp theo chủ đề.pdf</t>
        </is>
      </c>
      <c r="C8" s="95" t="n">
        <v>610</v>
      </c>
      <c r="D8" s="94" t="inlineStr">
        <is>
          <t>Từ vựng + mẫu câu theo chủ đề</t>
        </is>
      </c>
    </row>
    <row r="9">
      <c r="A9" s="95" t="n">
        <v>5</v>
      </c>
      <c r="B9" s="94" t="inlineStr">
        <is>
          <t>PDF 500 mẫu câu thông dụng.pdf</t>
        </is>
      </c>
      <c r="C9" s="95" t="n">
        <v>184</v>
      </c>
      <c r="D9" s="94" t="inlineStr">
        <is>
          <t>Mẫu câu giao tiếp thông dụng</t>
        </is>
      </c>
    </row>
    <row r="10">
      <c r="A10" s="95" t="n">
        <v>6</v>
      </c>
      <c r="B10" s="94" t="inlineStr">
        <is>
          <t>PDF_Tổng hợp từ vựng mẫu câ cho NDL.pdf</t>
        </is>
      </c>
      <c r="C10" s="95" t="n">
        <v>177</v>
      </c>
      <c r="D10" s="94" t="inlineStr">
        <is>
          <t>Từ vựng + mẫu câu người đi làm</t>
        </is>
      </c>
    </row>
    <row r="11">
      <c r="A11" s="95" t="n">
        <v>7</v>
      </c>
      <c r="B11" s="94" t="inlineStr">
        <is>
          <t>PDF-Từ vựng phỏng vấn _ HỌC BÁ CHINESE.pdf</t>
        </is>
      </c>
      <c r="C11" s="95" t="n">
        <v>512</v>
      </c>
      <c r="D11" s="94" t="inlineStr">
        <is>
          <t>Từ vựng + câu ví dụ phỏng vấn</t>
        </is>
      </c>
    </row>
    <row r="12">
      <c r="A12" s="96" t="n"/>
      <c r="B12" s="97" t="inlineStr">
        <is>
          <t>TỔNG CỘNG</t>
        </is>
      </c>
      <c r="C12" s="96" t="n">
        <v>3330</v>
      </c>
      <c r="D12" s="97" t="inlineStr">
        <is>
          <t>7 nguồn đọc được / 8 nguồn (1 nguồn lỗi, ko đọc được)</t>
        </is>
      </c>
    </row>
  </sheetData>
  <mergeCells count="2">
    <mergeCell ref="A1:D1"/>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02"/>
  <sheetViews>
    <sheetView workbookViewId="0">
      <pane ySplit="2" topLeftCell="A3" activePane="bottomLeft" state="frozen"/>
      <selection pane="bottomLeft" activeCell="A1" sqref="A1"/>
    </sheetView>
  </sheetViews>
  <sheetFormatPr baseColWidth="8" defaultRowHeight="15"/>
  <cols>
    <col width="6" customWidth="1" style="99" min="1" max="1"/>
    <col width="22" customWidth="1" style="99" min="2" max="2"/>
    <col width="18" customWidth="1" style="99" min="3" max="3"/>
    <col width="22" customWidth="1" style="99" min="4" max="4"/>
    <col width="36" customWidth="1" style="99" min="5" max="5"/>
    <col width="26" customWidth="1" style="99" min="6" max="6"/>
    <col width="11" customWidth="1" style="99" min="7" max="7"/>
  </cols>
  <sheetData>
    <row r="1" ht="24" customHeight="1" s="99">
      <c r="A1" s="105" t="inlineStr">
        <is>
          <t>🗣️ KHẨU NGỮ THÔNG DỤNG TIẾNG TRUNG — 500 câu cửa miệng giao tiếp hằng ngày</t>
        </is>
      </c>
    </row>
    <row r="2">
      <c r="A2" s="106" t="inlineStr">
        <is>
          <t>STT</t>
        </is>
      </c>
      <c r="B2" s="106" t="inlineStr">
        <is>
          <t>📂 Chủ đề</t>
        </is>
      </c>
      <c r="C2" s="106" t="inlineStr">
        <is>
          <t>🀄 Hán tự</t>
        </is>
      </c>
      <c r="D2" s="106" t="inlineStr">
        <is>
          <t>🔤 Pinyin</t>
        </is>
      </c>
      <c r="E2" s="106" t="inlineStr">
        <is>
          <t>🇻🇳 Nghĩa tiếng Việt</t>
        </is>
      </c>
      <c r="F2" s="106" t="inlineStr">
        <is>
          <t>💬 Cách dùng</t>
        </is>
      </c>
      <c r="G2" s="116" t="inlineStr">
        <is>
          <t>🌐 YOUGLISH</t>
        </is>
      </c>
    </row>
    <row r="3">
      <c r="A3" s="107" t="n">
        <v>1</v>
      </c>
      <c r="B3" s="108" t="inlineStr">
        <is>
          <t>Cảm thán / Phản ứng</t>
        </is>
      </c>
      <c r="C3" s="109" t="inlineStr">
        <is>
          <t>加油！</t>
        </is>
      </c>
      <c r="D3" s="108" t="inlineStr">
        <is>
          <t>Jiā yóu!</t>
        </is>
      </c>
      <c r="E3" s="108" t="inlineStr">
        <is>
          <t>Cố lên!</t>
        </is>
      </c>
      <c r="F3" s="108" t="inlineStr">
        <is>
          <t>Động viên</t>
        </is>
      </c>
      <c r="G3" s="114">
        <f>HYPERLINK("https://youglish.com/pronounce/加油/chinese","🔍")</f>
        <v/>
      </c>
    </row>
    <row r="4">
      <c r="A4" s="110" t="n">
        <v>2</v>
      </c>
      <c r="B4" s="111" t="inlineStr">
        <is>
          <t>Cảm thán / Phản ứng</t>
        </is>
      </c>
      <c r="C4" s="112" t="inlineStr">
        <is>
          <t>太好了！</t>
        </is>
      </c>
      <c r="D4" s="111" t="inlineStr">
        <is>
          <t>Tài hǎo le!</t>
        </is>
      </c>
      <c r="E4" s="111" t="inlineStr">
        <is>
          <t>Tuyệt quá!</t>
        </is>
      </c>
      <c r="F4" s="111" t="inlineStr">
        <is>
          <t>Vui mừng</t>
        </is>
      </c>
      <c r="G4" s="117">
        <f>HYPERLINK("https://youglish.com/pronounce/太好了/chinese","🔍")</f>
        <v/>
      </c>
    </row>
    <row r="5">
      <c r="A5" s="107" t="n">
        <v>3</v>
      </c>
      <c r="B5" s="108" t="inlineStr">
        <is>
          <t>Cảm thán / Phản ứng</t>
        </is>
      </c>
      <c r="C5" s="109" t="inlineStr">
        <is>
          <t>真的吗？</t>
        </is>
      </c>
      <c r="D5" s="108" t="inlineStr">
        <is>
          <t>Zhēn de ma?</t>
        </is>
      </c>
      <c r="E5" s="108" t="inlineStr">
        <is>
          <t>Thật á?</t>
        </is>
      </c>
      <c r="F5" s="108" t="inlineStr">
        <is>
          <t>Ngạc nhiên</t>
        </is>
      </c>
      <c r="G5" s="114">
        <f>HYPERLINK("https://youglish.com/pronounce/真的吗/chinese","🔍")</f>
        <v/>
      </c>
    </row>
    <row r="6">
      <c r="A6" s="110" t="n">
        <v>4</v>
      </c>
      <c r="B6" s="111" t="inlineStr">
        <is>
          <t>Cảm thán / Phản ứng</t>
        </is>
      </c>
      <c r="C6" s="112" t="inlineStr">
        <is>
          <t>不会吧！</t>
        </is>
      </c>
      <c r="D6" s="111" t="inlineStr">
        <is>
          <t>Bú huì ba!</t>
        </is>
      </c>
      <c r="E6" s="111" t="inlineStr">
        <is>
          <t>Không thể nào!</t>
        </is>
      </c>
      <c r="F6" s="111" t="inlineStr">
        <is>
          <t>Khó tin</t>
        </is>
      </c>
      <c r="G6" s="117">
        <f>HYPERLINK("https://youglish.com/pronounce/不会吧/chinese","🔍")</f>
        <v/>
      </c>
    </row>
    <row r="7">
      <c r="A7" s="107" t="n">
        <v>5</v>
      </c>
      <c r="B7" s="108" t="inlineStr">
        <is>
          <t>Cảm thán / Phản ứng</t>
        </is>
      </c>
      <c r="C7" s="109" t="inlineStr">
        <is>
          <t>哎呀！</t>
        </is>
      </c>
      <c r="D7" s="108" t="inlineStr">
        <is>
          <t>Āi yā!</t>
        </is>
      </c>
      <c r="E7" s="108" t="inlineStr">
        <is>
          <t>Ối! / Ái chà!</t>
        </is>
      </c>
      <c r="F7" s="108" t="inlineStr">
        <is>
          <t>Than, giật mình</t>
        </is>
      </c>
      <c r="G7" s="114">
        <f>HYPERLINK("https://youglish.com/pronounce/哎呀/chinese","🔍")</f>
        <v/>
      </c>
    </row>
    <row r="8">
      <c r="A8" s="110" t="n">
        <v>6</v>
      </c>
      <c r="B8" s="111" t="inlineStr">
        <is>
          <t>Cảm thán / Phản ứng</t>
        </is>
      </c>
      <c r="C8" s="112" t="inlineStr">
        <is>
          <t>哇！</t>
        </is>
      </c>
      <c r="D8" s="111" t="inlineStr">
        <is>
          <t>Wa!</t>
        </is>
      </c>
      <c r="E8" s="111" t="inlineStr">
        <is>
          <t>Wow!</t>
        </is>
      </c>
      <c r="F8" s="111" t="inlineStr">
        <is>
          <t>Trầm trồ</t>
        </is>
      </c>
      <c r="G8" s="117">
        <f>HYPERLINK("https://youglish.com/pronounce/哇/chinese","🔍")</f>
        <v/>
      </c>
    </row>
    <row r="9">
      <c r="A9" s="107" t="n">
        <v>7</v>
      </c>
      <c r="B9" s="108" t="inlineStr">
        <is>
          <t>Cảm thán / Phản ứng</t>
        </is>
      </c>
      <c r="C9" s="109" t="inlineStr">
        <is>
          <t>天哪！</t>
        </is>
      </c>
      <c r="D9" s="108" t="inlineStr">
        <is>
          <t>Tiān nǎ!</t>
        </is>
      </c>
      <c r="E9" s="108" t="inlineStr">
        <is>
          <t>Trời ơi!</t>
        </is>
      </c>
      <c r="F9" s="108" t="inlineStr">
        <is>
          <t>Kinh ngạc</t>
        </is>
      </c>
      <c r="G9" s="114">
        <f>HYPERLINK("https://youglish.com/pronounce/天哪/chinese","🔍")</f>
        <v/>
      </c>
    </row>
    <row r="10">
      <c r="A10" s="110" t="n">
        <v>8</v>
      </c>
      <c r="B10" s="111" t="inlineStr">
        <is>
          <t>Cảm thán / Phản ứng</t>
        </is>
      </c>
      <c r="C10" s="112" t="inlineStr">
        <is>
          <t>我的天！</t>
        </is>
      </c>
      <c r="D10" s="111" t="inlineStr">
        <is>
          <t>Wǒ de tiān!</t>
        </is>
      </c>
      <c r="E10" s="111" t="inlineStr">
        <is>
          <t>Trời đất ơi!</t>
        </is>
      </c>
      <c r="F10" s="111" t="inlineStr">
        <is>
          <t>Kinh ngạc mạnh</t>
        </is>
      </c>
      <c r="G10" s="117">
        <f>HYPERLINK("https://youglish.com/pronounce/我的天/chinese","🔍")</f>
        <v/>
      </c>
    </row>
    <row r="11">
      <c r="A11" s="107" t="n">
        <v>9</v>
      </c>
      <c r="B11" s="108" t="inlineStr">
        <is>
          <t>Cảm thán / Phản ứng</t>
        </is>
      </c>
      <c r="C11" s="109" t="inlineStr">
        <is>
          <t>完了！</t>
        </is>
      </c>
      <c r="D11" s="108" t="inlineStr">
        <is>
          <t>Wán le!</t>
        </is>
      </c>
      <c r="E11" s="108" t="inlineStr">
        <is>
          <t>Toi rồi!</t>
        </is>
      </c>
      <c r="F11" s="108" t="inlineStr">
        <is>
          <t>Gặp chuyện xấu</t>
        </is>
      </c>
      <c r="G11" s="114">
        <f>HYPERLINK("https://youglish.com/pronounce/完了/chinese","🔍")</f>
        <v/>
      </c>
    </row>
    <row r="12">
      <c r="A12" s="110" t="n">
        <v>10</v>
      </c>
      <c r="B12" s="111" t="inlineStr">
        <is>
          <t>Cảm thán / Phản ứng</t>
        </is>
      </c>
      <c r="C12" s="112" t="inlineStr">
        <is>
          <t>糟糕！</t>
        </is>
      </c>
      <c r="D12" s="111" t="inlineStr">
        <is>
          <t>Zāo gāo!</t>
        </is>
      </c>
      <c r="E12" s="111" t="inlineStr">
        <is>
          <t>Hỏng bét!</t>
        </is>
      </c>
      <c r="F12" s="111" t="inlineStr">
        <is>
          <t>Gặp sự cố</t>
        </is>
      </c>
      <c r="G12" s="117">
        <f>HYPERLINK("https://youglish.com/pronounce/糟糕/chinese","🔍")</f>
        <v/>
      </c>
    </row>
    <row r="13">
      <c r="A13" s="107" t="n">
        <v>11</v>
      </c>
      <c r="B13" s="108" t="inlineStr">
        <is>
          <t>Cảm thán / Phản ứng</t>
        </is>
      </c>
      <c r="C13" s="109" t="inlineStr">
        <is>
          <t>拜托！</t>
        </is>
      </c>
      <c r="D13" s="108" t="inlineStr">
        <is>
          <t>Bài tuō!</t>
        </is>
      </c>
      <c r="E13" s="108" t="inlineStr">
        <is>
          <t>Làm ơn đi!</t>
        </is>
      </c>
      <c r="F13" s="108" t="inlineStr">
        <is>
          <t>Nài nỉ, bực</t>
        </is>
      </c>
      <c r="G13" s="114">
        <f>HYPERLINK("https://youglish.com/pronounce/拜托/chinese","🔍")</f>
        <v/>
      </c>
    </row>
    <row r="14">
      <c r="A14" s="110" t="n">
        <v>12</v>
      </c>
      <c r="B14" s="111" t="inlineStr">
        <is>
          <t>Cảm thán / Phản ứng</t>
        </is>
      </c>
      <c r="C14" s="112" t="inlineStr">
        <is>
          <t>得了吧！</t>
        </is>
      </c>
      <c r="D14" s="111" t="inlineStr">
        <is>
          <t>Dé le ba!</t>
        </is>
      </c>
      <c r="E14" s="111" t="inlineStr">
        <is>
          <t>Thôi đi!</t>
        </is>
      </c>
      <c r="F14" s="111" t="inlineStr">
        <is>
          <t>Bác bỏ</t>
        </is>
      </c>
      <c r="G14" s="117">
        <f>HYPERLINK("https://youglish.com/pronounce/得了吧/chinese","🔍")</f>
        <v/>
      </c>
    </row>
    <row r="15">
      <c r="A15" s="107" t="n">
        <v>13</v>
      </c>
      <c r="B15" s="108" t="inlineStr">
        <is>
          <t>Cảm thán / Phản ứng</t>
        </is>
      </c>
      <c r="C15" s="109" t="inlineStr">
        <is>
          <t>我去！</t>
        </is>
      </c>
      <c r="D15" s="108" t="inlineStr">
        <is>
          <t>Wǒ qù!</t>
        </is>
      </c>
      <c r="E15" s="108" t="inlineStr">
        <is>
          <t>Ối giời!</t>
        </is>
      </c>
      <c r="F15" s="108" t="inlineStr">
        <is>
          <t>Kinh ngạc (khẩu ngữ)</t>
        </is>
      </c>
      <c r="G15" s="114">
        <f>HYPERLINK("https://youglish.com/pronounce/我去/chinese","🔍")</f>
        <v/>
      </c>
    </row>
    <row r="16">
      <c r="A16" s="110" t="n">
        <v>14</v>
      </c>
      <c r="B16" s="111" t="inlineStr">
        <is>
          <t>Cảm thán / Phản ứng</t>
        </is>
      </c>
      <c r="C16" s="112" t="inlineStr">
        <is>
          <t>哎哟！</t>
        </is>
      </c>
      <c r="D16" s="111" t="inlineStr">
        <is>
          <t>Āi yō!</t>
        </is>
      </c>
      <c r="E16" s="111" t="inlineStr">
        <is>
          <t>Ái da!</t>
        </is>
      </c>
      <c r="F16" s="111" t="inlineStr">
        <is>
          <t>Đau, bất ngờ</t>
        </is>
      </c>
      <c r="G16" s="117">
        <f>HYPERLINK("https://youglish.com/pronounce/哎哟/chinese","🔍")</f>
        <v/>
      </c>
    </row>
    <row r="17">
      <c r="A17" s="107" t="n">
        <v>15</v>
      </c>
      <c r="B17" s="108" t="inlineStr">
        <is>
          <t>Cảm thán / Phản ứng</t>
        </is>
      </c>
      <c r="C17" s="109" t="inlineStr">
        <is>
          <t>哼！</t>
        </is>
      </c>
      <c r="D17" s="108" t="inlineStr">
        <is>
          <t>Hēng!</t>
        </is>
      </c>
      <c r="E17" s="108" t="inlineStr">
        <is>
          <t>Hừ!</t>
        </is>
      </c>
      <c r="F17" s="108" t="inlineStr">
        <is>
          <t>Khinh, giận dỗi</t>
        </is>
      </c>
      <c r="G17" s="114">
        <f>HYPERLINK("https://youglish.com/pronounce/哼/chinese","🔍")</f>
        <v/>
      </c>
    </row>
    <row r="18">
      <c r="A18" s="110" t="n">
        <v>16</v>
      </c>
      <c r="B18" s="111" t="inlineStr">
        <is>
          <t>Cảm thán / Phản ứng</t>
        </is>
      </c>
      <c r="C18" s="112" t="inlineStr">
        <is>
          <t>啊？</t>
        </is>
      </c>
      <c r="D18" s="111" t="inlineStr">
        <is>
          <t>A?</t>
        </is>
      </c>
      <c r="E18" s="111" t="inlineStr">
        <is>
          <t>Hả?</t>
        </is>
      </c>
      <c r="F18" s="111" t="inlineStr">
        <is>
          <t>Không nghe rõ</t>
        </is>
      </c>
      <c r="G18" s="117">
        <f>HYPERLINK("https://youglish.com/pronounce/啊/chinese","🔍")</f>
        <v/>
      </c>
    </row>
    <row r="19">
      <c r="A19" s="107" t="n">
        <v>17</v>
      </c>
      <c r="B19" s="108" t="inlineStr">
        <is>
          <t>Cảm thán / Phản ứng</t>
        </is>
      </c>
      <c r="C19" s="109" t="inlineStr">
        <is>
          <t>咦？</t>
        </is>
      </c>
      <c r="D19" s="108" t="inlineStr">
        <is>
          <t>Yí?</t>
        </is>
      </c>
      <c r="E19" s="108" t="inlineStr">
        <is>
          <t>Ơ kìa?</t>
        </is>
      </c>
      <c r="F19" s="108" t="inlineStr">
        <is>
          <t>Lạ lùng</t>
        </is>
      </c>
      <c r="G19" s="114">
        <f>HYPERLINK("https://youglish.com/pronounce/咦/chinese","🔍")</f>
        <v/>
      </c>
    </row>
    <row r="20">
      <c r="A20" s="110" t="n">
        <v>18</v>
      </c>
      <c r="B20" s="111" t="inlineStr">
        <is>
          <t>Cảm thán / Phản ứng</t>
        </is>
      </c>
      <c r="C20" s="112" t="inlineStr">
        <is>
          <t>唉。</t>
        </is>
      </c>
      <c r="D20" s="111" t="inlineStr">
        <is>
          <t>Āi.</t>
        </is>
      </c>
      <c r="E20" s="111" t="inlineStr">
        <is>
          <t>Haiz.</t>
        </is>
      </c>
      <c r="F20" s="111" t="inlineStr">
        <is>
          <t>Thở dài</t>
        </is>
      </c>
      <c r="G20" s="117">
        <f>HYPERLINK("https://youglish.com/pronounce/唉/chinese","🔍")</f>
        <v/>
      </c>
    </row>
    <row r="21">
      <c r="A21" s="107" t="n">
        <v>19</v>
      </c>
      <c r="B21" s="108" t="inlineStr">
        <is>
          <t>Cảm thán / Phản ứng</t>
        </is>
      </c>
      <c r="C21" s="109" t="inlineStr">
        <is>
          <t>哈哈！</t>
        </is>
      </c>
      <c r="D21" s="108" t="inlineStr">
        <is>
          <t>Hā hā!</t>
        </is>
      </c>
      <c r="E21" s="108" t="inlineStr">
        <is>
          <t>Ha ha!</t>
        </is>
      </c>
      <c r="F21" s="108" t="inlineStr">
        <is>
          <t>Cười</t>
        </is>
      </c>
      <c r="G21" s="114">
        <f>HYPERLINK("https://youglish.com/pronounce/哈哈/chinese","🔍")</f>
        <v/>
      </c>
    </row>
    <row r="22">
      <c r="A22" s="110" t="n">
        <v>20</v>
      </c>
      <c r="B22" s="111" t="inlineStr">
        <is>
          <t>Cảm thán / Phản ứng</t>
        </is>
      </c>
      <c r="C22" s="112" t="inlineStr">
        <is>
          <t>好家伙！</t>
        </is>
      </c>
      <c r="D22" s="111" t="inlineStr">
        <is>
          <t>Hǎo jiā huo!</t>
        </is>
      </c>
      <c r="E22" s="111" t="inlineStr">
        <is>
          <t>Chà chà!</t>
        </is>
      </c>
      <c r="F22" s="111" t="inlineStr">
        <is>
          <t>Trầm trồ/bất ngờ</t>
        </is>
      </c>
      <c r="G22" s="117">
        <f>HYPERLINK("https://youglish.com/pronounce/好家伙/chinese","🔍")</f>
        <v/>
      </c>
    </row>
    <row r="23">
      <c r="A23" s="107" t="n">
        <v>21</v>
      </c>
      <c r="B23" s="108" t="inlineStr">
        <is>
          <t>Cảm thán / Phản ứng</t>
        </is>
      </c>
      <c r="C23" s="109" t="inlineStr">
        <is>
          <t>不是吧！</t>
        </is>
      </c>
      <c r="D23" s="108" t="inlineStr">
        <is>
          <t>Bú shì ba!</t>
        </is>
      </c>
      <c r="E23" s="108" t="inlineStr">
        <is>
          <t>Lẽ nào!</t>
        </is>
      </c>
      <c r="F23" s="108" t="inlineStr">
        <is>
          <t>Khó tin</t>
        </is>
      </c>
      <c r="G23" s="114">
        <f>HYPERLINK("https://youglish.com/pronounce/不是吧/chinese","🔍")</f>
        <v/>
      </c>
    </row>
    <row r="24">
      <c r="A24" s="110" t="n">
        <v>22</v>
      </c>
      <c r="B24" s="111" t="inlineStr">
        <is>
          <t>Cảm thán / Phản ứng</t>
        </is>
      </c>
      <c r="C24" s="112" t="inlineStr">
        <is>
          <t>我的妈呀！</t>
        </is>
      </c>
      <c r="D24" s="111" t="inlineStr">
        <is>
          <t>Wǒ de mā ya!</t>
        </is>
      </c>
      <c r="E24" s="111" t="inlineStr">
        <is>
          <t>Mẹ ơi!</t>
        </is>
      </c>
      <c r="F24" s="111" t="inlineStr">
        <is>
          <t>Hoảng</t>
        </is>
      </c>
      <c r="G24" s="117">
        <f>HYPERLINK("https://youglish.com/pronounce/我的妈呀/chinese","🔍")</f>
        <v/>
      </c>
    </row>
    <row r="25">
      <c r="A25" s="107" t="n">
        <v>23</v>
      </c>
      <c r="B25" s="108" t="inlineStr">
        <is>
          <t>Cảm thán / Phản ứng</t>
        </is>
      </c>
      <c r="C25" s="109" t="inlineStr">
        <is>
          <t>吓我一跳！</t>
        </is>
      </c>
      <c r="D25" s="108" t="inlineStr">
        <is>
          <t>Xià wǒ yī tiào!</t>
        </is>
      </c>
      <c r="E25" s="108" t="inlineStr">
        <is>
          <t>Làm tôi giật mình!</t>
        </is>
      </c>
      <c r="F25" s="108" t="inlineStr">
        <is>
          <t>Bị hù</t>
        </is>
      </c>
      <c r="G25" s="114">
        <f>HYPERLINK("https://youglish.com/pronounce/吓我一跳/chinese","🔍")</f>
        <v/>
      </c>
    </row>
    <row r="26">
      <c r="A26" s="110" t="n">
        <v>24</v>
      </c>
      <c r="B26" s="111" t="inlineStr">
        <is>
          <t>Cảm thán / Phản ứng</t>
        </is>
      </c>
      <c r="C26" s="112" t="inlineStr">
        <is>
          <t>可不是嘛！</t>
        </is>
      </c>
      <c r="D26" s="111" t="inlineStr">
        <is>
          <t>Kě bú shì ma!</t>
        </is>
      </c>
      <c r="E26" s="111" t="inlineStr">
        <is>
          <t>Chuẩn còn gì!</t>
        </is>
      </c>
      <c r="F26" s="111" t="inlineStr">
        <is>
          <t>Đồng tình</t>
        </is>
      </c>
      <c r="G26" s="117">
        <f>HYPERLINK("https://youglish.com/pronounce/可不是嘛/chinese","🔍")</f>
        <v/>
      </c>
    </row>
    <row r="27">
      <c r="A27" s="107" t="n">
        <v>25</v>
      </c>
      <c r="B27" s="108" t="inlineStr">
        <is>
          <t>Cảm thán / Phản ứng</t>
        </is>
      </c>
      <c r="C27" s="109" t="inlineStr">
        <is>
          <t>就说嘛！</t>
        </is>
      </c>
      <c r="D27" s="108" t="inlineStr">
        <is>
          <t>Jiù shuō ma!</t>
        </is>
      </c>
      <c r="E27" s="108" t="inlineStr">
        <is>
          <t>Đã bảo mà!</t>
        </is>
      </c>
      <c r="F27" s="108" t="inlineStr">
        <is>
          <t>Được xác nhận</t>
        </is>
      </c>
      <c r="G27" s="114">
        <f>HYPERLINK("https://youglish.com/pronounce/就说嘛/chinese","🔍")</f>
        <v/>
      </c>
    </row>
    <row r="28">
      <c r="A28" s="110" t="n">
        <v>26</v>
      </c>
      <c r="B28" s="111" t="inlineStr">
        <is>
          <t>Cảm thán / Phản ứng</t>
        </is>
      </c>
      <c r="C28" s="112" t="inlineStr">
        <is>
          <t>服了你了！</t>
        </is>
      </c>
      <c r="D28" s="111" t="inlineStr">
        <is>
          <t>Fú le nǐ le!</t>
        </is>
      </c>
      <c r="E28" s="111" t="inlineStr">
        <is>
          <t>Chịu bạn luôn!</t>
        </is>
      </c>
      <c r="F28" s="111" t="inlineStr">
        <is>
          <t>Bó tay</t>
        </is>
      </c>
      <c r="G28" s="117">
        <f>HYPERLINK("https://youglish.com/pronounce/服了你了/chinese","🔍")</f>
        <v/>
      </c>
    </row>
    <row r="29">
      <c r="A29" s="107" t="n">
        <v>27</v>
      </c>
      <c r="B29" s="108" t="inlineStr">
        <is>
          <t>Cảm thán / Phản ứng</t>
        </is>
      </c>
      <c r="C29" s="109" t="inlineStr">
        <is>
          <t>绝了！</t>
        </is>
      </c>
      <c r="D29" s="108" t="inlineStr">
        <is>
          <t>Jué le!</t>
        </is>
      </c>
      <c r="E29" s="108" t="inlineStr">
        <is>
          <t>Đỉnh của chóp!</t>
        </is>
      </c>
      <c r="F29" s="108" t="inlineStr">
        <is>
          <t>Quá đỉnh</t>
        </is>
      </c>
      <c r="G29" s="114">
        <f>HYPERLINK("https://youglish.com/pronounce/绝了/chinese","🔍")</f>
        <v/>
      </c>
    </row>
    <row r="30">
      <c r="A30" s="110" t="n">
        <v>28</v>
      </c>
      <c r="B30" s="111" t="inlineStr">
        <is>
          <t>Cảm thán / Phản ứng</t>
        </is>
      </c>
      <c r="C30" s="112" t="inlineStr">
        <is>
          <t>有没有搞错！</t>
        </is>
      </c>
      <c r="D30" s="111" t="inlineStr">
        <is>
          <t>Yǒu méi yǒu gǎo cuò!</t>
        </is>
      </c>
      <c r="E30" s="111" t="inlineStr">
        <is>
          <t>Có nhầm không đấy!</t>
        </is>
      </c>
      <c r="F30" s="111" t="inlineStr">
        <is>
          <t>Bực/khó tin</t>
        </is>
      </c>
      <c r="G30" s="117">
        <f>HYPERLINK("https://youglish.com/pronounce/有没有搞错/chinese","🔍")</f>
        <v/>
      </c>
    </row>
    <row r="31">
      <c r="A31" s="107" t="n">
        <v>29</v>
      </c>
      <c r="B31" s="108" t="inlineStr">
        <is>
          <t>Cảm thán / Phản ứng</t>
        </is>
      </c>
      <c r="C31" s="109" t="inlineStr">
        <is>
          <t>搞什么啊！</t>
        </is>
      </c>
      <c r="D31" s="108" t="inlineStr">
        <is>
          <t>Gǎo shén me a!</t>
        </is>
      </c>
      <c r="E31" s="108" t="inlineStr">
        <is>
          <t>Làm cái gì vậy!</t>
        </is>
      </c>
      <c r="F31" s="108" t="inlineStr">
        <is>
          <t>Bực bội</t>
        </is>
      </c>
      <c r="G31" s="114">
        <f>HYPERLINK("https://youglish.com/pronounce/搞什么啊/chinese","🔍")</f>
        <v/>
      </c>
    </row>
    <row r="32">
      <c r="A32" s="110" t="n">
        <v>30</v>
      </c>
      <c r="B32" s="111" t="inlineStr">
        <is>
          <t>Cảm thán / Phản ứng</t>
        </is>
      </c>
      <c r="C32" s="112" t="inlineStr">
        <is>
          <t>不敢相信！</t>
        </is>
      </c>
      <c r="D32" s="111" t="inlineStr">
        <is>
          <t>Bù gǎn xiāng xìn!</t>
        </is>
      </c>
      <c r="E32" s="111" t="inlineStr">
        <is>
          <t>Không dám tin!</t>
        </is>
      </c>
      <c r="F32" s="111" t="inlineStr">
        <is>
          <t>Sốc</t>
        </is>
      </c>
      <c r="G32" s="117">
        <f>HYPERLINK("https://youglish.com/pronounce/不敢相信/chinese","🔍")</f>
        <v/>
      </c>
    </row>
    <row r="33">
      <c r="A33" s="107" t="n">
        <v>31</v>
      </c>
      <c r="B33" s="108" t="inlineStr">
        <is>
          <t>Đồng ý / Khẳng định</t>
        </is>
      </c>
      <c r="C33" s="109" t="inlineStr">
        <is>
          <t>好的。</t>
        </is>
      </c>
      <c r="D33" s="108" t="inlineStr">
        <is>
          <t>Hǎo de.</t>
        </is>
      </c>
      <c r="E33" s="108" t="inlineStr">
        <is>
          <t>Được / OK.</t>
        </is>
      </c>
      <c r="F33" s="108" t="inlineStr">
        <is>
          <t>Đồng ý</t>
        </is>
      </c>
      <c r="G33" s="114">
        <f>HYPERLINK("https://youglish.com/pronounce/好的/chinese","🔍")</f>
        <v/>
      </c>
    </row>
    <row r="34">
      <c r="A34" s="110" t="n">
        <v>32</v>
      </c>
      <c r="B34" s="111" t="inlineStr">
        <is>
          <t>Đồng ý / Khẳng định</t>
        </is>
      </c>
      <c r="C34" s="112" t="inlineStr">
        <is>
          <t>行。</t>
        </is>
      </c>
      <c r="D34" s="111" t="inlineStr">
        <is>
          <t>Xíng.</t>
        </is>
      </c>
      <c r="E34" s="111" t="inlineStr">
        <is>
          <t>Được.</t>
        </is>
      </c>
      <c r="F34" s="111" t="inlineStr">
        <is>
          <t>Ngắn gọn</t>
        </is>
      </c>
      <c r="G34" s="117">
        <f>HYPERLINK("https://youglish.com/pronounce/行/chinese","🔍")</f>
        <v/>
      </c>
    </row>
    <row r="35">
      <c r="A35" s="107" t="n">
        <v>33</v>
      </c>
      <c r="B35" s="108" t="inlineStr">
        <is>
          <t>Đồng ý / Khẳng định</t>
        </is>
      </c>
      <c r="C35" s="109" t="inlineStr">
        <is>
          <t>没问题。</t>
        </is>
      </c>
      <c r="D35" s="108" t="inlineStr">
        <is>
          <t>Méi wèn tí.</t>
        </is>
      </c>
      <c r="E35" s="108" t="inlineStr">
        <is>
          <t>Không vấn đề gì.</t>
        </is>
      </c>
      <c r="F35" s="108" t="inlineStr">
        <is>
          <t>Nhận lời</t>
        </is>
      </c>
      <c r="G35" s="114">
        <f>HYPERLINK("https://youglish.com/pronounce/没问题/chinese","🔍")</f>
        <v/>
      </c>
    </row>
    <row r="36">
      <c r="A36" s="110" t="n">
        <v>34</v>
      </c>
      <c r="B36" s="111" t="inlineStr">
        <is>
          <t>Đồng ý / Khẳng định</t>
        </is>
      </c>
      <c r="C36" s="112" t="inlineStr">
        <is>
          <t>当然。</t>
        </is>
      </c>
      <c r="D36" s="111" t="inlineStr">
        <is>
          <t>Dāng rán.</t>
        </is>
      </c>
      <c r="E36" s="111" t="inlineStr">
        <is>
          <t>Đương nhiên.</t>
        </is>
      </c>
      <c r="F36" s="111" t="inlineStr">
        <is>
          <t>Khẳng định</t>
        </is>
      </c>
      <c r="G36" s="117">
        <f>HYPERLINK("https://youglish.com/pronounce/当然/chinese","🔍")</f>
        <v/>
      </c>
    </row>
    <row r="37">
      <c r="A37" s="107" t="n">
        <v>35</v>
      </c>
      <c r="B37" s="108" t="inlineStr">
        <is>
          <t>Đồng ý / Khẳng định</t>
        </is>
      </c>
      <c r="C37" s="109" t="inlineStr">
        <is>
          <t>没错。</t>
        </is>
      </c>
      <c r="D37" s="108" t="inlineStr">
        <is>
          <t>Méi cuò.</t>
        </is>
      </c>
      <c r="E37" s="108" t="inlineStr">
        <is>
          <t>Đúng vậy / Chuẩn.</t>
        </is>
      </c>
      <c r="F37" s="108" t="inlineStr">
        <is>
          <t>Xác nhận</t>
        </is>
      </c>
      <c r="G37" s="114">
        <f>HYPERLINK("https://youglish.com/pronounce/没错/chinese","🔍")</f>
        <v/>
      </c>
    </row>
    <row r="38">
      <c r="A38" s="110" t="n">
        <v>36</v>
      </c>
      <c r="B38" s="111" t="inlineStr">
        <is>
          <t>Đồng ý / Khẳng định</t>
        </is>
      </c>
      <c r="C38" s="112" t="inlineStr">
        <is>
          <t>你说得对。</t>
        </is>
      </c>
      <c r="D38" s="111" t="inlineStr">
        <is>
          <t>Nǐ shuō dé duì.</t>
        </is>
      </c>
      <c r="E38" s="111" t="inlineStr">
        <is>
          <t>Bạn nói đúng.</t>
        </is>
      </c>
      <c r="F38" s="111" t="inlineStr">
        <is>
          <t>Tán thành</t>
        </is>
      </c>
      <c r="G38" s="117">
        <f>HYPERLINK("https://youglish.com/pronounce/你说得对/chinese","🔍")</f>
        <v/>
      </c>
    </row>
    <row r="39">
      <c r="A39" s="107" t="n">
        <v>37</v>
      </c>
      <c r="B39" s="108" t="inlineStr">
        <is>
          <t>Đồng ý / Khẳng định</t>
        </is>
      </c>
      <c r="C39" s="109" t="inlineStr">
        <is>
          <t>就这样。</t>
        </is>
      </c>
      <c r="D39" s="108" t="inlineStr">
        <is>
          <t>Jiù zhè yàng.</t>
        </is>
      </c>
      <c r="E39" s="108" t="inlineStr">
        <is>
          <t>Cứ vậy đi.</t>
        </is>
      </c>
      <c r="F39" s="108" t="inlineStr">
        <is>
          <t>Chốt</t>
        </is>
      </c>
      <c r="G39" s="114">
        <f>HYPERLINK("https://youglish.com/pronounce/就这样/chinese","🔍")</f>
        <v/>
      </c>
    </row>
    <row r="40">
      <c r="A40" s="110" t="n">
        <v>38</v>
      </c>
      <c r="B40" s="111" t="inlineStr">
        <is>
          <t>Đồng ý / Khẳng định</t>
        </is>
      </c>
      <c r="C40" s="112" t="inlineStr">
        <is>
          <t>听你的。</t>
        </is>
      </c>
      <c r="D40" s="111" t="inlineStr">
        <is>
          <t>Tīng nǐ de.</t>
        </is>
      </c>
      <c r="E40" s="111" t="inlineStr">
        <is>
          <t>Nghe theo bạn.</t>
        </is>
      </c>
      <c r="F40" s="111" t="inlineStr">
        <is>
          <t>Nhường</t>
        </is>
      </c>
      <c r="G40" s="117">
        <f>HYPERLINK("https://youglish.com/pronounce/听你的/chinese","🔍")</f>
        <v/>
      </c>
    </row>
    <row r="41">
      <c r="A41" s="107" t="n">
        <v>39</v>
      </c>
      <c r="B41" s="108" t="inlineStr">
        <is>
          <t>Đồng ý / Khẳng định</t>
        </is>
      </c>
      <c r="C41" s="109" t="inlineStr">
        <is>
          <t>我同意。</t>
        </is>
      </c>
      <c r="D41" s="108" t="inlineStr">
        <is>
          <t>Wǒ tóng yì.</t>
        </is>
      </c>
      <c r="E41" s="108" t="inlineStr">
        <is>
          <t>Tôi đồng ý.</t>
        </is>
      </c>
      <c r="F41" s="108" t="inlineStr">
        <is>
          <t>Tán thành</t>
        </is>
      </c>
      <c r="G41" s="114">
        <f>HYPERLINK("https://youglish.com/pronounce/我同意/chinese","🔍")</f>
        <v/>
      </c>
    </row>
    <row r="42">
      <c r="A42" s="110" t="n">
        <v>40</v>
      </c>
      <c r="B42" s="111" t="inlineStr">
        <is>
          <t>Đồng ý / Khẳng định</t>
        </is>
      </c>
      <c r="C42" s="112" t="inlineStr">
        <is>
          <t>好主意。</t>
        </is>
      </c>
      <c r="D42" s="111" t="inlineStr">
        <is>
          <t>Hǎo zhǔ yì.</t>
        </is>
      </c>
      <c r="E42" s="111" t="inlineStr">
        <is>
          <t>Ý hay đấy.</t>
        </is>
      </c>
      <c r="F42" s="111" t="inlineStr">
        <is>
          <t>Khen ý</t>
        </is>
      </c>
      <c r="G42" s="117">
        <f>HYPERLINK("https://youglish.com/pronounce/好主意/chinese","🔍")</f>
        <v/>
      </c>
    </row>
    <row r="43">
      <c r="A43" s="107" t="n">
        <v>41</v>
      </c>
      <c r="B43" s="108" t="inlineStr">
        <is>
          <t>Đồng ý / Khẳng định</t>
        </is>
      </c>
      <c r="C43" s="109" t="inlineStr">
        <is>
          <t>就是啊！</t>
        </is>
      </c>
      <c r="D43" s="108" t="inlineStr">
        <is>
          <t>Jiù shì a!</t>
        </is>
      </c>
      <c r="E43" s="108" t="inlineStr">
        <is>
          <t>Đúng thế!</t>
        </is>
      </c>
      <c r="F43" s="108" t="inlineStr">
        <is>
          <t>Đồng tình mạnh</t>
        </is>
      </c>
      <c r="G43" s="114">
        <f>HYPERLINK("https://youglish.com/pronounce/就是啊/chinese","🔍")</f>
        <v/>
      </c>
    </row>
    <row r="44">
      <c r="A44" s="110" t="n">
        <v>42</v>
      </c>
      <c r="B44" s="111" t="inlineStr">
        <is>
          <t>Đồng ý / Khẳng định</t>
        </is>
      </c>
      <c r="C44" s="112" t="inlineStr">
        <is>
          <t>我也是。</t>
        </is>
      </c>
      <c r="D44" s="111" t="inlineStr">
        <is>
          <t>Wǒ yě shì.</t>
        </is>
      </c>
      <c r="E44" s="111" t="inlineStr">
        <is>
          <t>Tôi cũng vậy.</t>
        </is>
      </c>
      <c r="F44" s="111" t="inlineStr">
        <is>
          <t>Đồng cảnh</t>
        </is>
      </c>
      <c r="G44" s="117">
        <f>HYPERLINK("https://youglish.com/pronounce/我也是/chinese","🔍")</f>
        <v/>
      </c>
    </row>
    <row r="45">
      <c r="A45" s="107" t="n">
        <v>43</v>
      </c>
      <c r="B45" s="108" t="inlineStr">
        <is>
          <t>Đồng ý / Khẳng định</t>
        </is>
      </c>
      <c r="C45" s="109" t="inlineStr">
        <is>
          <t>是的。</t>
        </is>
      </c>
      <c r="D45" s="108" t="inlineStr">
        <is>
          <t>Shì de.</t>
        </is>
      </c>
      <c r="E45" s="108" t="inlineStr">
        <is>
          <t>Vâng / Đúng.</t>
        </is>
      </c>
      <c r="F45" s="108" t="inlineStr">
        <is>
          <t>Xác nhận</t>
        </is>
      </c>
      <c r="G45" s="114">
        <f>HYPERLINK("https://youglish.com/pronounce/是的/chinese","🔍")</f>
        <v/>
      </c>
    </row>
    <row r="46">
      <c r="A46" s="110" t="n">
        <v>44</v>
      </c>
      <c r="B46" s="111" t="inlineStr">
        <is>
          <t>Đồng ý / Khẳng định</t>
        </is>
      </c>
      <c r="C46" s="112" t="inlineStr">
        <is>
          <t>可以。</t>
        </is>
      </c>
      <c r="D46" s="111" t="inlineStr">
        <is>
          <t>Kě yǐ.</t>
        </is>
      </c>
      <c r="E46" s="111" t="inlineStr">
        <is>
          <t>Được đấy.</t>
        </is>
      </c>
      <c r="F46" s="111" t="inlineStr">
        <is>
          <t>Chấp thuận</t>
        </is>
      </c>
      <c r="G46" s="117">
        <f>HYPERLINK("https://youglish.com/pronounce/可以/chinese","🔍")</f>
        <v/>
      </c>
    </row>
    <row r="47">
      <c r="A47" s="107" t="n">
        <v>45</v>
      </c>
      <c r="B47" s="108" t="inlineStr">
        <is>
          <t>Đồng ý / Khẳng định</t>
        </is>
      </c>
      <c r="C47" s="109" t="inlineStr">
        <is>
          <t>一定。</t>
        </is>
      </c>
      <c r="D47" s="108" t="inlineStr">
        <is>
          <t>Yí dìng.</t>
        </is>
      </c>
      <c r="E47" s="108" t="inlineStr">
        <is>
          <t>Nhất định.</t>
        </is>
      </c>
      <c r="F47" s="108" t="inlineStr">
        <is>
          <t>Cam kết</t>
        </is>
      </c>
      <c r="G47" s="114">
        <f>HYPERLINK("https://youglish.com/pronounce/一定/chinese","🔍")</f>
        <v/>
      </c>
    </row>
    <row r="48">
      <c r="A48" s="110" t="n">
        <v>46</v>
      </c>
      <c r="B48" s="111" t="inlineStr">
        <is>
          <t>Đồng ý / Khẳng định</t>
        </is>
      </c>
      <c r="C48" s="112" t="inlineStr">
        <is>
          <t>肯定。</t>
        </is>
      </c>
      <c r="D48" s="111" t="inlineStr">
        <is>
          <t>Kěn dìng.</t>
        </is>
      </c>
      <c r="E48" s="111" t="inlineStr">
        <is>
          <t>Chắc chắn.</t>
        </is>
      </c>
      <c r="F48" s="111" t="inlineStr">
        <is>
          <t>Khẳng định</t>
        </is>
      </c>
      <c r="G48" s="117">
        <f>HYPERLINK("https://youglish.com/pronounce/肯定/chinese","🔍")</f>
        <v/>
      </c>
    </row>
    <row r="49">
      <c r="A49" s="107" t="n">
        <v>47</v>
      </c>
      <c r="B49" s="108" t="inlineStr">
        <is>
          <t>Đồng ý / Khẳng định</t>
        </is>
      </c>
      <c r="C49" s="109" t="inlineStr">
        <is>
          <t>绝对。</t>
        </is>
      </c>
      <c r="D49" s="108" t="inlineStr">
        <is>
          <t>Jué duì.</t>
        </is>
      </c>
      <c r="E49" s="108" t="inlineStr">
        <is>
          <t>Tuyệt đối.</t>
        </is>
      </c>
      <c r="F49" s="108" t="inlineStr">
        <is>
          <t>Nhấn mạnh</t>
        </is>
      </c>
      <c r="G49" s="114">
        <f>HYPERLINK("https://youglish.com/pronounce/绝对/chinese","🔍")</f>
        <v/>
      </c>
    </row>
    <row r="50">
      <c r="A50" s="110" t="n">
        <v>48</v>
      </c>
      <c r="B50" s="111" t="inlineStr">
        <is>
          <t>Đồng ý / Khẳng định</t>
        </is>
      </c>
      <c r="C50" s="112" t="inlineStr">
        <is>
          <t>那当然。</t>
        </is>
      </c>
      <c r="D50" s="111" t="inlineStr">
        <is>
          <t>Nà dāng rán.</t>
        </is>
      </c>
      <c r="E50" s="111" t="inlineStr">
        <is>
          <t>Vậy còn phải nói.</t>
        </is>
      </c>
      <c r="F50" s="111" t="inlineStr">
        <is>
          <t>Hiển nhiên</t>
        </is>
      </c>
      <c r="G50" s="117">
        <f>HYPERLINK("https://youglish.com/pronounce/那当然/chinese","🔍")</f>
        <v/>
      </c>
    </row>
    <row r="51">
      <c r="A51" s="107" t="n">
        <v>49</v>
      </c>
      <c r="B51" s="108" t="inlineStr">
        <is>
          <t>Đồng ý / Khẳng định</t>
        </is>
      </c>
      <c r="C51" s="109" t="inlineStr">
        <is>
          <t>有道理。</t>
        </is>
      </c>
      <c r="D51" s="108" t="inlineStr">
        <is>
          <t>Yǒu dào lǐ.</t>
        </is>
      </c>
      <c r="E51" s="108" t="inlineStr">
        <is>
          <t>Có lý đấy.</t>
        </is>
      </c>
      <c r="F51" s="108" t="inlineStr">
        <is>
          <t>Tán thành</t>
        </is>
      </c>
      <c r="G51" s="114">
        <f>HYPERLINK("https://youglish.com/pronounce/有道理/chinese","🔍")</f>
        <v/>
      </c>
    </row>
    <row r="52">
      <c r="A52" s="110" t="n">
        <v>50</v>
      </c>
      <c r="B52" s="111" t="inlineStr">
        <is>
          <t>Đồng ý / Khẳng định</t>
        </is>
      </c>
      <c r="C52" s="112" t="inlineStr">
        <is>
          <t>我懂了。</t>
        </is>
      </c>
      <c r="D52" s="111" t="inlineStr">
        <is>
          <t>Wǒ dǒng le.</t>
        </is>
      </c>
      <c r="E52" s="111" t="inlineStr">
        <is>
          <t>Tôi hiểu rồi.</t>
        </is>
      </c>
      <c r="F52" s="111" t="inlineStr">
        <is>
          <t>Đã hiểu</t>
        </is>
      </c>
      <c r="G52" s="117">
        <f>HYPERLINK("https://youglish.com/pronounce/我懂了/chinese","🔍")</f>
        <v/>
      </c>
    </row>
    <row r="53">
      <c r="A53" s="107" t="n">
        <v>51</v>
      </c>
      <c r="B53" s="108" t="inlineStr">
        <is>
          <t>Đồng ý / Khẳng định</t>
        </is>
      </c>
      <c r="C53" s="109" t="inlineStr">
        <is>
          <t>知道了。</t>
        </is>
      </c>
      <c r="D53" s="108" t="inlineStr">
        <is>
          <t>Zhī dào le.</t>
        </is>
      </c>
      <c r="E53" s="108" t="inlineStr">
        <is>
          <t>Biết rồi.</t>
        </is>
      </c>
      <c r="F53" s="108" t="inlineStr">
        <is>
          <t>Tiếp nhận</t>
        </is>
      </c>
      <c r="G53" s="114">
        <f>HYPERLINK("https://youglish.com/pronounce/知道了/chinese","🔍")</f>
        <v/>
      </c>
    </row>
    <row r="54">
      <c r="A54" s="110" t="n">
        <v>52</v>
      </c>
      <c r="B54" s="111" t="inlineStr">
        <is>
          <t>Đồng ý / Khẳng định</t>
        </is>
      </c>
      <c r="C54" s="112" t="inlineStr">
        <is>
          <t>收到。</t>
        </is>
      </c>
      <c r="D54" s="111" t="inlineStr">
        <is>
          <t>Shōu dào.</t>
        </is>
      </c>
      <c r="E54" s="111" t="inlineStr">
        <is>
          <t>Đã nhận / Rõ.</t>
        </is>
      </c>
      <c r="F54" s="111" t="inlineStr">
        <is>
          <t>Xác nhận (nhắn tin)</t>
        </is>
      </c>
      <c r="G54" s="117">
        <f>HYPERLINK("https://youglish.com/pronounce/收到/chinese","🔍")</f>
        <v/>
      </c>
    </row>
    <row r="55">
      <c r="A55" s="107" t="n">
        <v>53</v>
      </c>
      <c r="B55" s="108" t="inlineStr">
        <is>
          <t>Đồng ý / Khẳng định</t>
        </is>
      </c>
      <c r="C55" s="109" t="inlineStr">
        <is>
          <t>好嘞！</t>
        </is>
      </c>
      <c r="D55" s="108" t="inlineStr">
        <is>
          <t>Hǎo lei!</t>
        </is>
      </c>
      <c r="E55" s="108" t="inlineStr">
        <is>
          <t>Được ngay!</t>
        </is>
      </c>
      <c r="F55" s="108" t="inlineStr">
        <is>
          <t>Vui vẻ nhận lời</t>
        </is>
      </c>
      <c r="G55" s="114">
        <f>HYPERLINK("https://youglish.com/pronounce/好嘞/chinese","🔍")</f>
        <v/>
      </c>
    </row>
    <row r="56">
      <c r="A56" s="110" t="n">
        <v>54</v>
      </c>
      <c r="B56" s="111" t="inlineStr">
        <is>
          <t>Đồng ý / Khẳng định</t>
        </is>
      </c>
      <c r="C56" s="112" t="inlineStr">
        <is>
          <t>都行。</t>
        </is>
      </c>
      <c r="D56" s="111" t="inlineStr">
        <is>
          <t>Dōu xíng.</t>
        </is>
      </c>
      <c r="E56" s="111" t="inlineStr">
        <is>
          <t>Sao cũng được.</t>
        </is>
      </c>
      <c r="F56" s="111" t="inlineStr">
        <is>
          <t>Dễ tính</t>
        </is>
      </c>
      <c r="G56" s="117">
        <f>HYPERLINK("https://youglish.com/pronounce/都行/chinese","🔍")</f>
        <v/>
      </c>
    </row>
    <row r="57">
      <c r="A57" s="107" t="n">
        <v>55</v>
      </c>
      <c r="B57" s="108" t="inlineStr">
        <is>
          <t>Đồng ý / Khẳng định</t>
        </is>
      </c>
      <c r="C57" s="109" t="inlineStr">
        <is>
          <t>完全同意。</t>
        </is>
      </c>
      <c r="D57" s="108" t="inlineStr">
        <is>
          <t>Wán quán tóng yì.</t>
        </is>
      </c>
      <c r="E57" s="108" t="inlineStr">
        <is>
          <t>Hoàn toàn đồng ý.</t>
        </is>
      </c>
      <c r="F57" s="108" t="inlineStr">
        <is>
          <t>Tán thành mạnh</t>
        </is>
      </c>
      <c r="G57" s="114">
        <f>HYPERLINK("https://youglish.com/pronounce/完全同意/chinese","🔍")</f>
        <v/>
      </c>
    </row>
    <row r="58">
      <c r="A58" s="110" t="n">
        <v>56</v>
      </c>
      <c r="B58" s="111" t="inlineStr">
        <is>
          <t>Đồng ý / Khẳng định</t>
        </is>
      </c>
      <c r="C58" s="112" t="inlineStr">
        <is>
          <t>我挺你。</t>
        </is>
      </c>
      <c r="D58" s="111" t="inlineStr">
        <is>
          <t>Wǒ tǐng nǐ.</t>
        </is>
      </c>
      <c r="E58" s="111" t="inlineStr">
        <is>
          <t>Tôi ủng hộ bạn.</t>
        </is>
      </c>
      <c r="F58" s="111" t="inlineStr">
        <is>
          <t>Hậu thuẫn</t>
        </is>
      </c>
      <c r="G58" s="117">
        <f>HYPERLINK("https://youglish.com/pronounce/我挺你/chinese","🔍")</f>
        <v/>
      </c>
    </row>
    <row r="59">
      <c r="A59" s="107" t="n">
        <v>57</v>
      </c>
      <c r="B59" s="108" t="inlineStr">
        <is>
          <t>Đồng ý / Khẳng định</t>
        </is>
      </c>
      <c r="C59" s="109" t="inlineStr">
        <is>
          <t>就这么定了。</t>
        </is>
      </c>
      <c r="D59" s="108" t="inlineStr">
        <is>
          <t>Jiù zhè me dìng le.</t>
        </is>
      </c>
      <c r="E59" s="108" t="inlineStr">
        <is>
          <t>Cứ quyết vậy nhé.</t>
        </is>
      </c>
      <c r="F59" s="108" t="inlineStr">
        <is>
          <t>Chốt kèo</t>
        </is>
      </c>
      <c r="G59" s="114">
        <f>HYPERLINK("https://youglish.com/pronounce/就这么定了/chinese","🔍")</f>
        <v/>
      </c>
    </row>
    <row r="60">
      <c r="A60" s="110" t="n">
        <v>58</v>
      </c>
      <c r="B60" s="111" t="inlineStr">
        <is>
          <t>Đồng ý / Khẳng định</t>
        </is>
      </c>
      <c r="C60" s="112" t="inlineStr">
        <is>
          <t>没意见。</t>
        </is>
      </c>
      <c r="D60" s="111" t="inlineStr">
        <is>
          <t>Méi yì jiàn.</t>
        </is>
      </c>
      <c r="E60" s="111" t="inlineStr">
        <is>
          <t>Không ý kiến gì.</t>
        </is>
      </c>
      <c r="F60" s="111" t="inlineStr">
        <is>
          <t>Đồng thuận</t>
        </is>
      </c>
      <c r="G60" s="117">
        <f>HYPERLINK("https://youglish.com/pronounce/没意见/chinese","🔍")</f>
        <v/>
      </c>
    </row>
    <row r="61">
      <c r="A61" s="107" t="n">
        <v>59</v>
      </c>
      <c r="B61" s="108" t="inlineStr">
        <is>
          <t>Đồng ý / Khẳng định</t>
        </is>
      </c>
      <c r="C61" s="109" t="inlineStr">
        <is>
          <t>照办。</t>
        </is>
      </c>
      <c r="D61" s="108" t="inlineStr">
        <is>
          <t>Zhào bàn.</t>
        </is>
      </c>
      <c r="E61" s="108" t="inlineStr">
        <is>
          <t>Làm theo vậy.</t>
        </is>
      </c>
      <c r="F61" s="108" t="inlineStr">
        <is>
          <t>Tuân theo</t>
        </is>
      </c>
      <c r="G61" s="114">
        <f>HYPERLINK("https://youglish.com/pronounce/照办/chinese","🔍")</f>
        <v/>
      </c>
    </row>
    <row r="62">
      <c r="A62" s="110" t="n">
        <v>60</v>
      </c>
      <c r="B62" s="111" t="inlineStr">
        <is>
          <t>Đồng ý / Khẳng định</t>
        </is>
      </c>
      <c r="C62" s="112" t="inlineStr">
        <is>
          <t>遵命。</t>
        </is>
      </c>
      <c r="D62" s="111" t="inlineStr">
        <is>
          <t>Zūn mìng.</t>
        </is>
      </c>
      <c r="E62" s="111" t="inlineStr">
        <is>
          <t>Xin tuân lệnh.</t>
        </is>
      </c>
      <c r="F62" s="111" t="inlineStr">
        <is>
          <t>Đùa/lịch sự</t>
        </is>
      </c>
      <c r="G62" s="117">
        <f>HYPERLINK("https://youglish.com/pronounce/遵命/chinese","🔍")</f>
        <v/>
      </c>
    </row>
    <row r="63">
      <c r="A63" s="107" t="n">
        <v>61</v>
      </c>
      <c r="B63" s="108" t="inlineStr">
        <is>
          <t>Từ chối / Phản đối</t>
        </is>
      </c>
      <c r="C63" s="109" t="inlineStr">
        <is>
          <t>不行。</t>
        </is>
      </c>
      <c r="D63" s="108" t="inlineStr">
        <is>
          <t>Bù xíng.</t>
        </is>
      </c>
      <c r="E63" s="108" t="inlineStr">
        <is>
          <t>Không được.</t>
        </is>
      </c>
      <c r="F63" s="108" t="inlineStr">
        <is>
          <t>Từ chối</t>
        </is>
      </c>
      <c r="G63" s="114">
        <f>HYPERLINK("https://youglish.com/pronounce/不行/chinese","🔍")</f>
        <v/>
      </c>
    </row>
    <row r="64">
      <c r="A64" s="110" t="n">
        <v>62</v>
      </c>
      <c r="B64" s="111" t="inlineStr">
        <is>
          <t>Từ chối / Phản đối</t>
        </is>
      </c>
      <c r="C64" s="112" t="inlineStr">
        <is>
          <t>不用了。</t>
        </is>
      </c>
      <c r="D64" s="111" t="inlineStr">
        <is>
          <t>Bù yòng le.</t>
        </is>
      </c>
      <c r="E64" s="111" t="inlineStr">
        <is>
          <t>Không cần đâu.</t>
        </is>
      </c>
      <c r="F64" s="111" t="inlineStr">
        <is>
          <t>Nhã nhặn</t>
        </is>
      </c>
      <c r="G64" s="117">
        <f>HYPERLINK("https://youglish.com/pronounce/不用了/chinese","🔍")</f>
        <v/>
      </c>
    </row>
    <row r="65">
      <c r="A65" s="107" t="n">
        <v>63</v>
      </c>
      <c r="B65" s="108" t="inlineStr">
        <is>
          <t>Từ chối / Phản đối</t>
        </is>
      </c>
      <c r="C65" s="109" t="inlineStr">
        <is>
          <t>算了。</t>
        </is>
      </c>
      <c r="D65" s="108" t="inlineStr">
        <is>
          <t>Suàn le.</t>
        </is>
      </c>
      <c r="E65" s="108" t="inlineStr">
        <is>
          <t>Thôi bỏ đi.</t>
        </is>
      </c>
      <c r="F65" s="108" t="inlineStr">
        <is>
          <t>Buông</t>
        </is>
      </c>
      <c r="G65" s="114">
        <f>HYPERLINK("https://youglish.com/pronounce/算了/chinese","🔍")</f>
        <v/>
      </c>
    </row>
    <row r="66">
      <c r="A66" s="110" t="n">
        <v>64</v>
      </c>
      <c r="B66" s="111" t="inlineStr">
        <is>
          <t>Từ chối / Phản đối</t>
        </is>
      </c>
      <c r="C66" s="112" t="inlineStr">
        <is>
          <t>我不想。</t>
        </is>
      </c>
      <c r="D66" s="111" t="inlineStr">
        <is>
          <t>Wǒ bù xiǎng.</t>
        </is>
      </c>
      <c r="E66" s="111" t="inlineStr">
        <is>
          <t>Tôi không muốn.</t>
        </is>
      </c>
      <c r="F66" s="111" t="inlineStr">
        <is>
          <t>Từ chối</t>
        </is>
      </c>
      <c r="G66" s="117">
        <f>HYPERLINK("https://youglish.com/pronounce/我不想/chinese","🔍")</f>
        <v/>
      </c>
    </row>
    <row r="67">
      <c r="A67" s="107" t="n">
        <v>65</v>
      </c>
      <c r="B67" s="108" t="inlineStr">
        <is>
          <t>Từ chối / Phản đối</t>
        </is>
      </c>
      <c r="C67" s="109" t="inlineStr">
        <is>
          <t>别这样。</t>
        </is>
      </c>
      <c r="D67" s="108" t="inlineStr">
        <is>
          <t>Bié zhè yàng.</t>
        </is>
      </c>
      <c r="E67" s="108" t="inlineStr">
        <is>
          <t>Đừng như vậy.</t>
        </is>
      </c>
      <c r="F67" s="108" t="inlineStr">
        <is>
          <t>Ngăn cản</t>
        </is>
      </c>
      <c r="G67" s="114">
        <f>HYPERLINK("https://youglish.com/pronounce/别这样/chinese","🔍")</f>
        <v/>
      </c>
    </row>
    <row r="68">
      <c r="A68" s="110" t="n">
        <v>66</v>
      </c>
      <c r="B68" s="111" t="inlineStr">
        <is>
          <t>Từ chối / Phản đối</t>
        </is>
      </c>
      <c r="C68" s="112" t="inlineStr">
        <is>
          <t>别闹了。</t>
        </is>
      </c>
      <c r="D68" s="111" t="inlineStr">
        <is>
          <t>Bié nào le.</t>
        </is>
      </c>
      <c r="E68" s="111" t="inlineStr">
        <is>
          <t>Thôi nào.</t>
        </is>
      </c>
      <c r="F68" s="111" t="inlineStr">
        <is>
          <t>Nhắc nhở</t>
        </is>
      </c>
      <c r="G68" s="117">
        <f>HYPERLINK("https://youglish.com/pronounce/别闹了/chinese","🔍")</f>
        <v/>
      </c>
    </row>
    <row r="69">
      <c r="A69" s="107" t="n">
        <v>67</v>
      </c>
      <c r="B69" s="108" t="inlineStr">
        <is>
          <t>Từ chối / Phản đối</t>
        </is>
      </c>
      <c r="C69" s="109" t="inlineStr">
        <is>
          <t>少来。</t>
        </is>
      </c>
      <c r="D69" s="108" t="inlineStr">
        <is>
          <t>Shǎo lái.</t>
        </is>
      </c>
      <c r="E69" s="108" t="inlineStr">
        <is>
          <t>Thôi đi.</t>
        </is>
      </c>
      <c r="F69" s="108" t="inlineStr">
        <is>
          <t>Bác bỏ thân mật</t>
        </is>
      </c>
      <c r="G69" s="114">
        <f>HYPERLINK("https://youglish.com/pronounce/少来/chinese","🔍")</f>
        <v/>
      </c>
    </row>
    <row r="70">
      <c r="A70" s="110" t="n">
        <v>68</v>
      </c>
      <c r="B70" s="111" t="inlineStr">
        <is>
          <t>Từ chối / Phản đối</t>
        </is>
      </c>
      <c r="C70" s="112" t="inlineStr">
        <is>
          <t>我不管。</t>
        </is>
      </c>
      <c r="D70" s="111" t="inlineStr">
        <is>
          <t>Wǒ bù guǎn.</t>
        </is>
      </c>
      <c r="E70" s="111" t="inlineStr">
        <is>
          <t>Tôi mặc kệ.</t>
        </is>
      </c>
      <c r="F70" s="111" t="inlineStr">
        <is>
          <t>Không quan tâm</t>
        </is>
      </c>
      <c r="G70" s="117">
        <f>HYPERLINK("https://youglish.com/pronounce/我不管/chinese","🔍")</f>
        <v/>
      </c>
    </row>
    <row r="71">
      <c r="A71" s="107" t="n">
        <v>69</v>
      </c>
      <c r="B71" s="108" t="inlineStr">
        <is>
          <t>Từ chối / Phản đối</t>
        </is>
      </c>
      <c r="C71" s="109" t="inlineStr">
        <is>
          <t>想得美。</t>
        </is>
      </c>
      <c r="D71" s="108" t="inlineStr">
        <is>
          <t>Xiǎng dé měi.</t>
        </is>
      </c>
      <c r="E71" s="108" t="inlineStr">
        <is>
          <t>Đừng mơ.</t>
        </is>
      </c>
      <c r="F71" s="108" t="inlineStr">
        <is>
          <t>Bác bỏ hài hước</t>
        </is>
      </c>
      <c r="G71" s="114">
        <f>HYPERLINK("https://youglish.com/pronounce/想得美/chinese","🔍")</f>
        <v/>
      </c>
    </row>
    <row r="72">
      <c r="A72" s="110" t="n">
        <v>70</v>
      </c>
      <c r="B72" s="111" t="inlineStr">
        <is>
          <t>Từ chối / Phản đối</t>
        </is>
      </c>
      <c r="C72" s="112" t="inlineStr">
        <is>
          <t>门儿都没有。</t>
        </is>
      </c>
      <c r="D72" s="111" t="inlineStr">
        <is>
          <t>Mén ér dōu méi yǒu.</t>
        </is>
      </c>
      <c r="E72" s="111" t="inlineStr">
        <is>
          <t>Còn lâu / Đừng hòng.</t>
        </is>
      </c>
      <c r="F72" s="111" t="inlineStr">
        <is>
          <t>Dứt khoát</t>
        </is>
      </c>
      <c r="G72" s="117">
        <f>HYPERLINK("https://youglish.com/pronounce/门儿都没有/chinese","🔍")</f>
        <v/>
      </c>
    </row>
    <row r="73">
      <c r="A73" s="107" t="n">
        <v>71</v>
      </c>
      <c r="B73" s="108" t="inlineStr">
        <is>
          <t>Từ chối / Phản đối</t>
        </is>
      </c>
      <c r="C73" s="109" t="inlineStr">
        <is>
          <t>不要。</t>
        </is>
      </c>
      <c r="D73" s="108" t="inlineStr">
        <is>
          <t>Bú yào.</t>
        </is>
      </c>
      <c r="E73" s="108" t="inlineStr">
        <is>
          <t>Không cần.</t>
        </is>
      </c>
      <c r="F73" s="108" t="inlineStr">
        <is>
          <t>Từ chối</t>
        </is>
      </c>
      <c r="G73" s="114">
        <f>HYPERLINK("https://youglish.com/pronounce/不要/chinese","🔍")</f>
        <v/>
      </c>
    </row>
    <row r="74">
      <c r="A74" s="110" t="n">
        <v>72</v>
      </c>
      <c r="B74" s="111" t="inlineStr">
        <is>
          <t>Từ chối / Phản đối</t>
        </is>
      </c>
      <c r="C74" s="112" t="inlineStr">
        <is>
          <t>没门。</t>
        </is>
      </c>
      <c r="D74" s="111" t="inlineStr">
        <is>
          <t>Méi mén.</t>
        </is>
      </c>
      <c r="E74" s="111" t="inlineStr">
        <is>
          <t>Không đời nào.</t>
        </is>
      </c>
      <c r="F74" s="111" t="inlineStr">
        <is>
          <t>Dứt khoát</t>
        </is>
      </c>
      <c r="G74" s="117">
        <f>HYPERLINK("https://youglish.com/pronounce/没门/chinese","🔍")</f>
        <v/>
      </c>
    </row>
    <row r="75">
      <c r="A75" s="107" t="n">
        <v>73</v>
      </c>
      <c r="B75" s="108" t="inlineStr">
        <is>
          <t>Từ chối / Phản đối</t>
        </is>
      </c>
      <c r="C75" s="109" t="inlineStr">
        <is>
          <t>不可能。</t>
        </is>
      </c>
      <c r="D75" s="108" t="inlineStr">
        <is>
          <t>Bù kě néng.</t>
        </is>
      </c>
      <c r="E75" s="108" t="inlineStr">
        <is>
          <t>Không thể nào.</t>
        </is>
      </c>
      <c r="F75" s="108" t="inlineStr">
        <is>
          <t>Phủ định</t>
        </is>
      </c>
      <c r="G75" s="114">
        <f>HYPERLINK("https://youglish.com/pronounce/不可能/chinese","🔍")</f>
        <v/>
      </c>
    </row>
    <row r="76">
      <c r="A76" s="110" t="n">
        <v>74</v>
      </c>
      <c r="B76" s="111" t="inlineStr">
        <is>
          <t>Từ chối / Phản đối</t>
        </is>
      </c>
      <c r="C76" s="112" t="inlineStr">
        <is>
          <t>我拒绝。</t>
        </is>
      </c>
      <c r="D76" s="111" t="inlineStr">
        <is>
          <t>Wǒ jù jué.</t>
        </is>
      </c>
      <c r="E76" s="111" t="inlineStr">
        <is>
          <t>Tôi từ chối.</t>
        </is>
      </c>
      <c r="F76" s="111" t="inlineStr">
        <is>
          <t>Rõ ràng</t>
        </is>
      </c>
      <c r="G76" s="117">
        <f>HYPERLINK("https://youglish.com/pronounce/我拒绝/chinese","🔍")</f>
        <v/>
      </c>
    </row>
    <row r="77">
      <c r="A77" s="107" t="n">
        <v>75</v>
      </c>
      <c r="B77" s="108" t="inlineStr">
        <is>
          <t>Từ chối / Phản đối</t>
        </is>
      </c>
      <c r="C77" s="109" t="inlineStr">
        <is>
          <t>才不要。</t>
        </is>
      </c>
      <c r="D77" s="108" t="inlineStr">
        <is>
          <t>Cái bú yào.</t>
        </is>
      </c>
      <c r="E77" s="108" t="inlineStr">
        <is>
          <t>Không thèm.</t>
        </is>
      </c>
      <c r="F77" s="108" t="inlineStr">
        <is>
          <t>Bướng</t>
        </is>
      </c>
      <c r="G77" s="114">
        <f>HYPERLINK("https://youglish.com/pronounce/才不要/chinese","🔍")</f>
        <v/>
      </c>
    </row>
    <row r="78">
      <c r="A78" s="110" t="n">
        <v>76</v>
      </c>
      <c r="B78" s="111" t="inlineStr">
        <is>
          <t>Từ chối / Phản đối</t>
        </is>
      </c>
      <c r="C78" s="112" t="inlineStr">
        <is>
          <t>才怪。</t>
        </is>
      </c>
      <c r="D78" s="111" t="inlineStr">
        <is>
          <t>Cái guài.</t>
        </is>
      </c>
      <c r="E78" s="111" t="inlineStr">
        <is>
          <t>Còn lâu mới thế.</t>
        </is>
      </c>
      <c r="F78" s="111" t="inlineStr">
        <is>
          <t>Mỉa mai</t>
        </is>
      </c>
      <c r="G78" s="117">
        <f>HYPERLINK("https://youglish.com/pronounce/才怪/chinese","🔍")</f>
        <v/>
      </c>
    </row>
    <row r="79">
      <c r="A79" s="107" t="n">
        <v>77</v>
      </c>
      <c r="B79" s="108" t="inlineStr">
        <is>
          <t>Từ chối / Phản đối</t>
        </is>
      </c>
      <c r="C79" s="109" t="inlineStr">
        <is>
          <t>胡说。</t>
        </is>
      </c>
      <c r="D79" s="108" t="inlineStr">
        <is>
          <t>Hú shuō.</t>
        </is>
      </c>
      <c r="E79" s="108" t="inlineStr">
        <is>
          <t>Nói bậy.</t>
        </is>
      </c>
      <c r="F79" s="108" t="inlineStr">
        <is>
          <t>Bác bỏ</t>
        </is>
      </c>
      <c r="G79" s="114">
        <f>HYPERLINK("https://youglish.com/pronounce/胡说/chinese","🔍")</f>
        <v/>
      </c>
    </row>
    <row r="80">
      <c r="A80" s="110" t="n">
        <v>78</v>
      </c>
      <c r="B80" s="111" t="inlineStr">
        <is>
          <t>Từ chối / Phản đối</t>
        </is>
      </c>
      <c r="C80" s="112" t="inlineStr">
        <is>
          <t>瞎说。</t>
        </is>
      </c>
      <c r="D80" s="111" t="inlineStr">
        <is>
          <t>Xiā shuō.</t>
        </is>
      </c>
      <c r="E80" s="111" t="inlineStr">
        <is>
          <t>Nói linh tinh.</t>
        </is>
      </c>
      <c r="F80" s="111" t="inlineStr">
        <is>
          <t>Bác bỏ</t>
        </is>
      </c>
      <c r="G80" s="117">
        <f>HYPERLINK("https://youglish.com/pronounce/瞎说/chinese","🔍")</f>
        <v/>
      </c>
    </row>
    <row r="81">
      <c r="A81" s="107" t="n">
        <v>79</v>
      </c>
      <c r="B81" s="108" t="inlineStr">
        <is>
          <t>Từ chối / Phản đối</t>
        </is>
      </c>
      <c r="C81" s="109" t="inlineStr">
        <is>
          <t>别逗了。</t>
        </is>
      </c>
      <c r="D81" s="108" t="inlineStr">
        <is>
          <t>Bié dòu le.</t>
        </is>
      </c>
      <c r="E81" s="108" t="inlineStr">
        <is>
          <t>Đừng đùa nữa.</t>
        </is>
      </c>
      <c r="F81" s="108" t="inlineStr">
        <is>
          <t>Không tin</t>
        </is>
      </c>
      <c r="G81" s="114">
        <f>HYPERLINK("https://youglish.com/pronounce/别逗了/chinese","🔍")</f>
        <v/>
      </c>
    </row>
    <row r="82">
      <c r="A82" s="110" t="n">
        <v>80</v>
      </c>
      <c r="B82" s="111" t="inlineStr">
        <is>
          <t>Từ chối / Phản đối</t>
        </is>
      </c>
      <c r="C82" s="112" t="inlineStr">
        <is>
          <t>没戏。</t>
        </is>
      </c>
      <c r="D82" s="111" t="inlineStr">
        <is>
          <t>Méi xì.</t>
        </is>
      </c>
      <c r="E82" s="111" t="inlineStr">
        <is>
          <t>Vô vọng / Toi rồi.</t>
        </is>
      </c>
      <c r="F82" s="111" t="inlineStr">
        <is>
          <t>Không có cửa</t>
        </is>
      </c>
      <c r="G82" s="117">
        <f>HYPERLINK("https://youglish.com/pronounce/没戏/chinese","🔍")</f>
        <v/>
      </c>
    </row>
    <row r="83">
      <c r="A83" s="107" t="n">
        <v>81</v>
      </c>
      <c r="B83" s="108" t="inlineStr">
        <is>
          <t>Từ chối / Phản đối</t>
        </is>
      </c>
      <c r="C83" s="109" t="inlineStr">
        <is>
          <t>免谈。</t>
        </is>
      </c>
      <c r="D83" s="108" t="inlineStr">
        <is>
          <t>Miǎn tán.</t>
        </is>
      </c>
      <c r="E83" s="108" t="inlineStr">
        <is>
          <t>Miễn bàn.</t>
        </is>
      </c>
      <c r="F83" s="108" t="inlineStr">
        <is>
          <t>Cắt đứt</t>
        </is>
      </c>
      <c r="G83" s="114">
        <f>HYPERLINK("https://youglish.com/pronounce/免谈/chinese","🔍")</f>
        <v/>
      </c>
    </row>
    <row r="84">
      <c r="A84" s="110" t="n">
        <v>82</v>
      </c>
      <c r="B84" s="111" t="inlineStr">
        <is>
          <t>Từ chối / Phản đối</t>
        </is>
      </c>
      <c r="C84" s="112" t="inlineStr">
        <is>
          <t>拉倒吧。</t>
        </is>
      </c>
      <c r="D84" s="111" t="inlineStr">
        <is>
          <t>Lā dǎo ba.</t>
        </is>
      </c>
      <c r="E84" s="111" t="inlineStr">
        <is>
          <t>Thôi dẹp đi.</t>
        </is>
      </c>
      <c r="F84" s="111" t="inlineStr">
        <is>
          <t>Bác bỏ</t>
        </is>
      </c>
      <c r="G84" s="117">
        <f>HYPERLINK("https://youglish.com/pronounce/拉倒吧/chinese","🔍")</f>
        <v/>
      </c>
    </row>
    <row r="85">
      <c r="A85" s="107" t="n">
        <v>83</v>
      </c>
      <c r="B85" s="108" t="inlineStr">
        <is>
          <t>Từ chối / Phản đối</t>
        </is>
      </c>
      <c r="C85" s="109" t="inlineStr">
        <is>
          <t>省省吧。</t>
        </is>
      </c>
      <c r="D85" s="108" t="inlineStr">
        <is>
          <t>Shěng shěng ba.</t>
        </is>
      </c>
      <c r="E85" s="108" t="inlineStr">
        <is>
          <t>Thôi tha đi.</t>
        </is>
      </c>
      <c r="F85" s="108" t="inlineStr">
        <is>
          <t>Bác bỏ mỉa</t>
        </is>
      </c>
      <c r="G85" s="114">
        <f>HYPERLINK("https://youglish.com/pronounce/省省吧/chinese","🔍")</f>
        <v/>
      </c>
    </row>
    <row r="86">
      <c r="A86" s="110" t="n">
        <v>84</v>
      </c>
      <c r="B86" s="111" t="inlineStr">
        <is>
          <t>Từ chối / Phản đối</t>
        </is>
      </c>
      <c r="C86" s="112" t="inlineStr">
        <is>
          <t>打住。</t>
        </is>
      </c>
      <c r="D86" s="111" t="inlineStr">
        <is>
          <t>Dǎ zhù.</t>
        </is>
      </c>
      <c r="E86" s="111" t="inlineStr">
        <is>
          <t>Dừng lại đó.</t>
        </is>
      </c>
      <c r="F86" s="111" t="inlineStr">
        <is>
          <t>Ngắt lời</t>
        </is>
      </c>
      <c r="G86" s="117">
        <f>HYPERLINK("https://youglish.com/pronounce/打住/chinese","🔍")</f>
        <v/>
      </c>
    </row>
    <row r="87">
      <c r="A87" s="107" t="n">
        <v>85</v>
      </c>
      <c r="B87" s="108" t="inlineStr">
        <is>
          <t>Từ chối / Phản đối</t>
        </is>
      </c>
      <c r="C87" s="109" t="inlineStr">
        <is>
          <t>别说了。</t>
        </is>
      </c>
      <c r="D87" s="108" t="inlineStr">
        <is>
          <t>Bié shuō le.</t>
        </is>
      </c>
      <c r="E87" s="108" t="inlineStr">
        <is>
          <t>Đừng nói nữa.</t>
        </is>
      </c>
      <c r="F87" s="108" t="inlineStr">
        <is>
          <t>Chặn lời</t>
        </is>
      </c>
      <c r="G87" s="114">
        <f>HYPERLINK("https://youglish.com/pronounce/别说了/chinese","🔍")</f>
        <v/>
      </c>
    </row>
    <row r="88">
      <c r="A88" s="110" t="n">
        <v>86</v>
      </c>
      <c r="B88" s="111" t="inlineStr">
        <is>
          <t>Từ chối / Phản đối</t>
        </is>
      </c>
      <c r="C88" s="112" t="inlineStr">
        <is>
          <t>我不信。</t>
        </is>
      </c>
      <c r="D88" s="111" t="inlineStr">
        <is>
          <t>Wǒ bù xìn.</t>
        </is>
      </c>
      <c r="E88" s="111" t="inlineStr">
        <is>
          <t>Tôi không tin.</t>
        </is>
      </c>
      <c r="F88" s="111" t="inlineStr">
        <is>
          <t>Nghi ngờ</t>
        </is>
      </c>
      <c r="G88" s="117">
        <f>HYPERLINK("https://youglish.com/pronounce/我不信/chinese","🔍")</f>
        <v/>
      </c>
    </row>
    <row r="89">
      <c r="A89" s="107" t="n">
        <v>87</v>
      </c>
      <c r="B89" s="108" t="inlineStr">
        <is>
          <t>Từ chối / Phản đối</t>
        </is>
      </c>
      <c r="C89" s="109" t="inlineStr">
        <is>
          <t>骗人的。</t>
        </is>
      </c>
      <c r="D89" s="108" t="inlineStr">
        <is>
          <t>Piàn rén de.</t>
        </is>
      </c>
      <c r="E89" s="108" t="inlineStr">
        <is>
          <t>Xạo đấy.</t>
        </is>
      </c>
      <c r="F89" s="108" t="inlineStr">
        <is>
          <t>Không tin</t>
        </is>
      </c>
      <c r="G89" s="114">
        <f>HYPERLINK("https://youglish.com/pronounce/骗人的/chinese","🔍")</f>
        <v/>
      </c>
    </row>
    <row r="90">
      <c r="A90" s="110" t="n">
        <v>88</v>
      </c>
      <c r="B90" s="111" t="inlineStr">
        <is>
          <t>Từ chối / Phản đối</t>
        </is>
      </c>
      <c r="C90" s="112" t="inlineStr">
        <is>
          <t>鬼才信。</t>
        </is>
      </c>
      <c r="D90" s="111" t="inlineStr">
        <is>
          <t>Guǐ cái xìn.</t>
        </is>
      </c>
      <c r="E90" s="111" t="inlineStr">
        <is>
          <t>Ma mới tin.</t>
        </is>
      </c>
      <c r="F90" s="111" t="inlineStr">
        <is>
          <t>Không tin</t>
        </is>
      </c>
      <c r="G90" s="117">
        <f>HYPERLINK("https://youglish.com/pronounce/鬼才信/chinese","🔍")</f>
        <v/>
      </c>
    </row>
    <row r="91">
      <c r="A91" s="107" t="n">
        <v>89</v>
      </c>
      <c r="B91" s="108" t="inlineStr">
        <is>
          <t>Từ chối / Phản đối</t>
        </is>
      </c>
      <c r="C91" s="109" t="inlineStr">
        <is>
          <t>想都别想。</t>
        </is>
      </c>
      <c r="D91" s="108" t="inlineStr">
        <is>
          <t>Xiǎng dōu bié xiǎng.</t>
        </is>
      </c>
      <c r="E91" s="108" t="inlineStr">
        <is>
          <t>Đừng có mơ.</t>
        </is>
      </c>
      <c r="F91" s="108" t="inlineStr">
        <is>
          <t>Dứt khoát</t>
        </is>
      </c>
      <c r="G91" s="114">
        <f>HYPERLINK("https://youglish.com/pronounce/想都别想/chinese","🔍")</f>
        <v/>
      </c>
    </row>
    <row r="92">
      <c r="A92" s="110" t="n">
        <v>90</v>
      </c>
      <c r="B92" s="111" t="inlineStr">
        <is>
          <t>Từ chối / Phản đối</t>
        </is>
      </c>
      <c r="C92" s="112" t="inlineStr">
        <is>
          <t>死心吧。</t>
        </is>
      </c>
      <c r="D92" s="111" t="inlineStr">
        <is>
          <t>Sǐ xīn ba.</t>
        </is>
      </c>
      <c r="E92" s="111" t="inlineStr">
        <is>
          <t>Thôi chết cái ý đó đi.</t>
        </is>
      </c>
      <c r="F92" s="111" t="inlineStr">
        <is>
          <t>Khuyên từ bỏ</t>
        </is>
      </c>
      <c r="G92" s="117">
        <f>HYPERLINK("https://youglish.com/pronounce/死心吧/chinese","🔍")</f>
        <v/>
      </c>
    </row>
    <row r="93">
      <c r="A93" s="107" t="n">
        <v>91</v>
      </c>
      <c r="B93" s="108" t="inlineStr">
        <is>
          <t>Hỏi thăm / Xã giao</t>
        </is>
      </c>
      <c r="C93" s="109" t="inlineStr">
        <is>
          <t>最近怎么样？</t>
        </is>
      </c>
      <c r="D93" s="108" t="inlineStr">
        <is>
          <t>Zuì jìn zěn me yàng?</t>
        </is>
      </c>
      <c r="E93" s="108" t="inlineStr">
        <is>
          <t>Dạo này thế nào?</t>
        </is>
      </c>
      <c r="F93" s="108" t="inlineStr">
        <is>
          <t>Hỏi thăm</t>
        </is>
      </c>
      <c r="G93" s="114">
        <f>HYPERLINK("https://youglish.com/pronounce/最近怎么样/chinese","🔍")</f>
        <v/>
      </c>
    </row>
    <row r="94">
      <c r="A94" s="110" t="n">
        <v>92</v>
      </c>
      <c r="B94" s="111" t="inlineStr">
        <is>
          <t>Hỏi thăm / Xã giao</t>
        </is>
      </c>
      <c r="C94" s="112" t="inlineStr">
        <is>
          <t>吃了吗？</t>
        </is>
      </c>
      <c r="D94" s="111" t="inlineStr">
        <is>
          <t>Chī le ma?</t>
        </is>
      </c>
      <c r="E94" s="111" t="inlineStr">
        <is>
          <t>Ăn cơm chưa?</t>
        </is>
      </c>
      <c r="F94" s="111" t="inlineStr">
        <is>
          <t>Chào cửa miệng</t>
        </is>
      </c>
      <c r="G94" s="117">
        <f>HYPERLINK("https://youglish.com/pronounce/吃了吗/chinese","🔍")</f>
        <v/>
      </c>
    </row>
    <row r="95">
      <c r="A95" s="107" t="n">
        <v>93</v>
      </c>
      <c r="B95" s="108" t="inlineStr">
        <is>
          <t>Hỏi thăm / Xã giao</t>
        </is>
      </c>
      <c r="C95" s="109" t="inlineStr">
        <is>
          <t>忙什么呢？</t>
        </is>
      </c>
      <c r="D95" s="108" t="inlineStr">
        <is>
          <t>Máng shén me ne?</t>
        </is>
      </c>
      <c r="E95" s="108" t="inlineStr">
        <is>
          <t>Bận gì thế?</t>
        </is>
      </c>
      <c r="F95" s="108" t="inlineStr">
        <is>
          <t>Bắt chuyện</t>
        </is>
      </c>
      <c r="G95" s="114">
        <f>HYPERLINK("https://youglish.com/pronounce/忙什么呢/chinese","🔍")</f>
        <v/>
      </c>
    </row>
    <row r="96">
      <c r="A96" s="110" t="n">
        <v>94</v>
      </c>
      <c r="B96" s="111" t="inlineStr">
        <is>
          <t>Hỏi thăm / Xã giao</t>
        </is>
      </c>
      <c r="C96" s="112" t="inlineStr">
        <is>
          <t>好久不见。</t>
        </is>
      </c>
      <c r="D96" s="111" t="inlineStr">
        <is>
          <t>Hǎo jiǔ bú jiàn.</t>
        </is>
      </c>
      <c r="E96" s="111" t="inlineStr">
        <is>
          <t>Lâu rồi không gặp.</t>
        </is>
      </c>
      <c r="F96" s="111" t="inlineStr">
        <is>
          <t>Gặp lại</t>
        </is>
      </c>
      <c r="G96" s="117">
        <f>HYPERLINK("https://youglish.com/pronounce/好久不见/chinese","🔍")</f>
        <v/>
      </c>
    </row>
    <row r="97">
      <c r="A97" s="107" t="n">
        <v>95</v>
      </c>
      <c r="B97" s="108" t="inlineStr">
        <is>
          <t>Hỏi thăm / Xã giao</t>
        </is>
      </c>
      <c r="C97" s="109" t="inlineStr">
        <is>
          <t>怎么了？</t>
        </is>
      </c>
      <c r="D97" s="108" t="inlineStr">
        <is>
          <t>Zěn me le?</t>
        </is>
      </c>
      <c r="E97" s="108" t="inlineStr">
        <is>
          <t>Sao thế?</t>
        </is>
      </c>
      <c r="F97" s="108" t="inlineStr">
        <is>
          <t>Quan tâm</t>
        </is>
      </c>
      <c r="G97" s="114">
        <f>HYPERLINK("https://youglish.com/pronounce/怎么了/chinese","🔍")</f>
        <v/>
      </c>
    </row>
    <row r="98">
      <c r="A98" s="110" t="n">
        <v>96</v>
      </c>
      <c r="B98" s="111" t="inlineStr">
        <is>
          <t>Hỏi thăm / Xã giao</t>
        </is>
      </c>
      <c r="C98" s="112" t="inlineStr">
        <is>
          <t>你说呢？</t>
        </is>
      </c>
      <c r="D98" s="111" t="inlineStr">
        <is>
          <t>Nǐ shuō ne?</t>
        </is>
      </c>
      <c r="E98" s="111" t="inlineStr">
        <is>
          <t>Bạn thấy sao?</t>
        </is>
      </c>
      <c r="F98" s="111" t="inlineStr">
        <is>
          <t>Hỏi ý</t>
        </is>
      </c>
      <c r="G98" s="117">
        <f>HYPERLINK("https://youglish.com/pronounce/你说呢/chinese","🔍")</f>
        <v/>
      </c>
    </row>
    <row r="99">
      <c r="A99" s="107" t="n">
        <v>97</v>
      </c>
      <c r="B99" s="108" t="inlineStr">
        <is>
          <t>Hỏi thăm / Xã giao</t>
        </is>
      </c>
      <c r="C99" s="109" t="inlineStr">
        <is>
          <t>什么意思？</t>
        </is>
      </c>
      <c r="D99" s="108" t="inlineStr">
        <is>
          <t>Shén me yì si?</t>
        </is>
      </c>
      <c r="E99" s="108" t="inlineStr">
        <is>
          <t>Ý là sao?</t>
        </is>
      </c>
      <c r="F99" s="108" t="inlineStr">
        <is>
          <t>Hỏi lại</t>
        </is>
      </c>
      <c r="G99" s="114">
        <f>HYPERLINK("https://youglish.com/pronounce/什么意思/chinese","🔍")</f>
        <v/>
      </c>
    </row>
    <row r="100">
      <c r="A100" s="110" t="n">
        <v>98</v>
      </c>
      <c r="B100" s="111" t="inlineStr">
        <is>
          <t>Hỏi thăm / Xã giao</t>
        </is>
      </c>
      <c r="C100" s="112" t="inlineStr">
        <is>
          <t>明白了吗？</t>
        </is>
      </c>
      <c r="D100" s="111" t="inlineStr">
        <is>
          <t>Míng bái le ma?</t>
        </is>
      </c>
      <c r="E100" s="111" t="inlineStr">
        <is>
          <t>Hiểu chưa?</t>
        </is>
      </c>
      <c r="F100" s="111" t="inlineStr">
        <is>
          <t>Xác nhận</t>
        </is>
      </c>
      <c r="G100" s="117">
        <f>HYPERLINK("https://youglish.com/pronounce/明白了吗/chinese","🔍")</f>
        <v/>
      </c>
    </row>
    <row r="101">
      <c r="A101" s="107" t="n">
        <v>99</v>
      </c>
      <c r="B101" s="108" t="inlineStr">
        <is>
          <t>Hỏi thăm / Xã giao</t>
        </is>
      </c>
      <c r="C101" s="109" t="inlineStr">
        <is>
          <t>还行吧。</t>
        </is>
      </c>
      <c r="D101" s="108" t="inlineStr">
        <is>
          <t>Hái xíng ba.</t>
        </is>
      </c>
      <c r="E101" s="108" t="inlineStr">
        <is>
          <t>Cũng tạm.</t>
        </is>
      </c>
      <c r="F101" s="108" t="inlineStr">
        <is>
          <t>Qua loa</t>
        </is>
      </c>
      <c r="G101" s="114">
        <f>HYPERLINK("https://youglish.com/pronounce/还行吧/chinese","🔍")</f>
        <v/>
      </c>
    </row>
    <row r="102">
      <c r="A102" s="110" t="n">
        <v>100</v>
      </c>
      <c r="B102" s="111" t="inlineStr">
        <is>
          <t>Hỏi thăm / Xã giao</t>
        </is>
      </c>
      <c r="C102" s="112" t="inlineStr">
        <is>
          <t>马马虎虎。</t>
        </is>
      </c>
      <c r="D102" s="111" t="inlineStr">
        <is>
          <t>Mǎ mǎ hǔ hǔ.</t>
        </is>
      </c>
      <c r="E102" s="111" t="inlineStr">
        <is>
          <t>Tàm tạm.</t>
        </is>
      </c>
      <c r="F102" s="111" t="inlineStr">
        <is>
          <t>Qua loa</t>
        </is>
      </c>
      <c r="G102" s="117">
        <f>HYPERLINK("https://youglish.com/pronounce/马马虎虎/chinese","🔍")</f>
        <v/>
      </c>
    </row>
    <row r="103">
      <c r="A103" s="107" t="n">
        <v>101</v>
      </c>
      <c r="B103" s="108" t="inlineStr">
        <is>
          <t>Hỏi thăm / Xã giao</t>
        </is>
      </c>
      <c r="C103" s="109" t="inlineStr">
        <is>
          <t>你好吗？</t>
        </is>
      </c>
      <c r="D103" s="108" t="inlineStr">
        <is>
          <t>Nǐ hǎo ma?</t>
        </is>
      </c>
      <c r="E103" s="108" t="inlineStr">
        <is>
          <t>Bạn khỏe không?</t>
        </is>
      </c>
      <c r="F103" s="108" t="inlineStr">
        <is>
          <t>Hỏi thăm</t>
        </is>
      </c>
      <c r="G103" s="114">
        <f>HYPERLINK("https://youglish.com/pronounce/你好吗/chinese","🔍")</f>
        <v/>
      </c>
    </row>
    <row r="104">
      <c r="A104" s="110" t="n">
        <v>102</v>
      </c>
      <c r="B104" s="111" t="inlineStr">
        <is>
          <t>Hỏi thăm / Xã giao</t>
        </is>
      </c>
      <c r="C104" s="112" t="inlineStr">
        <is>
          <t>干嘛呢？</t>
        </is>
      </c>
      <c r="D104" s="111" t="inlineStr">
        <is>
          <t>Gàn má ne?</t>
        </is>
      </c>
      <c r="E104" s="111" t="inlineStr">
        <is>
          <t>Đang làm gì đấy?</t>
        </is>
      </c>
      <c r="F104" s="111" t="inlineStr">
        <is>
          <t>Bắt chuyện</t>
        </is>
      </c>
      <c r="G104" s="117">
        <f>HYPERLINK("https://youglish.com/pronounce/干嘛呢/chinese","🔍")</f>
        <v/>
      </c>
    </row>
    <row r="105">
      <c r="A105" s="107" t="n">
        <v>103</v>
      </c>
      <c r="B105" s="108" t="inlineStr">
        <is>
          <t>Hỏi thăm / Xã giao</t>
        </is>
      </c>
      <c r="C105" s="109" t="inlineStr">
        <is>
          <t>去哪儿？</t>
        </is>
      </c>
      <c r="D105" s="108" t="inlineStr">
        <is>
          <t>Qù nǎ ér?</t>
        </is>
      </c>
      <c r="E105" s="108" t="inlineStr">
        <is>
          <t>Đi đâu đấy?</t>
        </is>
      </c>
      <c r="F105" s="108" t="inlineStr">
        <is>
          <t>Chào hỏi</t>
        </is>
      </c>
      <c r="G105" s="114">
        <f>HYPERLINK("https://youglish.com/pronounce/去哪儿/chinese","🔍")</f>
        <v/>
      </c>
    </row>
    <row r="106">
      <c r="A106" s="110" t="n">
        <v>104</v>
      </c>
      <c r="B106" s="111" t="inlineStr">
        <is>
          <t>Hỏi thăm / Xã giao</t>
        </is>
      </c>
      <c r="C106" s="112" t="inlineStr">
        <is>
          <t>有空吗？</t>
        </is>
      </c>
      <c r="D106" s="111" t="inlineStr">
        <is>
          <t>Yǒu kòng ma?</t>
        </is>
      </c>
      <c r="E106" s="111" t="inlineStr">
        <is>
          <t>Có rảnh không?</t>
        </is>
      </c>
      <c r="F106" s="111" t="inlineStr">
        <is>
          <t>Rủ rê</t>
        </is>
      </c>
      <c r="G106" s="117">
        <f>HYPERLINK("https://youglish.com/pronounce/有空吗/chinese","🔍")</f>
        <v/>
      </c>
    </row>
    <row r="107">
      <c r="A107" s="107" t="n">
        <v>105</v>
      </c>
      <c r="B107" s="108" t="inlineStr">
        <is>
          <t>Hỏi thăm / Xã giao</t>
        </is>
      </c>
      <c r="C107" s="109" t="inlineStr">
        <is>
          <t>怎么称呼？</t>
        </is>
      </c>
      <c r="D107" s="108" t="inlineStr">
        <is>
          <t>Zěn me chēng hū?</t>
        </is>
      </c>
      <c r="E107" s="108" t="inlineStr">
        <is>
          <t>Xưng hô thế nào?</t>
        </is>
      </c>
      <c r="F107" s="108" t="inlineStr">
        <is>
          <t>Làm quen</t>
        </is>
      </c>
      <c r="G107" s="114">
        <f>HYPERLINK("https://youglish.com/pronounce/怎么称呼/chinese","🔍")</f>
        <v/>
      </c>
    </row>
    <row r="108">
      <c r="A108" s="110" t="n">
        <v>106</v>
      </c>
      <c r="B108" s="111" t="inlineStr">
        <is>
          <t>Hỏi thăm / Xã giao</t>
        </is>
      </c>
      <c r="C108" s="112" t="inlineStr">
        <is>
          <t>贵姓？</t>
        </is>
      </c>
      <c r="D108" s="111" t="inlineStr">
        <is>
          <t>Guì xìng?</t>
        </is>
      </c>
      <c r="E108" s="111" t="inlineStr">
        <is>
          <t>Quý danh?</t>
        </is>
      </c>
      <c r="F108" s="111" t="inlineStr">
        <is>
          <t>Hỏi họ lịch sự</t>
        </is>
      </c>
      <c r="G108" s="117">
        <f>HYPERLINK("https://youglish.com/pronounce/贵姓/chinese","🔍")</f>
        <v/>
      </c>
    </row>
    <row r="109">
      <c r="A109" s="107" t="n">
        <v>107</v>
      </c>
      <c r="B109" s="108" t="inlineStr">
        <is>
          <t>Hỏi thăm / Xã giao</t>
        </is>
      </c>
      <c r="C109" s="109" t="inlineStr">
        <is>
          <t>哪里人？</t>
        </is>
      </c>
      <c r="D109" s="108" t="inlineStr">
        <is>
          <t>Nǎ lǐ rén?</t>
        </is>
      </c>
      <c r="E109" s="108" t="inlineStr">
        <is>
          <t>Người ở đâu?</t>
        </is>
      </c>
      <c r="F109" s="108" t="inlineStr">
        <is>
          <t>Làm quen</t>
        </is>
      </c>
      <c r="G109" s="114">
        <f>HYPERLINK("https://youglish.com/pronounce/哪里人/chinese","🔍")</f>
        <v/>
      </c>
    </row>
    <row r="110">
      <c r="A110" s="110" t="n">
        <v>108</v>
      </c>
      <c r="B110" s="111" t="inlineStr">
        <is>
          <t>Hỏi thăm / Xã giao</t>
        </is>
      </c>
      <c r="C110" s="112" t="inlineStr">
        <is>
          <t>结婚了吗？</t>
        </is>
      </c>
      <c r="D110" s="111" t="inlineStr">
        <is>
          <t>Jié hūn le ma?</t>
        </is>
      </c>
      <c r="E110" s="111" t="inlineStr">
        <is>
          <t>Kết hôn chưa?</t>
        </is>
      </c>
      <c r="F110" s="111" t="inlineStr">
        <is>
          <t>Hỏi thăm</t>
        </is>
      </c>
      <c r="G110" s="117">
        <f>HYPERLINK("https://youglish.com/pronounce/结婚了吗/chinese","🔍")</f>
        <v/>
      </c>
    </row>
    <row r="111">
      <c r="A111" s="107" t="n">
        <v>109</v>
      </c>
      <c r="B111" s="108" t="inlineStr">
        <is>
          <t>Hỏi thăm / Xã giao</t>
        </is>
      </c>
      <c r="C111" s="109" t="inlineStr">
        <is>
          <t>有对象了吗？</t>
        </is>
      </c>
      <c r="D111" s="108" t="inlineStr">
        <is>
          <t>Yǒu duì xiàng le ma?</t>
        </is>
      </c>
      <c r="E111" s="108" t="inlineStr">
        <is>
          <t>Có người yêu chưa?</t>
        </is>
      </c>
      <c r="F111" s="108" t="inlineStr">
        <is>
          <t>Hỏi thăm</t>
        </is>
      </c>
      <c r="G111" s="114">
        <f>HYPERLINK("https://youglish.com/pronounce/有对象了吗/chinese","🔍")</f>
        <v/>
      </c>
    </row>
    <row r="112">
      <c r="A112" s="110" t="n">
        <v>110</v>
      </c>
      <c r="B112" s="111" t="inlineStr">
        <is>
          <t>Hỏi thăm / Xã giao</t>
        </is>
      </c>
      <c r="C112" s="112" t="inlineStr">
        <is>
          <t>身体好吗？</t>
        </is>
      </c>
      <c r="D112" s="111" t="inlineStr">
        <is>
          <t>Shēn tǐ hǎo ma?</t>
        </is>
      </c>
      <c r="E112" s="111" t="inlineStr">
        <is>
          <t>Sức khỏe tốt chứ?</t>
        </is>
      </c>
      <c r="F112" s="111" t="inlineStr">
        <is>
          <t>Quan tâm</t>
        </is>
      </c>
      <c r="G112" s="117">
        <f>HYPERLINK("https://youglish.com/pronounce/身体好吗/chinese","🔍")</f>
        <v/>
      </c>
    </row>
    <row r="113">
      <c r="A113" s="107" t="n">
        <v>111</v>
      </c>
      <c r="B113" s="108" t="inlineStr">
        <is>
          <t>Hỏi thăm / Xã giao</t>
        </is>
      </c>
      <c r="C113" s="109" t="inlineStr">
        <is>
          <t>下班了吗？</t>
        </is>
      </c>
      <c r="D113" s="108" t="inlineStr">
        <is>
          <t>Xià bān le ma?</t>
        </is>
      </c>
      <c r="E113" s="108" t="inlineStr">
        <is>
          <t>Tan làm chưa?</t>
        </is>
      </c>
      <c r="F113" s="108" t="inlineStr">
        <is>
          <t>Hỏi thăm</t>
        </is>
      </c>
      <c r="G113" s="114">
        <f>HYPERLINK("https://youglish.com/pronounce/下班了吗/chinese","🔍")</f>
        <v/>
      </c>
    </row>
    <row r="114">
      <c r="A114" s="110" t="n">
        <v>112</v>
      </c>
      <c r="B114" s="111" t="inlineStr">
        <is>
          <t>Hỏi thăm / Xã giao</t>
        </is>
      </c>
      <c r="C114" s="112" t="inlineStr">
        <is>
          <t>周末干嘛？</t>
        </is>
      </c>
      <c r="D114" s="111" t="inlineStr">
        <is>
          <t>Zhōu mò gàn má?</t>
        </is>
      </c>
      <c r="E114" s="111" t="inlineStr">
        <is>
          <t>Cuối tuần làm gì?</t>
        </is>
      </c>
      <c r="F114" s="111" t="inlineStr">
        <is>
          <t>Bắt chuyện</t>
        </is>
      </c>
      <c r="G114" s="117">
        <f>HYPERLINK("https://youglish.com/pronounce/周末干嘛/chinese","🔍")</f>
        <v/>
      </c>
    </row>
    <row r="115">
      <c r="A115" s="107" t="n">
        <v>113</v>
      </c>
      <c r="B115" s="108" t="inlineStr">
        <is>
          <t>Hỏi thăm / Xã giao</t>
        </is>
      </c>
      <c r="C115" s="109" t="inlineStr">
        <is>
          <t>有事吗？</t>
        </is>
      </c>
      <c r="D115" s="108" t="inlineStr">
        <is>
          <t>Yǒu shì ma?</t>
        </is>
      </c>
      <c r="E115" s="108" t="inlineStr">
        <is>
          <t>Có việc gì không?</t>
        </is>
      </c>
      <c r="F115" s="108" t="inlineStr">
        <is>
          <t>Hỏi mục đích</t>
        </is>
      </c>
      <c r="G115" s="114">
        <f>HYPERLINK("https://youglish.com/pronounce/有事吗/chinese","🔍")</f>
        <v/>
      </c>
    </row>
    <row r="116">
      <c r="A116" s="110" t="n">
        <v>114</v>
      </c>
      <c r="B116" s="111" t="inlineStr">
        <is>
          <t>Hỏi thăm / Xã giao</t>
        </is>
      </c>
      <c r="C116" s="112" t="inlineStr">
        <is>
          <t>找我什么事？</t>
        </is>
      </c>
      <c r="D116" s="111" t="inlineStr">
        <is>
          <t>Zhǎo wǒ shén me shì?</t>
        </is>
      </c>
      <c r="E116" s="111" t="inlineStr">
        <is>
          <t>Tìm tôi có việc gì?</t>
        </is>
      </c>
      <c r="F116" s="111" t="inlineStr">
        <is>
          <t>Hỏi việc</t>
        </is>
      </c>
      <c r="G116" s="117">
        <f>HYPERLINK("https://youglish.com/pronounce/找我什么事/chinese","🔍")</f>
        <v/>
      </c>
    </row>
    <row r="117">
      <c r="A117" s="107" t="n">
        <v>115</v>
      </c>
      <c r="B117" s="108" t="inlineStr">
        <is>
          <t>Hỏi thăm / Xã giao</t>
        </is>
      </c>
      <c r="C117" s="109" t="inlineStr">
        <is>
          <t>好巧啊！</t>
        </is>
      </c>
      <c r="D117" s="108" t="inlineStr">
        <is>
          <t>Hǎo qiǎo a!</t>
        </is>
      </c>
      <c r="E117" s="108" t="inlineStr">
        <is>
          <t>Trùng hợp ghê!</t>
        </is>
      </c>
      <c r="F117" s="108" t="inlineStr">
        <is>
          <t>Gặp bất ngờ</t>
        </is>
      </c>
      <c r="G117" s="114">
        <f>HYPERLINK("https://youglish.com/pronounce/好巧啊/chinese","🔍")</f>
        <v/>
      </c>
    </row>
    <row r="118">
      <c r="A118" s="110" t="n">
        <v>116</v>
      </c>
      <c r="B118" s="111" t="inlineStr">
        <is>
          <t>Hỏi thăm / Xã giao</t>
        </is>
      </c>
      <c r="C118" s="112" t="inlineStr">
        <is>
          <t>你怎么来了？</t>
        </is>
      </c>
      <c r="D118" s="111" t="inlineStr">
        <is>
          <t>Nǐ zěn me lái le?</t>
        </is>
      </c>
      <c r="E118" s="111" t="inlineStr">
        <is>
          <t>Sao bạn lại đến?</t>
        </is>
      </c>
      <c r="F118" s="111" t="inlineStr">
        <is>
          <t>Bất ngờ</t>
        </is>
      </c>
      <c r="G118" s="117">
        <f>HYPERLINK("https://youglish.com/pronounce/你怎么来了/chinese","🔍")</f>
        <v/>
      </c>
    </row>
    <row r="119">
      <c r="A119" s="107" t="n">
        <v>117</v>
      </c>
      <c r="B119" s="108" t="inlineStr">
        <is>
          <t>Hỏi thăm / Xã giao</t>
        </is>
      </c>
      <c r="C119" s="109" t="inlineStr">
        <is>
          <t>稀客稀客！</t>
        </is>
      </c>
      <c r="D119" s="108" t="inlineStr">
        <is>
          <t>Xī kè xī kè!</t>
        </is>
      </c>
      <c r="E119" s="108" t="inlineStr">
        <is>
          <t>Khách quý khách quý!</t>
        </is>
      </c>
      <c r="F119" s="108" t="inlineStr">
        <is>
          <t>Đùa vui</t>
        </is>
      </c>
      <c r="G119" s="114">
        <f>HYPERLINK("https://youglish.com/pronounce/稀客稀客/chinese","🔍")</f>
        <v/>
      </c>
    </row>
    <row r="120">
      <c r="A120" s="110" t="n">
        <v>118</v>
      </c>
      <c r="B120" s="111" t="inlineStr">
        <is>
          <t>Hỏi thăm / Xã giao</t>
        </is>
      </c>
      <c r="C120" s="112" t="inlineStr">
        <is>
          <t>别来无恙？</t>
        </is>
      </c>
      <c r="D120" s="111" t="inlineStr">
        <is>
          <t>Bié lái wú yàng?</t>
        </is>
      </c>
      <c r="E120" s="111" t="inlineStr">
        <is>
          <t>Vẫn khỏe chứ?</t>
        </is>
      </c>
      <c r="F120" s="111" t="inlineStr">
        <is>
          <t>Trang trọng</t>
        </is>
      </c>
      <c r="G120" s="117">
        <f>HYPERLINK("https://youglish.com/pronounce/别来无恙/chinese","🔍")</f>
        <v/>
      </c>
    </row>
    <row r="121">
      <c r="A121" s="107" t="n">
        <v>119</v>
      </c>
      <c r="B121" s="108" t="inlineStr">
        <is>
          <t>Hỏi thăm / Xã giao</t>
        </is>
      </c>
      <c r="C121" s="109" t="inlineStr">
        <is>
          <t>一切还好吗？</t>
        </is>
      </c>
      <c r="D121" s="108" t="inlineStr">
        <is>
          <t>Yī qiè hái hǎo ma?</t>
        </is>
      </c>
      <c r="E121" s="108" t="inlineStr">
        <is>
          <t>Mọi thứ ổn chứ?</t>
        </is>
      </c>
      <c r="F121" s="108" t="inlineStr">
        <is>
          <t>Quan tâm</t>
        </is>
      </c>
      <c r="G121" s="114">
        <f>HYPERLINK("https://youglish.com/pronounce/一切还好吗/chinese","🔍")</f>
        <v/>
      </c>
    </row>
    <row r="122">
      <c r="A122" s="110" t="n">
        <v>120</v>
      </c>
      <c r="B122" s="111" t="inlineStr">
        <is>
          <t>Hỏi thăm / Xã giao</t>
        </is>
      </c>
      <c r="C122" s="112" t="inlineStr">
        <is>
          <t>咋样啊？</t>
        </is>
      </c>
      <c r="D122" s="111" t="inlineStr">
        <is>
          <t>Zǎ yàng a?</t>
        </is>
      </c>
      <c r="E122" s="111" t="inlineStr">
        <is>
          <t>Sao rồi?</t>
        </is>
      </c>
      <c r="F122" s="111" t="inlineStr">
        <is>
          <t>Thân mật (phương ngữ)</t>
        </is>
      </c>
      <c r="G122" s="117">
        <f>HYPERLINK("https://youglish.com/pronounce/咋样啊/chinese","🔍")</f>
        <v/>
      </c>
    </row>
    <row r="123">
      <c r="A123" s="107" t="n">
        <v>121</v>
      </c>
      <c r="B123" s="108" t="inlineStr">
        <is>
          <t>Cảm xúc / Thái độ</t>
        </is>
      </c>
      <c r="C123" s="109" t="inlineStr">
        <is>
          <t>太累了。</t>
        </is>
      </c>
      <c r="D123" s="108" t="inlineStr">
        <is>
          <t>Tài lèi le.</t>
        </is>
      </c>
      <c r="E123" s="108" t="inlineStr">
        <is>
          <t>Mệt quá.</t>
        </is>
      </c>
      <c r="F123" s="108" t="inlineStr">
        <is>
          <t>Than mệt</t>
        </is>
      </c>
      <c r="G123" s="114">
        <f>HYPERLINK("https://youglish.com/pronounce/太累了/chinese","🔍")</f>
        <v/>
      </c>
    </row>
    <row r="124">
      <c r="A124" s="110" t="n">
        <v>122</v>
      </c>
      <c r="B124" s="111" t="inlineStr">
        <is>
          <t>Cảm xúc / Thái độ</t>
        </is>
      </c>
      <c r="C124" s="112" t="inlineStr">
        <is>
          <t>烦死了。</t>
        </is>
      </c>
      <c r="D124" s="111" t="inlineStr">
        <is>
          <t>Fán sǐ le.</t>
        </is>
      </c>
      <c r="E124" s="111" t="inlineStr">
        <is>
          <t>Phiền chết đi được.</t>
        </is>
      </c>
      <c r="F124" s="111" t="inlineStr">
        <is>
          <t>Bực bội</t>
        </is>
      </c>
      <c r="G124" s="117">
        <f>HYPERLINK("https://youglish.com/pronounce/烦死了/chinese","🔍")</f>
        <v/>
      </c>
    </row>
    <row r="125">
      <c r="A125" s="107" t="n">
        <v>123</v>
      </c>
      <c r="B125" s="108" t="inlineStr">
        <is>
          <t>Cảm xúc / Thái độ</t>
        </is>
      </c>
      <c r="C125" s="109" t="inlineStr">
        <is>
          <t>气死我了。</t>
        </is>
      </c>
      <c r="D125" s="108" t="inlineStr">
        <is>
          <t>Qì sǐ wǒ le.</t>
        </is>
      </c>
      <c r="E125" s="108" t="inlineStr">
        <is>
          <t>Tức chết đi được.</t>
        </is>
      </c>
      <c r="F125" s="108" t="inlineStr">
        <is>
          <t>Tức giận</t>
        </is>
      </c>
      <c r="G125" s="114">
        <f>HYPERLINK("https://youglish.com/pronounce/气死我了/chinese","🔍")</f>
        <v/>
      </c>
    </row>
    <row r="126">
      <c r="A126" s="110" t="n">
        <v>124</v>
      </c>
      <c r="B126" s="111" t="inlineStr">
        <is>
          <t>Cảm xúc / Thái độ</t>
        </is>
      </c>
      <c r="C126" s="112" t="inlineStr">
        <is>
          <t>吓死我了。</t>
        </is>
      </c>
      <c r="D126" s="111" t="inlineStr">
        <is>
          <t>Xià sǐ wǒ le.</t>
        </is>
      </c>
      <c r="E126" s="111" t="inlineStr">
        <is>
          <t>Sợ hết hồn.</t>
        </is>
      </c>
      <c r="F126" s="111" t="inlineStr">
        <is>
          <t>Giật mình</t>
        </is>
      </c>
      <c r="G126" s="117">
        <f>HYPERLINK("https://youglish.com/pronounce/吓死我了/chinese","🔍")</f>
        <v/>
      </c>
    </row>
    <row r="127">
      <c r="A127" s="107" t="n">
        <v>125</v>
      </c>
      <c r="B127" s="108" t="inlineStr">
        <is>
          <t>Cảm xúc / Thái độ</t>
        </is>
      </c>
      <c r="C127" s="109" t="inlineStr">
        <is>
          <t>笑死我了。</t>
        </is>
      </c>
      <c r="D127" s="108" t="inlineStr">
        <is>
          <t>Xiào sǐ wǒ le.</t>
        </is>
      </c>
      <c r="E127" s="108" t="inlineStr">
        <is>
          <t>Cười chết mất.</t>
        </is>
      </c>
      <c r="F127" s="108" t="inlineStr">
        <is>
          <t>Buồn cười</t>
        </is>
      </c>
      <c r="G127" s="114">
        <f>HYPERLINK("https://youglish.com/pronounce/笑死我了/chinese","🔍")</f>
        <v/>
      </c>
    </row>
    <row r="128">
      <c r="A128" s="110" t="n">
        <v>126</v>
      </c>
      <c r="B128" s="111" t="inlineStr">
        <is>
          <t>Cảm xúc / Thái độ</t>
        </is>
      </c>
      <c r="C128" s="112" t="inlineStr">
        <is>
          <t>无语。</t>
        </is>
      </c>
      <c r="D128" s="111" t="inlineStr">
        <is>
          <t>Wú yǔ.</t>
        </is>
      </c>
      <c r="E128" s="111" t="inlineStr">
        <is>
          <t>Cạn lời.</t>
        </is>
      </c>
      <c r="F128" s="111" t="inlineStr">
        <is>
          <t>Bó tay</t>
        </is>
      </c>
      <c r="G128" s="117">
        <f>HYPERLINK("https://youglish.com/pronounce/无语/chinese","🔍")</f>
        <v/>
      </c>
    </row>
    <row r="129">
      <c r="A129" s="107" t="n">
        <v>127</v>
      </c>
      <c r="B129" s="108" t="inlineStr">
        <is>
          <t>Cảm xúc / Thái độ</t>
        </is>
      </c>
      <c r="C129" s="109" t="inlineStr">
        <is>
          <t>我服了。</t>
        </is>
      </c>
      <c r="D129" s="108" t="inlineStr">
        <is>
          <t>Wǒ fú le.</t>
        </is>
      </c>
      <c r="E129" s="108" t="inlineStr">
        <is>
          <t>Tôi bái phục.</t>
        </is>
      </c>
      <c r="F129" s="108" t="inlineStr">
        <is>
          <t>Chịu thua</t>
        </is>
      </c>
      <c r="G129" s="114">
        <f>HYPERLINK("https://youglish.com/pronounce/我服了/chinese","🔍")</f>
        <v/>
      </c>
    </row>
    <row r="130">
      <c r="A130" s="110" t="n">
        <v>128</v>
      </c>
      <c r="B130" s="111" t="inlineStr">
        <is>
          <t>Cảm xúc / Thái độ</t>
        </is>
      </c>
      <c r="C130" s="112" t="inlineStr">
        <is>
          <t>受不了。</t>
        </is>
      </c>
      <c r="D130" s="111" t="inlineStr">
        <is>
          <t>Shòu bù liǎo.</t>
        </is>
      </c>
      <c r="E130" s="111" t="inlineStr">
        <is>
          <t>Chịu không nổi.</t>
        </is>
      </c>
      <c r="F130" s="111" t="inlineStr">
        <is>
          <t>Quá sức</t>
        </is>
      </c>
      <c r="G130" s="117">
        <f>HYPERLINK("https://youglish.com/pronounce/受不了/chinese","🔍")</f>
        <v/>
      </c>
    </row>
    <row r="131">
      <c r="A131" s="107" t="n">
        <v>129</v>
      </c>
      <c r="B131" s="108" t="inlineStr">
        <is>
          <t>Cảm xúc / Thái độ</t>
        </is>
      </c>
      <c r="C131" s="109" t="inlineStr">
        <is>
          <t>没意思。</t>
        </is>
      </c>
      <c r="D131" s="108" t="inlineStr">
        <is>
          <t>Méi yì si.</t>
        </is>
      </c>
      <c r="E131" s="108" t="inlineStr">
        <is>
          <t>Chán / Nhạt.</t>
        </is>
      </c>
      <c r="F131" s="108" t="inlineStr">
        <is>
          <t>Tiêu cực</t>
        </is>
      </c>
      <c r="G131" s="114">
        <f>HYPERLINK("https://youglish.com/pronounce/没意思/chinese","🔍")</f>
        <v/>
      </c>
    </row>
    <row r="132">
      <c r="A132" s="110" t="n">
        <v>130</v>
      </c>
      <c r="B132" s="111" t="inlineStr">
        <is>
          <t>Cảm xúc / Thái độ</t>
        </is>
      </c>
      <c r="C132" s="112" t="inlineStr">
        <is>
          <t>有意思。</t>
        </is>
      </c>
      <c r="D132" s="111" t="inlineStr">
        <is>
          <t>Yǒu yì si.</t>
        </is>
      </c>
      <c r="E132" s="111" t="inlineStr">
        <is>
          <t>Thú vị.</t>
        </is>
      </c>
      <c r="F132" s="111" t="inlineStr">
        <is>
          <t>Tích cực</t>
        </is>
      </c>
      <c r="G132" s="117">
        <f>HYPERLINK("https://youglish.com/pronounce/有意思/chinese","🔍")</f>
        <v/>
      </c>
    </row>
    <row r="133">
      <c r="A133" s="107" t="n">
        <v>131</v>
      </c>
      <c r="B133" s="108" t="inlineStr">
        <is>
          <t>Cảm xúc / Thái độ</t>
        </is>
      </c>
      <c r="C133" s="109" t="inlineStr">
        <is>
          <t>别担心。</t>
        </is>
      </c>
      <c r="D133" s="108" t="inlineStr">
        <is>
          <t>Bié dān xīn.</t>
        </is>
      </c>
      <c r="E133" s="108" t="inlineStr">
        <is>
          <t>Đừng lo.</t>
        </is>
      </c>
      <c r="F133" s="108" t="inlineStr">
        <is>
          <t>An ủi</t>
        </is>
      </c>
      <c r="G133" s="114">
        <f>HYPERLINK("https://youglish.com/pronounce/别担心/chinese","🔍")</f>
        <v/>
      </c>
    </row>
    <row r="134">
      <c r="A134" s="110" t="n">
        <v>132</v>
      </c>
      <c r="B134" s="111" t="inlineStr">
        <is>
          <t>Cảm xúc / Thái độ</t>
        </is>
      </c>
      <c r="C134" s="112" t="inlineStr">
        <is>
          <t>慢慢来。</t>
        </is>
      </c>
      <c r="D134" s="111" t="inlineStr">
        <is>
          <t>Màn màn lái.</t>
        </is>
      </c>
      <c r="E134" s="111" t="inlineStr">
        <is>
          <t>Từ từ thôi.</t>
        </is>
      </c>
      <c r="F134" s="111" t="inlineStr">
        <is>
          <t>Trấn an</t>
        </is>
      </c>
      <c r="G134" s="117">
        <f>HYPERLINK("https://youglish.com/pronounce/慢慢来/chinese","🔍")</f>
        <v/>
      </c>
    </row>
    <row r="135">
      <c r="A135" s="107" t="n">
        <v>133</v>
      </c>
      <c r="B135" s="108" t="inlineStr">
        <is>
          <t>Cảm xúc / Thái độ</t>
        </is>
      </c>
      <c r="C135" s="109" t="inlineStr">
        <is>
          <t>太困了。</t>
        </is>
      </c>
      <c r="D135" s="108" t="inlineStr">
        <is>
          <t>Tài kùn le.</t>
        </is>
      </c>
      <c r="E135" s="108" t="inlineStr">
        <is>
          <t>Buồn ngủ quá.</t>
        </is>
      </c>
      <c r="F135" s="108" t="inlineStr">
        <is>
          <t>Mệt mỏi</t>
        </is>
      </c>
      <c r="G135" s="114">
        <f>HYPERLINK("https://youglish.com/pronounce/太困了/chinese","🔍")</f>
        <v/>
      </c>
    </row>
    <row r="136">
      <c r="A136" s="110" t="n">
        <v>134</v>
      </c>
      <c r="B136" s="111" t="inlineStr">
        <is>
          <t>Cảm xúc / Thái độ</t>
        </is>
      </c>
      <c r="C136" s="112" t="inlineStr">
        <is>
          <t>饿死了。</t>
        </is>
      </c>
      <c r="D136" s="111" t="inlineStr">
        <is>
          <t>È sǐ le.</t>
        </is>
      </c>
      <c r="E136" s="111" t="inlineStr">
        <is>
          <t>Đói chết mất.</t>
        </is>
      </c>
      <c r="F136" s="111" t="inlineStr">
        <is>
          <t>Đói</t>
        </is>
      </c>
      <c r="G136" s="117">
        <f>HYPERLINK("https://youglish.com/pronounce/饿死了/chinese","🔍")</f>
        <v/>
      </c>
    </row>
    <row r="137">
      <c r="A137" s="107" t="n">
        <v>135</v>
      </c>
      <c r="B137" s="108" t="inlineStr">
        <is>
          <t>Cảm xúc / Thái độ</t>
        </is>
      </c>
      <c r="C137" s="109" t="inlineStr">
        <is>
          <t>渴死了。</t>
        </is>
      </c>
      <c r="D137" s="108" t="inlineStr">
        <is>
          <t>Kě sǐ le.</t>
        </is>
      </c>
      <c r="E137" s="108" t="inlineStr">
        <is>
          <t>Khát khô cổ.</t>
        </is>
      </c>
      <c r="F137" s="108" t="inlineStr">
        <is>
          <t>Khát</t>
        </is>
      </c>
      <c r="G137" s="114">
        <f>HYPERLINK("https://youglish.com/pronounce/渴死了/chinese","🔍")</f>
        <v/>
      </c>
    </row>
    <row r="138">
      <c r="A138" s="110" t="n">
        <v>136</v>
      </c>
      <c r="B138" s="111" t="inlineStr">
        <is>
          <t>Cảm xúc / Thái độ</t>
        </is>
      </c>
      <c r="C138" s="112" t="inlineStr">
        <is>
          <t>热死了。</t>
        </is>
      </c>
      <c r="D138" s="111" t="inlineStr">
        <is>
          <t>Rè sǐ le.</t>
        </is>
      </c>
      <c r="E138" s="111" t="inlineStr">
        <is>
          <t>Nóng chết đi được.</t>
        </is>
      </c>
      <c r="F138" s="111" t="inlineStr">
        <is>
          <t>Nóng</t>
        </is>
      </c>
      <c r="G138" s="117">
        <f>HYPERLINK("https://youglish.com/pronounce/热死了/chinese","🔍")</f>
        <v/>
      </c>
    </row>
    <row r="139">
      <c r="A139" s="107" t="n">
        <v>137</v>
      </c>
      <c r="B139" s="108" t="inlineStr">
        <is>
          <t>Cảm xúc / Thái độ</t>
        </is>
      </c>
      <c r="C139" s="109" t="inlineStr">
        <is>
          <t>冷死了。</t>
        </is>
      </c>
      <c r="D139" s="108" t="inlineStr">
        <is>
          <t>Lěng sǐ le.</t>
        </is>
      </c>
      <c r="E139" s="108" t="inlineStr">
        <is>
          <t>Lạnh cóng.</t>
        </is>
      </c>
      <c r="F139" s="108" t="inlineStr">
        <is>
          <t>Lạnh</t>
        </is>
      </c>
      <c r="G139" s="114">
        <f>HYPERLINK("https://youglish.com/pronounce/冷死了/chinese","🔍")</f>
        <v/>
      </c>
    </row>
    <row r="140">
      <c r="A140" s="110" t="n">
        <v>138</v>
      </c>
      <c r="B140" s="111" t="inlineStr">
        <is>
          <t>Cảm xúc / Thái độ</t>
        </is>
      </c>
      <c r="C140" s="112" t="inlineStr">
        <is>
          <t>急死了。</t>
        </is>
      </c>
      <c r="D140" s="111" t="inlineStr">
        <is>
          <t>Jí sǐ le.</t>
        </is>
      </c>
      <c r="E140" s="111" t="inlineStr">
        <is>
          <t>Sốt hết cả ruột.</t>
        </is>
      </c>
      <c r="F140" s="111" t="inlineStr">
        <is>
          <t>Sốt ruột</t>
        </is>
      </c>
      <c r="G140" s="117">
        <f>HYPERLINK("https://youglish.com/pronounce/急死了/chinese","🔍")</f>
        <v/>
      </c>
    </row>
    <row r="141">
      <c r="A141" s="107" t="n">
        <v>139</v>
      </c>
      <c r="B141" s="108" t="inlineStr">
        <is>
          <t>Cảm xúc / Thái độ</t>
        </is>
      </c>
      <c r="C141" s="109" t="inlineStr">
        <is>
          <t>郁闷。</t>
        </is>
      </c>
      <c r="D141" s="108" t="inlineStr">
        <is>
          <t>Yù mèn.</t>
        </is>
      </c>
      <c r="E141" s="108" t="inlineStr">
        <is>
          <t>Bức bối / U uất.</t>
        </is>
      </c>
      <c r="F141" s="108" t="inlineStr">
        <is>
          <t>Khó chịu</t>
        </is>
      </c>
      <c r="G141" s="114">
        <f>HYPERLINK("https://youglish.com/pronounce/郁闷/chinese","🔍")</f>
        <v/>
      </c>
    </row>
    <row r="142">
      <c r="A142" s="110" t="n">
        <v>140</v>
      </c>
      <c r="B142" s="111" t="inlineStr">
        <is>
          <t>Cảm xúc / Thái độ</t>
        </is>
      </c>
      <c r="C142" s="112" t="inlineStr">
        <is>
          <t>崩溃了。</t>
        </is>
      </c>
      <c r="D142" s="111" t="inlineStr">
        <is>
          <t>Bēng kuì le.</t>
        </is>
      </c>
      <c r="E142" s="111" t="inlineStr">
        <is>
          <t>Sụp đổ rồi.</t>
        </is>
      </c>
      <c r="F142" s="111" t="inlineStr">
        <is>
          <t>Quá tải</t>
        </is>
      </c>
      <c r="G142" s="117">
        <f>HYPERLINK("https://youglish.com/pronounce/崩溃了/chinese","🔍")</f>
        <v/>
      </c>
    </row>
    <row r="143">
      <c r="A143" s="107" t="n">
        <v>141</v>
      </c>
      <c r="B143" s="108" t="inlineStr">
        <is>
          <t>Cảm xúc / Thái độ</t>
        </is>
      </c>
      <c r="C143" s="109" t="inlineStr">
        <is>
          <t>心累。</t>
        </is>
      </c>
      <c r="D143" s="108" t="inlineStr">
        <is>
          <t>Xīn lèi.</t>
        </is>
      </c>
      <c r="E143" s="108" t="inlineStr">
        <is>
          <t>Mệt mỏi trong lòng.</t>
        </is>
      </c>
      <c r="F143" s="108" t="inlineStr">
        <is>
          <t>Chán nản</t>
        </is>
      </c>
      <c r="G143" s="114">
        <f>HYPERLINK("https://youglish.com/pronounce/心累/chinese","🔍")</f>
        <v/>
      </c>
    </row>
    <row r="144">
      <c r="A144" s="110" t="n">
        <v>142</v>
      </c>
      <c r="B144" s="111" t="inlineStr">
        <is>
          <t>Cảm xúc / Thái độ</t>
        </is>
      </c>
      <c r="C144" s="112" t="inlineStr">
        <is>
          <t>头大。</t>
        </is>
      </c>
      <c r="D144" s="111" t="inlineStr">
        <is>
          <t>Tóu dà.</t>
        </is>
      </c>
      <c r="E144" s="111" t="inlineStr">
        <is>
          <t>Đau hết cả đầu.</t>
        </is>
      </c>
      <c r="F144" s="111" t="inlineStr">
        <is>
          <t>Rối</t>
        </is>
      </c>
      <c r="G144" s="117">
        <f>HYPERLINK("https://youglish.com/pronounce/头大/chinese","🔍")</f>
        <v/>
      </c>
    </row>
    <row r="145">
      <c r="A145" s="107" t="n">
        <v>143</v>
      </c>
      <c r="B145" s="108" t="inlineStr">
        <is>
          <t>Cảm xúc / Thái độ</t>
        </is>
      </c>
      <c r="C145" s="109" t="inlineStr">
        <is>
          <t>无聊。</t>
        </is>
      </c>
      <c r="D145" s="108" t="inlineStr">
        <is>
          <t>Wú liáo.</t>
        </is>
      </c>
      <c r="E145" s="108" t="inlineStr">
        <is>
          <t>Buồn chán.</t>
        </is>
      </c>
      <c r="F145" s="108" t="inlineStr">
        <is>
          <t>Rảnh rỗi</t>
        </is>
      </c>
      <c r="G145" s="114">
        <f>HYPERLINK("https://youglish.com/pronounce/无聊/chinese","🔍")</f>
        <v/>
      </c>
    </row>
    <row r="146">
      <c r="A146" s="110" t="n">
        <v>144</v>
      </c>
      <c r="B146" s="111" t="inlineStr">
        <is>
          <t>Cảm xúc / Thái độ</t>
        </is>
      </c>
      <c r="C146" s="112" t="inlineStr">
        <is>
          <t>好爽！</t>
        </is>
      </c>
      <c r="D146" s="111" t="inlineStr">
        <is>
          <t>Hǎo shuǎng!</t>
        </is>
      </c>
      <c r="E146" s="111" t="inlineStr">
        <is>
          <t>Đã quá!</t>
        </is>
      </c>
      <c r="F146" s="111" t="inlineStr">
        <is>
          <t>Sảng khoái</t>
        </is>
      </c>
      <c r="G146" s="117">
        <f>HYPERLINK("https://youglish.com/pronounce/好爽/chinese","🔍")</f>
        <v/>
      </c>
    </row>
    <row r="147">
      <c r="A147" s="107" t="n">
        <v>145</v>
      </c>
      <c r="B147" s="108" t="inlineStr">
        <is>
          <t>Cảm xúc / Thái độ</t>
        </is>
      </c>
      <c r="C147" s="109" t="inlineStr">
        <is>
          <t>好感动。</t>
        </is>
      </c>
      <c r="D147" s="108" t="inlineStr">
        <is>
          <t>Hǎo gǎn dòng.</t>
        </is>
      </c>
      <c r="E147" s="108" t="inlineStr">
        <is>
          <t>Cảm động quá.</t>
        </is>
      </c>
      <c r="F147" s="108" t="inlineStr">
        <is>
          <t>Xúc động</t>
        </is>
      </c>
      <c r="G147" s="114">
        <f>HYPERLINK("https://youglish.com/pronounce/好感动/chinese","🔍")</f>
        <v/>
      </c>
    </row>
    <row r="148">
      <c r="A148" s="110" t="n">
        <v>146</v>
      </c>
      <c r="B148" s="111" t="inlineStr">
        <is>
          <t>Cảm xúc / Thái độ</t>
        </is>
      </c>
      <c r="C148" s="112" t="inlineStr">
        <is>
          <t>心疼。</t>
        </is>
      </c>
      <c r="D148" s="111" t="inlineStr">
        <is>
          <t>Xīn téng.</t>
        </is>
      </c>
      <c r="E148" s="111" t="inlineStr">
        <is>
          <t>Xót xa.</t>
        </is>
      </c>
      <c r="F148" s="111" t="inlineStr">
        <is>
          <t>Thương</t>
        </is>
      </c>
      <c r="G148" s="117">
        <f>HYPERLINK("https://youglish.com/pronounce/心疼/chinese","🔍")</f>
        <v/>
      </c>
    </row>
    <row r="149">
      <c r="A149" s="107" t="n">
        <v>147</v>
      </c>
      <c r="B149" s="108" t="inlineStr">
        <is>
          <t>Cảm xúc / Thái độ</t>
        </is>
      </c>
      <c r="C149" s="109" t="inlineStr">
        <is>
          <t>舍不得。</t>
        </is>
      </c>
      <c r="D149" s="108" t="inlineStr">
        <is>
          <t>Shě bù dé.</t>
        </is>
      </c>
      <c r="E149" s="108" t="inlineStr">
        <is>
          <t>Không nỡ.</t>
        </is>
      </c>
      <c r="F149" s="108" t="inlineStr">
        <is>
          <t>Lưu luyến</t>
        </is>
      </c>
      <c r="G149" s="114">
        <f>HYPERLINK("https://youglish.com/pronounce/舍不得/chinese","🔍")</f>
        <v/>
      </c>
    </row>
    <row r="150">
      <c r="A150" s="110" t="n">
        <v>148</v>
      </c>
      <c r="B150" s="111" t="inlineStr">
        <is>
          <t>Cảm xúc / Thái độ</t>
        </is>
      </c>
      <c r="C150" s="112" t="inlineStr">
        <is>
          <t>好想你。</t>
        </is>
      </c>
      <c r="D150" s="111" t="inlineStr">
        <is>
          <t>Hǎo xiǎng nǐ.</t>
        </is>
      </c>
      <c r="E150" s="111" t="inlineStr">
        <is>
          <t>Nhớ bạn quá.</t>
        </is>
      </c>
      <c r="F150" s="111" t="inlineStr">
        <is>
          <t>Nhớ nhung</t>
        </is>
      </c>
      <c r="G150" s="117">
        <f>HYPERLINK("https://youglish.com/pronounce/好想你/chinese","🔍")</f>
        <v/>
      </c>
    </row>
    <row r="151">
      <c r="A151" s="107" t="n">
        <v>149</v>
      </c>
      <c r="B151" s="108" t="inlineStr">
        <is>
          <t>Cảm xúc / Thái độ</t>
        </is>
      </c>
      <c r="C151" s="109" t="inlineStr">
        <is>
          <t>太扎心了。</t>
        </is>
      </c>
      <c r="D151" s="108" t="inlineStr">
        <is>
          <t>Tài zhā xīn le.</t>
        </is>
      </c>
      <c r="E151" s="108" t="inlineStr">
        <is>
          <t>Đau lòng quá.</t>
        </is>
      </c>
      <c r="F151" s="108" t="inlineStr">
        <is>
          <t>Chạm nọc</t>
        </is>
      </c>
      <c r="G151" s="114">
        <f>HYPERLINK("https://youglish.com/pronounce/太扎心了/chinese","🔍")</f>
        <v/>
      </c>
    </row>
    <row r="152">
      <c r="A152" s="110" t="n">
        <v>150</v>
      </c>
      <c r="B152" s="111" t="inlineStr">
        <is>
          <t>Cảm xúc / Thái độ</t>
        </is>
      </c>
      <c r="C152" s="112" t="inlineStr">
        <is>
          <t>破防了。</t>
        </is>
      </c>
      <c r="D152" s="111" t="inlineStr">
        <is>
          <t>Pò fáng le.</t>
        </is>
      </c>
      <c r="E152" s="111" t="inlineStr">
        <is>
          <t>Vỡ òa / Không kìm được.</t>
        </is>
      </c>
      <c r="F152" s="111" t="inlineStr">
        <is>
          <t>Xúc động (mạng)</t>
        </is>
      </c>
      <c r="G152" s="117">
        <f>HYPERLINK("https://youglish.com/pronounce/破防了/chinese","🔍")</f>
        <v/>
      </c>
    </row>
    <row r="153">
      <c r="A153" s="107" t="n">
        <v>151</v>
      </c>
      <c r="B153" s="108" t="inlineStr">
        <is>
          <t>Khen ngợi / Đánh giá</t>
        </is>
      </c>
      <c r="C153" s="109" t="inlineStr">
        <is>
          <t>太棒了！</t>
        </is>
      </c>
      <c r="D153" s="108" t="inlineStr">
        <is>
          <t>Tài bàng le!</t>
        </is>
      </c>
      <c r="E153" s="108" t="inlineStr">
        <is>
          <t>Tuyệt vời!</t>
        </is>
      </c>
      <c r="F153" s="108" t="inlineStr">
        <is>
          <t>Khen</t>
        </is>
      </c>
      <c r="G153" s="114">
        <f>HYPERLINK("https://youglish.com/pronounce/太棒了/chinese","🔍")</f>
        <v/>
      </c>
    </row>
    <row r="154">
      <c r="A154" s="110" t="n">
        <v>152</v>
      </c>
      <c r="B154" s="111" t="inlineStr">
        <is>
          <t>Khen ngợi / Đánh giá</t>
        </is>
      </c>
      <c r="C154" s="112" t="inlineStr">
        <is>
          <t>厉害！</t>
        </is>
      </c>
      <c r="D154" s="111" t="inlineStr">
        <is>
          <t>Lì hài!</t>
        </is>
      </c>
      <c r="E154" s="111" t="inlineStr">
        <is>
          <t>Giỏi thật!</t>
        </is>
      </c>
      <c r="F154" s="111" t="inlineStr">
        <is>
          <t>Khen tài</t>
        </is>
      </c>
      <c r="G154" s="117">
        <f>HYPERLINK("https://youglish.com/pronounce/厉害/chinese","🔍")</f>
        <v/>
      </c>
    </row>
    <row r="155">
      <c r="A155" s="107" t="n">
        <v>153</v>
      </c>
      <c r="B155" s="108" t="inlineStr">
        <is>
          <t>Khen ngợi / Đánh giá</t>
        </is>
      </c>
      <c r="C155" s="109" t="inlineStr">
        <is>
          <t>真牛！</t>
        </is>
      </c>
      <c r="D155" s="108" t="inlineStr">
        <is>
          <t>Zhēn niú!</t>
        </is>
      </c>
      <c r="E155" s="108" t="inlineStr">
        <is>
          <t>Đỉnh thật!</t>
        </is>
      </c>
      <c r="F155" s="108" t="inlineStr">
        <is>
          <t>Khẩu ngữ khen</t>
        </is>
      </c>
      <c r="G155" s="114">
        <f>HYPERLINK("https://youglish.com/pronounce/真牛/chinese","🔍")</f>
        <v/>
      </c>
    </row>
    <row r="156">
      <c r="A156" s="110" t="n">
        <v>154</v>
      </c>
      <c r="B156" s="111" t="inlineStr">
        <is>
          <t>Khen ngợi / Đánh giá</t>
        </is>
      </c>
      <c r="C156" s="112" t="inlineStr">
        <is>
          <t>你真行。</t>
        </is>
      </c>
      <c r="D156" s="111" t="inlineStr">
        <is>
          <t>Nǐ zhēn xíng.</t>
        </is>
      </c>
      <c r="E156" s="111" t="inlineStr">
        <is>
          <t>Bạn giỏi thật.</t>
        </is>
      </c>
      <c r="F156" s="111" t="inlineStr">
        <is>
          <t>Khen</t>
        </is>
      </c>
      <c r="G156" s="117">
        <f>HYPERLINK("https://youglish.com/pronounce/你真行/chinese","🔍")</f>
        <v/>
      </c>
    </row>
    <row r="157">
      <c r="A157" s="107" t="n">
        <v>155</v>
      </c>
      <c r="B157" s="108" t="inlineStr">
        <is>
          <t>Khen ngợi / Đánh giá</t>
        </is>
      </c>
      <c r="C157" s="109" t="inlineStr">
        <is>
          <t>漂亮！</t>
        </is>
      </c>
      <c r="D157" s="108" t="inlineStr">
        <is>
          <t>Piào liàng!</t>
        </is>
      </c>
      <c r="E157" s="108" t="inlineStr">
        <is>
          <t>Đẹp / Chuẩn!</t>
        </is>
      </c>
      <c r="F157" s="108" t="inlineStr">
        <is>
          <t>Khen</t>
        </is>
      </c>
      <c r="G157" s="114">
        <f>HYPERLINK("https://youglish.com/pronounce/漂亮/chinese","🔍")</f>
        <v/>
      </c>
    </row>
    <row r="158">
      <c r="A158" s="110" t="n">
        <v>156</v>
      </c>
      <c r="B158" s="111" t="inlineStr">
        <is>
          <t>Khen ngợi / Đánh giá</t>
        </is>
      </c>
      <c r="C158" s="112" t="inlineStr">
        <is>
          <t>完美。</t>
        </is>
      </c>
      <c r="D158" s="111" t="inlineStr">
        <is>
          <t>Wán měi.</t>
        </is>
      </c>
      <c r="E158" s="111" t="inlineStr">
        <is>
          <t>Hoàn hảo.</t>
        </is>
      </c>
      <c r="F158" s="111" t="inlineStr">
        <is>
          <t>Khen</t>
        </is>
      </c>
      <c r="G158" s="117">
        <f>HYPERLINK("https://youglish.com/pronounce/完美/chinese","🔍")</f>
        <v/>
      </c>
    </row>
    <row r="159">
      <c r="A159" s="107" t="n">
        <v>157</v>
      </c>
      <c r="B159" s="108" t="inlineStr">
        <is>
          <t>Khen ngợi / Đánh giá</t>
        </is>
      </c>
      <c r="C159" s="109" t="inlineStr">
        <is>
          <t>给力！</t>
        </is>
      </c>
      <c r="D159" s="108" t="inlineStr">
        <is>
          <t>Gěi lì!</t>
        </is>
      </c>
      <c r="E159" s="108" t="inlineStr">
        <is>
          <t>Đỉnh! / Chất!</t>
        </is>
      </c>
      <c r="F159" s="108" t="inlineStr">
        <is>
          <t>Khẩu ngữ mạng</t>
        </is>
      </c>
      <c r="G159" s="114">
        <f>HYPERLINK("https://youglish.com/pronounce/给力/chinese","🔍")</f>
        <v/>
      </c>
    </row>
    <row r="160">
      <c r="A160" s="110" t="n">
        <v>158</v>
      </c>
      <c r="B160" s="111" t="inlineStr">
        <is>
          <t>Khen ngợi / Đánh giá</t>
        </is>
      </c>
      <c r="C160" s="112" t="inlineStr">
        <is>
          <t>靠谱。</t>
        </is>
      </c>
      <c r="D160" s="111" t="inlineStr">
        <is>
          <t>Kào pǔ.</t>
        </is>
      </c>
      <c r="E160" s="111" t="inlineStr">
        <is>
          <t>Đáng tin.</t>
        </is>
      </c>
      <c r="F160" s="111" t="inlineStr">
        <is>
          <t>Đánh giá tốt</t>
        </is>
      </c>
      <c r="G160" s="117">
        <f>HYPERLINK("https://youglish.com/pronounce/靠谱/chinese","🔍")</f>
        <v/>
      </c>
    </row>
    <row r="161">
      <c r="A161" s="107" t="n">
        <v>159</v>
      </c>
      <c r="B161" s="108" t="inlineStr">
        <is>
          <t>Khen ngợi / Đánh giá</t>
        </is>
      </c>
      <c r="C161" s="109" t="inlineStr">
        <is>
          <t>高手！</t>
        </is>
      </c>
      <c r="D161" s="108" t="inlineStr">
        <is>
          <t>Gāo shǒu!</t>
        </is>
      </c>
      <c r="E161" s="108" t="inlineStr">
        <is>
          <t>Cao thủ!</t>
        </is>
      </c>
      <c r="F161" s="108" t="inlineStr">
        <is>
          <t>Khen giỏi</t>
        </is>
      </c>
      <c r="G161" s="114">
        <f>HYPERLINK("https://youglish.com/pronounce/高手/chinese","🔍")</f>
        <v/>
      </c>
    </row>
    <row r="162">
      <c r="A162" s="110" t="n">
        <v>160</v>
      </c>
      <c r="B162" s="111" t="inlineStr">
        <is>
          <t>Khen ngợi / Đánh giá</t>
        </is>
      </c>
      <c r="C162" s="112" t="inlineStr">
        <is>
          <t>帅呆了！</t>
        </is>
      </c>
      <c r="D162" s="111" t="inlineStr">
        <is>
          <t>Shuài dāi le!</t>
        </is>
      </c>
      <c r="E162" s="111" t="inlineStr">
        <is>
          <t>Đẹp trai cực!</t>
        </is>
      </c>
      <c r="F162" s="111" t="inlineStr">
        <is>
          <t>Khen</t>
        </is>
      </c>
      <c r="G162" s="117">
        <f>HYPERLINK("https://youglish.com/pronounce/帅呆了/chinese","🔍")</f>
        <v/>
      </c>
    </row>
    <row r="163">
      <c r="A163" s="107" t="n">
        <v>161</v>
      </c>
      <c r="B163" s="108" t="inlineStr">
        <is>
          <t>Khen ngợi / Đánh giá</t>
        </is>
      </c>
      <c r="C163" s="109" t="inlineStr">
        <is>
          <t>太赞了！</t>
        </is>
      </c>
      <c r="D163" s="108" t="inlineStr">
        <is>
          <t>Tài zàn le!</t>
        </is>
      </c>
      <c r="E163" s="108" t="inlineStr">
        <is>
          <t>Quá đỉnh!</t>
        </is>
      </c>
      <c r="F163" s="108" t="inlineStr">
        <is>
          <t>Khen</t>
        </is>
      </c>
      <c r="G163" s="114">
        <f>HYPERLINK("https://youglish.com/pronounce/太赞了/chinese","🔍")</f>
        <v/>
      </c>
    </row>
    <row r="164">
      <c r="A164" s="110" t="n">
        <v>162</v>
      </c>
      <c r="B164" s="111" t="inlineStr">
        <is>
          <t>Khen ngợi / Đánh giá</t>
        </is>
      </c>
      <c r="C164" s="112" t="inlineStr">
        <is>
          <t>了不起。</t>
        </is>
      </c>
      <c r="D164" s="111" t="inlineStr">
        <is>
          <t>Liǎo bù qǐ.</t>
        </is>
      </c>
      <c r="E164" s="111" t="inlineStr">
        <is>
          <t>Phi thường.</t>
        </is>
      </c>
      <c r="F164" s="111" t="inlineStr">
        <is>
          <t>Nể phục</t>
        </is>
      </c>
      <c r="G164" s="117">
        <f>HYPERLINK("https://youglish.com/pronounce/了不起/chinese","🔍")</f>
        <v/>
      </c>
    </row>
    <row r="165">
      <c r="A165" s="107" t="n">
        <v>163</v>
      </c>
      <c r="B165" s="108" t="inlineStr">
        <is>
          <t>Khen ngợi / Đánh giá</t>
        </is>
      </c>
      <c r="C165" s="109" t="inlineStr">
        <is>
          <t>有两下子。</t>
        </is>
      </c>
      <c r="D165" s="108" t="inlineStr">
        <is>
          <t>Yǒu liǎng xià zi.</t>
        </is>
      </c>
      <c r="E165" s="108" t="inlineStr">
        <is>
          <t>Có nghề đấy.</t>
        </is>
      </c>
      <c r="F165" s="108" t="inlineStr">
        <is>
          <t>Khen khéo</t>
        </is>
      </c>
      <c r="G165" s="114">
        <f>HYPERLINK("https://youglish.com/pronounce/有两下子/chinese","🔍")</f>
        <v/>
      </c>
    </row>
    <row r="166">
      <c r="A166" s="110" t="n">
        <v>164</v>
      </c>
      <c r="B166" s="111" t="inlineStr">
        <is>
          <t>Khen ngợi / Đánh giá</t>
        </is>
      </c>
      <c r="C166" s="112" t="inlineStr">
        <is>
          <t>真有你的。</t>
        </is>
      </c>
      <c r="D166" s="111" t="inlineStr">
        <is>
          <t>Zhēn yǒu nǐ de.</t>
        </is>
      </c>
      <c r="E166" s="111" t="inlineStr">
        <is>
          <t>Đúng là có bạn.</t>
        </is>
      </c>
      <c r="F166" s="111" t="inlineStr">
        <is>
          <t>Khen (thân mật)</t>
        </is>
      </c>
      <c r="G166" s="117">
        <f>HYPERLINK("https://youglish.com/pronounce/真有你的/chinese","🔍")</f>
        <v/>
      </c>
    </row>
    <row r="167">
      <c r="A167" s="107" t="n">
        <v>165</v>
      </c>
      <c r="B167" s="108" t="inlineStr">
        <is>
          <t>Khen ngợi / Đánh giá</t>
        </is>
      </c>
      <c r="C167" s="109" t="inlineStr">
        <is>
          <t>不错哦。</t>
        </is>
      </c>
      <c r="D167" s="108" t="inlineStr">
        <is>
          <t>Bù cuò ó.</t>
        </is>
      </c>
      <c r="E167" s="108" t="inlineStr">
        <is>
          <t>Khá đấy.</t>
        </is>
      </c>
      <c r="F167" s="108" t="inlineStr">
        <is>
          <t>Khen nhẹ</t>
        </is>
      </c>
      <c r="G167" s="114">
        <f>HYPERLINK("https://youglish.com/pronounce/不错哦/chinese","🔍")</f>
        <v/>
      </c>
    </row>
    <row r="168">
      <c r="A168" s="110" t="n">
        <v>166</v>
      </c>
      <c r="B168" s="111" t="inlineStr">
        <is>
          <t>Khen ngợi / Đánh giá</t>
        </is>
      </c>
      <c r="C168" s="112" t="inlineStr">
        <is>
          <t>好样的！</t>
        </is>
      </c>
      <c r="D168" s="111" t="inlineStr">
        <is>
          <t>Hǎo yàng de!</t>
        </is>
      </c>
      <c r="E168" s="111" t="inlineStr">
        <is>
          <t>Cừ lắm!</t>
        </is>
      </c>
      <c r="F168" s="111" t="inlineStr">
        <is>
          <t>Cổ vũ</t>
        </is>
      </c>
      <c r="G168" s="117">
        <f>HYPERLINK("https://youglish.com/pronounce/好样的/chinese","🔍")</f>
        <v/>
      </c>
    </row>
    <row r="169">
      <c r="A169" s="107" t="n">
        <v>167</v>
      </c>
      <c r="B169" s="108" t="inlineStr">
        <is>
          <t>Khen ngợi / Đánh giá</t>
        </is>
      </c>
      <c r="C169" s="109" t="inlineStr">
        <is>
          <t>顶呱呱。</t>
        </is>
      </c>
      <c r="D169" s="108" t="inlineStr">
        <is>
          <t>Dǐng guā guā.</t>
        </is>
      </c>
      <c r="E169" s="108" t="inlineStr">
        <is>
          <t>Số một.</t>
        </is>
      </c>
      <c r="F169" s="108" t="inlineStr">
        <is>
          <t>Khen</t>
        </is>
      </c>
      <c r="G169" s="114">
        <f>HYPERLINK("https://youglish.com/pronounce/顶呱呱/chinese","🔍")</f>
        <v/>
      </c>
    </row>
    <row r="170">
      <c r="A170" s="110" t="n">
        <v>168</v>
      </c>
      <c r="B170" s="111" t="inlineStr">
        <is>
          <t>Khen ngợi / Đánh giá</t>
        </is>
      </c>
      <c r="C170" s="112" t="inlineStr">
        <is>
          <t>无敌。</t>
        </is>
      </c>
      <c r="D170" s="111" t="inlineStr">
        <is>
          <t>Wú dí.</t>
        </is>
      </c>
      <c r="E170" s="111" t="inlineStr">
        <is>
          <t>Vô địch.</t>
        </is>
      </c>
      <c r="F170" s="111" t="inlineStr">
        <is>
          <t>Khen mạnh</t>
        </is>
      </c>
      <c r="G170" s="117">
        <f>HYPERLINK("https://youglish.com/pronounce/无敌/chinese","🔍")</f>
        <v/>
      </c>
    </row>
    <row r="171">
      <c r="A171" s="107" t="n">
        <v>169</v>
      </c>
      <c r="B171" s="108" t="inlineStr">
        <is>
          <t>Khen ngợi / Đánh giá</t>
        </is>
      </c>
      <c r="C171" s="109" t="inlineStr">
        <is>
          <t>太优秀了。</t>
        </is>
      </c>
      <c r="D171" s="108" t="inlineStr">
        <is>
          <t>Tài yōu xiù le.</t>
        </is>
      </c>
      <c r="E171" s="108" t="inlineStr">
        <is>
          <t>Xuất sắc quá.</t>
        </is>
      </c>
      <c r="F171" s="108" t="inlineStr">
        <is>
          <t>Khen</t>
        </is>
      </c>
      <c r="G171" s="114">
        <f>HYPERLINK("https://youglish.com/pronounce/太优秀了/chinese","🔍")</f>
        <v/>
      </c>
    </row>
    <row r="172">
      <c r="A172" s="110" t="n">
        <v>170</v>
      </c>
      <c r="B172" s="111" t="inlineStr">
        <is>
          <t>Khen ngợi / Đánh giá</t>
        </is>
      </c>
      <c r="C172" s="112" t="inlineStr">
        <is>
          <t>名不虚传。</t>
        </is>
      </c>
      <c r="D172" s="111" t="inlineStr">
        <is>
          <t>Míng bù xū chuán.</t>
        </is>
      </c>
      <c r="E172" s="111" t="inlineStr">
        <is>
          <t>Danh bất hư truyền.</t>
        </is>
      </c>
      <c r="F172" s="111" t="inlineStr">
        <is>
          <t>Đúng như lời đồn</t>
        </is>
      </c>
      <c r="G172" s="117">
        <f>HYPERLINK("https://youglish.com/pronounce/名不虚传/chinese","🔍")</f>
        <v/>
      </c>
    </row>
    <row r="173">
      <c r="A173" s="107" t="n">
        <v>171</v>
      </c>
      <c r="B173" s="108" t="inlineStr">
        <is>
          <t>Khen ngợi / Đánh giá</t>
        </is>
      </c>
      <c r="C173" s="109" t="inlineStr">
        <is>
          <t>出类拔萃。</t>
        </is>
      </c>
      <c r="D173" s="108" t="inlineStr">
        <is>
          <t>Chū lèi bá cuì.</t>
        </is>
      </c>
      <c r="E173" s="108" t="inlineStr">
        <is>
          <t>Xuất chúng.</t>
        </is>
      </c>
      <c r="F173" s="108" t="inlineStr">
        <is>
          <t>Nổi bật</t>
        </is>
      </c>
      <c r="G173" s="114">
        <f>HYPERLINK("https://youglish.com/pronounce/出类拔萃/chinese","🔍")</f>
        <v/>
      </c>
    </row>
    <row r="174">
      <c r="A174" s="110" t="n">
        <v>172</v>
      </c>
      <c r="B174" s="111" t="inlineStr">
        <is>
          <t>Khen ngợi / Đánh giá</t>
        </is>
      </c>
      <c r="C174" s="112" t="inlineStr">
        <is>
          <t>独一无二。</t>
        </is>
      </c>
      <c r="D174" s="111" t="inlineStr">
        <is>
          <t>Dú yī wú èr.</t>
        </is>
      </c>
      <c r="E174" s="111" t="inlineStr">
        <is>
          <t>Có một không hai.</t>
        </is>
      </c>
      <c r="F174" s="111" t="inlineStr">
        <is>
          <t>Độc đáo</t>
        </is>
      </c>
      <c r="G174" s="117">
        <f>HYPERLINK("https://youglish.com/pronounce/独一无二/chinese","🔍")</f>
        <v/>
      </c>
    </row>
    <row r="175">
      <c r="A175" s="107" t="n">
        <v>173</v>
      </c>
      <c r="B175" s="108" t="inlineStr">
        <is>
          <t>Khen ngợi / Đánh giá</t>
        </is>
      </c>
      <c r="C175" s="109" t="inlineStr">
        <is>
          <t>无可挑剔。</t>
        </is>
      </c>
      <c r="D175" s="108" t="inlineStr">
        <is>
          <t>Wú kě tiāo tī.</t>
        </is>
      </c>
      <c r="E175" s="108" t="inlineStr">
        <is>
          <t>Không chê vào đâu được.</t>
        </is>
      </c>
      <c r="F175" s="108" t="inlineStr">
        <is>
          <t>Hoàn hảo</t>
        </is>
      </c>
      <c r="G175" s="114">
        <f>HYPERLINK("https://youglish.com/pronounce/无可挑剔/chinese","🔍")</f>
        <v/>
      </c>
    </row>
    <row r="176">
      <c r="A176" s="110" t="n">
        <v>174</v>
      </c>
      <c r="B176" s="111" t="inlineStr">
        <is>
          <t>Khen ngợi / Đánh giá</t>
        </is>
      </c>
      <c r="C176" s="112" t="inlineStr">
        <is>
          <t>太专业了。</t>
        </is>
      </c>
      <c r="D176" s="111" t="inlineStr">
        <is>
          <t>Tài zhuān yè le.</t>
        </is>
      </c>
      <c r="E176" s="111" t="inlineStr">
        <is>
          <t>Chuyên nghiệp quá.</t>
        </is>
      </c>
      <c r="F176" s="111" t="inlineStr">
        <is>
          <t>Khen</t>
        </is>
      </c>
      <c r="G176" s="117">
        <f>HYPERLINK("https://youglish.com/pronounce/太专业了/chinese","🔍")</f>
        <v/>
      </c>
    </row>
    <row r="177">
      <c r="A177" s="107" t="n">
        <v>175</v>
      </c>
      <c r="B177" s="108" t="inlineStr">
        <is>
          <t>Khen ngợi / Đánh giá</t>
        </is>
      </c>
      <c r="C177" s="109" t="inlineStr">
        <is>
          <t>有才。</t>
        </is>
      </c>
      <c r="D177" s="108" t="inlineStr">
        <is>
          <t>Yǒu cái.</t>
        </is>
      </c>
      <c r="E177" s="108" t="inlineStr">
        <is>
          <t>Có tài.</t>
        </is>
      </c>
      <c r="F177" s="108" t="inlineStr">
        <is>
          <t>Khen</t>
        </is>
      </c>
      <c r="G177" s="114">
        <f>HYPERLINK("https://youglish.com/pronounce/有才/chinese","🔍")</f>
        <v/>
      </c>
    </row>
    <row r="178">
      <c r="A178" s="110" t="n">
        <v>176</v>
      </c>
      <c r="B178" s="111" t="inlineStr">
        <is>
          <t>Khen ngợi / Đánh giá</t>
        </is>
      </c>
      <c r="C178" s="112" t="inlineStr">
        <is>
          <t>真聪明。</t>
        </is>
      </c>
      <c r="D178" s="111" t="inlineStr">
        <is>
          <t>Zhēn cōng míng.</t>
        </is>
      </c>
      <c r="E178" s="111" t="inlineStr">
        <is>
          <t>Thông minh thật.</t>
        </is>
      </c>
      <c r="F178" s="111" t="inlineStr">
        <is>
          <t>Khen</t>
        </is>
      </c>
      <c r="G178" s="117">
        <f>HYPERLINK("https://youglish.com/pronounce/真聪明/chinese","🔍")</f>
        <v/>
      </c>
    </row>
    <row r="179">
      <c r="A179" s="107" t="n">
        <v>177</v>
      </c>
      <c r="B179" s="108" t="inlineStr">
        <is>
          <t>Khen ngợi / Đánh giá</t>
        </is>
      </c>
      <c r="C179" s="109" t="inlineStr">
        <is>
          <t>眼光真好。</t>
        </is>
      </c>
      <c r="D179" s="108" t="inlineStr">
        <is>
          <t>Yǎn guāng zhēn hǎo.</t>
        </is>
      </c>
      <c r="E179" s="108" t="inlineStr">
        <is>
          <t>Mắt nhìn tinh thật.</t>
        </is>
      </c>
      <c r="F179" s="108" t="inlineStr">
        <is>
          <t>Khen gu</t>
        </is>
      </c>
      <c r="G179" s="114">
        <f>HYPERLINK("https://youglish.com/pronounce/眼光真好/chinese","🔍")</f>
        <v/>
      </c>
    </row>
    <row r="180">
      <c r="A180" s="110" t="n">
        <v>178</v>
      </c>
      <c r="B180" s="111" t="inlineStr">
        <is>
          <t>Khen ngợi / Đánh giá</t>
        </is>
      </c>
      <c r="C180" s="112" t="inlineStr">
        <is>
          <t>有气质。</t>
        </is>
      </c>
      <c r="D180" s="111" t="inlineStr">
        <is>
          <t>Yǒu qì zhì.</t>
        </is>
      </c>
      <c r="E180" s="111" t="inlineStr">
        <is>
          <t>Có khí chất.</t>
        </is>
      </c>
      <c r="F180" s="111" t="inlineStr">
        <is>
          <t>Khen</t>
        </is>
      </c>
      <c r="G180" s="117">
        <f>HYPERLINK("https://youglish.com/pronounce/有气质/chinese","🔍")</f>
        <v/>
      </c>
    </row>
    <row r="181">
      <c r="A181" s="107" t="n">
        <v>179</v>
      </c>
      <c r="B181" s="108" t="inlineStr">
        <is>
          <t>Khen ngợi / Đánh giá</t>
        </is>
      </c>
      <c r="C181" s="109" t="inlineStr">
        <is>
          <t>学到了。</t>
        </is>
      </c>
      <c r="D181" s="108" t="inlineStr">
        <is>
          <t>Xué dào le.</t>
        </is>
      </c>
      <c r="E181" s="108" t="inlineStr">
        <is>
          <t>Học được rồi.</t>
        </is>
      </c>
      <c r="F181" s="108" t="inlineStr">
        <is>
          <t>Nể (mạng)</t>
        </is>
      </c>
      <c r="G181" s="114">
        <f>HYPERLINK("https://youglish.com/pronounce/学到了/chinese","🔍")</f>
        <v/>
      </c>
    </row>
    <row r="182">
      <c r="A182" s="110" t="n">
        <v>180</v>
      </c>
      <c r="B182" s="111" t="inlineStr">
        <is>
          <t>Khen ngợi / Đánh giá</t>
        </is>
      </c>
      <c r="C182" s="112" t="inlineStr">
        <is>
          <t>涨知识了。</t>
        </is>
      </c>
      <c r="D182" s="111" t="inlineStr">
        <is>
          <t>Zhǎng zhī shí le.</t>
        </is>
      </c>
      <c r="E182" s="111" t="inlineStr">
        <is>
          <t>Mở mang kiến thức.</t>
        </is>
      </c>
      <c r="F182" s="111" t="inlineStr">
        <is>
          <t>Nể (mạng)</t>
        </is>
      </c>
      <c r="G182" s="117">
        <f>HYPERLINK("https://youglish.com/pronounce/涨知识了/chinese","🔍")</f>
        <v/>
      </c>
    </row>
    <row r="183">
      <c r="A183" s="107" t="n">
        <v>181</v>
      </c>
      <c r="B183" s="108" t="inlineStr">
        <is>
          <t>Chê bai / Phàn nàn</t>
        </is>
      </c>
      <c r="C183" s="109" t="inlineStr">
        <is>
          <t>不靠谱。</t>
        </is>
      </c>
      <c r="D183" s="108" t="inlineStr">
        <is>
          <t>Bù kào pǔ.</t>
        </is>
      </c>
      <c r="E183" s="108" t="inlineStr">
        <is>
          <t>Không đáng tin.</t>
        </is>
      </c>
      <c r="F183" s="108" t="inlineStr">
        <is>
          <t>Đánh giá xấu</t>
        </is>
      </c>
      <c r="G183" s="114">
        <f>HYPERLINK("https://youglish.com/pronounce/不靠谱/chinese","🔍")</f>
        <v/>
      </c>
    </row>
    <row r="184">
      <c r="A184" s="110" t="n">
        <v>182</v>
      </c>
      <c r="B184" s="111" t="inlineStr">
        <is>
          <t>Chê bai / Phàn nàn</t>
        </is>
      </c>
      <c r="C184" s="112" t="inlineStr">
        <is>
          <t>太差了。</t>
        </is>
      </c>
      <c r="D184" s="111" t="inlineStr">
        <is>
          <t>Tài chà le.</t>
        </is>
      </c>
      <c r="E184" s="111" t="inlineStr">
        <is>
          <t>Tệ quá.</t>
        </is>
      </c>
      <c r="F184" s="111" t="inlineStr">
        <is>
          <t>Chê</t>
        </is>
      </c>
      <c r="G184" s="117">
        <f>HYPERLINK("https://youglish.com/pronounce/太差了/chinese","🔍")</f>
        <v/>
      </c>
    </row>
    <row r="185">
      <c r="A185" s="107" t="n">
        <v>183</v>
      </c>
      <c r="B185" s="108" t="inlineStr">
        <is>
          <t>Chê bai / Phàn nàn</t>
        </is>
      </c>
      <c r="C185" s="109" t="inlineStr">
        <is>
          <t>糟透了。</t>
        </is>
      </c>
      <c r="D185" s="108" t="inlineStr">
        <is>
          <t>Zāo tòu le.</t>
        </is>
      </c>
      <c r="E185" s="108" t="inlineStr">
        <is>
          <t>Tệ hết chỗ nói.</t>
        </is>
      </c>
      <c r="F185" s="108" t="inlineStr">
        <is>
          <t>Chê mạnh</t>
        </is>
      </c>
      <c r="G185" s="114">
        <f>HYPERLINK("https://youglish.com/pronounce/糟透了/chinese","🔍")</f>
        <v/>
      </c>
    </row>
    <row r="186">
      <c r="A186" s="110" t="n">
        <v>184</v>
      </c>
      <c r="B186" s="111" t="inlineStr">
        <is>
          <t>Chê bai / Phàn nàn</t>
        </is>
      </c>
      <c r="C186" s="112" t="inlineStr">
        <is>
          <t>差劲。</t>
        </is>
      </c>
      <c r="D186" s="111" t="inlineStr">
        <is>
          <t>Chà jìn.</t>
        </is>
      </c>
      <c r="E186" s="111" t="inlineStr">
        <is>
          <t>Kém cỏi.</t>
        </is>
      </c>
      <c r="F186" s="111" t="inlineStr">
        <is>
          <t>Chê</t>
        </is>
      </c>
      <c r="G186" s="117">
        <f>HYPERLINK("https://youglish.com/pronounce/差劲/chinese","🔍")</f>
        <v/>
      </c>
    </row>
    <row r="187">
      <c r="A187" s="107" t="n">
        <v>185</v>
      </c>
      <c r="B187" s="108" t="inlineStr">
        <is>
          <t>Chê bai / Phàn nàn</t>
        </is>
      </c>
      <c r="C187" s="109" t="inlineStr">
        <is>
          <t>真烂。</t>
        </is>
      </c>
      <c r="D187" s="108" t="inlineStr">
        <is>
          <t>Zhēn làn.</t>
        </is>
      </c>
      <c r="E187" s="108" t="inlineStr">
        <is>
          <t>Dở tệ.</t>
        </is>
      </c>
      <c r="F187" s="108" t="inlineStr">
        <is>
          <t>Chê</t>
        </is>
      </c>
      <c r="G187" s="114">
        <f>HYPERLINK("https://youglish.com/pronounce/真烂/chinese","🔍")</f>
        <v/>
      </c>
    </row>
    <row r="188">
      <c r="A188" s="110" t="n">
        <v>186</v>
      </c>
      <c r="B188" s="111" t="inlineStr">
        <is>
          <t>Chê bai / Phàn nàn</t>
        </is>
      </c>
      <c r="C188" s="112" t="inlineStr">
        <is>
          <t>不咋地。</t>
        </is>
      </c>
      <c r="D188" s="111" t="inlineStr">
        <is>
          <t>Bù zǎ dì.</t>
        </is>
      </c>
      <c r="E188" s="111" t="inlineStr">
        <is>
          <t>Chẳng ra gì.</t>
        </is>
      </c>
      <c r="F188" s="111" t="inlineStr">
        <is>
          <t>Chê nhẹ</t>
        </is>
      </c>
      <c r="G188" s="117">
        <f>HYPERLINK("https://youglish.com/pronounce/不咋地/chinese","🔍")</f>
        <v/>
      </c>
    </row>
    <row r="189">
      <c r="A189" s="107" t="n">
        <v>187</v>
      </c>
      <c r="B189" s="108" t="inlineStr">
        <is>
          <t>Chê bai / Phàn nàn</t>
        </is>
      </c>
      <c r="C189" s="109" t="inlineStr">
        <is>
          <t>一般般。</t>
        </is>
      </c>
      <c r="D189" s="108" t="inlineStr">
        <is>
          <t>Yì bān bān.</t>
        </is>
      </c>
      <c r="E189" s="108" t="inlineStr">
        <is>
          <t>Bình thường thôi.</t>
        </is>
      </c>
      <c r="F189" s="108" t="inlineStr">
        <is>
          <t>Đánh giá trung bình</t>
        </is>
      </c>
      <c r="G189" s="114">
        <f>HYPERLINK("https://youglish.com/pronounce/一般般/chinese","🔍")</f>
        <v/>
      </c>
    </row>
    <row r="190">
      <c r="A190" s="110" t="n">
        <v>188</v>
      </c>
      <c r="B190" s="111" t="inlineStr">
        <is>
          <t>Chê bai / Phàn nàn</t>
        </is>
      </c>
      <c r="C190" s="112" t="inlineStr">
        <is>
          <t>太坑了。</t>
        </is>
      </c>
      <c r="D190" s="111" t="inlineStr">
        <is>
          <t>Tài kēng le.</t>
        </is>
      </c>
      <c r="E190" s="111" t="inlineStr">
        <is>
          <t>Lừa đảo quá / Bẫy quá.</t>
        </is>
      </c>
      <c r="F190" s="111" t="inlineStr">
        <is>
          <t>Bị hớ</t>
        </is>
      </c>
      <c r="G190" s="117">
        <f>HYPERLINK("https://youglish.com/pronounce/太坑了/chinese","🔍")</f>
        <v/>
      </c>
    </row>
    <row r="191">
      <c r="A191" s="107" t="n">
        <v>189</v>
      </c>
      <c r="B191" s="108" t="inlineStr">
        <is>
          <t>Chê bai / Phàn nàn</t>
        </is>
      </c>
      <c r="C191" s="109" t="inlineStr">
        <is>
          <t>被坑了。</t>
        </is>
      </c>
      <c r="D191" s="108" t="inlineStr">
        <is>
          <t>Bèi kēng le.</t>
        </is>
      </c>
      <c r="E191" s="108" t="inlineStr">
        <is>
          <t>Bị lừa rồi.</t>
        </is>
      </c>
      <c r="F191" s="108" t="inlineStr">
        <is>
          <t>Bị hớ</t>
        </is>
      </c>
      <c r="G191" s="114">
        <f>HYPERLINK("https://youglish.com/pronounce/被坑了/chinese","🔍")</f>
        <v/>
      </c>
    </row>
    <row r="192">
      <c r="A192" s="110" t="n">
        <v>190</v>
      </c>
      <c r="B192" s="111" t="inlineStr">
        <is>
          <t>Chê bai / Phàn nàn</t>
        </is>
      </c>
      <c r="C192" s="112" t="inlineStr">
        <is>
          <t>亏大了。</t>
        </is>
      </c>
      <c r="D192" s="111" t="inlineStr">
        <is>
          <t>Kuī dà le.</t>
        </is>
      </c>
      <c r="E192" s="111" t="inlineStr">
        <is>
          <t>Lỗ to rồi.</t>
        </is>
      </c>
      <c r="F192" s="111" t="inlineStr">
        <is>
          <t>Thiệt</t>
        </is>
      </c>
      <c r="G192" s="117">
        <f>HYPERLINK("https://youglish.com/pronounce/亏大了/chinese","🔍")</f>
        <v/>
      </c>
    </row>
    <row r="193">
      <c r="A193" s="107" t="n">
        <v>191</v>
      </c>
      <c r="B193" s="108" t="inlineStr">
        <is>
          <t>Chê bai / Phàn nàn</t>
        </is>
      </c>
      <c r="C193" s="109" t="inlineStr">
        <is>
          <t>不值。</t>
        </is>
      </c>
      <c r="D193" s="108" t="inlineStr">
        <is>
          <t>Bù zhí.</t>
        </is>
      </c>
      <c r="E193" s="108" t="inlineStr">
        <is>
          <t>Không đáng.</t>
        </is>
      </c>
      <c r="F193" s="108" t="inlineStr">
        <is>
          <t>Chê giá trị</t>
        </is>
      </c>
      <c r="G193" s="114">
        <f>HYPERLINK("https://youglish.com/pronounce/不值/chinese","🔍")</f>
        <v/>
      </c>
    </row>
    <row r="194">
      <c r="A194" s="110" t="n">
        <v>192</v>
      </c>
      <c r="B194" s="111" t="inlineStr">
        <is>
          <t>Chê bai / Phàn nàn</t>
        </is>
      </c>
      <c r="C194" s="112" t="inlineStr">
        <is>
          <t>浪费时间。</t>
        </is>
      </c>
      <c r="D194" s="111" t="inlineStr">
        <is>
          <t>Làng fèi shí jiān.</t>
        </is>
      </c>
      <c r="E194" s="111" t="inlineStr">
        <is>
          <t>Phí thời gian.</t>
        </is>
      </c>
      <c r="F194" s="111" t="inlineStr">
        <is>
          <t>Chê</t>
        </is>
      </c>
      <c r="G194" s="117">
        <f>HYPERLINK("https://youglish.com/pronounce/浪费时间/chinese","🔍")</f>
        <v/>
      </c>
    </row>
    <row r="195">
      <c r="A195" s="107" t="n">
        <v>193</v>
      </c>
      <c r="B195" s="108" t="inlineStr">
        <is>
          <t>Chê bai / Phàn nàn</t>
        </is>
      </c>
      <c r="C195" s="109" t="inlineStr">
        <is>
          <t>白费劲。</t>
        </is>
      </c>
      <c r="D195" s="108" t="inlineStr">
        <is>
          <t>Bái fèi jìn.</t>
        </is>
      </c>
      <c r="E195" s="108" t="inlineStr">
        <is>
          <t>Uổng công.</t>
        </is>
      </c>
      <c r="F195" s="108" t="inlineStr">
        <is>
          <t>Vô ích</t>
        </is>
      </c>
      <c r="G195" s="114">
        <f>HYPERLINK("https://youglish.com/pronounce/白费劲/chinese","🔍")</f>
        <v/>
      </c>
    </row>
    <row r="196">
      <c r="A196" s="110" t="n">
        <v>194</v>
      </c>
      <c r="B196" s="111" t="inlineStr">
        <is>
          <t>Chê bai / Phàn nàn</t>
        </is>
      </c>
      <c r="C196" s="112" t="inlineStr">
        <is>
          <t>完蛋了。</t>
        </is>
      </c>
      <c r="D196" s="111" t="inlineStr">
        <is>
          <t>Wán dàn le.</t>
        </is>
      </c>
      <c r="E196" s="111" t="inlineStr">
        <is>
          <t>Tiêu rồi.</t>
        </is>
      </c>
      <c r="F196" s="111" t="inlineStr">
        <is>
          <t>Hỏng việc</t>
        </is>
      </c>
      <c r="G196" s="117">
        <f>HYPERLINK("https://youglish.com/pronounce/完蛋了/chinese","🔍")</f>
        <v/>
      </c>
    </row>
    <row r="197">
      <c r="A197" s="107" t="n">
        <v>195</v>
      </c>
      <c r="B197" s="108" t="inlineStr">
        <is>
          <t>Chê bai / Phàn nàn</t>
        </is>
      </c>
      <c r="C197" s="109" t="inlineStr">
        <is>
          <t>太离谱。</t>
        </is>
      </c>
      <c r="D197" s="108" t="inlineStr">
        <is>
          <t>Tài lí pǔ.</t>
        </is>
      </c>
      <c r="E197" s="108" t="inlineStr">
        <is>
          <t>Quá vô lý.</t>
        </is>
      </c>
      <c r="F197" s="108" t="inlineStr">
        <is>
          <t>Bức xúc</t>
        </is>
      </c>
      <c r="G197" s="114">
        <f>HYPERLINK("https://youglish.com/pronounce/太离谱/chinese","🔍")</f>
        <v/>
      </c>
    </row>
    <row r="198">
      <c r="A198" s="110" t="n">
        <v>196</v>
      </c>
      <c r="B198" s="111" t="inlineStr">
        <is>
          <t>Chê bai / Phàn nàn</t>
        </is>
      </c>
      <c r="C198" s="112" t="inlineStr">
        <is>
          <t>过分了。</t>
        </is>
      </c>
      <c r="D198" s="111" t="inlineStr">
        <is>
          <t>Guò fèn le.</t>
        </is>
      </c>
      <c r="E198" s="111" t="inlineStr">
        <is>
          <t>Quá đáng rồi.</t>
        </is>
      </c>
      <c r="F198" s="111" t="inlineStr">
        <is>
          <t>Trách</t>
        </is>
      </c>
      <c r="G198" s="117">
        <f>HYPERLINK("https://youglish.com/pronounce/过分了/chinese","🔍")</f>
        <v/>
      </c>
    </row>
    <row r="199">
      <c r="A199" s="107" t="n">
        <v>197</v>
      </c>
      <c r="B199" s="108" t="inlineStr">
        <is>
          <t>Chê bai / Phàn nàn</t>
        </is>
      </c>
      <c r="C199" s="109" t="inlineStr">
        <is>
          <t>丢脸。</t>
        </is>
      </c>
      <c r="D199" s="108" t="inlineStr">
        <is>
          <t>Diū liǎn.</t>
        </is>
      </c>
      <c r="E199" s="108" t="inlineStr">
        <is>
          <t>Mất mặt.</t>
        </is>
      </c>
      <c r="F199" s="108" t="inlineStr">
        <is>
          <t>Xấu hổ</t>
        </is>
      </c>
      <c r="G199" s="114">
        <f>HYPERLINK("https://youglish.com/pronounce/丢脸/chinese","🔍")</f>
        <v/>
      </c>
    </row>
    <row r="200">
      <c r="A200" s="110" t="n">
        <v>198</v>
      </c>
      <c r="B200" s="111" t="inlineStr">
        <is>
          <t>Chê bai / Phàn nàn</t>
        </is>
      </c>
      <c r="C200" s="112" t="inlineStr">
        <is>
          <t>没面子。</t>
        </is>
      </c>
      <c r="D200" s="111" t="inlineStr">
        <is>
          <t>Méi miàn zi.</t>
        </is>
      </c>
      <c r="E200" s="111" t="inlineStr">
        <is>
          <t>Mất thể diện.</t>
        </is>
      </c>
      <c r="F200" s="111" t="inlineStr">
        <is>
          <t>Xấu hổ</t>
        </is>
      </c>
      <c r="G200" s="117">
        <f>HYPERLINK("https://youglish.com/pronounce/没面子/chinese","🔍")</f>
        <v/>
      </c>
    </row>
    <row r="201">
      <c r="A201" s="107" t="n">
        <v>199</v>
      </c>
      <c r="B201" s="108" t="inlineStr">
        <is>
          <t>Chê bai / Phàn nàn</t>
        </is>
      </c>
      <c r="C201" s="109" t="inlineStr">
        <is>
          <t>尴尬。</t>
        </is>
      </c>
      <c r="D201" s="108" t="inlineStr">
        <is>
          <t>Gān gà.</t>
        </is>
      </c>
      <c r="E201" s="108" t="inlineStr">
        <is>
          <t>Ngượng / Kỳ cục.</t>
        </is>
      </c>
      <c r="F201" s="108" t="inlineStr">
        <is>
          <t>Khó xử</t>
        </is>
      </c>
      <c r="G201" s="114">
        <f>HYPERLINK("https://youglish.com/pronounce/尴尬/chinese","🔍")</f>
        <v/>
      </c>
    </row>
    <row r="202">
      <c r="A202" s="110" t="n">
        <v>200</v>
      </c>
      <c r="B202" s="111" t="inlineStr">
        <is>
          <t>Chê bai / Phàn nàn</t>
        </is>
      </c>
      <c r="C202" s="112" t="inlineStr">
        <is>
          <t>掉链子。</t>
        </is>
      </c>
      <c r="D202" s="111" t="inlineStr">
        <is>
          <t>Diào liàn zi.</t>
        </is>
      </c>
      <c r="E202" s="111" t="inlineStr">
        <is>
          <t>Hỏng việc phút chót.</t>
        </is>
      </c>
      <c r="F202" s="111" t="inlineStr">
        <is>
          <t>Không đáng tin</t>
        </is>
      </c>
      <c r="G202" s="117">
        <f>HYPERLINK("https://youglish.com/pronounce/掉链子/chinese","🔍")</f>
        <v/>
      </c>
    </row>
    <row r="203">
      <c r="A203" s="107" t="n">
        <v>201</v>
      </c>
      <c r="B203" s="108" t="inlineStr">
        <is>
          <t>Chê bai / Phàn nàn</t>
        </is>
      </c>
      <c r="C203" s="109" t="inlineStr">
        <is>
          <t>拖后腿。</t>
        </is>
      </c>
      <c r="D203" s="108" t="inlineStr">
        <is>
          <t>Tuō hòu tuǐ.</t>
        </is>
      </c>
      <c r="E203" s="108" t="inlineStr">
        <is>
          <t>Kéo lùi / Làm vướng.</t>
        </is>
      </c>
      <c r="F203" s="108" t="inlineStr">
        <is>
          <t>Cản trở</t>
        </is>
      </c>
      <c r="G203" s="114">
        <f>HYPERLINK("https://youglish.com/pronounce/拖后腿/chinese","🔍")</f>
        <v/>
      </c>
    </row>
    <row r="204">
      <c r="A204" s="110" t="n">
        <v>202</v>
      </c>
      <c r="B204" s="111" t="inlineStr">
        <is>
          <t>Chê bai / Phàn nàn</t>
        </is>
      </c>
      <c r="C204" s="112" t="inlineStr">
        <is>
          <t>帮倒忙。</t>
        </is>
      </c>
      <c r="D204" s="111" t="inlineStr">
        <is>
          <t>Bāng dào máng.</t>
        </is>
      </c>
      <c r="E204" s="111" t="inlineStr">
        <is>
          <t>Giúp thành hại.</t>
        </is>
      </c>
      <c r="F204" s="111" t="inlineStr">
        <is>
          <t>Lóng ngóng</t>
        </is>
      </c>
      <c r="G204" s="117">
        <f>HYPERLINK("https://youglish.com/pronounce/帮倒忙/chinese","🔍")</f>
        <v/>
      </c>
    </row>
    <row r="205">
      <c r="A205" s="107" t="n">
        <v>203</v>
      </c>
      <c r="B205" s="108" t="inlineStr">
        <is>
          <t>Chê bai / Phàn nàn</t>
        </is>
      </c>
      <c r="C205" s="109" t="inlineStr">
        <is>
          <t>没眼看。</t>
        </is>
      </c>
      <c r="D205" s="108" t="inlineStr">
        <is>
          <t>Méi yǎn kàn.</t>
        </is>
      </c>
      <c r="E205" s="108" t="inlineStr">
        <is>
          <t>Không nỡ nhìn.</t>
        </is>
      </c>
      <c r="F205" s="108" t="inlineStr">
        <is>
          <t>Chê (mạng)</t>
        </is>
      </c>
      <c r="G205" s="114">
        <f>HYPERLINK("https://youglish.com/pronounce/没眼看/chinese","🔍")</f>
        <v/>
      </c>
    </row>
    <row r="206">
      <c r="A206" s="110" t="n">
        <v>204</v>
      </c>
      <c r="B206" s="111" t="inlineStr">
        <is>
          <t>Chê bai / Phàn nàn</t>
        </is>
      </c>
      <c r="C206" s="112" t="inlineStr">
        <is>
          <t>辣眼睛。</t>
        </is>
      </c>
      <c r="D206" s="111" t="inlineStr">
        <is>
          <t>Là yǎn jīng.</t>
        </is>
      </c>
      <c r="E206" s="111" t="inlineStr">
        <is>
          <t>Chói cả mắt.</t>
        </is>
      </c>
      <c r="F206" s="111" t="inlineStr">
        <is>
          <t>Xấu (mạng)</t>
        </is>
      </c>
      <c r="G206" s="117">
        <f>HYPERLINK("https://youglish.com/pronounce/辣眼睛/chinese","🔍")</f>
        <v/>
      </c>
    </row>
    <row r="207">
      <c r="A207" s="107" t="n">
        <v>205</v>
      </c>
      <c r="B207" s="108" t="inlineStr">
        <is>
          <t>Chê bai / Phàn nàn</t>
        </is>
      </c>
      <c r="C207" s="109" t="inlineStr">
        <is>
          <t>太土了。</t>
        </is>
      </c>
      <c r="D207" s="108" t="inlineStr">
        <is>
          <t>Tài tǔ le.</t>
        </is>
      </c>
      <c r="E207" s="108" t="inlineStr">
        <is>
          <t>Quê quá.</t>
        </is>
      </c>
      <c r="F207" s="108" t="inlineStr">
        <is>
          <t>Chê gu</t>
        </is>
      </c>
      <c r="G207" s="114">
        <f>HYPERLINK("https://youglish.com/pronounce/太土了/chinese","🔍")</f>
        <v/>
      </c>
    </row>
    <row r="208">
      <c r="A208" s="110" t="n">
        <v>206</v>
      </c>
      <c r="B208" s="111" t="inlineStr">
        <is>
          <t>Chê bai / Phàn nàn</t>
        </is>
      </c>
      <c r="C208" s="112" t="inlineStr">
        <is>
          <t>老套。</t>
        </is>
      </c>
      <c r="D208" s="111" t="inlineStr">
        <is>
          <t>Lǎo tào.</t>
        </is>
      </c>
      <c r="E208" s="111" t="inlineStr">
        <is>
          <t>Cũ rích / Sáo mòn.</t>
        </is>
      </c>
      <c r="F208" s="111" t="inlineStr">
        <is>
          <t>Chê</t>
        </is>
      </c>
      <c r="G208" s="117">
        <f>HYPERLINK("https://youglish.com/pronounce/老套/chinese","🔍")</f>
        <v/>
      </c>
    </row>
    <row r="209">
      <c r="A209" s="107" t="n">
        <v>207</v>
      </c>
      <c r="B209" s="108" t="inlineStr">
        <is>
          <t>Chê bai / Phàn nàn</t>
        </is>
      </c>
      <c r="C209" s="109" t="inlineStr">
        <is>
          <t>没劲。</t>
        </is>
      </c>
      <c r="D209" s="108" t="inlineStr">
        <is>
          <t>Méi jìn.</t>
        </is>
      </c>
      <c r="E209" s="108" t="inlineStr">
        <is>
          <t>Chán ngắt.</t>
        </is>
      </c>
      <c r="F209" s="108" t="inlineStr">
        <is>
          <t>Chê</t>
        </is>
      </c>
      <c r="G209" s="114">
        <f>HYPERLINK("https://youglish.com/pronounce/没劲/chinese","🔍")</f>
        <v/>
      </c>
    </row>
    <row r="210">
      <c r="A210" s="110" t="n">
        <v>208</v>
      </c>
      <c r="B210" s="111" t="inlineStr">
        <is>
          <t>Chê bai / Phàn nàn</t>
        </is>
      </c>
      <c r="C210" s="112" t="inlineStr">
        <is>
          <t>扫兴。</t>
        </is>
      </c>
      <c r="D210" s="111" t="inlineStr">
        <is>
          <t>Sǎo xìng.</t>
        </is>
      </c>
      <c r="E210" s="111" t="inlineStr">
        <is>
          <t>Mất hứng.</t>
        </is>
      </c>
      <c r="F210" s="111" t="inlineStr">
        <is>
          <t>Cụt hứng</t>
        </is>
      </c>
      <c r="G210" s="117">
        <f>HYPERLINK("https://youglish.com/pronounce/扫兴/chinese","🔍")</f>
        <v/>
      </c>
    </row>
    <row r="211">
      <c r="A211" s="107" t="n">
        <v>209</v>
      </c>
      <c r="B211" s="108" t="inlineStr">
        <is>
          <t>Chê bai / Phàn nàn</t>
        </is>
      </c>
      <c r="C211" s="109" t="inlineStr">
        <is>
          <t>太夸张了。</t>
        </is>
      </c>
      <c r="D211" s="108" t="inlineStr">
        <is>
          <t>Tài kuā zhāng le.</t>
        </is>
      </c>
      <c r="E211" s="108" t="inlineStr">
        <is>
          <t>Quá cường điệu.</t>
        </is>
      </c>
      <c r="F211" s="108" t="inlineStr">
        <is>
          <t>Chê phóng đại</t>
        </is>
      </c>
      <c r="G211" s="114">
        <f>HYPERLINK("https://youglish.com/pronounce/太夸张了/chinese","🔍")</f>
        <v/>
      </c>
    </row>
    <row r="212">
      <c r="A212" s="110" t="n">
        <v>210</v>
      </c>
      <c r="B212" s="111" t="inlineStr">
        <is>
          <t>Chê bai / Phàn nàn</t>
        </is>
      </c>
      <c r="C212" s="112" t="inlineStr">
        <is>
          <t>真讨厌。</t>
        </is>
      </c>
      <c r="D212" s="111" t="inlineStr">
        <is>
          <t>Zhēn tǎo yàn.</t>
        </is>
      </c>
      <c r="E212" s="111" t="inlineStr">
        <is>
          <t>Ghét thật.</t>
        </is>
      </c>
      <c r="F212" s="111" t="inlineStr">
        <is>
          <t>Khó chịu</t>
        </is>
      </c>
      <c r="G212" s="117">
        <f>HYPERLINK("https://youglish.com/pronounce/真讨厌/chinese","🔍")</f>
        <v/>
      </c>
    </row>
    <row r="213">
      <c r="A213" s="107" t="n">
        <v>211</v>
      </c>
      <c r="B213" s="108" t="inlineStr">
        <is>
          <t>Lịch sự / Cửa miệng</t>
        </is>
      </c>
      <c r="C213" s="109" t="inlineStr">
        <is>
          <t>没关系。</t>
        </is>
      </c>
      <c r="D213" s="108" t="inlineStr">
        <is>
          <t>Méi guān xì.</t>
        </is>
      </c>
      <c r="E213" s="108" t="inlineStr">
        <is>
          <t>Không sao đâu.</t>
        </is>
      </c>
      <c r="F213" s="108" t="inlineStr">
        <is>
          <t>Đáp xin lỗi</t>
        </is>
      </c>
      <c r="G213" s="114">
        <f>HYPERLINK("https://youglish.com/pronounce/没关系/chinese","🔍")</f>
        <v/>
      </c>
    </row>
    <row r="214">
      <c r="A214" s="110" t="n">
        <v>212</v>
      </c>
      <c r="B214" s="111" t="inlineStr">
        <is>
          <t>Lịch sự / Cửa miệng</t>
        </is>
      </c>
      <c r="C214" s="112" t="inlineStr">
        <is>
          <t>不好意思。</t>
        </is>
      </c>
      <c r="D214" s="111" t="inlineStr">
        <is>
          <t>Bù hǎo yì sī.</t>
        </is>
      </c>
      <c r="E214" s="111" t="inlineStr">
        <is>
          <t>Ngại quá / Xin lỗi.</t>
        </is>
      </c>
      <c r="F214" s="111" t="inlineStr">
        <is>
          <t>Xin lỗi nhẹ</t>
        </is>
      </c>
      <c r="G214" s="117">
        <f>HYPERLINK("https://youglish.com/pronounce/不好意思/chinese","🔍")</f>
        <v/>
      </c>
    </row>
    <row r="215">
      <c r="A215" s="107" t="n">
        <v>213</v>
      </c>
      <c r="B215" s="108" t="inlineStr">
        <is>
          <t>Lịch sự / Cửa miệng</t>
        </is>
      </c>
      <c r="C215" s="109" t="inlineStr">
        <is>
          <t>麻烦你了。</t>
        </is>
      </c>
      <c r="D215" s="108" t="inlineStr">
        <is>
          <t>Má fán nǐ le.</t>
        </is>
      </c>
      <c r="E215" s="108" t="inlineStr">
        <is>
          <t>Làm phiền bạn rồi.</t>
        </is>
      </c>
      <c r="F215" s="108" t="inlineStr">
        <is>
          <t>Nhờ vả</t>
        </is>
      </c>
      <c r="G215" s="114">
        <f>HYPERLINK("https://youglish.com/pronounce/麻烦你了/chinese","🔍")</f>
        <v/>
      </c>
    </row>
    <row r="216">
      <c r="A216" s="110" t="n">
        <v>214</v>
      </c>
      <c r="B216" s="111" t="inlineStr">
        <is>
          <t>Lịch sự / Cửa miệng</t>
        </is>
      </c>
      <c r="C216" s="112" t="inlineStr">
        <is>
          <t>辛苦了。</t>
        </is>
      </c>
      <c r="D216" s="111" t="inlineStr">
        <is>
          <t>Xīn kǔ le.</t>
        </is>
      </c>
      <c r="E216" s="111" t="inlineStr">
        <is>
          <t>Vất vả rồi.</t>
        </is>
      </c>
      <c r="F216" s="111" t="inlineStr">
        <is>
          <t>Ghi nhận</t>
        </is>
      </c>
      <c r="G216" s="117">
        <f>HYPERLINK("https://youglish.com/pronounce/辛苦了/chinese","🔍")</f>
        <v/>
      </c>
    </row>
    <row r="217">
      <c r="A217" s="107" t="n">
        <v>215</v>
      </c>
      <c r="B217" s="108" t="inlineStr">
        <is>
          <t>Lịch sự / Cửa miệng</t>
        </is>
      </c>
      <c r="C217" s="109" t="inlineStr">
        <is>
          <t>别客气。</t>
        </is>
      </c>
      <c r="D217" s="108" t="inlineStr">
        <is>
          <t>Bié kè qì.</t>
        </is>
      </c>
      <c r="E217" s="108" t="inlineStr">
        <is>
          <t>Đừng khách sáo.</t>
        </is>
      </c>
      <c r="F217" s="108" t="inlineStr">
        <is>
          <t>Đáp cảm ơn</t>
        </is>
      </c>
      <c r="G217" s="114">
        <f>HYPERLINK("https://youglish.com/pronounce/别客气/chinese","🔍")</f>
        <v/>
      </c>
    </row>
    <row r="218">
      <c r="A218" s="110" t="n">
        <v>216</v>
      </c>
      <c r="B218" s="111" t="inlineStr">
        <is>
          <t>Lịch sự / Cửa miệng</t>
        </is>
      </c>
      <c r="C218" s="112" t="inlineStr">
        <is>
          <t>应该的。</t>
        </is>
      </c>
      <c r="D218" s="111" t="inlineStr">
        <is>
          <t>Yīng gāi de.</t>
        </is>
      </c>
      <c r="E218" s="111" t="inlineStr">
        <is>
          <t>Chuyện nên làm.</t>
        </is>
      </c>
      <c r="F218" s="111" t="inlineStr">
        <is>
          <t>Đáp cảm ơn</t>
        </is>
      </c>
      <c r="G218" s="117">
        <f>HYPERLINK("https://youglish.com/pronounce/应该的/chinese","🔍")</f>
        <v/>
      </c>
    </row>
    <row r="219">
      <c r="A219" s="107" t="n">
        <v>217</v>
      </c>
      <c r="B219" s="108" t="inlineStr">
        <is>
          <t>Lịch sự / Cửa miệng</t>
        </is>
      </c>
      <c r="C219" s="109" t="inlineStr">
        <is>
          <t>小意思。</t>
        </is>
      </c>
      <c r="D219" s="108" t="inlineStr">
        <is>
          <t>Xiǎo yì si.</t>
        </is>
      </c>
      <c r="E219" s="108" t="inlineStr">
        <is>
          <t>Chuyện nhỏ.</t>
        </is>
      </c>
      <c r="F219" s="108" t="inlineStr">
        <is>
          <t>Khiêm tốn</t>
        </is>
      </c>
      <c r="G219" s="114">
        <f>HYPERLINK("https://youglish.com/pronounce/小意思/chinese","🔍")</f>
        <v/>
      </c>
    </row>
    <row r="220">
      <c r="A220" s="110" t="n">
        <v>218</v>
      </c>
      <c r="B220" s="111" t="inlineStr">
        <is>
          <t>Lịch sự / Cửa miệng</t>
        </is>
      </c>
      <c r="C220" s="112" t="inlineStr">
        <is>
          <t>没什么。</t>
        </is>
      </c>
      <c r="D220" s="111" t="inlineStr">
        <is>
          <t>Méi shén me.</t>
        </is>
      </c>
      <c r="E220" s="111" t="inlineStr">
        <is>
          <t>Không có gì.</t>
        </is>
      </c>
      <c r="F220" s="111" t="inlineStr">
        <is>
          <t>Đáp cảm ơn</t>
        </is>
      </c>
      <c r="G220" s="117">
        <f>HYPERLINK("https://youglish.com/pronounce/没什么/chinese","🔍")</f>
        <v/>
      </c>
    </row>
    <row r="221">
      <c r="A221" s="107" t="n">
        <v>219</v>
      </c>
      <c r="B221" s="108" t="inlineStr">
        <is>
          <t>Lịch sự / Cửa miệng</t>
        </is>
      </c>
      <c r="C221" s="109" t="inlineStr">
        <is>
          <t>随你便。</t>
        </is>
      </c>
      <c r="D221" s="108" t="inlineStr">
        <is>
          <t>Suí nǐ biàn.</t>
        </is>
      </c>
      <c r="E221" s="108" t="inlineStr">
        <is>
          <t>Tùy bạn.</t>
        </is>
      </c>
      <c r="F221" s="108" t="inlineStr">
        <is>
          <t>Nhường</t>
        </is>
      </c>
      <c r="G221" s="114">
        <f>HYPERLINK("https://youglish.com/pronounce/随你便/chinese","🔍")</f>
        <v/>
      </c>
    </row>
    <row r="222">
      <c r="A222" s="110" t="n">
        <v>220</v>
      </c>
      <c r="B222" s="111" t="inlineStr">
        <is>
          <t>Lịch sự / Cửa miệng</t>
        </is>
      </c>
      <c r="C222" s="112" t="inlineStr">
        <is>
          <t>谢谢。</t>
        </is>
      </c>
      <c r="D222" s="111" t="inlineStr">
        <is>
          <t>Xiè xiè.</t>
        </is>
      </c>
      <c r="E222" s="111" t="inlineStr">
        <is>
          <t>Cảm ơn.</t>
        </is>
      </c>
      <c r="F222" s="111" t="inlineStr">
        <is>
          <t>Cơ bản</t>
        </is>
      </c>
      <c r="G222" s="117">
        <f>HYPERLINK("https://youglish.com/pronounce/谢谢/chinese","🔍")</f>
        <v/>
      </c>
    </row>
    <row r="223">
      <c r="A223" s="107" t="n">
        <v>221</v>
      </c>
      <c r="B223" s="108" t="inlineStr">
        <is>
          <t>Lịch sự / Cửa miệng</t>
        </is>
      </c>
      <c r="C223" s="109" t="inlineStr">
        <is>
          <t>太感谢了。</t>
        </is>
      </c>
      <c r="D223" s="108" t="inlineStr">
        <is>
          <t>Tài gǎn xiè le.</t>
        </is>
      </c>
      <c r="E223" s="108" t="inlineStr">
        <is>
          <t>Cảm ơn nhiều lắm.</t>
        </is>
      </c>
      <c r="F223" s="108" t="inlineStr">
        <is>
          <t>Cảm ơn mạnh</t>
        </is>
      </c>
      <c r="G223" s="114">
        <f>HYPERLINK("https://youglish.com/pronounce/太感谢了/chinese","🔍")</f>
        <v/>
      </c>
    </row>
    <row r="224">
      <c r="A224" s="110" t="n">
        <v>222</v>
      </c>
      <c r="B224" s="111" t="inlineStr">
        <is>
          <t>Lịch sự / Cửa miệng</t>
        </is>
      </c>
      <c r="C224" s="112" t="inlineStr">
        <is>
          <t>打扰了。</t>
        </is>
      </c>
      <c r="D224" s="111" t="inlineStr">
        <is>
          <t>Dǎ rǎo le.</t>
        </is>
      </c>
      <c r="E224" s="111" t="inlineStr">
        <is>
          <t>Làm phiền rồi.</t>
        </is>
      </c>
      <c r="F224" s="111" t="inlineStr">
        <is>
          <t>Lịch sự</t>
        </is>
      </c>
      <c r="G224" s="117">
        <f>HYPERLINK("https://youglish.com/pronounce/打扰了/chinese","🔍")</f>
        <v/>
      </c>
    </row>
    <row r="225">
      <c r="A225" s="107" t="n">
        <v>223</v>
      </c>
      <c r="B225" s="108" t="inlineStr">
        <is>
          <t>Lịch sự / Cửa miệng</t>
        </is>
      </c>
      <c r="C225" s="109" t="inlineStr">
        <is>
          <t>失陪了。</t>
        </is>
      </c>
      <c r="D225" s="108" t="inlineStr">
        <is>
          <t>Shī péi le.</t>
        </is>
      </c>
      <c r="E225" s="108" t="inlineStr">
        <is>
          <t>Xin phép thất lễ.</t>
        </is>
      </c>
      <c r="F225" s="108" t="inlineStr">
        <is>
          <t>Rời đi</t>
        </is>
      </c>
      <c r="G225" s="114">
        <f>HYPERLINK("https://youglish.com/pronounce/失陪了/chinese","🔍")</f>
        <v/>
      </c>
    </row>
    <row r="226">
      <c r="A226" s="110" t="n">
        <v>224</v>
      </c>
      <c r="B226" s="111" t="inlineStr">
        <is>
          <t>Lịch sự / Cửa miệng</t>
        </is>
      </c>
      <c r="C226" s="112" t="inlineStr">
        <is>
          <t>请多关照。</t>
        </is>
      </c>
      <c r="D226" s="111" t="inlineStr">
        <is>
          <t>Qǐng duō guān zhào.</t>
        </is>
      </c>
      <c r="E226" s="111" t="inlineStr">
        <is>
          <t>Mong được giúp đỡ.</t>
        </is>
      </c>
      <c r="F226" s="111" t="inlineStr">
        <is>
          <t>Xã giao</t>
        </is>
      </c>
      <c r="G226" s="117">
        <f>HYPERLINK("https://youglish.com/pronounce/请多关照/chinese","🔍")</f>
        <v/>
      </c>
    </row>
    <row r="227">
      <c r="A227" s="107" t="n">
        <v>225</v>
      </c>
      <c r="B227" s="108" t="inlineStr">
        <is>
          <t>Lịch sự / Cửa miệng</t>
        </is>
      </c>
      <c r="C227" s="109" t="inlineStr">
        <is>
          <t>幸会幸会。</t>
        </is>
      </c>
      <c r="D227" s="108" t="inlineStr">
        <is>
          <t>Xìng huì xìng huì.</t>
        </is>
      </c>
      <c r="E227" s="108" t="inlineStr">
        <is>
          <t>Hân hạnh.</t>
        </is>
      </c>
      <c r="F227" s="108" t="inlineStr">
        <is>
          <t>Gặp mặt</t>
        </is>
      </c>
      <c r="G227" s="114">
        <f>HYPERLINK("https://youglish.com/pronounce/幸会幸会/chinese","🔍")</f>
        <v/>
      </c>
    </row>
    <row r="228">
      <c r="A228" s="110" t="n">
        <v>226</v>
      </c>
      <c r="B228" s="111" t="inlineStr">
        <is>
          <t>Lịch sự / Cửa miệng</t>
        </is>
      </c>
      <c r="C228" s="112" t="inlineStr">
        <is>
          <t>慢走。</t>
        </is>
      </c>
      <c r="D228" s="111" t="inlineStr">
        <is>
          <t>Màn zǒu.</t>
        </is>
      </c>
      <c r="E228" s="111" t="inlineStr">
        <is>
          <t>Đi thong thả.</t>
        </is>
      </c>
      <c r="F228" s="111" t="inlineStr">
        <is>
          <t>Tiễn khách</t>
        </is>
      </c>
      <c r="G228" s="117">
        <f>HYPERLINK("https://youglish.com/pronounce/慢走/chinese","🔍")</f>
        <v/>
      </c>
    </row>
    <row r="229">
      <c r="A229" s="107" t="n">
        <v>227</v>
      </c>
      <c r="B229" s="108" t="inlineStr">
        <is>
          <t>Lịch sự / Cửa miệng</t>
        </is>
      </c>
      <c r="C229" s="109" t="inlineStr">
        <is>
          <t>保重。</t>
        </is>
      </c>
      <c r="D229" s="108" t="inlineStr">
        <is>
          <t>Bǎo zhòng.</t>
        </is>
      </c>
      <c r="E229" s="108" t="inlineStr">
        <is>
          <t>Bảo trọng.</t>
        </is>
      </c>
      <c r="F229" s="108" t="inlineStr">
        <is>
          <t>Chia tay</t>
        </is>
      </c>
      <c r="G229" s="114">
        <f>HYPERLINK("https://youglish.com/pronounce/保重/chinese","🔍")</f>
        <v/>
      </c>
    </row>
    <row r="230">
      <c r="A230" s="110" t="n">
        <v>228</v>
      </c>
      <c r="B230" s="111" t="inlineStr">
        <is>
          <t>Lịch sự / Cửa miệng</t>
        </is>
      </c>
      <c r="C230" s="112" t="inlineStr">
        <is>
          <t>一路平安。</t>
        </is>
      </c>
      <c r="D230" s="111" t="inlineStr">
        <is>
          <t>Yí lù píng ān.</t>
        </is>
      </c>
      <c r="E230" s="111" t="inlineStr">
        <is>
          <t>Thượng lộ bình an.</t>
        </is>
      </c>
      <c r="F230" s="111" t="inlineStr">
        <is>
          <t>Tiễn đi xa</t>
        </is>
      </c>
      <c r="G230" s="117">
        <f>HYPERLINK("https://youglish.com/pronounce/一路平安/chinese","🔍")</f>
        <v/>
      </c>
    </row>
    <row r="231">
      <c r="A231" s="107" t="n">
        <v>229</v>
      </c>
      <c r="B231" s="108" t="inlineStr">
        <is>
          <t>Lịch sự / Cửa miệng</t>
        </is>
      </c>
      <c r="C231" s="109" t="inlineStr">
        <is>
          <t>有空常来。</t>
        </is>
      </c>
      <c r="D231" s="108" t="inlineStr">
        <is>
          <t>Yǒu kòng cháng lái.</t>
        </is>
      </c>
      <c r="E231" s="108" t="inlineStr">
        <is>
          <t>Rảnh thì ghé chơi.</t>
        </is>
      </c>
      <c r="F231" s="108" t="inlineStr">
        <is>
          <t>Mời</t>
        </is>
      </c>
      <c r="G231" s="114">
        <f>HYPERLINK("https://youglish.com/pronounce/有空常来/chinese","🔍")</f>
        <v/>
      </c>
    </row>
    <row r="232">
      <c r="A232" s="110" t="n">
        <v>230</v>
      </c>
      <c r="B232" s="111" t="inlineStr">
        <is>
          <t>Lịch sự / Cửa miệng</t>
        </is>
      </c>
      <c r="C232" s="112" t="inlineStr">
        <is>
          <t>下次我请。</t>
        </is>
      </c>
      <c r="D232" s="111" t="inlineStr">
        <is>
          <t>Xià cì wǒ qǐng.</t>
        </is>
      </c>
      <c r="E232" s="111" t="inlineStr">
        <is>
          <t>Lần sau tôi mời.</t>
        </is>
      </c>
      <c r="F232" s="111" t="inlineStr">
        <is>
          <t>Xã giao</t>
        </is>
      </c>
      <c r="G232" s="117">
        <f>HYPERLINK("https://youglish.com/pronounce/下次我请/chinese","🔍")</f>
        <v/>
      </c>
    </row>
    <row r="233">
      <c r="A233" s="107" t="n">
        <v>231</v>
      </c>
      <c r="B233" s="108" t="inlineStr">
        <is>
          <t>Lịch sự / Cửa miệng</t>
        </is>
      </c>
      <c r="C233" s="109" t="inlineStr">
        <is>
          <t>别见外。</t>
        </is>
      </c>
      <c r="D233" s="108" t="inlineStr">
        <is>
          <t>Bié jiàn wài.</t>
        </is>
      </c>
      <c r="E233" s="108" t="inlineStr">
        <is>
          <t>Đừng khách sáo.</t>
        </is>
      </c>
      <c r="F233" s="108" t="inlineStr">
        <is>
          <t>Thân mật</t>
        </is>
      </c>
      <c r="G233" s="114">
        <f>HYPERLINK("https://youglish.com/pronounce/别见外/chinese","🔍")</f>
        <v/>
      </c>
    </row>
    <row r="234">
      <c r="A234" s="110" t="n">
        <v>232</v>
      </c>
      <c r="B234" s="111" t="inlineStr">
        <is>
          <t>Lịch sự / Cửa miệng</t>
        </is>
      </c>
      <c r="C234" s="112" t="inlineStr">
        <is>
          <t>都是自己人。</t>
        </is>
      </c>
      <c r="D234" s="111" t="inlineStr">
        <is>
          <t>Dōu shì zì jǐ rén.</t>
        </is>
      </c>
      <c r="E234" s="111" t="inlineStr">
        <is>
          <t>Đều là người nhà cả.</t>
        </is>
      </c>
      <c r="F234" s="111" t="inlineStr">
        <is>
          <t>Thân mật</t>
        </is>
      </c>
      <c r="G234" s="117">
        <f>HYPERLINK("https://youglish.com/pronounce/都是自己人/chinese","🔍")</f>
        <v/>
      </c>
    </row>
    <row r="235">
      <c r="A235" s="107" t="n">
        <v>233</v>
      </c>
      <c r="B235" s="108" t="inlineStr">
        <is>
          <t>Lịch sự / Cửa miệng</t>
        </is>
      </c>
      <c r="C235" s="109" t="inlineStr">
        <is>
          <t>举手之劳。</t>
        </is>
      </c>
      <c r="D235" s="108" t="inlineStr">
        <is>
          <t>Jǔ shǒu zhī láo.</t>
        </is>
      </c>
      <c r="E235" s="108" t="inlineStr">
        <is>
          <t>Chuyện nhỏ trong tầm tay.</t>
        </is>
      </c>
      <c r="F235" s="108" t="inlineStr">
        <is>
          <t>Khiêm tốn</t>
        </is>
      </c>
      <c r="G235" s="114">
        <f>HYPERLINK("https://youglish.com/pronounce/举手之劳/chinese","🔍")</f>
        <v/>
      </c>
    </row>
    <row r="236">
      <c r="A236" s="110" t="n">
        <v>234</v>
      </c>
      <c r="B236" s="111" t="inlineStr">
        <is>
          <t>Lịch sự / Cửa miệng</t>
        </is>
      </c>
      <c r="C236" s="112" t="inlineStr">
        <is>
          <t>哪里哪里。</t>
        </is>
      </c>
      <c r="D236" s="111" t="inlineStr">
        <is>
          <t>Nǎ lǐ nǎ lǐ.</t>
        </is>
      </c>
      <c r="E236" s="111" t="inlineStr">
        <is>
          <t>Đâu có đâu có.</t>
        </is>
      </c>
      <c r="F236" s="111" t="inlineStr">
        <is>
          <t>Khiêm tốn</t>
        </is>
      </c>
      <c r="G236" s="117">
        <f>HYPERLINK("https://youglish.com/pronounce/哪里哪里/chinese","🔍")</f>
        <v/>
      </c>
    </row>
    <row r="237">
      <c r="A237" s="107" t="n">
        <v>235</v>
      </c>
      <c r="B237" s="108" t="inlineStr">
        <is>
          <t>Lịch sự / Cửa miệng</t>
        </is>
      </c>
      <c r="C237" s="109" t="inlineStr">
        <is>
          <t>过奖了。</t>
        </is>
      </c>
      <c r="D237" s="108" t="inlineStr">
        <is>
          <t>Guò jiǎng le.</t>
        </is>
      </c>
      <c r="E237" s="108" t="inlineStr">
        <is>
          <t>Quá khen rồi.</t>
        </is>
      </c>
      <c r="F237" s="108" t="inlineStr">
        <is>
          <t>Khiêm tốn</t>
        </is>
      </c>
      <c r="G237" s="114">
        <f>HYPERLINK("https://youglish.com/pronounce/过奖了/chinese","🔍")</f>
        <v/>
      </c>
    </row>
    <row r="238">
      <c r="A238" s="110" t="n">
        <v>236</v>
      </c>
      <c r="B238" s="111" t="inlineStr">
        <is>
          <t>Lịch sự / Cửa miệng</t>
        </is>
      </c>
      <c r="C238" s="112" t="inlineStr">
        <is>
          <t>不敢当。</t>
        </is>
      </c>
      <c r="D238" s="111" t="inlineStr">
        <is>
          <t>Bù gǎn dāng.</t>
        </is>
      </c>
      <c r="E238" s="111" t="inlineStr">
        <is>
          <t>Không dám nhận.</t>
        </is>
      </c>
      <c r="F238" s="111" t="inlineStr">
        <is>
          <t>Khiêm tốn</t>
        </is>
      </c>
      <c r="G238" s="117">
        <f>HYPERLINK("https://youglish.com/pronounce/不敢当/chinese","🔍")</f>
        <v/>
      </c>
    </row>
    <row r="239">
      <c r="A239" s="107" t="n">
        <v>237</v>
      </c>
      <c r="B239" s="108" t="inlineStr">
        <is>
          <t>Lịch sự / Cửa miệng</t>
        </is>
      </c>
      <c r="C239" s="109" t="inlineStr">
        <is>
          <t>您太客气了。</t>
        </is>
      </c>
      <c r="D239" s="108" t="inlineStr">
        <is>
          <t>Nín tài kè qì le.</t>
        </is>
      </c>
      <c r="E239" s="108" t="inlineStr">
        <is>
          <t>Ngài khách sáo quá.</t>
        </is>
      </c>
      <c r="F239" s="108" t="inlineStr">
        <is>
          <t>Đáp lễ</t>
        </is>
      </c>
      <c r="G239" s="114">
        <f>HYPERLINK("https://youglish.com/pronounce/您太客气了/chinese","🔍")</f>
        <v/>
      </c>
    </row>
    <row r="240">
      <c r="A240" s="110" t="n">
        <v>238</v>
      </c>
      <c r="B240" s="111" t="inlineStr">
        <is>
          <t>Lịch sự / Cửa miệng</t>
        </is>
      </c>
      <c r="C240" s="112" t="inlineStr">
        <is>
          <t>给您添麻烦了。</t>
        </is>
      </c>
      <c r="D240" s="111" t="inlineStr">
        <is>
          <t>Gěi nín tiān má fán le.</t>
        </is>
      </c>
      <c r="E240" s="111" t="inlineStr">
        <is>
          <t>Làm phiền ngài rồi.</t>
        </is>
      </c>
      <c r="F240" s="111" t="inlineStr">
        <is>
          <t>Xin lỗi lịch sự</t>
        </is>
      </c>
      <c r="G240" s="117">
        <f>HYPERLINK("https://youglish.com/pronounce/给您添麻烦了/chinese","🔍")</f>
        <v/>
      </c>
    </row>
    <row r="241">
      <c r="A241" s="107" t="n">
        <v>239</v>
      </c>
      <c r="B241" s="108" t="inlineStr">
        <is>
          <t>Lịch sự / Cửa miệng</t>
        </is>
      </c>
      <c r="C241" s="109" t="inlineStr">
        <is>
          <t>多包涵。</t>
        </is>
      </c>
      <c r="D241" s="108" t="inlineStr">
        <is>
          <t>Duō bāo hán.</t>
        </is>
      </c>
      <c r="E241" s="108" t="inlineStr">
        <is>
          <t>Mong thông cảm.</t>
        </is>
      </c>
      <c r="F241" s="108" t="inlineStr">
        <is>
          <t>Xin lượng thứ</t>
        </is>
      </c>
      <c r="G241" s="114">
        <f>HYPERLINK("https://youglish.com/pronounce/多包涵/chinese","🔍")</f>
        <v/>
      </c>
    </row>
    <row r="242">
      <c r="A242" s="110" t="n">
        <v>240</v>
      </c>
      <c r="B242" s="111" t="inlineStr">
        <is>
          <t>Lịch sự / Cửa miệng</t>
        </is>
      </c>
      <c r="C242" s="112" t="inlineStr">
        <is>
          <t>请见谅。</t>
        </is>
      </c>
      <c r="D242" s="111" t="inlineStr">
        <is>
          <t>Qǐng jiàn liàng.</t>
        </is>
      </c>
      <c r="E242" s="111" t="inlineStr">
        <is>
          <t>Xin lượng thứ.</t>
        </is>
      </c>
      <c r="F242" s="111" t="inlineStr">
        <is>
          <t>Trang trọng</t>
        </is>
      </c>
      <c r="G242" s="117">
        <f>HYPERLINK("https://youglish.com/pronounce/请见谅/chinese","🔍")</f>
        <v/>
      </c>
    </row>
    <row r="243">
      <c r="A243" s="107" t="n">
        <v>241</v>
      </c>
      <c r="B243" s="108" t="inlineStr">
        <is>
          <t>Ứng biến / Trả lời khéo</t>
        </is>
      </c>
      <c r="C243" s="109" t="inlineStr">
        <is>
          <t>差不多。</t>
        </is>
      </c>
      <c r="D243" s="108" t="inlineStr">
        <is>
          <t>Chà bu duō.</t>
        </is>
      </c>
      <c r="E243" s="108" t="inlineStr">
        <is>
          <t>Gần như / Tầm tầm.</t>
        </is>
      </c>
      <c r="F243" s="108" t="inlineStr">
        <is>
          <t>Ước lượng</t>
        </is>
      </c>
      <c r="G243" s="114">
        <f>HYPERLINK("https://youglish.com/pronounce/差不多/chinese","🔍")</f>
        <v/>
      </c>
    </row>
    <row r="244">
      <c r="A244" s="110" t="n">
        <v>242</v>
      </c>
      <c r="B244" s="111" t="inlineStr">
        <is>
          <t>Ứng biến / Trả lời khéo</t>
        </is>
      </c>
      <c r="C244" s="112" t="inlineStr">
        <is>
          <t>看情况。</t>
        </is>
      </c>
      <c r="D244" s="111" t="inlineStr">
        <is>
          <t>Kàn qíng kuàng.</t>
        </is>
      </c>
      <c r="E244" s="111" t="inlineStr">
        <is>
          <t>Tùy tình hình.</t>
        </is>
      </c>
      <c r="F244" s="111" t="inlineStr">
        <is>
          <t>Chưa chắc</t>
        </is>
      </c>
      <c r="G244" s="117">
        <f>HYPERLINK("https://youglish.com/pronounce/看情况/chinese","🔍")</f>
        <v/>
      </c>
    </row>
    <row r="245">
      <c r="A245" s="107" t="n">
        <v>243</v>
      </c>
      <c r="B245" s="108" t="inlineStr">
        <is>
          <t>Ứng biến / Trả lời khéo</t>
        </is>
      </c>
      <c r="C245" s="109" t="inlineStr">
        <is>
          <t>到时候再说。</t>
        </is>
      </c>
      <c r="D245" s="108" t="inlineStr">
        <is>
          <t>Dào shí hòu zài shuō.</t>
        </is>
      </c>
      <c r="E245" s="108" t="inlineStr">
        <is>
          <t>Đến lúc đó tính.</t>
        </is>
      </c>
      <c r="F245" s="108" t="inlineStr">
        <is>
          <t>Hoãn</t>
        </is>
      </c>
      <c r="G245" s="114">
        <f>HYPERLINK("https://youglish.com/pronounce/到时候再说/chinese","🔍")</f>
        <v/>
      </c>
    </row>
    <row r="246">
      <c r="A246" s="110" t="n">
        <v>244</v>
      </c>
      <c r="B246" s="111" t="inlineStr">
        <is>
          <t>Ứng biến / Trả lời khéo</t>
        </is>
      </c>
      <c r="C246" s="112" t="inlineStr">
        <is>
          <t>顺其自然。</t>
        </is>
      </c>
      <c r="D246" s="111" t="inlineStr">
        <is>
          <t>Shùn qí zì rán.</t>
        </is>
      </c>
      <c r="E246" s="111" t="inlineStr">
        <is>
          <t>Thuận theo tự nhiên.</t>
        </is>
      </c>
      <c r="F246" s="111" t="inlineStr">
        <is>
          <t>Buông xuôi</t>
        </is>
      </c>
      <c r="G246" s="117">
        <f>HYPERLINK("https://youglish.com/pronounce/顺其自然/chinese","🔍")</f>
        <v/>
      </c>
    </row>
    <row r="247">
      <c r="A247" s="107" t="n">
        <v>245</v>
      </c>
      <c r="B247" s="108" t="inlineStr">
        <is>
          <t>Ứng biến / Trả lời khéo</t>
        </is>
      </c>
      <c r="C247" s="109" t="inlineStr">
        <is>
          <t>说来话长。</t>
        </is>
      </c>
      <c r="D247" s="108" t="inlineStr">
        <is>
          <t>Shuō lái huà cháng.</t>
        </is>
      </c>
      <c r="E247" s="108" t="inlineStr">
        <is>
          <t>Nói ra thì dài.</t>
        </is>
      </c>
      <c r="F247" s="108" t="inlineStr">
        <is>
          <t>Ngại kể</t>
        </is>
      </c>
      <c r="G247" s="114">
        <f>HYPERLINK("https://youglish.com/pronounce/说来话长/chinese","🔍")</f>
        <v/>
      </c>
    </row>
    <row r="248">
      <c r="A248" s="110" t="n">
        <v>246</v>
      </c>
      <c r="B248" s="111" t="inlineStr">
        <is>
          <t>Ứng biến / Trả lời khéo</t>
        </is>
      </c>
      <c r="C248" s="112" t="inlineStr">
        <is>
          <t>无所谓。</t>
        </is>
      </c>
      <c r="D248" s="111" t="inlineStr">
        <is>
          <t>Wú suǒ wèi.</t>
        </is>
      </c>
      <c r="E248" s="111" t="inlineStr">
        <is>
          <t>Sao cũng được.</t>
        </is>
      </c>
      <c r="F248" s="111" t="inlineStr">
        <is>
          <t>Không câu nệ</t>
        </is>
      </c>
      <c r="G248" s="117">
        <f>HYPERLINK("https://youglish.com/pronounce/无所谓/chinese","🔍")</f>
        <v/>
      </c>
    </row>
    <row r="249">
      <c r="A249" s="107" t="n">
        <v>247</v>
      </c>
      <c r="B249" s="108" t="inlineStr">
        <is>
          <t>Ứng biến / Trả lời khéo</t>
        </is>
      </c>
      <c r="C249" s="109" t="inlineStr">
        <is>
          <t>随便。</t>
        </is>
      </c>
      <c r="D249" s="108" t="inlineStr">
        <is>
          <t>Suí biàn.</t>
        </is>
      </c>
      <c r="E249" s="108" t="inlineStr">
        <is>
          <t>Tùy.</t>
        </is>
      </c>
      <c r="F249" s="108" t="inlineStr">
        <is>
          <t>Không kén</t>
        </is>
      </c>
      <c r="G249" s="114">
        <f>HYPERLINK("https://youglish.com/pronounce/随便/chinese","🔍")</f>
        <v/>
      </c>
    </row>
    <row r="250">
      <c r="A250" s="110" t="n">
        <v>248</v>
      </c>
      <c r="B250" s="111" t="inlineStr">
        <is>
          <t>Ứng biến / Trả lời khéo</t>
        </is>
      </c>
      <c r="C250" s="112" t="inlineStr">
        <is>
          <t>走着瞧。</t>
        </is>
      </c>
      <c r="D250" s="111" t="inlineStr">
        <is>
          <t>Zǒu zhe qiáo.</t>
        </is>
      </c>
      <c r="E250" s="111" t="inlineStr">
        <is>
          <t>Để rồi xem.</t>
        </is>
      </c>
      <c r="F250" s="111" t="inlineStr">
        <is>
          <t>Thách thức nhẹ</t>
        </is>
      </c>
      <c r="G250" s="117">
        <f>HYPERLINK("https://youglish.com/pronounce/走着瞧/chinese","🔍")</f>
        <v/>
      </c>
    </row>
    <row r="251">
      <c r="A251" s="107" t="n">
        <v>249</v>
      </c>
      <c r="B251" s="108" t="inlineStr">
        <is>
          <t>Ứng biến / Trả lời khéo</t>
        </is>
      </c>
      <c r="C251" s="109" t="inlineStr">
        <is>
          <t>别提了。</t>
        </is>
      </c>
      <c r="D251" s="108" t="inlineStr">
        <is>
          <t>Bié tí le.</t>
        </is>
      </c>
      <c r="E251" s="108" t="inlineStr">
        <is>
          <t>Đừng nhắc nữa.</t>
        </is>
      </c>
      <c r="F251" s="108" t="inlineStr">
        <is>
          <t>Ngại nói</t>
        </is>
      </c>
      <c r="G251" s="114">
        <f>HYPERLINK("https://youglish.com/pronounce/别提了/chinese","🔍")</f>
        <v/>
      </c>
    </row>
    <row r="252">
      <c r="A252" s="110" t="n">
        <v>250</v>
      </c>
      <c r="B252" s="111" t="inlineStr">
        <is>
          <t>Ứng biến / Trả lời khéo</t>
        </is>
      </c>
      <c r="C252" s="112" t="inlineStr">
        <is>
          <t>算了吧。</t>
        </is>
      </c>
      <c r="D252" s="111" t="inlineStr">
        <is>
          <t>Suàn le ba.</t>
        </is>
      </c>
      <c r="E252" s="111" t="inlineStr">
        <is>
          <t>Thôi bỏ đi.</t>
        </is>
      </c>
      <c r="F252" s="111" t="inlineStr">
        <is>
          <t>Buông</t>
        </is>
      </c>
      <c r="G252" s="117">
        <f>HYPERLINK("https://youglish.com/pronounce/算了吧/chinese","🔍")</f>
        <v/>
      </c>
    </row>
    <row r="253">
      <c r="A253" s="107" t="n">
        <v>251</v>
      </c>
      <c r="B253" s="108" t="inlineStr">
        <is>
          <t>Ứng biến / Trả lời khéo</t>
        </is>
      </c>
      <c r="C253" s="109" t="inlineStr">
        <is>
          <t>再说吧。</t>
        </is>
      </c>
      <c r="D253" s="108" t="inlineStr">
        <is>
          <t>Zài shuō ba.</t>
        </is>
      </c>
      <c r="E253" s="108" t="inlineStr">
        <is>
          <t>Để sau tính.</t>
        </is>
      </c>
      <c r="F253" s="108" t="inlineStr">
        <is>
          <t>Hoãn</t>
        </is>
      </c>
      <c r="G253" s="114">
        <f>HYPERLINK("https://youglish.com/pronounce/再说吧/chinese","🔍")</f>
        <v/>
      </c>
    </row>
    <row r="254">
      <c r="A254" s="110" t="n">
        <v>252</v>
      </c>
      <c r="B254" s="111" t="inlineStr">
        <is>
          <t>Ứng biến / Trả lời khéo</t>
        </is>
      </c>
      <c r="C254" s="112" t="inlineStr">
        <is>
          <t>看着办。</t>
        </is>
      </c>
      <c r="D254" s="111" t="inlineStr">
        <is>
          <t>Kàn zhe bàn.</t>
        </is>
      </c>
      <c r="E254" s="111" t="inlineStr">
        <is>
          <t>Liệu mà làm.</t>
        </is>
      </c>
      <c r="F254" s="111" t="inlineStr">
        <is>
          <t>Giao quyền</t>
        </is>
      </c>
      <c r="G254" s="117">
        <f>HYPERLINK("https://youglish.com/pronounce/看着办/chinese","🔍")</f>
        <v/>
      </c>
    </row>
    <row r="255">
      <c r="A255" s="107" t="n">
        <v>253</v>
      </c>
      <c r="B255" s="108" t="inlineStr">
        <is>
          <t>Ứng biến / Trả lời khéo</t>
        </is>
      </c>
      <c r="C255" s="109" t="inlineStr">
        <is>
          <t>随缘。</t>
        </is>
      </c>
      <c r="D255" s="108" t="inlineStr">
        <is>
          <t>Suí yuán.</t>
        </is>
      </c>
      <c r="E255" s="108" t="inlineStr">
        <is>
          <t>Tùy duyên.</t>
        </is>
      </c>
      <c r="F255" s="108" t="inlineStr">
        <is>
          <t>Buông</t>
        </is>
      </c>
      <c r="G255" s="114">
        <f>HYPERLINK("https://youglish.com/pronounce/随缘/chinese","🔍")</f>
        <v/>
      </c>
    </row>
    <row r="256">
      <c r="A256" s="110" t="n">
        <v>254</v>
      </c>
      <c r="B256" s="111" t="inlineStr">
        <is>
          <t>Ứng biến / Trả lời khéo</t>
        </is>
      </c>
      <c r="C256" s="112" t="inlineStr">
        <is>
          <t>凑合。</t>
        </is>
      </c>
      <c r="D256" s="111" t="inlineStr">
        <is>
          <t>Còu hé.</t>
        </is>
      </c>
      <c r="E256" s="111" t="inlineStr">
        <is>
          <t>Tạm bợ.</t>
        </is>
      </c>
      <c r="F256" s="111" t="inlineStr">
        <is>
          <t>Miễn cưỡng</t>
        </is>
      </c>
      <c r="G256" s="117">
        <f>HYPERLINK("https://youglish.com/pronounce/凑合/chinese","🔍")</f>
        <v/>
      </c>
    </row>
    <row r="257">
      <c r="A257" s="107" t="n">
        <v>255</v>
      </c>
      <c r="B257" s="108" t="inlineStr">
        <is>
          <t>Ứng biến / Trả lời khéo</t>
        </is>
      </c>
      <c r="C257" s="109" t="inlineStr">
        <is>
          <t>将就。</t>
        </is>
      </c>
      <c r="D257" s="108" t="inlineStr">
        <is>
          <t>Jiāng jiù.</t>
        </is>
      </c>
      <c r="E257" s="108" t="inlineStr">
        <is>
          <t>Tạm chấp nhận.</t>
        </is>
      </c>
      <c r="F257" s="108" t="inlineStr">
        <is>
          <t>Miễn cưỡng</t>
        </is>
      </c>
      <c r="G257" s="114">
        <f>HYPERLINK("https://youglish.com/pronounce/将就/chinese","🔍")</f>
        <v/>
      </c>
    </row>
    <row r="258">
      <c r="A258" s="110" t="n">
        <v>256</v>
      </c>
      <c r="B258" s="111" t="inlineStr">
        <is>
          <t>Ứng biến / Trả lời khéo</t>
        </is>
      </c>
      <c r="C258" s="112" t="inlineStr">
        <is>
          <t>不好说。</t>
        </is>
      </c>
      <c r="D258" s="111" t="inlineStr">
        <is>
          <t>Bù hǎo shuō.</t>
        </is>
      </c>
      <c r="E258" s="111" t="inlineStr">
        <is>
          <t>Khó nói.</t>
        </is>
      </c>
      <c r="F258" s="111" t="inlineStr">
        <is>
          <t>Mơ hồ</t>
        </is>
      </c>
      <c r="G258" s="117">
        <f>HYPERLINK("https://youglish.com/pronounce/不好说/chinese","🔍")</f>
        <v/>
      </c>
    </row>
    <row r="259">
      <c r="A259" s="107" t="n">
        <v>257</v>
      </c>
      <c r="B259" s="108" t="inlineStr">
        <is>
          <t>Ứng biến / Trả lời khéo</t>
        </is>
      </c>
      <c r="C259" s="109" t="inlineStr">
        <is>
          <t>很难说。</t>
        </is>
      </c>
      <c r="D259" s="108" t="inlineStr">
        <is>
          <t>Hěn nán shuō.</t>
        </is>
      </c>
      <c r="E259" s="108" t="inlineStr">
        <is>
          <t>Khó mà nói.</t>
        </is>
      </c>
      <c r="F259" s="108" t="inlineStr">
        <is>
          <t>Mơ hồ</t>
        </is>
      </c>
      <c r="G259" s="114">
        <f>HYPERLINK("https://youglish.com/pronounce/很难说/chinese","🔍")</f>
        <v/>
      </c>
    </row>
    <row r="260">
      <c r="A260" s="110" t="n">
        <v>258</v>
      </c>
      <c r="B260" s="111" t="inlineStr">
        <is>
          <t>Ứng biến / Trả lời khéo</t>
        </is>
      </c>
      <c r="C260" s="112" t="inlineStr">
        <is>
          <t>天知道。</t>
        </is>
      </c>
      <c r="D260" s="111" t="inlineStr">
        <is>
          <t>Tiān zhī dào.</t>
        </is>
      </c>
      <c r="E260" s="111" t="inlineStr">
        <is>
          <t>Trời mới biết.</t>
        </is>
      </c>
      <c r="F260" s="111" t="inlineStr">
        <is>
          <t>Không rõ</t>
        </is>
      </c>
      <c r="G260" s="117">
        <f>HYPERLINK("https://youglish.com/pronounce/天知道/chinese","🔍")</f>
        <v/>
      </c>
    </row>
    <row r="261">
      <c r="A261" s="107" t="n">
        <v>259</v>
      </c>
      <c r="B261" s="108" t="inlineStr">
        <is>
          <t>Ứng biến / Trả lời khéo</t>
        </is>
      </c>
      <c r="C261" s="109" t="inlineStr">
        <is>
          <t>谁知道。</t>
        </is>
      </c>
      <c r="D261" s="108" t="inlineStr">
        <is>
          <t>Shuí zhī dào.</t>
        </is>
      </c>
      <c r="E261" s="108" t="inlineStr">
        <is>
          <t>Ai mà biết.</t>
        </is>
      </c>
      <c r="F261" s="108" t="inlineStr">
        <is>
          <t>Không rõ</t>
        </is>
      </c>
      <c r="G261" s="114">
        <f>HYPERLINK("https://youglish.com/pronounce/谁知道/chinese","🔍")</f>
        <v/>
      </c>
    </row>
    <row r="262">
      <c r="A262" s="110" t="n">
        <v>260</v>
      </c>
      <c r="B262" s="111" t="inlineStr">
        <is>
          <t>Ứng biến / Trả lời khéo</t>
        </is>
      </c>
      <c r="C262" s="112" t="inlineStr">
        <is>
          <t>说不准。</t>
        </is>
      </c>
      <c r="D262" s="111" t="inlineStr">
        <is>
          <t>Shuō bù zhǔn.</t>
        </is>
      </c>
      <c r="E262" s="111" t="inlineStr">
        <is>
          <t>Không chắc.</t>
        </is>
      </c>
      <c r="F262" s="111" t="inlineStr">
        <is>
          <t>Mơ hồ</t>
        </is>
      </c>
      <c r="G262" s="117">
        <f>HYPERLINK("https://youglish.com/pronounce/说不准/chinese","🔍")</f>
        <v/>
      </c>
    </row>
    <row r="263">
      <c r="A263" s="107" t="n">
        <v>261</v>
      </c>
      <c r="B263" s="108" t="inlineStr">
        <is>
          <t>Ứng biến / Trả lời khéo</t>
        </is>
      </c>
      <c r="C263" s="109" t="inlineStr">
        <is>
          <t>不一定。</t>
        </is>
      </c>
      <c r="D263" s="108" t="inlineStr">
        <is>
          <t>Bù yí dìng.</t>
        </is>
      </c>
      <c r="E263" s="108" t="inlineStr">
        <is>
          <t>Không nhất định.</t>
        </is>
      </c>
      <c r="F263" s="108" t="inlineStr">
        <is>
          <t>Mơ hồ</t>
        </is>
      </c>
      <c r="G263" s="114">
        <f>HYPERLINK("https://youglish.com/pronounce/不一定/chinese","🔍")</f>
        <v/>
      </c>
    </row>
    <row r="264">
      <c r="A264" s="110" t="n">
        <v>262</v>
      </c>
      <c r="B264" s="111" t="inlineStr">
        <is>
          <t>Ứng biến / Trả lời khéo</t>
        </is>
      </c>
      <c r="C264" s="112" t="inlineStr">
        <is>
          <t>有可能。</t>
        </is>
      </c>
      <c r="D264" s="111" t="inlineStr">
        <is>
          <t>Yǒu kě néng.</t>
        </is>
      </c>
      <c r="E264" s="111" t="inlineStr">
        <is>
          <t>Có thể lắm.</t>
        </is>
      </c>
      <c r="F264" s="111" t="inlineStr">
        <is>
          <t>Bỏ ngỏ</t>
        </is>
      </c>
      <c r="G264" s="117">
        <f>HYPERLINK("https://youglish.com/pronounce/有可能/chinese","🔍")</f>
        <v/>
      </c>
    </row>
    <row r="265">
      <c r="A265" s="107" t="n">
        <v>263</v>
      </c>
      <c r="B265" s="108" t="inlineStr">
        <is>
          <t>Ứng biến / Trả lời khéo</t>
        </is>
      </c>
      <c r="C265" s="109" t="inlineStr">
        <is>
          <t>尽力而为。</t>
        </is>
      </c>
      <c r="D265" s="108" t="inlineStr">
        <is>
          <t>Jìn lì ér wéi.</t>
        </is>
      </c>
      <c r="E265" s="108" t="inlineStr">
        <is>
          <t>Cố hết sức.</t>
        </is>
      </c>
      <c r="F265" s="108" t="inlineStr">
        <is>
          <t>Cam kết vừa phải</t>
        </is>
      </c>
      <c r="G265" s="114">
        <f>HYPERLINK("https://youglish.com/pronounce/尽力而为/chinese","🔍")</f>
        <v/>
      </c>
    </row>
    <row r="266">
      <c r="A266" s="110" t="n">
        <v>264</v>
      </c>
      <c r="B266" s="111" t="inlineStr">
        <is>
          <t>Ứng biến / Trả lời khéo</t>
        </is>
      </c>
      <c r="C266" s="112" t="inlineStr">
        <is>
          <t>量力而行。</t>
        </is>
      </c>
      <c r="D266" s="111" t="inlineStr">
        <is>
          <t>Liàng lì ér xíng.</t>
        </is>
      </c>
      <c r="E266" s="111" t="inlineStr">
        <is>
          <t>Liệu sức mà làm.</t>
        </is>
      </c>
      <c r="F266" s="111" t="inlineStr">
        <is>
          <t>Thực tế</t>
        </is>
      </c>
      <c r="G266" s="117">
        <f>HYPERLINK("https://youglish.com/pronounce/量力而行/chinese","🔍")</f>
        <v/>
      </c>
    </row>
    <row r="267">
      <c r="A267" s="107" t="n">
        <v>265</v>
      </c>
      <c r="B267" s="108" t="inlineStr">
        <is>
          <t>Ứng biến / Trả lời khéo</t>
        </is>
      </c>
      <c r="C267" s="109" t="inlineStr">
        <is>
          <t>见机行事。</t>
        </is>
      </c>
      <c r="D267" s="108" t="inlineStr">
        <is>
          <t>Jiàn jī xíng shì.</t>
        </is>
      </c>
      <c r="E267" s="108" t="inlineStr">
        <is>
          <t>Tùy cơ ứng biến.</t>
        </is>
      </c>
      <c r="F267" s="108" t="inlineStr">
        <is>
          <t>Linh hoạt</t>
        </is>
      </c>
      <c r="G267" s="114">
        <f>HYPERLINK("https://youglish.com/pronounce/见机行事/chinese","🔍")</f>
        <v/>
      </c>
    </row>
    <row r="268">
      <c r="A268" s="110" t="n">
        <v>266</v>
      </c>
      <c r="B268" s="111" t="inlineStr">
        <is>
          <t>Ứng biến / Trả lời khéo</t>
        </is>
      </c>
      <c r="C268" s="112" t="inlineStr">
        <is>
          <t>随机应变。</t>
        </is>
      </c>
      <c r="D268" s="111" t="inlineStr">
        <is>
          <t>Suí jī yìng biàn.</t>
        </is>
      </c>
      <c r="E268" s="111" t="inlineStr">
        <is>
          <t>Ứng biến linh hoạt.</t>
        </is>
      </c>
      <c r="F268" s="111" t="inlineStr">
        <is>
          <t>Linh hoạt</t>
        </is>
      </c>
      <c r="G268" s="117">
        <f>HYPERLINK("https://youglish.com/pronounce/随机应变/chinese","🔍")</f>
        <v/>
      </c>
    </row>
    <row r="269">
      <c r="A269" s="107" t="n">
        <v>267</v>
      </c>
      <c r="B269" s="108" t="inlineStr">
        <is>
          <t>Ứng biến / Trả lời khéo</t>
        </is>
      </c>
      <c r="C269" s="109" t="inlineStr">
        <is>
          <t>八九不离十。</t>
        </is>
      </c>
      <c r="D269" s="108" t="inlineStr">
        <is>
          <t>Bā jiǔ bù lí shí.</t>
        </is>
      </c>
      <c r="E269" s="108" t="inlineStr">
        <is>
          <t>Tám chín phần đúng.</t>
        </is>
      </c>
      <c r="F269" s="108" t="inlineStr">
        <is>
          <t>Ước lượng</t>
        </is>
      </c>
      <c r="G269" s="114">
        <f>HYPERLINK("https://youglish.com/pronounce/八九不离十/chinese","🔍")</f>
        <v/>
      </c>
    </row>
    <row r="270">
      <c r="A270" s="110" t="n">
        <v>268</v>
      </c>
      <c r="B270" s="111" t="inlineStr">
        <is>
          <t>Ứng biến / Trả lời khéo</t>
        </is>
      </c>
      <c r="C270" s="112" t="inlineStr">
        <is>
          <t>心里有数。</t>
        </is>
      </c>
      <c r="D270" s="111" t="inlineStr">
        <is>
          <t>Xīn lǐ yǒu shù.</t>
        </is>
      </c>
      <c r="E270" s="111" t="inlineStr">
        <is>
          <t>Trong lòng có tính.</t>
        </is>
      </c>
      <c r="F270" s="111" t="inlineStr">
        <is>
          <t>Đã tính</t>
        </is>
      </c>
      <c r="G270" s="117">
        <f>HYPERLINK("https://youglish.com/pronounce/心里有数/chinese","🔍")</f>
        <v/>
      </c>
    </row>
    <row r="271">
      <c r="A271" s="107" t="n">
        <v>269</v>
      </c>
      <c r="B271" s="108" t="inlineStr">
        <is>
          <t>Ứng biến / Trả lời khéo</t>
        </is>
      </c>
      <c r="C271" s="109" t="inlineStr">
        <is>
          <t>走一步看一步。</t>
        </is>
      </c>
      <c r="D271" s="108" t="inlineStr">
        <is>
          <t>Zǒu yī bù kàn yī bù.</t>
        </is>
      </c>
      <c r="E271" s="108" t="inlineStr">
        <is>
          <t>Đi bước nào hay bước đó.</t>
        </is>
      </c>
      <c r="F271" s="108" t="inlineStr">
        <is>
          <t>Thận trọng</t>
        </is>
      </c>
      <c r="G271" s="114">
        <f>HYPERLINK("https://youglish.com/pronounce/走一步看一步/chinese","🔍")</f>
        <v/>
      </c>
    </row>
    <row r="272">
      <c r="A272" s="110" t="n">
        <v>270</v>
      </c>
      <c r="B272" s="111" t="inlineStr">
        <is>
          <t>Ứng biến / Trả lời khéo</t>
        </is>
      </c>
      <c r="C272" s="112" t="inlineStr">
        <is>
          <t>到时候看。</t>
        </is>
      </c>
      <c r="D272" s="111" t="inlineStr">
        <is>
          <t>Dào shí hòu kàn.</t>
        </is>
      </c>
      <c r="E272" s="111" t="inlineStr">
        <is>
          <t>Đến lúc đó xem.</t>
        </is>
      </c>
      <c r="F272" s="111" t="inlineStr">
        <is>
          <t>Bỏ ngỏ</t>
        </is>
      </c>
      <c r="G272" s="117">
        <f>HYPERLINK("https://youglish.com/pronounce/到时候看/chinese","🔍")</f>
        <v/>
      </c>
    </row>
    <row r="273">
      <c r="A273" s="107" t="n">
        <v>271</v>
      </c>
      <c r="B273" s="108" t="inlineStr">
        <is>
          <t>Câu đệm / Chuyển ý</t>
        </is>
      </c>
      <c r="C273" s="109" t="inlineStr">
        <is>
          <t>那个……</t>
        </is>
      </c>
      <c r="D273" s="108" t="inlineStr">
        <is>
          <t>Nà ge</t>
        </is>
      </c>
      <c r="E273" s="108" t="inlineStr">
        <is>
          <t>À thì… / Cái đó…</t>
        </is>
      </c>
      <c r="F273" s="108" t="inlineStr">
        <is>
          <t>Ngập ngừng</t>
        </is>
      </c>
      <c r="G273" s="114">
        <f>HYPERLINK("https://youglish.com/pronounce/那个/chinese","🔍")</f>
        <v/>
      </c>
    </row>
    <row r="274">
      <c r="A274" s="110" t="n">
        <v>272</v>
      </c>
      <c r="B274" s="111" t="inlineStr">
        <is>
          <t>Câu đệm / Chuyển ý</t>
        </is>
      </c>
      <c r="C274" s="112" t="inlineStr">
        <is>
          <t>就是说。</t>
        </is>
      </c>
      <c r="D274" s="111" t="inlineStr">
        <is>
          <t>Jiù shì shuō.</t>
        </is>
      </c>
      <c r="E274" s="111" t="inlineStr">
        <is>
          <t>Ý là / Tức là.</t>
        </is>
      </c>
      <c r="F274" s="111" t="inlineStr">
        <is>
          <t>Giải thích</t>
        </is>
      </c>
      <c r="G274" s="117">
        <f>HYPERLINK("https://youglish.com/pronounce/就是说/chinese","🔍")</f>
        <v/>
      </c>
    </row>
    <row r="275">
      <c r="A275" s="107" t="n">
        <v>273</v>
      </c>
      <c r="B275" s="108" t="inlineStr">
        <is>
          <t>Câu đệm / Chuyển ý</t>
        </is>
      </c>
      <c r="C275" s="109" t="inlineStr">
        <is>
          <t>反正。</t>
        </is>
      </c>
      <c r="D275" s="108" t="inlineStr">
        <is>
          <t>Fǎn zhèng.</t>
        </is>
      </c>
      <c r="E275" s="108" t="inlineStr">
        <is>
          <t>Dù sao thì.</t>
        </is>
      </c>
      <c r="F275" s="108" t="inlineStr">
        <is>
          <t>Chốt ý</t>
        </is>
      </c>
      <c r="G275" s="114">
        <f>HYPERLINK("https://youglish.com/pronounce/反正/chinese","🔍")</f>
        <v/>
      </c>
    </row>
    <row r="276">
      <c r="A276" s="110" t="n">
        <v>274</v>
      </c>
      <c r="B276" s="111" t="inlineStr">
        <is>
          <t>Câu đệm / Chuyển ý</t>
        </is>
      </c>
      <c r="C276" s="112" t="inlineStr">
        <is>
          <t>说实话。</t>
        </is>
      </c>
      <c r="D276" s="111" t="inlineStr">
        <is>
          <t>Shuō shí huà.</t>
        </is>
      </c>
      <c r="E276" s="111" t="inlineStr">
        <is>
          <t>Nói thật thì.</t>
        </is>
      </c>
      <c r="F276" s="111" t="inlineStr">
        <is>
          <t>Mở lời</t>
        </is>
      </c>
      <c r="G276" s="117">
        <f>HYPERLINK("https://youglish.com/pronounce/说实话/chinese","🔍")</f>
        <v/>
      </c>
    </row>
    <row r="277">
      <c r="A277" s="107" t="n">
        <v>275</v>
      </c>
      <c r="B277" s="108" t="inlineStr">
        <is>
          <t>Câu đệm / Chuyển ý</t>
        </is>
      </c>
      <c r="C277" s="109" t="inlineStr">
        <is>
          <t>老实说。</t>
        </is>
      </c>
      <c r="D277" s="108" t="inlineStr">
        <is>
          <t>Lǎo shí shuō.</t>
        </is>
      </c>
      <c r="E277" s="108" t="inlineStr">
        <is>
          <t>Thành thật mà nói.</t>
        </is>
      </c>
      <c r="F277" s="108" t="inlineStr">
        <is>
          <t>Mở lời</t>
        </is>
      </c>
      <c r="G277" s="114">
        <f>HYPERLINK("https://youglish.com/pronounce/老实说/chinese","🔍")</f>
        <v/>
      </c>
    </row>
    <row r="278">
      <c r="A278" s="110" t="n">
        <v>276</v>
      </c>
      <c r="B278" s="111" t="inlineStr">
        <is>
          <t>Câu đệm / Chuyển ý</t>
        </is>
      </c>
      <c r="C278" s="112" t="inlineStr">
        <is>
          <t>怎么说呢。</t>
        </is>
      </c>
      <c r="D278" s="111" t="inlineStr">
        <is>
          <t>Zěn me shuō ne.</t>
        </is>
      </c>
      <c r="E278" s="111" t="inlineStr">
        <is>
          <t>Nói sao nhỉ.</t>
        </is>
      </c>
      <c r="F278" s="111" t="inlineStr">
        <is>
          <t>Do dự</t>
        </is>
      </c>
      <c r="G278" s="117">
        <f>HYPERLINK("https://youglish.com/pronounce/怎么说呢/chinese","🔍")</f>
        <v/>
      </c>
    </row>
    <row r="279">
      <c r="A279" s="107" t="n">
        <v>277</v>
      </c>
      <c r="B279" s="108" t="inlineStr">
        <is>
          <t>Câu đệm / Chuyển ý</t>
        </is>
      </c>
      <c r="C279" s="109" t="inlineStr">
        <is>
          <t>你懂的。</t>
        </is>
      </c>
      <c r="D279" s="108" t="inlineStr">
        <is>
          <t>Nǐ dǒng de.</t>
        </is>
      </c>
      <c r="E279" s="108" t="inlineStr">
        <is>
          <t>Bạn hiểu mà.</t>
        </is>
      </c>
      <c r="F279" s="108" t="inlineStr">
        <is>
          <t>Ngầm hiểu</t>
        </is>
      </c>
      <c r="G279" s="114">
        <f>HYPERLINK("https://youglish.com/pronounce/你懂的/chinese","🔍")</f>
        <v/>
      </c>
    </row>
    <row r="280">
      <c r="A280" s="110" t="n">
        <v>278</v>
      </c>
      <c r="B280" s="111" t="inlineStr">
        <is>
          <t>Câu đệm / Chuyển ý</t>
        </is>
      </c>
      <c r="C280" s="112" t="inlineStr">
        <is>
          <t>我觉得。</t>
        </is>
      </c>
      <c r="D280" s="111" t="inlineStr">
        <is>
          <t>Wǒ jué de.</t>
        </is>
      </c>
      <c r="E280" s="111" t="inlineStr">
        <is>
          <t>Tôi thấy là.</t>
        </is>
      </c>
      <c r="F280" s="111" t="inlineStr">
        <is>
          <t>Nêu ý kiến</t>
        </is>
      </c>
      <c r="G280" s="117">
        <f>HYPERLINK("https://youglish.com/pronounce/我觉得/chinese","🔍")</f>
        <v/>
      </c>
    </row>
    <row r="281">
      <c r="A281" s="107" t="n">
        <v>279</v>
      </c>
      <c r="B281" s="108" t="inlineStr">
        <is>
          <t>Câu đệm / Chuyển ý</t>
        </is>
      </c>
      <c r="C281" s="109" t="inlineStr">
        <is>
          <t>应该吧。</t>
        </is>
      </c>
      <c r="D281" s="108" t="inlineStr">
        <is>
          <t>Yīng gāi ba.</t>
        </is>
      </c>
      <c r="E281" s="108" t="inlineStr">
        <is>
          <t>Chắc vậy.</t>
        </is>
      </c>
      <c r="F281" s="108" t="inlineStr">
        <is>
          <t>Không chắc</t>
        </is>
      </c>
      <c r="G281" s="114">
        <f>HYPERLINK("https://youglish.com/pronounce/应该吧/chinese","🔍")</f>
        <v/>
      </c>
    </row>
    <row r="282">
      <c r="A282" s="110" t="n">
        <v>280</v>
      </c>
      <c r="B282" s="111" t="inlineStr">
        <is>
          <t>Câu đệm / Chuyển ý</t>
        </is>
      </c>
      <c r="C282" s="112" t="inlineStr">
        <is>
          <t>也许吧。</t>
        </is>
      </c>
      <c r="D282" s="111" t="inlineStr">
        <is>
          <t>Yě xǔ ba.</t>
        </is>
      </c>
      <c r="E282" s="111" t="inlineStr">
        <is>
          <t>Có lẽ.</t>
        </is>
      </c>
      <c r="F282" s="111" t="inlineStr">
        <is>
          <t>Phân vân</t>
        </is>
      </c>
      <c r="G282" s="117">
        <f>HYPERLINK("https://youglish.com/pronounce/也许吧/chinese","🔍")</f>
        <v/>
      </c>
    </row>
    <row r="283">
      <c r="A283" s="107" t="n">
        <v>281</v>
      </c>
      <c r="B283" s="108" t="inlineStr">
        <is>
          <t>Câu đệm / Chuyển ý</t>
        </is>
      </c>
      <c r="C283" s="109" t="inlineStr">
        <is>
          <t>谁知道呢。</t>
        </is>
      </c>
      <c r="D283" s="108" t="inlineStr">
        <is>
          <t>Shuí zhī dào ne.</t>
        </is>
      </c>
      <c r="E283" s="108" t="inlineStr">
        <is>
          <t>Ai mà biết.</t>
        </is>
      </c>
      <c r="F283" s="108" t="inlineStr">
        <is>
          <t>Không rõ</t>
        </is>
      </c>
      <c r="G283" s="114">
        <f>HYPERLINK("https://youglish.com/pronounce/谁知道呢/chinese","🔍")</f>
        <v/>
      </c>
    </row>
    <row r="284">
      <c r="A284" s="110" t="n">
        <v>282</v>
      </c>
      <c r="B284" s="111" t="inlineStr">
        <is>
          <t>Câu đệm / Chuyển ý</t>
        </is>
      </c>
      <c r="C284" s="112" t="inlineStr">
        <is>
          <t>话说。</t>
        </is>
      </c>
      <c r="D284" s="111" t="inlineStr">
        <is>
          <t>Huà shuō.</t>
        </is>
      </c>
      <c r="E284" s="111" t="inlineStr">
        <is>
          <t>Nói mới nhớ.</t>
        </is>
      </c>
      <c r="F284" s="111" t="inlineStr">
        <is>
          <t>Mở chủ đề</t>
        </is>
      </c>
      <c r="G284" s="117">
        <f>HYPERLINK("https://youglish.com/pronounce/话说/chinese","🔍")</f>
        <v/>
      </c>
    </row>
    <row r="285">
      <c r="A285" s="107" t="n">
        <v>283</v>
      </c>
      <c r="B285" s="108" t="inlineStr">
        <is>
          <t>Câu đệm / Chuyển ý</t>
        </is>
      </c>
      <c r="C285" s="109" t="inlineStr">
        <is>
          <t>话说回来。</t>
        </is>
      </c>
      <c r="D285" s="108" t="inlineStr">
        <is>
          <t>Huà shuō huí lái.</t>
        </is>
      </c>
      <c r="E285" s="108" t="inlineStr">
        <is>
          <t>Mà nói lại thì.</t>
        </is>
      </c>
      <c r="F285" s="108" t="inlineStr">
        <is>
          <t>Chuyển ý</t>
        </is>
      </c>
      <c r="G285" s="114">
        <f>HYPERLINK("https://youglish.com/pronounce/话说回来/chinese","🔍")</f>
        <v/>
      </c>
    </row>
    <row r="286">
      <c r="A286" s="110" t="n">
        <v>284</v>
      </c>
      <c r="B286" s="111" t="inlineStr">
        <is>
          <t>Câu đệm / Chuyển ý</t>
        </is>
      </c>
      <c r="C286" s="112" t="inlineStr">
        <is>
          <t>说白了。</t>
        </is>
      </c>
      <c r="D286" s="111" t="inlineStr">
        <is>
          <t>Shuō bái le.</t>
        </is>
      </c>
      <c r="E286" s="111" t="inlineStr">
        <is>
          <t>Nói toạc ra thì.</t>
        </is>
      </c>
      <c r="F286" s="111" t="inlineStr">
        <is>
          <t>Nhấn mạnh</t>
        </is>
      </c>
      <c r="G286" s="117">
        <f>HYPERLINK("https://youglish.com/pronounce/说白了/chinese","🔍")</f>
        <v/>
      </c>
    </row>
    <row r="287">
      <c r="A287" s="107" t="n">
        <v>285</v>
      </c>
      <c r="B287" s="108" t="inlineStr">
        <is>
          <t>Câu đệm / Chuyển ý</t>
        </is>
      </c>
      <c r="C287" s="109" t="inlineStr">
        <is>
          <t>换句话说。</t>
        </is>
      </c>
      <c r="D287" s="108" t="inlineStr">
        <is>
          <t>Huàn jù huà shuō.</t>
        </is>
      </c>
      <c r="E287" s="108" t="inlineStr">
        <is>
          <t>Nói cách khác.</t>
        </is>
      </c>
      <c r="F287" s="108" t="inlineStr">
        <is>
          <t>Diễn giải</t>
        </is>
      </c>
      <c r="G287" s="114">
        <f>HYPERLINK("https://youglish.com/pronounce/换句话说/chinese","🔍")</f>
        <v/>
      </c>
    </row>
    <row r="288">
      <c r="A288" s="110" t="n">
        <v>286</v>
      </c>
      <c r="B288" s="111" t="inlineStr">
        <is>
          <t>Câu đệm / Chuyển ý</t>
        </is>
      </c>
      <c r="C288" s="112" t="inlineStr">
        <is>
          <t>也就是说。</t>
        </is>
      </c>
      <c r="D288" s="111" t="inlineStr">
        <is>
          <t>Yě jiù shì shuō.</t>
        </is>
      </c>
      <c r="E288" s="111" t="inlineStr">
        <is>
          <t>Cũng tức là.</t>
        </is>
      </c>
      <c r="F288" s="111" t="inlineStr">
        <is>
          <t>Diễn giải</t>
        </is>
      </c>
      <c r="G288" s="117">
        <f>HYPERLINK("https://youglish.com/pronounce/也就是说/chinese","🔍")</f>
        <v/>
      </c>
    </row>
    <row r="289">
      <c r="A289" s="107" t="n">
        <v>287</v>
      </c>
      <c r="B289" s="108" t="inlineStr">
        <is>
          <t>Câu đệm / Chuyển ý</t>
        </is>
      </c>
      <c r="C289" s="109" t="inlineStr">
        <is>
          <t>总之。</t>
        </is>
      </c>
      <c r="D289" s="108" t="inlineStr">
        <is>
          <t>Zǒng zhī.</t>
        </is>
      </c>
      <c r="E289" s="108" t="inlineStr">
        <is>
          <t>Tóm lại.</t>
        </is>
      </c>
      <c r="F289" s="108" t="inlineStr">
        <is>
          <t>Kết luận</t>
        </is>
      </c>
      <c r="G289" s="114">
        <f>HYPERLINK("https://youglish.com/pronounce/总之/chinese","🔍")</f>
        <v/>
      </c>
    </row>
    <row r="290">
      <c r="A290" s="110" t="n">
        <v>288</v>
      </c>
      <c r="B290" s="111" t="inlineStr">
        <is>
          <t>Câu đệm / Chuyển ý</t>
        </is>
      </c>
      <c r="C290" s="112" t="inlineStr">
        <is>
          <t>说到底。</t>
        </is>
      </c>
      <c r="D290" s="111" t="inlineStr">
        <is>
          <t>Shuō dào dǐ.</t>
        </is>
      </c>
      <c r="E290" s="111" t="inlineStr">
        <is>
          <t>Suy cho cùng.</t>
        </is>
      </c>
      <c r="F290" s="111" t="inlineStr">
        <is>
          <t>Kết luận</t>
        </is>
      </c>
      <c r="G290" s="117">
        <f>HYPERLINK("https://youglish.com/pronounce/说到底/chinese","🔍")</f>
        <v/>
      </c>
    </row>
    <row r="291">
      <c r="A291" s="107" t="n">
        <v>289</v>
      </c>
      <c r="B291" s="108" t="inlineStr">
        <is>
          <t>Câu đệm / Chuyển ý</t>
        </is>
      </c>
      <c r="C291" s="109" t="inlineStr">
        <is>
          <t>归根结底。</t>
        </is>
      </c>
      <c r="D291" s="108" t="inlineStr">
        <is>
          <t>Guī gēn jié dǐ.</t>
        </is>
      </c>
      <c r="E291" s="108" t="inlineStr">
        <is>
          <t>Xét đến cùng.</t>
        </is>
      </c>
      <c r="F291" s="108" t="inlineStr">
        <is>
          <t>Kết luận</t>
        </is>
      </c>
      <c r="G291" s="114">
        <f>HYPERLINK("https://youglish.com/pronounce/归根结底/chinese","🔍")</f>
        <v/>
      </c>
    </row>
    <row r="292">
      <c r="A292" s="110" t="n">
        <v>290</v>
      </c>
      <c r="B292" s="111" t="inlineStr">
        <is>
          <t>Câu đệm / Chuyển ý</t>
        </is>
      </c>
      <c r="C292" s="112" t="inlineStr">
        <is>
          <t>说真的。</t>
        </is>
      </c>
      <c r="D292" s="111" t="inlineStr">
        <is>
          <t>Shuō zhēn de.</t>
        </is>
      </c>
      <c r="E292" s="111" t="inlineStr">
        <is>
          <t>Nói thật đấy.</t>
        </is>
      </c>
      <c r="F292" s="111" t="inlineStr">
        <is>
          <t>Nhấn mạnh</t>
        </is>
      </c>
      <c r="G292" s="117">
        <f>HYPERLINK("https://youglish.com/pronounce/说真的/chinese","🔍")</f>
        <v/>
      </c>
    </row>
    <row r="293">
      <c r="A293" s="107" t="n">
        <v>291</v>
      </c>
      <c r="B293" s="108" t="inlineStr">
        <is>
          <t>Câu đệm / Chuyển ý</t>
        </is>
      </c>
      <c r="C293" s="109" t="inlineStr">
        <is>
          <t>讲真。</t>
        </is>
      </c>
      <c r="D293" s="108" t="inlineStr">
        <is>
          <t>Jiǎng zhēn.</t>
        </is>
      </c>
      <c r="E293" s="108" t="inlineStr">
        <is>
          <t>Nói thật.</t>
        </is>
      </c>
      <c r="F293" s="108" t="inlineStr">
        <is>
          <t>Khẩu ngữ mạng</t>
        </is>
      </c>
      <c r="G293" s="114">
        <f>HYPERLINK("https://youglish.com/pronounce/讲真/chinese","🔍")</f>
        <v/>
      </c>
    </row>
    <row r="294">
      <c r="A294" s="110" t="n">
        <v>292</v>
      </c>
      <c r="B294" s="111" t="inlineStr">
        <is>
          <t>Câu đệm / Chuyển ý</t>
        </is>
      </c>
      <c r="C294" s="112" t="inlineStr">
        <is>
          <t>其实吧。</t>
        </is>
      </c>
      <c r="D294" s="111" t="inlineStr">
        <is>
          <t>Qí shí ba.</t>
        </is>
      </c>
      <c r="E294" s="111" t="inlineStr">
        <is>
          <t>Thật ra thì.</t>
        </is>
      </c>
      <c r="F294" s="111" t="inlineStr">
        <is>
          <t>Mở ý</t>
        </is>
      </c>
      <c r="G294" s="117">
        <f>HYPERLINK("https://youglish.com/pronounce/其实吧/chinese","🔍")</f>
        <v/>
      </c>
    </row>
    <row r="295">
      <c r="A295" s="107" t="n">
        <v>293</v>
      </c>
      <c r="B295" s="108" t="inlineStr">
        <is>
          <t>Câu đệm / Chuyển ý</t>
        </is>
      </c>
      <c r="C295" s="109" t="inlineStr">
        <is>
          <t>这么说吧。</t>
        </is>
      </c>
      <c r="D295" s="108" t="inlineStr">
        <is>
          <t>Zhè me shuō ba.</t>
        </is>
      </c>
      <c r="E295" s="108" t="inlineStr">
        <is>
          <t>Nói thế này nhé.</t>
        </is>
      </c>
      <c r="F295" s="108" t="inlineStr">
        <is>
          <t>Dẫn dắt</t>
        </is>
      </c>
      <c r="G295" s="114">
        <f>HYPERLINK("https://youglish.com/pronounce/这么说吧/chinese","🔍")</f>
        <v/>
      </c>
    </row>
    <row r="296">
      <c r="A296" s="110" t="n">
        <v>294</v>
      </c>
      <c r="B296" s="111" t="inlineStr">
        <is>
          <t>Câu đệm / Chuyển ý</t>
        </is>
      </c>
      <c r="C296" s="112" t="inlineStr">
        <is>
          <t>打个比方。</t>
        </is>
      </c>
      <c r="D296" s="111" t="inlineStr">
        <is>
          <t>Dǎ gè bǐ fāng.</t>
        </is>
      </c>
      <c r="E296" s="111" t="inlineStr">
        <is>
          <t>Ví dụ nhé.</t>
        </is>
      </c>
      <c r="F296" s="111" t="inlineStr">
        <is>
          <t>Minh họa</t>
        </is>
      </c>
      <c r="G296" s="117">
        <f>HYPERLINK("https://youglish.com/pronounce/打个比方/chinese","🔍")</f>
        <v/>
      </c>
    </row>
    <row r="297">
      <c r="A297" s="107" t="n">
        <v>295</v>
      </c>
      <c r="B297" s="108" t="inlineStr">
        <is>
          <t>Câu đệm / Chuyển ý</t>
        </is>
      </c>
      <c r="C297" s="109" t="inlineStr">
        <is>
          <t>对了。</t>
        </is>
      </c>
      <c r="D297" s="108" t="inlineStr">
        <is>
          <t>Duì le.</t>
        </is>
      </c>
      <c r="E297" s="108" t="inlineStr">
        <is>
          <t>À đúng rồi.</t>
        </is>
      </c>
      <c r="F297" s="108" t="inlineStr">
        <is>
          <t>Chợt nhớ</t>
        </is>
      </c>
      <c r="G297" s="114">
        <f>HYPERLINK("https://youglish.com/pronounce/对了/chinese","🔍")</f>
        <v/>
      </c>
    </row>
    <row r="298">
      <c r="A298" s="110" t="n">
        <v>296</v>
      </c>
      <c r="B298" s="111" t="inlineStr">
        <is>
          <t>Câu đệm / Chuyển ý</t>
        </is>
      </c>
      <c r="C298" s="112" t="inlineStr">
        <is>
          <t>我想想。</t>
        </is>
      </c>
      <c r="D298" s="111" t="inlineStr">
        <is>
          <t>Wǒ xiǎng xiǎng.</t>
        </is>
      </c>
      <c r="E298" s="111" t="inlineStr">
        <is>
          <t>Để tôi nghĩ đã.</t>
        </is>
      </c>
      <c r="F298" s="111" t="inlineStr">
        <is>
          <t>Câu giờ</t>
        </is>
      </c>
      <c r="G298" s="117">
        <f>HYPERLINK("https://youglish.com/pronounce/我想想/chinese","🔍")</f>
        <v/>
      </c>
    </row>
    <row r="299">
      <c r="A299" s="107" t="n">
        <v>297</v>
      </c>
      <c r="B299" s="108" t="inlineStr">
        <is>
          <t>Câu đệm / Chuyển ý</t>
        </is>
      </c>
      <c r="C299" s="109" t="inlineStr">
        <is>
          <t>你知道吗？</t>
        </is>
      </c>
      <c r="D299" s="108" t="inlineStr">
        <is>
          <t>Nǐ zhī dào ma?</t>
        </is>
      </c>
      <c r="E299" s="108" t="inlineStr">
        <is>
          <t>Bạn biết không?</t>
        </is>
      </c>
      <c r="F299" s="108" t="inlineStr">
        <is>
          <t>Dẫn chuyện</t>
        </is>
      </c>
      <c r="G299" s="114">
        <f>HYPERLINK("https://youglish.com/pronounce/你知道吗/chinese","🔍")</f>
        <v/>
      </c>
    </row>
    <row r="300">
      <c r="A300" s="110" t="n">
        <v>298</v>
      </c>
      <c r="B300" s="111" t="inlineStr">
        <is>
          <t>Câu đệm / Chuyển ý</t>
        </is>
      </c>
      <c r="C300" s="112" t="inlineStr">
        <is>
          <t>我跟你说。</t>
        </is>
      </c>
      <c r="D300" s="111" t="inlineStr">
        <is>
          <t>Wǒ gēn nǐ shuō.</t>
        </is>
      </c>
      <c r="E300" s="111" t="inlineStr">
        <is>
          <t>Tôi nói cho bạn nghe.</t>
        </is>
      </c>
      <c r="F300" s="111" t="inlineStr">
        <is>
          <t>Dẫn chuyện</t>
        </is>
      </c>
      <c r="G300" s="117">
        <f>HYPERLINK("https://youglish.com/pronounce/我跟你说/chinese","🔍")</f>
        <v/>
      </c>
    </row>
    <row r="301">
      <c r="A301" s="107" t="n">
        <v>299</v>
      </c>
      <c r="B301" s="108" t="inlineStr">
        <is>
          <t>Câu đệm / Chuyển ý</t>
        </is>
      </c>
      <c r="C301" s="109" t="inlineStr">
        <is>
          <t>不瞒你说。</t>
        </is>
      </c>
      <c r="D301" s="108" t="inlineStr">
        <is>
          <t>Bù mán nǐ shuō.</t>
        </is>
      </c>
      <c r="E301" s="108" t="inlineStr">
        <is>
          <t>Nói thật không giấu.</t>
        </is>
      </c>
      <c r="F301" s="108" t="inlineStr">
        <is>
          <t>Thổ lộ</t>
        </is>
      </c>
      <c r="G301" s="114">
        <f>HYPERLINK("https://youglish.com/pronounce/不瞒你说/chinese","🔍")</f>
        <v/>
      </c>
    </row>
    <row r="302">
      <c r="A302" s="110" t="n">
        <v>300</v>
      </c>
      <c r="B302" s="111" t="inlineStr">
        <is>
          <t>Câu đệm / Chuyển ý</t>
        </is>
      </c>
      <c r="C302" s="112" t="inlineStr">
        <is>
          <t>长话短说。</t>
        </is>
      </c>
      <c r="D302" s="111" t="inlineStr">
        <is>
          <t>Cháng huà duǎn shuō.</t>
        </is>
      </c>
      <c r="E302" s="111" t="inlineStr">
        <is>
          <t>Nói ngắn gọn thôi.</t>
        </is>
      </c>
      <c r="F302" s="111" t="inlineStr">
        <is>
          <t>Rút gọn</t>
        </is>
      </c>
      <c r="G302" s="117">
        <f>HYPERLINK("https://youglish.com/pronounce/长话短说/chinese","🔍")</f>
        <v/>
      </c>
    </row>
    <row r="303">
      <c r="A303" s="107" t="n">
        <v>301</v>
      </c>
      <c r="B303" s="108" t="inlineStr">
        <is>
          <t>Khẩu ngữ mạng</t>
        </is>
      </c>
      <c r="C303" s="109" t="inlineStr">
        <is>
          <t>永远的神！</t>
        </is>
      </c>
      <c r="D303" s="108" t="inlineStr">
        <is>
          <t>Yǒng yuǎn de shén!</t>
        </is>
      </c>
      <c r="E303" s="108" t="inlineStr">
        <is>
          <t>Thần tượng vĩnh cửu! (YYDS)</t>
        </is>
      </c>
      <c r="F303" s="108" t="inlineStr">
        <is>
          <t>Khen tột đỉnh</t>
        </is>
      </c>
      <c r="G303" s="114">
        <f>HYPERLINK("https://youglish.com/pronounce/永远的神/chinese","🔍")</f>
        <v/>
      </c>
    </row>
    <row r="304">
      <c r="A304" s="110" t="n">
        <v>302</v>
      </c>
      <c r="B304" s="111" t="inlineStr">
        <is>
          <t>Khẩu ngữ mạng</t>
        </is>
      </c>
      <c r="C304" s="112" t="inlineStr">
        <is>
          <t>内卷。</t>
        </is>
      </c>
      <c r="D304" s="111" t="inlineStr">
        <is>
          <t>Nèi juǎn.</t>
        </is>
      </c>
      <c r="E304" s="111" t="inlineStr">
        <is>
          <t>Nội quyển / Cạnh tranh khốc liệt.</t>
        </is>
      </c>
      <c r="F304" s="111" t="inlineStr">
        <is>
          <t>Áp lực xã hội</t>
        </is>
      </c>
      <c r="G304" s="117">
        <f>HYPERLINK("https://youglish.com/pronounce/内卷/chinese","🔍")</f>
        <v/>
      </c>
    </row>
    <row r="305">
      <c r="A305" s="107" t="n">
        <v>303</v>
      </c>
      <c r="B305" s="108" t="inlineStr">
        <is>
          <t>Khẩu ngữ mạng</t>
        </is>
      </c>
      <c r="C305" s="109" t="inlineStr">
        <is>
          <t>躺平。</t>
        </is>
      </c>
      <c r="D305" s="108" t="inlineStr">
        <is>
          <t>Tǎng píng.</t>
        </is>
      </c>
      <c r="E305" s="108" t="inlineStr">
        <is>
          <t>Nằm thẳng / Buông bỏ nỗ lực.</t>
        </is>
      </c>
      <c r="F305" s="108" t="inlineStr">
        <is>
          <t>Mặc kệ đời</t>
        </is>
      </c>
      <c r="G305" s="114">
        <f>HYPERLINK("https://youglish.com/pronounce/躺平/chinese","🔍")</f>
        <v/>
      </c>
    </row>
    <row r="306">
      <c r="A306" s="110" t="n">
        <v>304</v>
      </c>
      <c r="B306" s="111" t="inlineStr">
        <is>
          <t>Khẩu ngữ mạng</t>
        </is>
      </c>
      <c r="C306" s="112" t="inlineStr">
        <is>
          <t>摆烂。</t>
        </is>
      </c>
      <c r="D306" s="111" t="inlineStr">
        <is>
          <t>Bǎi làn.</t>
        </is>
      </c>
      <c r="E306" s="111" t="inlineStr">
        <is>
          <t>Kệ cho hỏng / Bày bừa.</t>
        </is>
      </c>
      <c r="F306" s="111" t="inlineStr">
        <is>
          <t>Buông xuôi</t>
        </is>
      </c>
      <c r="G306" s="117">
        <f>HYPERLINK("https://youglish.com/pronounce/摆烂/chinese","🔍")</f>
        <v/>
      </c>
    </row>
    <row r="307">
      <c r="A307" s="107" t="n">
        <v>305</v>
      </c>
      <c r="B307" s="108" t="inlineStr">
        <is>
          <t>Khẩu ngữ mạng</t>
        </is>
      </c>
      <c r="C307" s="109" t="inlineStr">
        <is>
          <t>社死。</t>
        </is>
      </c>
      <c r="D307" s="108" t="inlineStr">
        <is>
          <t>Shè sǐ.</t>
        </is>
      </c>
      <c r="E307" s="108" t="inlineStr">
        <is>
          <t>Chết trên mạng xã hội / Quê xỉu.</t>
        </is>
      </c>
      <c r="F307" s="108" t="inlineStr">
        <is>
          <t>Cực kỳ ngượng</t>
        </is>
      </c>
      <c r="G307" s="114">
        <f>HYPERLINK("https://youglish.com/pronounce/社死/chinese","🔍")</f>
        <v/>
      </c>
    </row>
    <row r="308">
      <c r="A308" s="110" t="n">
        <v>306</v>
      </c>
      <c r="B308" s="111" t="inlineStr">
        <is>
          <t>Khẩu ngữ mạng</t>
        </is>
      </c>
      <c r="C308" s="112" t="inlineStr">
        <is>
          <t>上头。</t>
        </is>
      </c>
      <c r="D308" s="111" t="inlineStr">
        <is>
          <t>Shàng tou.</t>
        </is>
      </c>
      <c r="E308" s="111" t="inlineStr">
        <is>
          <t>Bị cuốn / Nghiện.</t>
        </is>
      </c>
      <c r="F308" s="111" t="inlineStr">
        <is>
          <t>Say mê</t>
        </is>
      </c>
      <c r="G308" s="117">
        <f>HYPERLINK("https://youglish.com/pronounce/上头/chinese","🔍")</f>
        <v/>
      </c>
    </row>
    <row r="309">
      <c r="A309" s="107" t="n">
        <v>307</v>
      </c>
      <c r="B309" s="108" t="inlineStr">
        <is>
          <t>Khẩu ngữ mạng</t>
        </is>
      </c>
      <c r="C309" s="109" t="inlineStr">
        <is>
          <t>下头。</t>
        </is>
      </c>
      <c r="D309" s="108" t="inlineStr">
        <is>
          <t>Xià tou.</t>
        </is>
      </c>
      <c r="E309" s="108" t="inlineStr">
        <is>
          <t>Cụt hứng / Mất cảm tình.</t>
        </is>
      </c>
      <c r="F309" s="108" t="inlineStr">
        <is>
          <t>Trái nghĩa 上头</t>
        </is>
      </c>
      <c r="G309" s="114">
        <f>HYPERLINK("https://youglish.com/pronounce/下头/chinese","🔍")</f>
        <v/>
      </c>
    </row>
    <row r="310">
      <c r="A310" s="110" t="n">
        <v>308</v>
      </c>
      <c r="B310" s="111" t="inlineStr">
        <is>
          <t>Khẩu ngữ mạng</t>
        </is>
      </c>
      <c r="C310" s="112" t="inlineStr">
        <is>
          <t>打工人。</t>
        </is>
      </c>
      <c r="D310" s="111" t="inlineStr">
        <is>
          <t>Dǎ gōng rén.</t>
        </is>
      </c>
      <c r="E310" s="111" t="inlineStr">
        <is>
          <t>Dân đi làm thuê.</t>
        </is>
      </c>
      <c r="F310" s="111" t="inlineStr">
        <is>
          <t>Tự trào</t>
        </is>
      </c>
      <c r="G310" s="117">
        <f>HYPERLINK("https://youglish.com/pronounce/打工人/chinese","🔍")</f>
        <v/>
      </c>
    </row>
    <row r="311">
      <c r="A311" s="107" t="n">
        <v>309</v>
      </c>
      <c r="B311" s="108" t="inlineStr">
        <is>
          <t>Khẩu ngữ mạng</t>
        </is>
      </c>
      <c r="C311" s="109" t="inlineStr">
        <is>
          <t>干饭。</t>
        </is>
      </c>
      <c r="D311" s="108" t="inlineStr">
        <is>
          <t>Gān fàn.</t>
        </is>
      </c>
      <c r="E311" s="108" t="inlineStr">
        <is>
          <t>Đi cày cơm / Ăn cơm.</t>
        </is>
      </c>
      <c r="F311" s="108" t="inlineStr">
        <is>
          <t>Vui, đời thường</t>
        </is>
      </c>
      <c r="G311" s="114">
        <f>HYPERLINK("https://youglish.com/pronounce/干饭/chinese","🔍")</f>
        <v/>
      </c>
    </row>
    <row r="312">
      <c r="A312" s="110" t="n">
        <v>310</v>
      </c>
      <c r="B312" s="111" t="inlineStr">
        <is>
          <t>Khẩu ngữ mạng</t>
        </is>
      </c>
      <c r="C312" s="112" t="inlineStr">
        <is>
          <t>冲鸭！</t>
        </is>
      </c>
      <c r="D312" s="111" t="inlineStr">
        <is>
          <t>Chōng yā!</t>
        </is>
      </c>
      <c r="E312" s="111" t="inlineStr">
        <is>
          <t>Xông lên nào!</t>
        </is>
      </c>
      <c r="F312" s="111" t="inlineStr">
        <is>
          <t>Cổ vũ (mạng)</t>
        </is>
      </c>
      <c r="G312" s="117">
        <f>HYPERLINK("https://youglish.com/pronounce/冲鸭/chinese","🔍")</f>
        <v/>
      </c>
    </row>
    <row r="313">
      <c r="A313" s="107" t="n">
        <v>311</v>
      </c>
      <c r="B313" s="108" t="inlineStr">
        <is>
          <t>Khẩu ngữ mạng</t>
        </is>
      </c>
      <c r="C313" s="109" t="inlineStr">
        <is>
          <t>我裂开了。</t>
        </is>
      </c>
      <c r="D313" s="108" t="inlineStr">
        <is>
          <t>Wǒ liè kāi le.</t>
        </is>
      </c>
      <c r="E313" s="108" t="inlineStr">
        <is>
          <t>Tôi tan nát rồi.</t>
        </is>
      </c>
      <c r="F313" s="108" t="inlineStr">
        <is>
          <t>Sốc/buồn (mạng)</t>
        </is>
      </c>
      <c r="G313" s="114">
        <f>HYPERLINK("https://youglish.com/pronounce/我裂开了/chinese","🔍")</f>
        <v/>
      </c>
    </row>
    <row r="314">
      <c r="A314" s="110" t="n">
        <v>312</v>
      </c>
      <c r="B314" s="111" t="inlineStr">
        <is>
          <t>Khẩu ngữ mạng</t>
        </is>
      </c>
      <c r="C314" s="112" t="inlineStr">
        <is>
          <t>绷不住了。</t>
        </is>
      </c>
      <c r="D314" s="111" t="inlineStr">
        <is>
          <t>Bēng bú zhù le.</t>
        </is>
      </c>
      <c r="E314" s="111" t="inlineStr">
        <is>
          <t>Không nhịn được nữa.</t>
        </is>
      </c>
      <c r="F314" s="111" t="inlineStr">
        <is>
          <t>Bật cười/bung</t>
        </is>
      </c>
      <c r="G314" s="117">
        <f>HYPERLINK("https://youglish.com/pronounce/绷不住了/chinese","🔍")</f>
        <v/>
      </c>
    </row>
    <row r="315">
      <c r="A315" s="107" t="n">
        <v>313</v>
      </c>
      <c r="B315" s="108" t="inlineStr">
        <is>
          <t>Khẩu ngữ mạng</t>
        </is>
      </c>
      <c r="C315" s="109" t="inlineStr">
        <is>
          <t>麻了。</t>
        </is>
      </c>
      <c r="D315" s="108" t="inlineStr">
        <is>
          <t>Má le.</t>
        </is>
      </c>
      <c r="E315" s="108" t="inlineStr">
        <is>
          <t>Tê liệt / Hết cảm xúc.</t>
        </is>
      </c>
      <c r="F315" s="108" t="inlineStr">
        <is>
          <t>Bất lực (mạng)</t>
        </is>
      </c>
      <c r="G315" s="114">
        <f>HYPERLINK("https://youglish.com/pronounce/麻了/chinese","🔍")</f>
        <v/>
      </c>
    </row>
    <row r="316">
      <c r="A316" s="110" t="n">
        <v>314</v>
      </c>
      <c r="B316" s="111" t="inlineStr">
        <is>
          <t>Khẩu ngữ mạng</t>
        </is>
      </c>
      <c r="C316" s="112" t="inlineStr">
        <is>
          <t>凡尔赛。</t>
        </is>
      </c>
      <c r="D316" s="111" t="inlineStr">
        <is>
          <t>Fán ěr sài.</t>
        </is>
      </c>
      <c r="E316" s="111" t="inlineStr">
        <is>
          <t>Khoe khéo / Khoe ngầm.</t>
        </is>
      </c>
      <c r="F316" s="111" t="inlineStr">
        <is>
          <t>Mỉa khoe</t>
        </is>
      </c>
      <c r="G316" s="117">
        <f>HYPERLINK("https://youglish.com/pronounce/凡尔赛/chinese","🔍")</f>
        <v/>
      </c>
    </row>
    <row r="317">
      <c r="A317" s="107" t="n">
        <v>315</v>
      </c>
      <c r="B317" s="108" t="inlineStr">
        <is>
          <t>Khẩu ngữ mạng</t>
        </is>
      </c>
      <c r="C317" s="109" t="inlineStr">
        <is>
          <t>拿捏。</t>
        </is>
      </c>
      <c r="D317" s="108" t="inlineStr">
        <is>
          <t>Ná niē.</t>
        </is>
      </c>
      <c r="E317" s="108" t="inlineStr">
        <is>
          <t>Nắm thóp / Xử gọn.</t>
        </is>
      </c>
      <c r="F317" s="108" t="inlineStr">
        <is>
          <t>Kiểm soát</t>
        </is>
      </c>
      <c r="G317" s="114">
        <f>HYPERLINK("https://youglish.com/pronounce/拿捏/chinese","🔍")</f>
        <v/>
      </c>
    </row>
    <row r="318">
      <c r="A318" s="110" t="n">
        <v>316</v>
      </c>
      <c r="B318" s="111" t="inlineStr">
        <is>
          <t>Khẩu ngữ mạng</t>
        </is>
      </c>
      <c r="C318" s="112" t="inlineStr">
        <is>
          <t>真香。</t>
        </is>
      </c>
      <c r="D318" s="111" t="inlineStr">
        <is>
          <t>Zhēn xiāng.</t>
        </is>
      </c>
      <c r="E318" s="111" t="inlineStr">
        <is>
          <t>Thơm thật / Thơm phết (nói một đằng làm một nẻo).</t>
        </is>
      </c>
      <c r="F318" s="111" t="inlineStr">
        <is>
          <t>Tự vả (mạng)</t>
        </is>
      </c>
      <c r="G318" s="117">
        <f>HYPERLINK("https://youglish.com/pronounce/真香/chinese","🔍")</f>
        <v/>
      </c>
    </row>
    <row r="319">
      <c r="A319" s="107" t="n">
        <v>317</v>
      </c>
      <c r="B319" s="108" t="inlineStr">
        <is>
          <t>Khẩu ngữ mạng</t>
        </is>
      </c>
      <c r="C319" s="109" t="inlineStr">
        <is>
          <t>扎心了。</t>
        </is>
      </c>
      <c r="D319" s="108" t="inlineStr">
        <is>
          <t>Zhā xīn le.</t>
        </is>
      </c>
      <c r="E319" s="108" t="inlineStr">
        <is>
          <t>Đau lòng ghê.</t>
        </is>
      </c>
      <c r="F319" s="108" t="inlineStr">
        <is>
          <t>Chạm nọc (mạng)</t>
        </is>
      </c>
      <c r="G319" s="114">
        <f>HYPERLINK("https://youglish.com/pronounce/扎心了/chinese","🔍")</f>
        <v/>
      </c>
    </row>
    <row r="320">
      <c r="A320" s="110" t="n">
        <v>318</v>
      </c>
      <c r="B320" s="111" t="inlineStr">
        <is>
          <t>Khẩu ngữ mạng</t>
        </is>
      </c>
      <c r="C320" s="112" t="inlineStr">
        <is>
          <t>泪目。</t>
        </is>
      </c>
      <c r="D320" s="111" t="inlineStr">
        <is>
          <t>Lèi mù.</t>
        </is>
      </c>
      <c r="E320" s="111" t="inlineStr">
        <is>
          <t>Rưng rưng nước mắt.</t>
        </is>
      </c>
      <c r="F320" s="111" t="inlineStr">
        <is>
          <t>Cảm động (mạng)</t>
        </is>
      </c>
      <c r="G320" s="117">
        <f>HYPERLINK("https://youglish.com/pronounce/泪目/chinese","🔍")</f>
        <v/>
      </c>
    </row>
    <row r="321">
      <c r="A321" s="107" t="n">
        <v>319</v>
      </c>
      <c r="B321" s="108" t="inlineStr">
        <is>
          <t>Khẩu ngữ mạng</t>
        </is>
      </c>
      <c r="C321" s="109" t="inlineStr">
        <is>
          <t>摸鱼。</t>
        </is>
      </c>
      <c r="D321" s="108" t="inlineStr">
        <is>
          <t>Mō yú.</t>
        </is>
      </c>
      <c r="E321" s="108" t="inlineStr">
        <is>
          <t>Câu cá / Lười việc, giả bận.</t>
        </is>
      </c>
      <c r="F321" s="108" t="inlineStr">
        <is>
          <t>Trốn việc</t>
        </is>
      </c>
      <c r="G321" s="114">
        <f>HYPERLINK("https://youglish.com/pronounce/摸鱼/chinese","🔍")</f>
        <v/>
      </c>
    </row>
    <row r="322">
      <c r="A322" s="110" t="n">
        <v>320</v>
      </c>
      <c r="B322" s="111" t="inlineStr">
        <is>
          <t>Khẩu ngữ mạng</t>
        </is>
      </c>
      <c r="C322" s="112" t="inlineStr">
        <is>
          <t>划水。</t>
        </is>
      </c>
      <c r="D322" s="111" t="inlineStr">
        <is>
          <t>Huà shuǐ.</t>
        </is>
      </c>
      <c r="E322" s="111" t="inlineStr">
        <is>
          <t>Bơi nước / Làm cho có.</t>
        </is>
      </c>
      <c r="F322" s="111" t="inlineStr">
        <is>
          <t>Lười biếng</t>
        </is>
      </c>
      <c r="G322" s="117">
        <f>HYPERLINK("https://youglish.com/pronounce/划水/chinese","🔍")</f>
        <v/>
      </c>
    </row>
    <row r="323">
      <c r="A323" s="107" t="n">
        <v>321</v>
      </c>
      <c r="B323" s="108" t="inlineStr">
        <is>
          <t>Khẩu ngữ mạng</t>
        </is>
      </c>
      <c r="C323" s="109" t="inlineStr">
        <is>
          <t>秀操作。</t>
        </is>
      </c>
      <c r="D323" s="108" t="inlineStr">
        <is>
          <t>Xiù cāo zuò.</t>
        </is>
      </c>
      <c r="E323" s="108" t="inlineStr">
        <is>
          <t>Trổ tài / Pha xử lý đỉnh.</t>
        </is>
      </c>
      <c r="F323" s="108" t="inlineStr">
        <is>
          <t>Khen/mỉa</t>
        </is>
      </c>
      <c r="G323" s="114">
        <f>HYPERLINK("https://youglish.com/pronounce/秀操作/chinese","🔍")</f>
        <v/>
      </c>
    </row>
    <row r="324">
      <c r="A324" s="110" t="n">
        <v>322</v>
      </c>
      <c r="B324" s="111" t="inlineStr">
        <is>
          <t>Khẩu ngữ mạng</t>
        </is>
      </c>
      <c r="C324" s="112" t="inlineStr">
        <is>
          <t>上岸。</t>
        </is>
      </c>
      <c r="D324" s="111" t="inlineStr">
        <is>
          <t>Shàng àn.</t>
        </is>
      </c>
      <c r="E324" s="111" t="inlineStr">
        <is>
          <t>Lên bờ / Đỗ, thành công.</t>
        </is>
      </c>
      <c r="F324" s="111" t="inlineStr">
        <is>
          <t>Thi cử/việc làm</t>
        </is>
      </c>
      <c r="G324" s="117">
        <f>HYPERLINK("https://youglish.com/pronounce/上岸/chinese","🔍")</f>
        <v/>
      </c>
    </row>
    <row r="325">
      <c r="A325" s="107" t="n">
        <v>323</v>
      </c>
      <c r="B325" s="108" t="inlineStr">
        <is>
          <t>Khẩu ngữ mạng</t>
        </is>
      </c>
      <c r="C325" s="109" t="inlineStr">
        <is>
          <t>逆袭。</t>
        </is>
      </c>
      <c r="D325" s="108" t="inlineStr">
        <is>
          <t>Nì xí.</t>
        </is>
      </c>
      <c r="E325" s="108" t="inlineStr">
        <is>
          <t>Lội ngược dòng.</t>
        </is>
      </c>
      <c r="F325" s="108" t="inlineStr">
        <is>
          <t>Vươn lên</t>
        </is>
      </c>
      <c r="G325" s="114">
        <f>HYPERLINK("https://youglish.com/pronounce/逆袭/chinese","🔍")</f>
        <v/>
      </c>
    </row>
    <row r="326">
      <c r="A326" s="110" t="n">
        <v>324</v>
      </c>
      <c r="B326" s="111" t="inlineStr">
        <is>
          <t>Khẩu ngữ mạng</t>
        </is>
      </c>
      <c r="C326" s="112" t="inlineStr">
        <is>
          <t>拉胯。</t>
        </is>
      </c>
      <c r="D326" s="111" t="inlineStr">
        <is>
          <t>Lā kuà.</t>
        </is>
      </c>
      <c r="E326" s="111" t="inlineStr">
        <is>
          <t>Xìu / Gánh không nổi.</t>
        </is>
      </c>
      <c r="F326" s="111" t="inlineStr">
        <is>
          <t>Chê kém</t>
        </is>
      </c>
      <c r="G326" s="117">
        <f>HYPERLINK("https://youglish.com/pronounce/拉胯/chinese","🔍")</f>
        <v/>
      </c>
    </row>
    <row r="327">
      <c r="A327" s="107" t="n">
        <v>325</v>
      </c>
      <c r="B327" s="108" t="inlineStr">
        <is>
          <t>Khẩu ngữ mạng</t>
        </is>
      </c>
      <c r="C327" s="109" t="inlineStr">
        <is>
          <t>遥遥领先。</t>
        </is>
      </c>
      <c r="D327" s="108" t="inlineStr">
        <is>
          <t>Yáo yáo lǐng xiān.</t>
        </is>
      </c>
      <c r="E327" s="108" t="inlineStr">
        <is>
          <t>Dẫn trước vượt trội.</t>
        </is>
      </c>
      <c r="F327" s="108" t="inlineStr">
        <is>
          <t>Khen/mỉa</t>
        </is>
      </c>
      <c r="G327" s="114">
        <f>HYPERLINK("https://youglish.com/pronounce/遥遥领先/chinese","🔍")</f>
        <v/>
      </c>
    </row>
    <row r="328">
      <c r="A328" s="110" t="n">
        <v>326</v>
      </c>
      <c r="B328" s="111" t="inlineStr">
        <is>
          <t>Khẩu ngữ mạng</t>
        </is>
      </c>
      <c r="C328" s="112" t="inlineStr">
        <is>
          <t>显眼包。</t>
        </is>
      </c>
      <c r="D328" s="111" t="inlineStr">
        <is>
          <t>Xiǎn yǎn bāo.</t>
        </is>
      </c>
      <c r="E328" s="111" t="inlineStr">
        <is>
          <t>Cái thùng nổi bật / Lầy dễ thương.</t>
        </is>
      </c>
      <c r="F328" s="111" t="inlineStr">
        <is>
          <t>Đùa vui</t>
        </is>
      </c>
      <c r="G328" s="117">
        <f>HYPERLINK("https://youglish.com/pronounce/显眼包/chinese","🔍")</f>
        <v/>
      </c>
    </row>
    <row r="329">
      <c r="A329" s="107" t="n">
        <v>327</v>
      </c>
      <c r="B329" s="108" t="inlineStr">
        <is>
          <t>Khẩu ngữ mạng</t>
        </is>
      </c>
      <c r="C329" s="109" t="inlineStr">
        <is>
          <t>搭子。</t>
        </is>
      </c>
      <c r="D329" s="108" t="inlineStr">
        <is>
          <t>Dā zi.</t>
        </is>
      </c>
      <c r="E329" s="108" t="inlineStr">
        <is>
          <t>Bạn cạ / Đồng bọn theo việc.</t>
        </is>
      </c>
      <c r="F329" s="108" t="inlineStr">
        <is>
          <t>Bạn ăn/chơi</t>
        </is>
      </c>
      <c r="G329" s="114">
        <f>HYPERLINK("https://youglish.com/pronounce/搭子/chinese","🔍")</f>
        <v/>
      </c>
    </row>
    <row r="330">
      <c r="A330" s="110" t="n">
        <v>328</v>
      </c>
      <c r="B330" s="111" t="inlineStr">
        <is>
          <t>Khẩu ngữ mạng</t>
        </is>
      </c>
      <c r="C330" s="112" t="inlineStr">
        <is>
          <t>真的假的？</t>
        </is>
      </c>
      <c r="D330" s="111" t="inlineStr">
        <is>
          <t>Zhēn de jiǎ de?</t>
        </is>
      </c>
      <c r="E330" s="111" t="inlineStr">
        <is>
          <t>Thật hay đùa?</t>
        </is>
      </c>
      <c r="F330" s="111" t="inlineStr">
        <is>
          <t>Nghi ngờ</t>
        </is>
      </c>
      <c r="G330" s="117">
        <f>HYPERLINK("https://youglish.com/pronounce/真的假的/chinese","🔍")</f>
        <v/>
      </c>
    </row>
    <row r="331">
      <c r="A331" s="107" t="n">
        <v>329</v>
      </c>
      <c r="B331" s="108" t="inlineStr">
        <is>
          <t>Khẩu ngữ mạng</t>
        </is>
      </c>
      <c r="C331" s="109" t="inlineStr">
        <is>
          <t>卷不动了。</t>
        </is>
      </c>
      <c r="D331" s="108" t="inlineStr">
        <is>
          <t>Juǎn bù dòng le.</t>
        </is>
      </c>
      <c r="E331" s="108" t="inlineStr">
        <is>
          <t>Cày hết nổi rồi.</t>
        </is>
      </c>
      <c r="F331" s="108" t="inlineStr">
        <is>
          <t>Kiệt sức</t>
        </is>
      </c>
      <c r="G331" s="114">
        <f>HYPERLINK("https://youglish.com/pronounce/卷不动了/chinese","🔍")</f>
        <v/>
      </c>
    </row>
    <row r="332">
      <c r="A332" s="110" t="n">
        <v>330</v>
      </c>
      <c r="B332" s="111" t="inlineStr">
        <is>
          <t>Khẩu ngữ mạng</t>
        </is>
      </c>
      <c r="C332" s="112" t="inlineStr">
        <is>
          <t>躺赢。</t>
        </is>
      </c>
      <c r="D332" s="111" t="inlineStr">
        <is>
          <t>Tǎng yíng.</t>
        </is>
      </c>
      <c r="E332" s="111" t="inlineStr">
        <is>
          <t>Nằm cũng thắng.</t>
        </is>
      </c>
      <c r="F332" s="111" t="inlineStr">
        <is>
          <t>Thắng dễ</t>
        </is>
      </c>
      <c r="G332" s="117">
        <f>HYPERLINK("https://youglish.com/pronounce/躺赢/chinese","🔍")</f>
        <v/>
      </c>
    </row>
    <row r="333">
      <c r="A333" s="107" t="n">
        <v>331</v>
      </c>
      <c r="B333" s="108" t="inlineStr">
        <is>
          <t>Động viên / An ủi</t>
        </is>
      </c>
      <c r="C333" s="109" t="inlineStr">
        <is>
          <t>挺住！</t>
        </is>
      </c>
      <c r="D333" s="108" t="inlineStr">
        <is>
          <t>Tǐng zhù!</t>
        </is>
      </c>
      <c r="E333" s="108" t="inlineStr">
        <is>
          <t>Trụ vững nhé!</t>
        </is>
      </c>
      <c r="F333" s="108" t="inlineStr">
        <is>
          <t>Cổ vũ</t>
        </is>
      </c>
      <c r="G333" s="114">
        <f>HYPERLINK("https://youglish.com/pronounce/挺住/chinese","🔍")</f>
        <v/>
      </c>
    </row>
    <row r="334">
      <c r="A334" s="110" t="n">
        <v>332</v>
      </c>
      <c r="B334" s="111" t="inlineStr">
        <is>
          <t>Động viên / An ủi</t>
        </is>
      </c>
      <c r="C334" s="112" t="inlineStr">
        <is>
          <t>撑住！</t>
        </is>
      </c>
      <c r="D334" s="111" t="inlineStr">
        <is>
          <t>Chēng zhù!</t>
        </is>
      </c>
      <c r="E334" s="111" t="inlineStr">
        <is>
          <t>Cố chịu đựng!</t>
        </is>
      </c>
      <c r="F334" s="111" t="inlineStr">
        <is>
          <t>Cổ vũ</t>
        </is>
      </c>
      <c r="G334" s="117">
        <f>HYPERLINK("https://youglish.com/pronounce/撑住/chinese","🔍")</f>
        <v/>
      </c>
    </row>
    <row r="335">
      <c r="A335" s="107" t="n">
        <v>333</v>
      </c>
      <c r="B335" s="108" t="inlineStr">
        <is>
          <t>Động viên / An ủi</t>
        </is>
      </c>
      <c r="C335" s="109" t="inlineStr">
        <is>
          <t>会好的。</t>
        </is>
      </c>
      <c r="D335" s="108" t="inlineStr">
        <is>
          <t>Huì hǎo de.</t>
        </is>
      </c>
      <c r="E335" s="108" t="inlineStr">
        <is>
          <t>Sẽ ổn thôi.</t>
        </is>
      </c>
      <c r="F335" s="108" t="inlineStr">
        <is>
          <t>An ủi</t>
        </is>
      </c>
      <c r="G335" s="114">
        <f>HYPERLINK("https://youglish.com/pronounce/会好的/chinese","🔍")</f>
        <v/>
      </c>
    </row>
    <row r="336">
      <c r="A336" s="110" t="n">
        <v>334</v>
      </c>
      <c r="B336" s="111" t="inlineStr">
        <is>
          <t>Động viên / An ủi</t>
        </is>
      </c>
      <c r="C336" s="112" t="inlineStr">
        <is>
          <t>别灰心。</t>
        </is>
      </c>
      <c r="D336" s="111" t="inlineStr">
        <is>
          <t>Bié huī xīn.</t>
        </is>
      </c>
      <c r="E336" s="111" t="inlineStr">
        <is>
          <t>Đừng nản lòng.</t>
        </is>
      </c>
      <c r="F336" s="111" t="inlineStr">
        <is>
          <t>Động viên</t>
        </is>
      </c>
      <c r="G336" s="117">
        <f>HYPERLINK("https://youglish.com/pronounce/别灰心/chinese","🔍")</f>
        <v/>
      </c>
    </row>
    <row r="337">
      <c r="A337" s="107" t="n">
        <v>335</v>
      </c>
      <c r="B337" s="108" t="inlineStr">
        <is>
          <t>Động viên / An ủi</t>
        </is>
      </c>
      <c r="C337" s="109" t="inlineStr">
        <is>
          <t>别气馁。</t>
        </is>
      </c>
      <c r="D337" s="108" t="inlineStr">
        <is>
          <t>Bié qì něi.</t>
        </is>
      </c>
      <c r="E337" s="108" t="inlineStr">
        <is>
          <t>Đừng nhụt chí.</t>
        </is>
      </c>
      <c r="F337" s="108" t="inlineStr">
        <is>
          <t>Động viên</t>
        </is>
      </c>
      <c r="G337" s="114">
        <f>HYPERLINK("https://youglish.com/pronounce/别气馁/chinese","🔍")</f>
        <v/>
      </c>
    </row>
    <row r="338">
      <c r="A338" s="110" t="n">
        <v>336</v>
      </c>
      <c r="B338" s="111" t="inlineStr">
        <is>
          <t>Động viên / An ủi</t>
        </is>
      </c>
      <c r="C338" s="112" t="inlineStr">
        <is>
          <t>想开点。</t>
        </is>
      </c>
      <c r="D338" s="111" t="inlineStr">
        <is>
          <t>Xiǎng kāi diǎn.</t>
        </is>
      </c>
      <c r="E338" s="111" t="inlineStr">
        <is>
          <t>Nghĩ thoáng ra.</t>
        </is>
      </c>
      <c r="F338" s="111" t="inlineStr">
        <is>
          <t>Khuyên</t>
        </is>
      </c>
      <c r="G338" s="117">
        <f>HYPERLINK("https://youglish.com/pronounce/想开点/chinese","🔍")</f>
        <v/>
      </c>
    </row>
    <row r="339">
      <c r="A339" s="107" t="n">
        <v>337</v>
      </c>
      <c r="B339" s="108" t="inlineStr">
        <is>
          <t>Động viên / An ủi</t>
        </is>
      </c>
      <c r="C339" s="109" t="inlineStr">
        <is>
          <t>看开点。</t>
        </is>
      </c>
      <c r="D339" s="108" t="inlineStr">
        <is>
          <t>Kàn kāi diǎn.</t>
        </is>
      </c>
      <c r="E339" s="108" t="inlineStr">
        <is>
          <t>Buông bỏ bớt đi.</t>
        </is>
      </c>
      <c r="F339" s="108" t="inlineStr">
        <is>
          <t>Khuyên</t>
        </is>
      </c>
      <c r="G339" s="114">
        <f>HYPERLINK("https://youglish.com/pronounce/看开点/chinese","🔍")</f>
        <v/>
      </c>
    </row>
    <row r="340">
      <c r="A340" s="110" t="n">
        <v>338</v>
      </c>
      <c r="B340" s="111" t="inlineStr">
        <is>
          <t>Động viên / An ủi</t>
        </is>
      </c>
      <c r="C340" s="112" t="inlineStr">
        <is>
          <t>别往心里去。</t>
        </is>
      </c>
      <c r="D340" s="111" t="inlineStr">
        <is>
          <t>Bié wǎng xīn lǐ qù.</t>
        </is>
      </c>
      <c r="E340" s="111" t="inlineStr">
        <is>
          <t>Đừng để bụng.</t>
        </is>
      </c>
      <c r="F340" s="111" t="inlineStr">
        <is>
          <t>An ủi</t>
        </is>
      </c>
      <c r="G340" s="117">
        <f>HYPERLINK("https://youglish.com/pronounce/别往心里去/chinese","🔍")</f>
        <v/>
      </c>
    </row>
    <row r="341">
      <c r="A341" s="107" t="n">
        <v>339</v>
      </c>
      <c r="B341" s="108" t="inlineStr">
        <is>
          <t>Động viên / An ủi</t>
        </is>
      </c>
      <c r="C341" s="109" t="inlineStr">
        <is>
          <t>不是你的错。</t>
        </is>
      </c>
      <c r="D341" s="108" t="inlineStr">
        <is>
          <t>Bú shì nǐ de cuò.</t>
        </is>
      </c>
      <c r="E341" s="108" t="inlineStr">
        <is>
          <t>Không phải lỗi của bạn.</t>
        </is>
      </c>
      <c r="F341" s="108" t="inlineStr">
        <is>
          <t>An ủi</t>
        </is>
      </c>
      <c r="G341" s="114">
        <f>HYPERLINK("https://youglish.com/pronounce/不是你的错/chinese","🔍")</f>
        <v/>
      </c>
    </row>
    <row r="342">
      <c r="A342" s="110" t="n">
        <v>340</v>
      </c>
      <c r="B342" s="111" t="inlineStr">
        <is>
          <t>Động viên / An ủi</t>
        </is>
      </c>
      <c r="C342" s="112" t="inlineStr">
        <is>
          <t>有我在。</t>
        </is>
      </c>
      <c r="D342" s="111" t="inlineStr">
        <is>
          <t>Yǒu wǒ zài.</t>
        </is>
      </c>
      <c r="E342" s="111" t="inlineStr">
        <is>
          <t>Có tôi đây.</t>
        </is>
      </c>
      <c r="F342" s="111" t="inlineStr">
        <is>
          <t>Trấn an</t>
        </is>
      </c>
      <c r="G342" s="117">
        <f>HYPERLINK("https://youglish.com/pronounce/有我在/chinese","🔍")</f>
        <v/>
      </c>
    </row>
    <row r="343">
      <c r="A343" s="107" t="n">
        <v>341</v>
      </c>
      <c r="B343" s="108" t="inlineStr">
        <is>
          <t>Động viên / An ủi</t>
        </is>
      </c>
      <c r="C343" s="109" t="inlineStr">
        <is>
          <t>我支持你。</t>
        </is>
      </c>
      <c r="D343" s="108" t="inlineStr">
        <is>
          <t>Wǒ zhī chí nǐ.</t>
        </is>
      </c>
      <c r="E343" s="108" t="inlineStr">
        <is>
          <t>Tôi ủng hộ bạn.</t>
        </is>
      </c>
      <c r="F343" s="108" t="inlineStr">
        <is>
          <t>Hậu thuẫn</t>
        </is>
      </c>
      <c r="G343" s="114">
        <f>HYPERLINK("https://youglish.com/pronounce/我支持你/chinese","🔍")</f>
        <v/>
      </c>
    </row>
    <row r="344">
      <c r="A344" s="110" t="n">
        <v>342</v>
      </c>
      <c r="B344" s="111" t="inlineStr">
        <is>
          <t>Động viên / An ủi</t>
        </is>
      </c>
      <c r="C344" s="112" t="inlineStr">
        <is>
          <t>我陪你。</t>
        </is>
      </c>
      <c r="D344" s="111" t="inlineStr">
        <is>
          <t>Wǒ péi nǐ.</t>
        </is>
      </c>
      <c r="E344" s="111" t="inlineStr">
        <is>
          <t>Tôi ở bên bạn.</t>
        </is>
      </c>
      <c r="F344" s="111" t="inlineStr">
        <is>
          <t>Đồng hành</t>
        </is>
      </c>
      <c r="G344" s="117">
        <f>HYPERLINK("https://youglish.com/pronounce/我陪你/chinese","🔍")</f>
        <v/>
      </c>
    </row>
    <row r="345">
      <c r="A345" s="107" t="n">
        <v>343</v>
      </c>
      <c r="B345" s="108" t="inlineStr">
        <is>
          <t>Động viên / An ủi</t>
        </is>
      </c>
      <c r="C345" s="109" t="inlineStr">
        <is>
          <t>别怕。</t>
        </is>
      </c>
      <c r="D345" s="108" t="inlineStr">
        <is>
          <t>Bié pà.</t>
        </is>
      </c>
      <c r="E345" s="108" t="inlineStr">
        <is>
          <t>Đừng sợ.</t>
        </is>
      </c>
      <c r="F345" s="108" t="inlineStr">
        <is>
          <t>Trấn an</t>
        </is>
      </c>
      <c r="G345" s="114">
        <f>HYPERLINK("https://youglish.com/pronounce/别怕/chinese","🔍")</f>
        <v/>
      </c>
    </row>
    <row r="346">
      <c r="A346" s="110" t="n">
        <v>344</v>
      </c>
      <c r="B346" s="111" t="inlineStr">
        <is>
          <t>Động viên / An ủi</t>
        </is>
      </c>
      <c r="C346" s="112" t="inlineStr">
        <is>
          <t>相信自己。</t>
        </is>
      </c>
      <c r="D346" s="111" t="inlineStr">
        <is>
          <t>Xiāng xìn zì jǐ.</t>
        </is>
      </c>
      <c r="E346" s="111" t="inlineStr">
        <is>
          <t>Hãy tin vào mình.</t>
        </is>
      </c>
      <c r="F346" s="111" t="inlineStr">
        <is>
          <t>Cổ vũ</t>
        </is>
      </c>
      <c r="G346" s="117">
        <f>HYPERLINK("https://youglish.com/pronounce/相信自己/chinese","🔍")</f>
        <v/>
      </c>
    </row>
    <row r="347">
      <c r="A347" s="107" t="n">
        <v>345</v>
      </c>
      <c r="B347" s="108" t="inlineStr">
        <is>
          <t>Động viên / An ủi</t>
        </is>
      </c>
      <c r="C347" s="109" t="inlineStr">
        <is>
          <t>你可以的。</t>
        </is>
      </c>
      <c r="D347" s="108" t="inlineStr">
        <is>
          <t>Nǐ kě yǐ de.</t>
        </is>
      </c>
      <c r="E347" s="108" t="inlineStr">
        <is>
          <t>Bạn làm được mà.</t>
        </is>
      </c>
      <c r="F347" s="108" t="inlineStr">
        <is>
          <t>Cổ vũ</t>
        </is>
      </c>
      <c r="G347" s="114">
        <f>HYPERLINK("https://youglish.com/pronounce/你可以的/chinese","🔍")</f>
        <v/>
      </c>
    </row>
    <row r="348">
      <c r="A348" s="110" t="n">
        <v>346</v>
      </c>
      <c r="B348" s="111" t="inlineStr">
        <is>
          <t>Động viên / An ủi</t>
        </is>
      </c>
      <c r="C348" s="112" t="inlineStr">
        <is>
          <t>你能行。</t>
        </is>
      </c>
      <c r="D348" s="111" t="inlineStr">
        <is>
          <t>Nǐ néng xíng.</t>
        </is>
      </c>
      <c r="E348" s="111" t="inlineStr">
        <is>
          <t>Bạn làm được.</t>
        </is>
      </c>
      <c r="F348" s="111" t="inlineStr">
        <is>
          <t>Cổ vũ</t>
        </is>
      </c>
      <c r="G348" s="117">
        <f>HYPERLINK("https://youglish.com/pronounce/你能行/chinese","🔍")</f>
        <v/>
      </c>
    </row>
    <row r="349">
      <c r="A349" s="107" t="n">
        <v>347</v>
      </c>
      <c r="B349" s="108" t="inlineStr">
        <is>
          <t>Động viên / An ủi</t>
        </is>
      </c>
      <c r="C349" s="109" t="inlineStr">
        <is>
          <t>尽力就好。</t>
        </is>
      </c>
      <c r="D349" s="108" t="inlineStr">
        <is>
          <t>Jìn lì jiù hǎo.</t>
        </is>
      </c>
      <c r="E349" s="108" t="inlineStr">
        <is>
          <t>Cố hết sức là được.</t>
        </is>
      </c>
      <c r="F349" s="108" t="inlineStr">
        <is>
          <t>An ủi</t>
        </is>
      </c>
      <c r="G349" s="114">
        <f>HYPERLINK("https://youglish.com/pronounce/尽力就好/chinese","🔍")</f>
        <v/>
      </c>
    </row>
    <row r="350">
      <c r="A350" s="110" t="n">
        <v>348</v>
      </c>
      <c r="B350" s="111" t="inlineStr">
        <is>
          <t>Động viên / An ủi</t>
        </is>
      </c>
      <c r="C350" s="112" t="inlineStr">
        <is>
          <t>重在参与。</t>
        </is>
      </c>
      <c r="D350" s="111" t="inlineStr">
        <is>
          <t>Zhòng zài cān yù.</t>
        </is>
      </c>
      <c r="E350" s="111" t="inlineStr">
        <is>
          <t>Quan trọng là tham gia.</t>
        </is>
      </c>
      <c r="F350" s="111" t="inlineStr">
        <is>
          <t>An ủi</t>
        </is>
      </c>
      <c r="G350" s="117">
        <f>HYPERLINK("https://youglish.com/pronounce/重在参与/chinese","🔍")</f>
        <v/>
      </c>
    </row>
    <row r="351">
      <c r="A351" s="107" t="n">
        <v>349</v>
      </c>
      <c r="B351" s="108" t="inlineStr">
        <is>
          <t>Động viên / An ủi</t>
        </is>
      </c>
      <c r="C351" s="109" t="inlineStr">
        <is>
          <t>失败乃成功之母。</t>
        </is>
      </c>
      <c r="D351" s="108" t="inlineStr">
        <is>
          <t>Shī bài nǎi chéng gōng zhī mǔ.</t>
        </is>
      </c>
      <c r="E351" s="108" t="inlineStr">
        <is>
          <t>Thất bại là mẹ thành công.</t>
        </is>
      </c>
      <c r="F351" s="108" t="inlineStr">
        <is>
          <t>Tục ngữ</t>
        </is>
      </c>
      <c r="G351" s="114">
        <f>HYPERLINK("https://youglish.com/pronounce/失败乃成功之母/chinese","🔍")</f>
        <v/>
      </c>
    </row>
    <row r="352">
      <c r="A352" s="110" t="n">
        <v>350</v>
      </c>
      <c r="B352" s="111" t="inlineStr">
        <is>
          <t>Động viên / An ủi</t>
        </is>
      </c>
      <c r="C352" s="112" t="inlineStr">
        <is>
          <t>吃一堑长一智。</t>
        </is>
      </c>
      <c r="D352" s="111" t="inlineStr">
        <is>
          <t>Chī yī qiàn zhǎng yī zhì.</t>
        </is>
      </c>
      <c r="E352" s="111" t="inlineStr">
        <is>
          <t>Ngã một lần khôn ra một tí.</t>
        </is>
      </c>
      <c r="F352" s="111" t="inlineStr">
        <is>
          <t>Tục ngữ</t>
        </is>
      </c>
      <c r="G352" s="117">
        <f>HYPERLINK("https://youglish.com/pronounce/吃一堑长一智/chinese","🔍")</f>
        <v/>
      </c>
    </row>
    <row r="353">
      <c r="A353" s="107" t="n">
        <v>351</v>
      </c>
      <c r="B353" s="108" t="inlineStr">
        <is>
          <t>Động viên / An ủi</t>
        </is>
      </c>
      <c r="C353" s="109" t="inlineStr">
        <is>
          <t>车到山前必有路。</t>
        </is>
      </c>
      <c r="D353" s="108" t="inlineStr">
        <is>
          <t>Chē dào shān qián bì yǒu lù.</t>
        </is>
      </c>
      <c r="E353" s="108" t="inlineStr">
        <is>
          <t>Xe đến chân núi ắt có đường.</t>
        </is>
      </c>
      <c r="F353" s="108" t="inlineStr">
        <is>
          <t>Tục ngữ lạc quan</t>
        </is>
      </c>
      <c r="G353" s="114">
        <f>HYPERLINK("https://youglish.com/pronounce/车到山前必有路/chinese","🔍")</f>
        <v/>
      </c>
    </row>
    <row r="354">
      <c r="A354" s="110" t="n">
        <v>352</v>
      </c>
      <c r="B354" s="111" t="inlineStr">
        <is>
          <t>Động viên / An ủi</t>
        </is>
      </c>
      <c r="C354" s="112" t="inlineStr">
        <is>
          <t>明天会更好。</t>
        </is>
      </c>
      <c r="D354" s="111" t="inlineStr">
        <is>
          <t>Míng tiān huì gèng hǎo.</t>
        </is>
      </c>
      <c r="E354" s="111" t="inlineStr">
        <is>
          <t>Ngày mai sẽ tốt hơn.</t>
        </is>
      </c>
      <c r="F354" s="111" t="inlineStr">
        <is>
          <t>Lạc quan</t>
        </is>
      </c>
      <c r="G354" s="117">
        <f>HYPERLINK("https://youglish.com/pronounce/明天会更好/chinese","🔍")</f>
        <v/>
      </c>
    </row>
    <row r="355">
      <c r="A355" s="107" t="n">
        <v>353</v>
      </c>
      <c r="B355" s="108" t="inlineStr">
        <is>
          <t>Động viên / An ủi</t>
        </is>
      </c>
      <c r="C355" s="109" t="inlineStr">
        <is>
          <t>一切都会过去。</t>
        </is>
      </c>
      <c r="D355" s="108" t="inlineStr">
        <is>
          <t>Yī qiè dū huì guò qù.</t>
        </is>
      </c>
      <c r="E355" s="108" t="inlineStr">
        <is>
          <t>Mọi chuyện rồi sẽ qua.</t>
        </is>
      </c>
      <c r="F355" s="108" t="inlineStr">
        <is>
          <t>An ủi</t>
        </is>
      </c>
      <c r="G355" s="114">
        <f>HYPERLINK("https://youglish.com/pronounce/一切都会过去/chinese","🔍")</f>
        <v/>
      </c>
    </row>
    <row r="356">
      <c r="A356" s="110" t="n">
        <v>354</v>
      </c>
      <c r="B356" s="111" t="inlineStr">
        <is>
          <t>Động viên / An ủi</t>
        </is>
      </c>
      <c r="C356" s="112" t="inlineStr">
        <is>
          <t>时间会治愈一切。</t>
        </is>
      </c>
      <c r="D356" s="111" t="inlineStr">
        <is>
          <t>Shí jiān huì zhì yù yī qiè.</t>
        </is>
      </c>
      <c r="E356" s="111" t="inlineStr">
        <is>
          <t>Thời gian sẽ chữa lành tất cả.</t>
        </is>
      </c>
      <c r="F356" s="111" t="inlineStr">
        <is>
          <t>An ủi</t>
        </is>
      </c>
      <c r="G356" s="117">
        <f>HYPERLINK("https://youglish.com/pronounce/时间会治愈一切/chinese","🔍")</f>
        <v/>
      </c>
    </row>
    <row r="357">
      <c r="A357" s="107" t="n">
        <v>355</v>
      </c>
      <c r="B357" s="108" t="inlineStr">
        <is>
          <t>Động viên / An ủi</t>
        </is>
      </c>
      <c r="C357" s="109" t="inlineStr">
        <is>
          <t>注意休息。</t>
        </is>
      </c>
      <c r="D357" s="108" t="inlineStr">
        <is>
          <t>Zhù yì xiū xī.</t>
        </is>
      </c>
      <c r="E357" s="108" t="inlineStr">
        <is>
          <t>Nhớ nghỉ ngơi.</t>
        </is>
      </c>
      <c r="F357" s="108" t="inlineStr">
        <is>
          <t>Quan tâm</t>
        </is>
      </c>
      <c r="G357" s="114">
        <f>HYPERLINK("https://youglish.com/pronounce/注意休息/chinese","🔍")</f>
        <v/>
      </c>
    </row>
    <row r="358">
      <c r="A358" s="110" t="n">
        <v>356</v>
      </c>
      <c r="B358" s="111" t="inlineStr">
        <is>
          <t>Động viên / An ủi</t>
        </is>
      </c>
      <c r="C358" s="112" t="inlineStr">
        <is>
          <t>照顾好自己。</t>
        </is>
      </c>
      <c r="D358" s="111" t="inlineStr">
        <is>
          <t>Zhào gù hǎo zì jǐ.</t>
        </is>
      </c>
      <c r="E358" s="111" t="inlineStr">
        <is>
          <t>Chăm sóc bản thân nhé.</t>
        </is>
      </c>
      <c r="F358" s="111" t="inlineStr">
        <is>
          <t>Quan tâm</t>
        </is>
      </c>
      <c r="G358" s="117">
        <f>HYPERLINK("https://youglish.com/pronounce/照顾好自己/chinese","🔍")</f>
        <v/>
      </c>
    </row>
    <row r="359">
      <c r="A359" s="107" t="n">
        <v>357</v>
      </c>
      <c r="B359" s="108" t="inlineStr">
        <is>
          <t>Động viên / An ủi</t>
        </is>
      </c>
      <c r="C359" s="109" t="inlineStr">
        <is>
          <t>别太累了。</t>
        </is>
      </c>
      <c r="D359" s="108" t="inlineStr">
        <is>
          <t>Bié tài lèi le.</t>
        </is>
      </c>
      <c r="E359" s="108" t="inlineStr">
        <is>
          <t>Đừng làm quá sức.</t>
        </is>
      </c>
      <c r="F359" s="108" t="inlineStr">
        <is>
          <t>Quan tâm</t>
        </is>
      </c>
      <c r="G359" s="114">
        <f>HYPERLINK("https://youglish.com/pronounce/别太累了/chinese","🔍")</f>
        <v/>
      </c>
    </row>
    <row r="360">
      <c r="A360" s="110" t="n">
        <v>358</v>
      </c>
      <c r="B360" s="111" t="inlineStr">
        <is>
          <t>Động viên / An ủi</t>
        </is>
      </c>
      <c r="C360" s="112" t="inlineStr">
        <is>
          <t>加把劲。</t>
        </is>
      </c>
      <c r="D360" s="111" t="inlineStr">
        <is>
          <t>Jiā bǎ jìn.</t>
        </is>
      </c>
      <c r="E360" s="111" t="inlineStr">
        <is>
          <t>Cố thêm chút nữa.</t>
        </is>
      </c>
      <c r="F360" s="111" t="inlineStr">
        <is>
          <t>Cổ vũ</t>
        </is>
      </c>
      <c r="G360" s="117">
        <f>HYPERLINK("https://youglish.com/pronounce/加把劲/chinese","🔍")</f>
        <v/>
      </c>
    </row>
    <row r="361">
      <c r="A361" s="107" t="n">
        <v>359</v>
      </c>
      <c r="B361" s="108" t="inlineStr">
        <is>
          <t>Động viên / An ủi</t>
        </is>
      </c>
      <c r="C361" s="109" t="inlineStr">
        <is>
          <t>坚持就是胜利。</t>
        </is>
      </c>
      <c r="D361" s="108" t="inlineStr">
        <is>
          <t>Jiān chí jiù shì shèng lì.</t>
        </is>
      </c>
      <c r="E361" s="108" t="inlineStr">
        <is>
          <t>Kiên trì chính là chiến thắng.</t>
        </is>
      </c>
      <c r="F361" s="108" t="inlineStr">
        <is>
          <t>Cổ vũ</t>
        </is>
      </c>
      <c r="G361" s="114">
        <f>HYPERLINK("https://youglish.com/pronounce/坚持就是胜利/chinese","🔍")</f>
        <v/>
      </c>
    </row>
    <row r="362">
      <c r="A362" s="110" t="n">
        <v>360</v>
      </c>
      <c r="B362" s="111" t="inlineStr">
        <is>
          <t>Động viên / An ủi</t>
        </is>
      </c>
      <c r="C362" s="112" t="inlineStr">
        <is>
          <t>别放弃。</t>
        </is>
      </c>
      <c r="D362" s="111" t="inlineStr">
        <is>
          <t>Bié fàng qì.</t>
        </is>
      </c>
      <c r="E362" s="111" t="inlineStr">
        <is>
          <t>Đừng bỏ cuộc.</t>
        </is>
      </c>
      <c r="F362" s="111" t="inlineStr">
        <is>
          <t>Cổ vũ</t>
        </is>
      </c>
      <c r="G362" s="117">
        <f>HYPERLINK("https://youglish.com/pronounce/别放弃/chinese","🔍")</f>
        <v/>
      </c>
    </row>
    <row r="363">
      <c r="A363" s="107" t="n">
        <v>361</v>
      </c>
      <c r="B363" s="108" t="inlineStr">
        <is>
          <t>Bạn bè / Đùa vui</t>
        </is>
      </c>
      <c r="C363" s="109" t="inlineStr">
        <is>
          <t>哥们儿。</t>
        </is>
      </c>
      <c r="D363" s="108" t="inlineStr">
        <is>
          <t>Gē men er.</t>
        </is>
      </c>
      <c r="E363" s="108" t="inlineStr">
        <is>
          <t>Anh em / Chiến hữu.</t>
        </is>
      </c>
      <c r="F363" s="108" t="inlineStr">
        <is>
          <t>Xưng hô thân</t>
        </is>
      </c>
      <c r="G363" s="114">
        <f>HYPERLINK("https://youglish.com/pronounce/哥们儿/chinese","🔍")</f>
        <v/>
      </c>
    </row>
    <row r="364">
      <c r="A364" s="110" t="n">
        <v>362</v>
      </c>
      <c r="B364" s="111" t="inlineStr">
        <is>
          <t>Bạn bè / Đùa vui</t>
        </is>
      </c>
      <c r="C364" s="112" t="inlineStr">
        <is>
          <t>兄弟。</t>
        </is>
      </c>
      <c r="D364" s="111" t="inlineStr">
        <is>
          <t>Xiōng dì.</t>
        </is>
      </c>
      <c r="E364" s="111" t="inlineStr">
        <is>
          <t>Huynh đệ.</t>
        </is>
      </c>
      <c r="F364" s="111" t="inlineStr">
        <is>
          <t>Thân thiết</t>
        </is>
      </c>
      <c r="G364" s="117">
        <f>HYPERLINK("https://youglish.com/pronounce/兄弟/chinese","🔍")</f>
        <v/>
      </c>
    </row>
    <row r="365">
      <c r="A365" s="107" t="n">
        <v>363</v>
      </c>
      <c r="B365" s="108" t="inlineStr">
        <is>
          <t>Bạn bè / Đùa vui</t>
        </is>
      </c>
      <c r="C365" s="109" t="inlineStr">
        <is>
          <t>老铁。</t>
        </is>
      </c>
      <c r="D365" s="108" t="inlineStr">
        <is>
          <t>Lǎo tiě.</t>
        </is>
      </c>
      <c r="E365" s="108" t="inlineStr">
        <is>
          <t>Bạn thân / Anh em cứng.</t>
        </is>
      </c>
      <c r="F365" s="108" t="inlineStr">
        <is>
          <t>Khẩu ngữ mạng</t>
        </is>
      </c>
      <c r="G365" s="114">
        <f>HYPERLINK("https://youglish.com/pronounce/老铁/chinese","🔍")</f>
        <v/>
      </c>
    </row>
    <row r="366">
      <c r="A366" s="110" t="n">
        <v>364</v>
      </c>
      <c r="B366" s="111" t="inlineStr">
        <is>
          <t>Bạn bè / Đùa vui</t>
        </is>
      </c>
      <c r="C366" s="112" t="inlineStr">
        <is>
          <t>死党。</t>
        </is>
      </c>
      <c r="D366" s="111" t="inlineStr">
        <is>
          <t>Sǐ dǎng.</t>
        </is>
      </c>
      <c r="E366" s="111" t="inlineStr">
        <is>
          <t>Bạn chí cốt.</t>
        </is>
      </c>
      <c r="F366" s="111" t="inlineStr">
        <is>
          <t>Rất thân</t>
        </is>
      </c>
      <c r="G366" s="117">
        <f>HYPERLINK("https://youglish.com/pronounce/死党/chinese","🔍")</f>
        <v/>
      </c>
    </row>
    <row r="367">
      <c r="A367" s="107" t="n">
        <v>365</v>
      </c>
      <c r="B367" s="108" t="inlineStr">
        <is>
          <t>Bạn bè / Đùa vui</t>
        </is>
      </c>
      <c r="C367" s="109" t="inlineStr">
        <is>
          <t>闺蜜。</t>
        </is>
      </c>
      <c r="D367" s="108" t="inlineStr">
        <is>
          <t>Guī mì.</t>
        </is>
      </c>
      <c r="E367" s="108" t="inlineStr">
        <is>
          <t>Bạn gái thân.</t>
        </is>
      </c>
      <c r="F367" s="108" t="inlineStr">
        <is>
          <t>Nữ giới</t>
        </is>
      </c>
      <c r="G367" s="114">
        <f>HYPERLINK("https://youglish.com/pronounce/闺蜜/chinese","🔍")</f>
        <v/>
      </c>
    </row>
    <row r="368">
      <c r="A368" s="110" t="n">
        <v>366</v>
      </c>
      <c r="B368" s="111" t="inlineStr">
        <is>
          <t>Bạn bè / Đùa vui</t>
        </is>
      </c>
      <c r="C368" s="112" t="inlineStr">
        <is>
          <t>走一个！</t>
        </is>
      </c>
      <c r="D368" s="111" t="inlineStr">
        <is>
          <t>Zǒu yí gè!</t>
        </is>
      </c>
      <c r="E368" s="111" t="inlineStr">
        <is>
          <t>Làm một ly nào!</t>
        </is>
      </c>
      <c r="F368" s="111" t="inlineStr">
        <is>
          <t>Uống rượu</t>
        </is>
      </c>
      <c r="G368" s="117">
        <f>HYPERLINK("https://youglish.com/pronounce/走一个/chinese","🔍")</f>
        <v/>
      </c>
    </row>
    <row r="369">
      <c r="A369" s="107" t="n">
        <v>367</v>
      </c>
      <c r="B369" s="108" t="inlineStr">
        <is>
          <t>Bạn bè / Đùa vui</t>
        </is>
      </c>
      <c r="C369" s="109" t="inlineStr">
        <is>
          <t>干了！</t>
        </is>
      </c>
      <c r="D369" s="108" t="inlineStr">
        <is>
          <t>Gàn le!</t>
        </is>
      </c>
      <c r="E369" s="108" t="inlineStr">
        <is>
          <t>Cạn ly!</t>
        </is>
      </c>
      <c r="F369" s="108" t="inlineStr">
        <is>
          <t>Uống rượu</t>
        </is>
      </c>
      <c r="G369" s="114">
        <f>HYPERLINK("https://youglish.com/pronounce/干了/chinese","🔍")</f>
        <v/>
      </c>
    </row>
    <row r="370">
      <c r="A370" s="110" t="n">
        <v>368</v>
      </c>
      <c r="B370" s="111" t="inlineStr">
        <is>
          <t>Bạn bè / Đùa vui</t>
        </is>
      </c>
      <c r="C370" s="112" t="inlineStr">
        <is>
          <t>随意。</t>
        </is>
      </c>
      <c r="D370" s="111" t="inlineStr">
        <is>
          <t>Suí yì.</t>
        </is>
      </c>
      <c r="E370" s="111" t="inlineStr">
        <is>
          <t>Tùy sức thôi.</t>
        </is>
      </c>
      <c r="F370" s="111" t="inlineStr">
        <is>
          <t>Uống rượu</t>
        </is>
      </c>
      <c r="G370" s="117">
        <f>HYPERLINK("https://youglish.com/pronounce/随意/chinese","🔍")</f>
        <v/>
      </c>
    </row>
    <row r="371">
      <c r="A371" s="107" t="n">
        <v>369</v>
      </c>
      <c r="B371" s="108" t="inlineStr">
        <is>
          <t>Bạn bè / Đùa vui</t>
        </is>
      </c>
      <c r="C371" s="109" t="inlineStr">
        <is>
          <t>别装了。</t>
        </is>
      </c>
      <c r="D371" s="108" t="inlineStr">
        <is>
          <t>Bié zhuāng le.</t>
        </is>
      </c>
      <c r="E371" s="108" t="inlineStr">
        <is>
          <t>Đừng có làm bộ.</t>
        </is>
      </c>
      <c r="F371" s="108" t="inlineStr">
        <is>
          <t>Trêu</t>
        </is>
      </c>
      <c r="G371" s="114">
        <f>HYPERLINK("https://youglish.com/pronounce/别装了/chinese","🔍")</f>
        <v/>
      </c>
    </row>
    <row r="372">
      <c r="A372" s="110" t="n">
        <v>370</v>
      </c>
      <c r="B372" s="111" t="inlineStr">
        <is>
          <t>Bạn bè / Đùa vui</t>
        </is>
      </c>
      <c r="C372" s="112" t="inlineStr">
        <is>
          <t>少臭美。</t>
        </is>
      </c>
      <c r="D372" s="111" t="inlineStr">
        <is>
          <t>Shǎo chòu měi.</t>
        </is>
      </c>
      <c r="E372" s="111" t="inlineStr">
        <is>
          <t>Đừng tự luyến nữa.</t>
        </is>
      </c>
      <c r="F372" s="111" t="inlineStr">
        <is>
          <t>Trêu</t>
        </is>
      </c>
      <c r="G372" s="117">
        <f>HYPERLINK("https://youglish.com/pronounce/少臭美/chinese","🔍")</f>
        <v/>
      </c>
    </row>
    <row r="373">
      <c r="A373" s="107" t="n">
        <v>371</v>
      </c>
      <c r="B373" s="108" t="inlineStr">
        <is>
          <t>Bạn bè / Đùa vui</t>
        </is>
      </c>
      <c r="C373" s="109" t="inlineStr">
        <is>
          <t>就你话多。</t>
        </is>
      </c>
      <c r="D373" s="108" t="inlineStr">
        <is>
          <t>Jiù nǐ huà duō.</t>
        </is>
      </c>
      <c r="E373" s="108" t="inlineStr">
        <is>
          <t>Chỉ bạn là lắm mồm.</t>
        </is>
      </c>
      <c r="F373" s="108" t="inlineStr">
        <is>
          <t>Trêu</t>
        </is>
      </c>
      <c r="G373" s="114">
        <f>HYPERLINK("https://youglish.com/pronounce/就你话多/chinese","🔍")</f>
        <v/>
      </c>
    </row>
    <row r="374">
      <c r="A374" s="110" t="n">
        <v>372</v>
      </c>
      <c r="B374" s="111" t="inlineStr">
        <is>
          <t>Bạn bè / Đùa vui</t>
        </is>
      </c>
      <c r="C374" s="112" t="inlineStr">
        <is>
          <t>你又来了。</t>
        </is>
      </c>
      <c r="D374" s="111" t="inlineStr">
        <is>
          <t>Nǐ yòu lái le.</t>
        </is>
      </c>
      <c r="E374" s="111" t="inlineStr">
        <is>
          <t>Lại giở trò rồi.</t>
        </is>
      </c>
      <c r="F374" s="111" t="inlineStr">
        <is>
          <t>Trêu</t>
        </is>
      </c>
      <c r="G374" s="117">
        <f>HYPERLINK("https://youglish.com/pronounce/你又来了/chinese","🔍")</f>
        <v/>
      </c>
    </row>
    <row r="375">
      <c r="A375" s="107" t="n">
        <v>373</v>
      </c>
      <c r="B375" s="108" t="inlineStr">
        <is>
          <t>Bạn bè / Đùa vui</t>
        </is>
      </c>
      <c r="C375" s="109" t="inlineStr">
        <is>
          <t>老样子。</t>
        </is>
      </c>
      <c r="D375" s="108" t="inlineStr">
        <is>
          <t>Lǎo yàng zi.</t>
        </is>
      </c>
      <c r="E375" s="108" t="inlineStr">
        <is>
          <t>Vẫn như cũ.</t>
        </is>
      </c>
      <c r="F375" s="108" t="inlineStr">
        <is>
          <t>Trả lời hỏi thăm</t>
        </is>
      </c>
      <c r="G375" s="114">
        <f>HYPERLINK("https://youglish.com/pronounce/老样子/chinese","🔍")</f>
        <v/>
      </c>
    </row>
    <row r="376">
      <c r="A376" s="110" t="n">
        <v>374</v>
      </c>
      <c r="B376" s="111" t="inlineStr">
        <is>
          <t>Bạn bè / Đùa vui</t>
        </is>
      </c>
      <c r="C376" s="112" t="inlineStr">
        <is>
          <t>一言难尽。</t>
        </is>
      </c>
      <c r="D376" s="111" t="inlineStr">
        <is>
          <t>Yī yán nán jìn.</t>
        </is>
      </c>
      <c r="E376" s="111" t="inlineStr">
        <is>
          <t>Khó nói hết trong một lời.</t>
        </is>
      </c>
      <c r="F376" s="111" t="inlineStr">
        <is>
          <t>Ngại kể</t>
        </is>
      </c>
      <c r="G376" s="117">
        <f>HYPERLINK("https://youglish.com/pronounce/一言难尽/chinese","🔍")</f>
        <v/>
      </c>
    </row>
    <row r="377">
      <c r="A377" s="107" t="n">
        <v>375</v>
      </c>
      <c r="B377" s="108" t="inlineStr">
        <is>
          <t>Bạn bè / Đùa vui</t>
        </is>
      </c>
      <c r="C377" s="109" t="inlineStr">
        <is>
          <t>太有默契了。</t>
        </is>
      </c>
      <c r="D377" s="108" t="inlineStr">
        <is>
          <t>Tài yǒu mò qì le.</t>
        </is>
      </c>
      <c r="E377" s="108" t="inlineStr">
        <is>
          <t>Ăn ý ghê.</t>
        </is>
      </c>
      <c r="F377" s="108" t="inlineStr">
        <is>
          <t>Khen hợp</t>
        </is>
      </c>
      <c r="G377" s="114">
        <f>HYPERLINK("https://youglish.com/pronounce/太有默契了/chinese","🔍")</f>
        <v/>
      </c>
    </row>
    <row r="378">
      <c r="A378" s="110" t="n">
        <v>376</v>
      </c>
      <c r="B378" s="111" t="inlineStr">
        <is>
          <t>Bạn bè / Đùa vui</t>
        </is>
      </c>
      <c r="C378" s="112" t="inlineStr">
        <is>
          <t>想到一块了。</t>
        </is>
      </c>
      <c r="D378" s="111" t="inlineStr">
        <is>
          <t>Xiǎng dào yī kuài le.</t>
        </is>
      </c>
      <c r="E378" s="111" t="inlineStr">
        <is>
          <t>Nghĩ giống nhau ghê.</t>
        </is>
      </c>
      <c r="F378" s="111" t="inlineStr">
        <is>
          <t>Đồng điệu</t>
        </is>
      </c>
      <c r="G378" s="117">
        <f>HYPERLINK("https://youglish.com/pronounce/想到一块了/chinese","🔍")</f>
        <v/>
      </c>
    </row>
    <row r="379">
      <c r="A379" s="107" t="n">
        <v>377</v>
      </c>
      <c r="B379" s="108" t="inlineStr">
        <is>
          <t>Bạn bè / Đùa vui</t>
        </is>
      </c>
      <c r="C379" s="109" t="inlineStr">
        <is>
          <t>英雄所见略同。</t>
        </is>
      </c>
      <c r="D379" s="108" t="inlineStr">
        <is>
          <t>Yīng xióng suǒ jiàn lüè tóng.</t>
        </is>
      </c>
      <c r="E379" s="108" t="inlineStr">
        <is>
          <t>Anh hùng nhìn nhận giống nhau.</t>
        </is>
      </c>
      <c r="F379" s="108" t="inlineStr">
        <is>
          <t>Đồng quan điểm</t>
        </is>
      </c>
      <c r="G379" s="114">
        <f>HYPERLINK("https://youglish.com/pronounce/英雄所见略同/chinese","🔍")</f>
        <v/>
      </c>
    </row>
    <row r="380">
      <c r="A380" s="110" t="n">
        <v>378</v>
      </c>
      <c r="B380" s="111" t="inlineStr">
        <is>
          <t>Bạn bè / Đùa vui</t>
        </is>
      </c>
      <c r="C380" s="112" t="inlineStr">
        <is>
          <t>老规矩。</t>
        </is>
      </c>
      <c r="D380" s="111" t="inlineStr">
        <is>
          <t>Lǎo guī jǔ.</t>
        </is>
      </c>
      <c r="E380" s="111" t="inlineStr">
        <is>
          <t>Theo lệ cũ.</t>
        </is>
      </c>
      <c r="F380" s="111" t="inlineStr">
        <is>
          <t>Quen thuộc</t>
        </is>
      </c>
      <c r="G380" s="117">
        <f>HYPERLINK("https://youglish.com/pronounce/老规矩/chinese","🔍")</f>
        <v/>
      </c>
    </row>
    <row r="381">
      <c r="A381" s="107" t="n">
        <v>379</v>
      </c>
      <c r="B381" s="108" t="inlineStr">
        <is>
          <t>Bạn bè / Đùa vui</t>
        </is>
      </c>
      <c r="C381" s="109" t="inlineStr">
        <is>
          <t>你请客。</t>
        </is>
      </c>
      <c r="D381" s="108" t="inlineStr">
        <is>
          <t>Nǐ qǐng kè.</t>
        </is>
      </c>
      <c r="E381" s="108" t="inlineStr">
        <is>
          <t>Bạn khao nhé.</t>
        </is>
      </c>
      <c r="F381" s="108" t="inlineStr">
        <is>
          <t>Đùa</t>
        </is>
      </c>
      <c r="G381" s="114">
        <f>HYPERLINK("https://youglish.com/pronounce/你请客/chinese","🔍")</f>
        <v/>
      </c>
    </row>
    <row r="382">
      <c r="A382" s="110" t="n">
        <v>380</v>
      </c>
      <c r="B382" s="111" t="inlineStr">
        <is>
          <t>Bạn bè / Đùa vui</t>
        </is>
      </c>
      <c r="C382" s="112" t="inlineStr">
        <is>
          <t>谁怕谁！</t>
        </is>
      </c>
      <c r="D382" s="111" t="inlineStr">
        <is>
          <t>Shuí pà shuí!</t>
        </is>
      </c>
      <c r="E382" s="111" t="inlineStr">
        <is>
          <t>Sợ gì ai!</t>
        </is>
      </c>
      <c r="F382" s="111" t="inlineStr">
        <is>
          <t>Thách</t>
        </is>
      </c>
      <c r="G382" s="117">
        <f>HYPERLINK("https://youglish.com/pronounce/谁怕谁/chinese","🔍")</f>
        <v/>
      </c>
    </row>
    <row r="383">
      <c r="A383" s="107" t="n">
        <v>381</v>
      </c>
      <c r="B383" s="108" t="inlineStr">
        <is>
          <t>Bạn bè / Đùa vui</t>
        </is>
      </c>
      <c r="C383" s="109" t="inlineStr">
        <is>
          <t>奉陪到底。</t>
        </is>
      </c>
      <c r="D383" s="108" t="inlineStr">
        <is>
          <t>Fèng péi dào dǐ.</t>
        </is>
      </c>
      <c r="E383" s="108" t="inlineStr">
        <is>
          <t>Chơi tới cùng.</t>
        </is>
      </c>
      <c r="F383" s="108" t="inlineStr">
        <is>
          <t>Thách</t>
        </is>
      </c>
      <c r="G383" s="114">
        <f>HYPERLINK("https://youglish.com/pronounce/奉陪到底/chinese","🔍")</f>
        <v/>
      </c>
    </row>
    <row r="384">
      <c r="A384" s="110" t="n">
        <v>382</v>
      </c>
      <c r="B384" s="111" t="inlineStr">
        <is>
          <t>Bạn bè / Đùa vui</t>
        </is>
      </c>
      <c r="C384" s="112" t="inlineStr">
        <is>
          <t>不见不散。</t>
        </is>
      </c>
      <c r="D384" s="111" t="inlineStr">
        <is>
          <t>Bú jiàn bú sàn.</t>
        </is>
      </c>
      <c r="E384" s="111" t="inlineStr">
        <is>
          <t>Không gặp không về.</t>
        </is>
      </c>
      <c r="F384" s="111" t="inlineStr">
        <is>
          <t>Hẹn</t>
        </is>
      </c>
      <c r="G384" s="117">
        <f>HYPERLINK("https://youglish.com/pronounce/不见不散/chinese","🔍")</f>
        <v/>
      </c>
    </row>
    <row r="385">
      <c r="A385" s="107" t="n">
        <v>383</v>
      </c>
      <c r="B385" s="108" t="inlineStr">
        <is>
          <t>Bạn bè / Đùa vui</t>
        </is>
      </c>
      <c r="C385" s="109" t="inlineStr">
        <is>
          <t>一言为定！</t>
        </is>
      </c>
      <c r="D385" s="108" t="inlineStr">
        <is>
          <t>Yī yán wéi dìng!</t>
        </is>
      </c>
      <c r="E385" s="108" t="inlineStr">
        <is>
          <t>Nhất ngôn ký định!</t>
        </is>
      </c>
      <c r="F385" s="108" t="inlineStr">
        <is>
          <t>Chốt hẹn</t>
        </is>
      </c>
      <c r="G385" s="114">
        <f>HYPERLINK("https://youglish.com/pronounce/一言为定/chinese","🔍")</f>
        <v/>
      </c>
    </row>
    <row r="386">
      <c r="A386" s="110" t="n">
        <v>384</v>
      </c>
      <c r="B386" s="111" t="inlineStr">
        <is>
          <t>Bạn bè / Đùa vui</t>
        </is>
      </c>
      <c r="C386" s="112" t="inlineStr">
        <is>
          <t>拉钩。</t>
        </is>
      </c>
      <c r="D386" s="111" t="inlineStr">
        <is>
          <t>Lā gōu.</t>
        </is>
      </c>
      <c r="E386" s="111" t="inlineStr">
        <is>
          <t>Ngoéo tay nào.</t>
        </is>
      </c>
      <c r="F386" s="111" t="inlineStr">
        <is>
          <t>Hứa (trẻ con/đùa)</t>
        </is>
      </c>
      <c r="G386" s="117">
        <f>HYPERLINK("https://youglish.com/pronounce/拉钩/chinese","🔍")</f>
        <v/>
      </c>
    </row>
    <row r="387">
      <c r="A387" s="107" t="n">
        <v>385</v>
      </c>
      <c r="B387" s="108" t="inlineStr">
        <is>
          <t>Bạn bè / Đùa vui</t>
        </is>
      </c>
      <c r="C387" s="109" t="inlineStr">
        <is>
          <t>说话算话。</t>
        </is>
      </c>
      <c r="D387" s="108" t="inlineStr">
        <is>
          <t>Shuō huà suàn huà.</t>
        </is>
      </c>
      <c r="E387" s="108" t="inlineStr">
        <is>
          <t>Nói lời giữ lời.</t>
        </is>
      </c>
      <c r="F387" s="108" t="inlineStr">
        <is>
          <t>Cam kết</t>
        </is>
      </c>
      <c r="G387" s="114">
        <f>HYPERLINK("https://youglish.com/pronounce/说话算话/chinese","🔍")</f>
        <v/>
      </c>
    </row>
    <row r="388">
      <c r="A388" s="110" t="n">
        <v>386</v>
      </c>
      <c r="B388" s="111" t="inlineStr">
        <is>
          <t>Bạn bè / Đùa vui</t>
        </is>
      </c>
      <c r="C388" s="112" t="inlineStr">
        <is>
          <t>够意思。</t>
        </is>
      </c>
      <c r="D388" s="111" t="inlineStr">
        <is>
          <t>Gòu yì si.</t>
        </is>
      </c>
      <c r="E388" s="111" t="inlineStr">
        <is>
          <t>Chơi được đấy / Nghĩa khí.</t>
        </is>
      </c>
      <c r="F388" s="111" t="inlineStr">
        <is>
          <t>Khen bạn</t>
        </is>
      </c>
      <c r="G388" s="117">
        <f>HYPERLINK("https://youglish.com/pronounce/够意思/chinese","🔍")</f>
        <v/>
      </c>
    </row>
    <row r="389">
      <c r="A389" s="107" t="n">
        <v>387</v>
      </c>
      <c r="B389" s="108" t="inlineStr">
        <is>
          <t>Bạn bè / Đùa vui</t>
        </is>
      </c>
      <c r="C389" s="109" t="inlineStr">
        <is>
          <t>讲义气。</t>
        </is>
      </c>
      <c r="D389" s="108" t="inlineStr">
        <is>
          <t>Jiǎng yì qì.</t>
        </is>
      </c>
      <c r="E389" s="108" t="inlineStr">
        <is>
          <t>Trọng nghĩa khí.</t>
        </is>
      </c>
      <c r="F389" s="108" t="inlineStr">
        <is>
          <t>Khen bạn</t>
        </is>
      </c>
      <c r="G389" s="114">
        <f>HYPERLINK("https://youglish.com/pronounce/讲义气/chinese","🔍")</f>
        <v/>
      </c>
    </row>
    <row r="390">
      <c r="A390" s="110" t="n">
        <v>388</v>
      </c>
      <c r="B390" s="111" t="inlineStr">
        <is>
          <t>Bạn bè / Đùa vui</t>
        </is>
      </c>
      <c r="C390" s="112" t="inlineStr">
        <is>
          <t>别见怪。</t>
        </is>
      </c>
      <c r="D390" s="111" t="inlineStr">
        <is>
          <t>Bié jiàn guài.</t>
        </is>
      </c>
      <c r="E390" s="111" t="inlineStr">
        <is>
          <t>Đừng trách nhé.</t>
        </is>
      </c>
      <c r="F390" s="111" t="inlineStr">
        <is>
          <t>Xin lỗi thân</t>
        </is>
      </c>
      <c r="G390" s="117">
        <f>HYPERLINK("https://youglish.com/pronounce/别见怪/chinese","🔍")</f>
        <v/>
      </c>
    </row>
    <row r="391">
      <c r="A391" s="107" t="n">
        <v>389</v>
      </c>
      <c r="B391" s="108" t="inlineStr">
        <is>
          <t>Bạn bè / Đùa vui</t>
        </is>
      </c>
      <c r="C391" s="109" t="inlineStr">
        <is>
          <t>扯平了。</t>
        </is>
      </c>
      <c r="D391" s="108" t="inlineStr">
        <is>
          <t>Chě píng le.</t>
        </is>
      </c>
      <c r="E391" s="108" t="inlineStr">
        <is>
          <t>Huề nhau rồi.</t>
        </is>
      </c>
      <c r="F391" s="108" t="inlineStr">
        <is>
          <t>Hết nợ</t>
        </is>
      </c>
      <c r="G391" s="114">
        <f>HYPERLINK("https://youglish.com/pronounce/扯平了/chinese","🔍")</f>
        <v/>
      </c>
    </row>
    <row r="392">
      <c r="A392" s="110" t="n">
        <v>390</v>
      </c>
      <c r="B392" s="111" t="inlineStr">
        <is>
          <t>Bạn bè / Đùa vui</t>
        </is>
      </c>
      <c r="C392" s="112" t="inlineStr">
        <is>
          <t>改天聚聚。</t>
        </is>
      </c>
      <c r="D392" s="111" t="inlineStr">
        <is>
          <t>Gǎi tiān jù jù.</t>
        </is>
      </c>
      <c r="E392" s="111" t="inlineStr">
        <is>
          <t>Hôm nào tụ tập nhé.</t>
        </is>
      </c>
      <c r="F392" s="111" t="inlineStr">
        <is>
          <t>Hẹn</t>
        </is>
      </c>
      <c r="G392" s="117">
        <f>HYPERLINK("https://youglish.com/pronounce/改天聚聚/chinese","🔍")</f>
        <v/>
      </c>
    </row>
    <row r="393">
      <c r="A393" s="107" t="n">
        <v>391</v>
      </c>
      <c r="B393" s="108" t="inlineStr">
        <is>
          <t>Ăn uống / Mua sắm</t>
        </is>
      </c>
      <c r="C393" s="109" t="inlineStr">
        <is>
          <t>干杯！</t>
        </is>
      </c>
      <c r="D393" s="108" t="inlineStr">
        <is>
          <t>Gān bēi!</t>
        </is>
      </c>
      <c r="E393" s="108" t="inlineStr">
        <is>
          <t>Cạn ly!</t>
        </is>
      </c>
      <c r="F393" s="108" t="inlineStr">
        <is>
          <t>Nâng ly</t>
        </is>
      </c>
      <c r="G393" s="114">
        <f>HYPERLINK("https://youglish.com/pronounce/干杯/chinese","🔍")</f>
        <v/>
      </c>
    </row>
    <row r="394">
      <c r="A394" s="110" t="n">
        <v>392</v>
      </c>
      <c r="B394" s="111" t="inlineStr">
        <is>
          <t>Ăn uống / Mua sắm</t>
        </is>
      </c>
      <c r="C394" s="112" t="inlineStr">
        <is>
          <t>慢用。</t>
        </is>
      </c>
      <c r="D394" s="111" t="inlineStr">
        <is>
          <t>Màn yòng.</t>
        </is>
      </c>
      <c r="E394" s="111" t="inlineStr">
        <is>
          <t>Dùng từ từ ạ.</t>
        </is>
      </c>
      <c r="F394" s="111" t="inlineStr">
        <is>
          <t>Mời ăn</t>
        </is>
      </c>
      <c r="G394" s="117">
        <f>HYPERLINK("https://youglish.com/pronounce/慢用/chinese","🔍")</f>
        <v/>
      </c>
    </row>
    <row r="395">
      <c r="A395" s="107" t="n">
        <v>393</v>
      </c>
      <c r="B395" s="108" t="inlineStr">
        <is>
          <t>Ăn uống / Mua sắm</t>
        </is>
      </c>
      <c r="C395" s="109" t="inlineStr">
        <is>
          <t>好吃！</t>
        </is>
      </c>
      <c r="D395" s="108" t="inlineStr">
        <is>
          <t>Hǎo chī!</t>
        </is>
      </c>
      <c r="E395" s="108" t="inlineStr">
        <is>
          <t>Ngon!</t>
        </is>
      </c>
      <c r="F395" s="108" t="inlineStr">
        <is>
          <t>Khen món</t>
        </is>
      </c>
      <c r="G395" s="114">
        <f>HYPERLINK("https://youglish.com/pronounce/好吃/chinese","🔍")</f>
        <v/>
      </c>
    </row>
    <row r="396">
      <c r="A396" s="110" t="n">
        <v>394</v>
      </c>
      <c r="B396" s="111" t="inlineStr">
        <is>
          <t>Ăn uống / Mua sắm</t>
        </is>
      </c>
      <c r="C396" s="112" t="inlineStr">
        <is>
          <t>太香了！</t>
        </is>
      </c>
      <c r="D396" s="111" t="inlineStr">
        <is>
          <t>Tài xiāng le!</t>
        </is>
      </c>
      <c r="E396" s="111" t="inlineStr">
        <is>
          <t>Thơm quá!</t>
        </is>
      </c>
      <c r="F396" s="111" t="inlineStr">
        <is>
          <t>Khen món</t>
        </is>
      </c>
      <c r="G396" s="117">
        <f>HYPERLINK("https://youglish.com/pronounce/太香了/chinese","🔍")</f>
        <v/>
      </c>
    </row>
    <row r="397">
      <c r="A397" s="107" t="n">
        <v>395</v>
      </c>
      <c r="B397" s="108" t="inlineStr">
        <is>
          <t>Ăn uống / Mua sắm</t>
        </is>
      </c>
      <c r="C397" s="109" t="inlineStr">
        <is>
          <t>我买单。</t>
        </is>
      </c>
      <c r="D397" s="108" t="inlineStr">
        <is>
          <t>Wǒ mǎi dān.</t>
        </is>
      </c>
      <c r="E397" s="108" t="inlineStr">
        <is>
          <t>Để tôi trả tiền.</t>
        </is>
      </c>
      <c r="F397" s="108" t="inlineStr">
        <is>
          <t>Trả tiền</t>
        </is>
      </c>
      <c r="G397" s="114">
        <f>HYPERLINK("https://youglish.com/pronounce/我买单/chinese","🔍")</f>
        <v/>
      </c>
    </row>
    <row r="398">
      <c r="A398" s="110" t="n">
        <v>396</v>
      </c>
      <c r="B398" s="111" t="inlineStr">
        <is>
          <t>Ăn uống / Mua sắm</t>
        </is>
      </c>
      <c r="C398" s="112" t="inlineStr">
        <is>
          <t>我请客。</t>
        </is>
      </c>
      <c r="D398" s="111" t="inlineStr">
        <is>
          <t>Wǒ qǐng kè.</t>
        </is>
      </c>
      <c r="E398" s="111" t="inlineStr">
        <is>
          <t>Tôi mời.</t>
        </is>
      </c>
      <c r="F398" s="111" t="inlineStr">
        <is>
          <t>Bao</t>
        </is>
      </c>
      <c r="G398" s="117">
        <f>HYPERLINK("https://youglish.com/pronounce/我请客/chinese","🔍")</f>
        <v/>
      </c>
    </row>
    <row r="399">
      <c r="A399" s="107" t="n">
        <v>397</v>
      </c>
      <c r="B399" s="108" t="inlineStr">
        <is>
          <t>Ăn uống / Mua sắm</t>
        </is>
      </c>
      <c r="C399" s="109" t="inlineStr">
        <is>
          <t>各付各的。</t>
        </is>
      </c>
      <c r="D399" s="108" t="inlineStr">
        <is>
          <t>Gè fù gè de.</t>
        </is>
      </c>
      <c r="E399" s="108" t="inlineStr">
        <is>
          <t>Ai trả phần nấy (AA).</t>
        </is>
      </c>
      <c r="F399" s="108" t="inlineStr">
        <is>
          <t>Chia tiền</t>
        </is>
      </c>
      <c r="G399" s="114">
        <f>HYPERLINK("https://youglish.com/pronounce/各付各的/chinese","🔍")</f>
        <v/>
      </c>
    </row>
    <row r="400">
      <c r="A400" s="110" t="n">
        <v>398</v>
      </c>
      <c r="B400" s="111" t="inlineStr">
        <is>
          <t>Ăn uống / Mua sắm</t>
        </is>
      </c>
      <c r="C400" s="112" t="inlineStr">
        <is>
          <t>打包。</t>
        </is>
      </c>
      <c r="D400" s="111" t="inlineStr">
        <is>
          <t>Dǎ bāo.</t>
        </is>
      </c>
      <c r="E400" s="111" t="inlineStr">
        <is>
          <t>Gói mang về.</t>
        </is>
      </c>
      <c r="F400" s="111" t="inlineStr">
        <is>
          <t>Nhà hàng</t>
        </is>
      </c>
      <c r="G400" s="117">
        <f>HYPERLINK("https://youglish.com/pronounce/打包/chinese","🔍")</f>
        <v/>
      </c>
    </row>
    <row r="401">
      <c r="A401" s="107" t="n">
        <v>399</v>
      </c>
      <c r="B401" s="108" t="inlineStr">
        <is>
          <t>Ăn uống / Mua sắm</t>
        </is>
      </c>
      <c r="C401" s="109" t="inlineStr">
        <is>
          <t>再来一份。</t>
        </is>
      </c>
      <c r="D401" s="108" t="inlineStr">
        <is>
          <t>Zài lái yī fèn.</t>
        </is>
      </c>
      <c r="E401" s="108" t="inlineStr">
        <is>
          <t>Cho thêm một phần.</t>
        </is>
      </c>
      <c r="F401" s="108" t="inlineStr">
        <is>
          <t>Gọi thêm</t>
        </is>
      </c>
      <c r="G401" s="114">
        <f>HYPERLINK("https://youglish.com/pronounce/再来一份/chinese","🔍")</f>
        <v/>
      </c>
    </row>
    <row r="402">
      <c r="A402" s="110" t="n">
        <v>400</v>
      </c>
      <c r="B402" s="111" t="inlineStr">
        <is>
          <t>Ăn uống / Mua sắm</t>
        </is>
      </c>
      <c r="C402" s="112" t="inlineStr">
        <is>
          <t>多少钱？</t>
        </is>
      </c>
      <c r="D402" s="111" t="inlineStr">
        <is>
          <t>Duō shǎo qián?</t>
        </is>
      </c>
      <c r="E402" s="111" t="inlineStr">
        <is>
          <t>Bao nhiêu tiền?</t>
        </is>
      </c>
      <c r="F402" s="111" t="inlineStr">
        <is>
          <t>Hỏi giá</t>
        </is>
      </c>
      <c r="G402" s="117">
        <f>HYPERLINK("https://youglish.com/pronounce/多少钱/chinese","🔍")</f>
        <v/>
      </c>
    </row>
    <row r="403">
      <c r="A403" s="107" t="n">
        <v>401</v>
      </c>
      <c r="B403" s="108" t="inlineStr">
        <is>
          <t>Ăn uống / Mua sắm</t>
        </is>
      </c>
      <c r="C403" s="109" t="inlineStr">
        <is>
          <t>太贵了。</t>
        </is>
      </c>
      <c r="D403" s="108" t="inlineStr">
        <is>
          <t>Tài guì le.</t>
        </is>
      </c>
      <c r="E403" s="108" t="inlineStr">
        <is>
          <t>Đắt quá.</t>
        </is>
      </c>
      <c r="F403" s="108" t="inlineStr">
        <is>
          <t>Chê giá</t>
        </is>
      </c>
      <c r="G403" s="114">
        <f>HYPERLINK("https://youglish.com/pronounce/太贵了/chinese","🔍")</f>
        <v/>
      </c>
    </row>
    <row r="404">
      <c r="A404" s="110" t="n">
        <v>402</v>
      </c>
      <c r="B404" s="111" t="inlineStr">
        <is>
          <t>Ăn uống / Mua sắm</t>
        </is>
      </c>
      <c r="C404" s="112" t="inlineStr">
        <is>
          <t>便宜点。</t>
        </is>
      </c>
      <c r="D404" s="111" t="inlineStr">
        <is>
          <t>Pián yi diǎn.</t>
        </is>
      </c>
      <c r="E404" s="111" t="inlineStr">
        <is>
          <t>Bớt chút đi.</t>
        </is>
      </c>
      <c r="F404" s="111" t="inlineStr">
        <is>
          <t>Mặc cả</t>
        </is>
      </c>
      <c r="G404" s="117">
        <f>HYPERLINK("https://youglish.com/pronounce/便宜点/chinese","🔍")</f>
        <v/>
      </c>
    </row>
    <row r="405">
      <c r="A405" s="107" t="n">
        <v>403</v>
      </c>
      <c r="B405" s="108" t="inlineStr">
        <is>
          <t>Ăn uống / Mua sắm</t>
        </is>
      </c>
      <c r="C405" s="109" t="inlineStr">
        <is>
          <t>能便宜吗？</t>
        </is>
      </c>
      <c r="D405" s="108" t="inlineStr">
        <is>
          <t>Néng pián yi ma?</t>
        </is>
      </c>
      <c r="E405" s="108" t="inlineStr">
        <is>
          <t>Bớt được không?</t>
        </is>
      </c>
      <c r="F405" s="108" t="inlineStr">
        <is>
          <t>Mặc cả</t>
        </is>
      </c>
      <c r="G405" s="114">
        <f>HYPERLINK("https://youglish.com/pronounce/能便宜吗/chinese","🔍")</f>
        <v/>
      </c>
    </row>
    <row r="406">
      <c r="A406" s="110" t="n">
        <v>404</v>
      </c>
      <c r="B406" s="111" t="inlineStr">
        <is>
          <t>Ăn uống / Mua sắm</t>
        </is>
      </c>
      <c r="C406" s="112" t="inlineStr">
        <is>
          <t>不讲价。</t>
        </is>
      </c>
      <c r="D406" s="111" t="inlineStr">
        <is>
          <t>Bù jiǎng jià.</t>
        </is>
      </c>
      <c r="E406" s="111" t="inlineStr">
        <is>
          <t>Không mặc cả.</t>
        </is>
      </c>
      <c r="F406" s="111" t="inlineStr">
        <is>
          <t>Bán hàng</t>
        </is>
      </c>
      <c r="G406" s="117">
        <f>HYPERLINK("https://youglish.com/pronounce/不讲价/chinese","🔍")</f>
        <v/>
      </c>
    </row>
    <row r="407">
      <c r="A407" s="107" t="n">
        <v>405</v>
      </c>
      <c r="B407" s="108" t="inlineStr">
        <is>
          <t>Ăn uống / Mua sắm</t>
        </is>
      </c>
      <c r="C407" s="109" t="inlineStr">
        <is>
          <t>一口价。</t>
        </is>
      </c>
      <c r="D407" s="108" t="inlineStr">
        <is>
          <t>Yī kǒu jià.</t>
        </is>
      </c>
      <c r="E407" s="108" t="inlineStr">
        <is>
          <t>Giá chốt.</t>
        </is>
      </c>
      <c r="F407" s="108" t="inlineStr">
        <is>
          <t>Bán hàng</t>
        </is>
      </c>
      <c r="G407" s="114">
        <f>HYPERLINK("https://youglish.com/pronounce/一口价/chinese","🔍")</f>
        <v/>
      </c>
    </row>
    <row r="408">
      <c r="A408" s="110" t="n">
        <v>406</v>
      </c>
      <c r="B408" s="111" t="inlineStr">
        <is>
          <t>Ăn uống / Mua sắm</t>
        </is>
      </c>
      <c r="C408" s="112" t="inlineStr">
        <is>
          <t>买一送一。</t>
        </is>
      </c>
      <c r="D408" s="111" t="inlineStr">
        <is>
          <t>Mǎi yī sòng yī.</t>
        </is>
      </c>
      <c r="E408" s="111" t="inlineStr">
        <is>
          <t>Mua một tặng một.</t>
        </is>
      </c>
      <c r="F408" s="111" t="inlineStr">
        <is>
          <t>Khuyến mãi</t>
        </is>
      </c>
      <c r="G408" s="117">
        <f>HYPERLINK("https://youglish.com/pronounce/买一送一/chinese","🔍")</f>
        <v/>
      </c>
    </row>
    <row r="409">
      <c r="A409" s="107" t="n">
        <v>407</v>
      </c>
      <c r="B409" s="108" t="inlineStr">
        <is>
          <t>Ăn uống / Mua sắm</t>
        </is>
      </c>
      <c r="C409" s="109" t="inlineStr">
        <is>
          <t>划算。</t>
        </is>
      </c>
      <c r="D409" s="108" t="inlineStr">
        <is>
          <t>Huá suàn.</t>
        </is>
      </c>
      <c r="E409" s="108" t="inlineStr">
        <is>
          <t>Hời / Đáng đồng tiền.</t>
        </is>
      </c>
      <c r="F409" s="108" t="inlineStr">
        <is>
          <t>Đánh giá tốt</t>
        </is>
      </c>
      <c r="G409" s="114">
        <f>HYPERLINK("https://youglish.com/pronounce/划算/chinese","🔍")</f>
        <v/>
      </c>
    </row>
    <row r="410">
      <c r="A410" s="110" t="n">
        <v>408</v>
      </c>
      <c r="B410" s="111" t="inlineStr">
        <is>
          <t>Ăn uống / Mua sắm</t>
        </is>
      </c>
      <c r="C410" s="112" t="inlineStr">
        <is>
          <t>太值了。</t>
        </is>
      </c>
      <c r="D410" s="111" t="inlineStr">
        <is>
          <t>Tài zhí le.</t>
        </is>
      </c>
      <c r="E410" s="111" t="inlineStr">
        <is>
          <t>Quá đáng tiền.</t>
        </is>
      </c>
      <c r="F410" s="111" t="inlineStr">
        <is>
          <t>Hài lòng</t>
        </is>
      </c>
      <c r="G410" s="117">
        <f>HYPERLINK("https://youglish.com/pronounce/太值了/chinese","🔍")</f>
        <v/>
      </c>
    </row>
    <row r="411">
      <c r="A411" s="107" t="n">
        <v>409</v>
      </c>
      <c r="B411" s="108" t="inlineStr">
        <is>
          <t>Ăn uống / Mua sắm</t>
        </is>
      </c>
      <c r="C411" s="109" t="inlineStr">
        <is>
          <t>剁手。</t>
        </is>
      </c>
      <c r="D411" s="108" t="inlineStr">
        <is>
          <t>Duò shǒu.</t>
        </is>
      </c>
      <c r="E411" s="108" t="inlineStr">
        <is>
          <t>Chặt tay / Nghiện mua sắm.</t>
        </is>
      </c>
      <c r="F411" s="108" t="inlineStr">
        <is>
          <t>Tự trào</t>
        </is>
      </c>
      <c r="G411" s="114">
        <f>HYPERLINK("https://youglish.com/pronounce/剁手/chinese","🔍")</f>
        <v/>
      </c>
    </row>
    <row r="412">
      <c r="A412" s="110" t="n">
        <v>410</v>
      </c>
      <c r="B412" s="111" t="inlineStr">
        <is>
          <t>Ăn uống / Mua sắm</t>
        </is>
      </c>
      <c r="C412" s="112" t="inlineStr">
        <is>
          <t>随便逛逛。</t>
        </is>
      </c>
      <c r="D412" s="111" t="inlineStr">
        <is>
          <t>Suí biàn guàng guàng.</t>
        </is>
      </c>
      <c r="E412" s="111" t="inlineStr">
        <is>
          <t>Xem cho vui thôi.</t>
        </is>
      </c>
      <c r="F412" s="111" t="inlineStr">
        <is>
          <t>Vào cửa hàng</t>
        </is>
      </c>
      <c r="G412" s="117">
        <f>HYPERLINK("https://youglish.com/pronounce/随便逛逛/chinese","🔍")</f>
        <v/>
      </c>
    </row>
    <row r="413">
      <c r="A413" s="107" t="n">
        <v>411</v>
      </c>
      <c r="B413" s="108" t="inlineStr">
        <is>
          <t>Ăn uống / Mua sắm</t>
        </is>
      </c>
      <c r="C413" s="109" t="inlineStr">
        <is>
          <t>我要这个。</t>
        </is>
      </c>
      <c r="D413" s="108" t="inlineStr">
        <is>
          <t>Wǒ yào zhè ge.</t>
        </is>
      </c>
      <c r="E413" s="108" t="inlineStr">
        <is>
          <t>Tôi lấy cái này.</t>
        </is>
      </c>
      <c r="F413" s="108" t="inlineStr">
        <is>
          <t>Chọn mua</t>
        </is>
      </c>
      <c r="G413" s="114">
        <f>HYPERLINK("https://youglish.com/pronounce/我要这个/chinese","🔍")</f>
        <v/>
      </c>
    </row>
    <row r="414">
      <c r="A414" s="110" t="n">
        <v>412</v>
      </c>
      <c r="B414" s="111" t="inlineStr">
        <is>
          <t>Ăn uống / Mua sắm</t>
        </is>
      </c>
      <c r="C414" s="112" t="inlineStr">
        <is>
          <t>有别的颜色吗？</t>
        </is>
      </c>
      <c r="D414" s="111" t="inlineStr">
        <is>
          <t>Yǒu bié de yán sè ma?</t>
        </is>
      </c>
      <c r="E414" s="111" t="inlineStr">
        <is>
          <t>Có màu khác không?</t>
        </is>
      </c>
      <c r="F414" s="111" t="inlineStr">
        <is>
          <t>Hỏi hàng</t>
        </is>
      </c>
      <c r="G414" s="117">
        <f>HYPERLINK("https://youglish.com/pronounce/有别的颜色吗/chinese","🔍")</f>
        <v/>
      </c>
    </row>
    <row r="415">
      <c r="A415" s="107" t="n">
        <v>413</v>
      </c>
      <c r="B415" s="108" t="inlineStr">
        <is>
          <t>Ăn uống / Mua sắm</t>
        </is>
      </c>
      <c r="C415" s="109" t="inlineStr">
        <is>
          <t>试穿一下。</t>
        </is>
      </c>
      <c r="D415" s="108" t="inlineStr">
        <is>
          <t>Shì chuān yī xià.</t>
        </is>
      </c>
      <c r="E415" s="108" t="inlineStr">
        <is>
          <t>Mặc thử chút.</t>
        </is>
      </c>
      <c r="F415" s="108" t="inlineStr">
        <is>
          <t>Mua quần áo</t>
        </is>
      </c>
      <c r="G415" s="114">
        <f>HYPERLINK("https://youglish.com/pronounce/试穿一下/chinese","🔍")</f>
        <v/>
      </c>
    </row>
    <row r="416">
      <c r="A416" s="110" t="n">
        <v>414</v>
      </c>
      <c r="B416" s="111" t="inlineStr">
        <is>
          <t>Ăn uống / Mua sắm</t>
        </is>
      </c>
      <c r="C416" s="112" t="inlineStr">
        <is>
          <t>合身。</t>
        </is>
      </c>
      <c r="D416" s="111" t="inlineStr">
        <is>
          <t>Hé shēn.</t>
        </is>
      </c>
      <c r="E416" s="111" t="inlineStr">
        <is>
          <t>Vừa vặn.</t>
        </is>
      </c>
      <c r="F416" s="111" t="inlineStr">
        <is>
          <t>Thử đồ</t>
        </is>
      </c>
      <c r="G416" s="117">
        <f>HYPERLINK("https://youglish.com/pronounce/合身/chinese","🔍")</f>
        <v/>
      </c>
    </row>
    <row r="417">
      <c r="A417" s="107" t="n">
        <v>415</v>
      </c>
      <c r="B417" s="108" t="inlineStr">
        <is>
          <t>Ăn uống / Mua sắm</t>
        </is>
      </c>
      <c r="C417" s="109" t="inlineStr">
        <is>
          <t>不合适。</t>
        </is>
      </c>
      <c r="D417" s="108" t="inlineStr">
        <is>
          <t>Bù hé shì.</t>
        </is>
      </c>
      <c r="E417" s="108" t="inlineStr">
        <is>
          <t>Không hợp / Không vừa.</t>
        </is>
      </c>
      <c r="F417" s="108" t="inlineStr">
        <is>
          <t>Thử đồ</t>
        </is>
      </c>
      <c r="G417" s="114">
        <f>HYPERLINK("https://youglish.com/pronounce/不合适/chinese","🔍")</f>
        <v/>
      </c>
    </row>
    <row r="418">
      <c r="A418" s="110" t="n">
        <v>416</v>
      </c>
      <c r="B418" s="111" t="inlineStr">
        <is>
          <t>Ăn uống / Mua sắm</t>
        </is>
      </c>
      <c r="C418" s="112" t="inlineStr">
        <is>
          <t>能退货吗？</t>
        </is>
      </c>
      <c r="D418" s="111" t="inlineStr">
        <is>
          <t>Néng tuì huò ma?</t>
        </is>
      </c>
      <c r="E418" s="111" t="inlineStr">
        <is>
          <t>Trả hàng được không?</t>
        </is>
      </c>
      <c r="F418" s="111" t="inlineStr">
        <is>
          <t>Đổi trả</t>
        </is>
      </c>
      <c r="G418" s="117">
        <f>HYPERLINK("https://youglish.com/pronounce/能退货吗/chinese","🔍")</f>
        <v/>
      </c>
    </row>
    <row r="419">
      <c r="A419" s="107" t="n">
        <v>417</v>
      </c>
      <c r="B419" s="108" t="inlineStr">
        <is>
          <t>Ăn uống / Mua sắm</t>
        </is>
      </c>
      <c r="C419" s="109" t="inlineStr">
        <is>
          <t>包邮吗？</t>
        </is>
      </c>
      <c r="D419" s="108" t="inlineStr">
        <is>
          <t>Bāo yóu ma?</t>
        </is>
      </c>
      <c r="E419" s="108" t="inlineStr">
        <is>
          <t>Có miễn ship không?</t>
        </is>
      </c>
      <c r="F419" s="108" t="inlineStr">
        <is>
          <t>Mua online</t>
        </is>
      </c>
      <c r="G419" s="114">
        <f>HYPERLINK("https://youglish.com/pronounce/包邮吗/chinese","🔍")</f>
        <v/>
      </c>
    </row>
    <row r="420">
      <c r="A420" s="110" t="n">
        <v>418</v>
      </c>
      <c r="B420" s="111" t="inlineStr">
        <is>
          <t>Ăn uống / Mua sắm</t>
        </is>
      </c>
      <c r="C420" s="112" t="inlineStr">
        <is>
          <t>打几折？</t>
        </is>
      </c>
      <c r="D420" s="111" t="inlineStr">
        <is>
          <t>Dǎ jǐ zhé?</t>
        </is>
      </c>
      <c r="E420" s="111" t="inlineStr">
        <is>
          <t>Giảm mấy phần?</t>
        </is>
      </c>
      <c r="F420" s="111" t="inlineStr">
        <is>
          <t>Hỏi khuyến mãi</t>
        </is>
      </c>
      <c r="G420" s="117">
        <f>HYPERLINK("https://youglish.com/pronounce/打几折/chinese","🔍")</f>
        <v/>
      </c>
    </row>
    <row r="421">
      <c r="A421" s="107" t="n">
        <v>419</v>
      </c>
      <c r="B421" s="108" t="inlineStr">
        <is>
          <t>Ăn uống / Mua sắm</t>
        </is>
      </c>
      <c r="C421" s="109" t="inlineStr">
        <is>
          <t>结账。</t>
        </is>
      </c>
      <c r="D421" s="108" t="inlineStr">
        <is>
          <t>Jié zhàng.</t>
        </is>
      </c>
      <c r="E421" s="108" t="inlineStr">
        <is>
          <t>Tính tiền.</t>
        </is>
      </c>
      <c r="F421" s="108" t="inlineStr">
        <is>
          <t>Thanh toán</t>
        </is>
      </c>
      <c r="G421" s="114">
        <f>HYPERLINK("https://youglish.com/pronounce/结账/chinese","🔍")</f>
        <v/>
      </c>
    </row>
    <row r="422">
      <c r="A422" s="110" t="n">
        <v>420</v>
      </c>
      <c r="B422" s="111" t="inlineStr">
        <is>
          <t>Ăn uống / Mua sắm</t>
        </is>
      </c>
      <c r="C422" s="112" t="inlineStr">
        <is>
          <t>扫码支付。</t>
        </is>
      </c>
      <c r="D422" s="111" t="inlineStr">
        <is>
          <t>Sǎo mǎ zhī fù.</t>
        </is>
      </c>
      <c r="E422" s="111" t="inlineStr">
        <is>
          <t>Quét mã thanh toán.</t>
        </is>
      </c>
      <c r="F422" s="111" t="inlineStr">
        <is>
          <t>Trả tiền</t>
        </is>
      </c>
      <c r="G422" s="117">
        <f>HYPERLINK("https://youglish.com/pronounce/扫码支付/chinese","🔍")</f>
        <v/>
      </c>
    </row>
    <row r="423">
      <c r="A423" s="107" t="n">
        <v>421</v>
      </c>
      <c r="B423" s="108" t="inlineStr">
        <is>
          <t>Công việc / Văn phòng</t>
        </is>
      </c>
      <c r="C423" s="109" t="inlineStr">
        <is>
          <t>开会了。</t>
        </is>
      </c>
      <c r="D423" s="108" t="inlineStr">
        <is>
          <t>Kāi huì le.</t>
        </is>
      </c>
      <c r="E423" s="108" t="inlineStr">
        <is>
          <t>Họp thôi.</t>
        </is>
      </c>
      <c r="F423" s="108" t="inlineStr">
        <is>
          <t>Thông báo</t>
        </is>
      </c>
      <c r="G423" s="114">
        <f>HYPERLINK("https://youglish.com/pronounce/开会了/chinese","🔍")</f>
        <v/>
      </c>
    </row>
    <row r="424">
      <c r="A424" s="110" t="n">
        <v>422</v>
      </c>
      <c r="B424" s="111" t="inlineStr">
        <is>
          <t>Công việc / Văn phòng</t>
        </is>
      </c>
      <c r="C424" s="112" t="inlineStr">
        <is>
          <t>又要加班。</t>
        </is>
      </c>
      <c r="D424" s="111" t="inlineStr">
        <is>
          <t>Yòu yào jiā bān.</t>
        </is>
      </c>
      <c r="E424" s="111" t="inlineStr">
        <is>
          <t>Lại phải tăng ca.</t>
        </is>
      </c>
      <c r="F424" s="111" t="inlineStr">
        <is>
          <t>Than</t>
        </is>
      </c>
      <c r="G424" s="117">
        <f>HYPERLINK("https://youglish.com/pronounce/又要加班/chinese","🔍")</f>
        <v/>
      </c>
    </row>
    <row r="425">
      <c r="A425" s="107" t="n">
        <v>423</v>
      </c>
      <c r="B425" s="108" t="inlineStr">
        <is>
          <t>Công việc / Văn phòng</t>
        </is>
      </c>
      <c r="C425" s="109" t="inlineStr">
        <is>
          <t>甩锅。</t>
        </is>
      </c>
      <c r="D425" s="108" t="inlineStr">
        <is>
          <t>Shuǎi guō.</t>
        </is>
      </c>
      <c r="E425" s="108" t="inlineStr">
        <is>
          <t>Đổ trách nhiệm.</t>
        </is>
      </c>
      <c r="F425" s="108" t="inlineStr">
        <is>
          <t>Trốn lỗi</t>
        </is>
      </c>
      <c r="G425" s="114">
        <f>HYPERLINK("https://youglish.com/pronounce/甩锅/chinese","🔍")</f>
        <v/>
      </c>
    </row>
    <row r="426">
      <c r="A426" s="110" t="n">
        <v>424</v>
      </c>
      <c r="B426" s="111" t="inlineStr">
        <is>
          <t>Công việc / Văn phòng</t>
        </is>
      </c>
      <c r="C426" s="112" t="inlineStr">
        <is>
          <t>背锅。</t>
        </is>
      </c>
      <c r="D426" s="111" t="inlineStr">
        <is>
          <t>Bèi guō.</t>
        </is>
      </c>
      <c r="E426" s="111" t="inlineStr">
        <is>
          <t>Gánh tội thay.</t>
        </is>
      </c>
      <c r="F426" s="111" t="inlineStr">
        <is>
          <t>Chịu oan</t>
        </is>
      </c>
      <c r="G426" s="117">
        <f>HYPERLINK("https://youglish.com/pronounce/背锅/chinese","🔍")</f>
        <v/>
      </c>
    </row>
    <row r="427">
      <c r="A427" s="107" t="n">
        <v>425</v>
      </c>
      <c r="B427" s="108" t="inlineStr">
        <is>
          <t>Công việc / Văn phòng</t>
        </is>
      </c>
      <c r="C427" s="109" t="inlineStr">
        <is>
          <t>画饼。</t>
        </is>
      </c>
      <c r="D427" s="108" t="inlineStr">
        <is>
          <t>Huà bǐng.</t>
        </is>
      </c>
      <c r="E427" s="108" t="inlineStr">
        <is>
          <t>Vẽ bánh / Hứa suông.</t>
        </is>
      </c>
      <c r="F427" s="108" t="inlineStr">
        <is>
          <t>Sếp hứa hão</t>
        </is>
      </c>
      <c r="G427" s="114">
        <f>HYPERLINK("https://youglish.com/pronounce/画饼/chinese","🔍")</f>
        <v/>
      </c>
    </row>
    <row r="428">
      <c r="A428" s="110" t="n">
        <v>426</v>
      </c>
      <c r="B428" s="111" t="inlineStr">
        <is>
          <t>Công việc / Văn phòng</t>
        </is>
      </c>
      <c r="C428" s="112" t="inlineStr">
        <is>
          <t>拍马屁。</t>
        </is>
      </c>
      <c r="D428" s="111" t="inlineStr">
        <is>
          <t>Pāi mǎ pì.</t>
        </is>
      </c>
      <c r="E428" s="111" t="inlineStr">
        <is>
          <t>Nịnh bợ.</t>
        </is>
      </c>
      <c r="F428" s="111" t="inlineStr">
        <is>
          <t>Xu nịnh</t>
        </is>
      </c>
      <c r="G428" s="117">
        <f>HYPERLINK("https://youglish.com/pronounce/拍马屁/chinese","🔍")</f>
        <v/>
      </c>
    </row>
    <row r="429">
      <c r="A429" s="107" t="n">
        <v>427</v>
      </c>
      <c r="B429" s="108" t="inlineStr">
        <is>
          <t>Công việc / Văn phòng</t>
        </is>
      </c>
      <c r="C429" s="109" t="inlineStr">
        <is>
          <t>走流程。</t>
        </is>
      </c>
      <c r="D429" s="108" t="inlineStr">
        <is>
          <t>Zǒu liú chéng.</t>
        </is>
      </c>
      <c r="E429" s="108" t="inlineStr">
        <is>
          <t>Làm theo quy trình.</t>
        </is>
      </c>
      <c r="F429" s="108" t="inlineStr">
        <is>
          <t>Thủ tục</t>
        </is>
      </c>
      <c r="G429" s="114">
        <f>HYPERLINK("https://youglish.com/pronounce/走流程/chinese","🔍")</f>
        <v/>
      </c>
    </row>
    <row r="430">
      <c r="A430" s="110" t="n">
        <v>428</v>
      </c>
      <c r="B430" s="111" t="inlineStr">
        <is>
          <t>Công việc / Văn phòng</t>
        </is>
      </c>
      <c r="C430" s="112" t="inlineStr">
        <is>
          <t>对接一下。</t>
        </is>
      </c>
      <c r="D430" s="111" t="inlineStr">
        <is>
          <t>Duì jiē yī xià.</t>
        </is>
      </c>
      <c r="E430" s="111" t="inlineStr">
        <is>
          <t>Kết nối/bàn giao chút.</t>
        </is>
      </c>
      <c r="F430" s="111" t="inlineStr">
        <is>
          <t>Phối hợp</t>
        </is>
      </c>
      <c r="G430" s="117">
        <f>HYPERLINK("https://youglish.com/pronounce/对接一下/chinese","🔍")</f>
        <v/>
      </c>
    </row>
    <row r="431">
      <c r="A431" s="107" t="n">
        <v>429</v>
      </c>
      <c r="B431" s="108" t="inlineStr">
        <is>
          <t>Công việc / Văn phòng</t>
        </is>
      </c>
      <c r="C431" s="109" t="inlineStr">
        <is>
          <t>沟通一下。</t>
        </is>
      </c>
      <c r="D431" s="108" t="inlineStr">
        <is>
          <t>Gōu tōng yī xià.</t>
        </is>
      </c>
      <c r="E431" s="108" t="inlineStr">
        <is>
          <t>Trao đổi chút.</t>
        </is>
      </c>
      <c r="F431" s="108" t="inlineStr">
        <is>
          <t>Bàn bạc</t>
        </is>
      </c>
      <c r="G431" s="114">
        <f>HYPERLINK("https://youglish.com/pronounce/沟通一下/chinese","🔍")</f>
        <v/>
      </c>
    </row>
    <row r="432">
      <c r="A432" s="110" t="n">
        <v>430</v>
      </c>
      <c r="B432" s="111" t="inlineStr">
        <is>
          <t>Công việc / Văn phòng</t>
        </is>
      </c>
      <c r="C432" s="112" t="inlineStr">
        <is>
          <t>跟进一下。</t>
        </is>
      </c>
      <c r="D432" s="111" t="inlineStr">
        <is>
          <t>Gēn jìn yī xià.</t>
        </is>
      </c>
      <c r="E432" s="111" t="inlineStr">
        <is>
          <t>Theo sát chút nhé.</t>
        </is>
      </c>
      <c r="F432" s="111" t="inlineStr">
        <is>
          <t>Đôn đốc</t>
        </is>
      </c>
      <c r="G432" s="117">
        <f>HYPERLINK("https://youglish.com/pronounce/跟进一下/chinese","🔍")</f>
        <v/>
      </c>
    </row>
    <row r="433">
      <c r="A433" s="107" t="n">
        <v>431</v>
      </c>
      <c r="B433" s="108" t="inlineStr">
        <is>
          <t>Công việc / Văn phòng</t>
        </is>
      </c>
      <c r="C433" s="109" t="inlineStr">
        <is>
          <t>抓紧时间。</t>
        </is>
      </c>
      <c r="D433" s="108" t="inlineStr">
        <is>
          <t>Zhuā jǐn shí jiān.</t>
        </is>
      </c>
      <c r="E433" s="108" t="inlineStr">
        <is>
          <t>Tranh thủ thời gian.</t>
        </is>
      </c>
      <c r="F433" s="108" t="inlineStr">
        <is>
          <t>Giục</t>
        </is>
      </c>
      <c r="G433" s="114">
        <f>HYPERLINK("https://youglish.com/pronounce/抓紧时间/chinese","🔍")</f>
        <v/>
      </c>
    </row>
    <row r="434">
      <c r="A434" s="110" t="n">
        <v>432</v>
      </c>
      <c r="B434" s="111" t="inlineStr">
        <is>
          <t>Công việc / Văn phòng</t>
        </is>
      </c>
      <c r="C434" s="112" t="inlineStr">
        <is>
          <t>尽快。</t>
        </is>
      </c>
      <c r="D434" s="111" t="inlineStr">
        <is>
          <t>Jǐn kuài.</t>
        </is>
      </c>
      <c r="E434" s="111" t="inlineStr">
        <is>
          <t>Càng sớm càng tốt.</t>
        </is>
      </c>
      <c r="F434" s="111" t="inlineStr">
        <is>
          <t>Giục</t>
        </is>
      </c>
      <c r="G434" s="117">
        <f>HYPERLINK("https://youglish.com/pronounce/尽快/chinese","🔍")</f>
        <v/>
      </c>
    </row>
    <row r="435">
      <c r="A435" s="107" t="n">
        <v>433</v>
      </c>
      <c r="B435" s="108" t="inlineStr">
        <is>
          <t>Công việc / Văn phòng</t>
        </is>
      </c>
      <c r="C435" s="109" t="inlineStr">
        <is>
          <t>越快越好。</t>
        </is>
      </c>
      <c r="D435" s="108" t="inlineStr">
        <is>
          <t>Yuè kuài yuè hǎo.</t>
        </is>
      </c>
      <c r="E435" s="108" t="inlineStr">
        <is>
          <t>Nhanh nhất có thể.</t>
        </is>
      </c>
      <c r="F435" s="108" t="inlineStr">
        <is>
          <t>Giục</t>
        </is>
      </c>
      <c r="G435" s="114">
        <f>HYPERLINK("https://youglish.com/pronounce/越快越好/chinese","🔍")</f>
        <v/>
      </c>
    </row>
    <row r="436">
      <c r="A436" s="110" t="n">
        <v>434</v>
      </c>
      <c r="B436" s="111" t="inlineStr">
        <is>
          <t>Công việc / Văn phòng</t>
        </is>
      </c>
      <c r="C436" s="112" t="inlineStr">
        <is>
          <t>催一下。</t>
        </is>
      </c>
      <c r="D436" s="111" t="inlineStr">
        <is>
          <t>Cuī yī xià.</t>
        </is>
      </c>
      <c r="E436" s="111" t="inlineStr">
        <is>
          <t>Giục một chút.</t>
        </is>
      </c>
      <c r="F436" s="111" t="inlineStr">
        <is>
          <t>Đôn đốc</t>
        </is>
      </c>
      <c r="G436" s="117">
        <f>HYPERLINK("https://youglish.com/pronounce/催一下/chinese","🔍")</f>
        <v/>
      </c>
    </row>
    <row r="437">
      <c r="A437" s="107" t="n">
        <v>435</v>
      </c>
      <c r="B437" s="108" t="inlineStr">
        <is>
          <t>Công việc / Văn phòng</t>
        </is>
      </c>
      <c r="C437" s="109" t="inlineStr">
        <is>
          <t>加急。</t>
        </is>
      </c>
      <c r="D437" s="108" t="inlineStr">
        <is>
          <t>Jiā jí.</t>
        </is>
      </c>
      <c r="E437" s="108" t="inlineStr">
        <is>
          <t>Gấp / Ưu tiên.</t>
        </is>
      </c>
      <c r="F437" s="108" t="inlineStr">
        <is>
          <t>Khẩn</t>
        </is>
      </c>
      <c r="G437" s="114">
        <f>HYPERLINK("https://youglish.com/pronounce/加急/chinese","🔍")</f>
        <v/>
      </c>
    </row>
    <row r="438">
      <c r="A438" s="110" t="n">
        <v>436</v>
      </c>
      <c r="B438" s="111" t="inlineStr">
        <is>
          <t>Công việc / Văn phòng</t>
        </is>
      </c>
      <c r="C438" s="112" t="inlineStr">
        <is>
          <t>优先处理。</t>
        </is>
      </c>
      <c r="D438" s="111" t="inlineStr">
        <is>
          <t>Yōu xiān chǔ lǐ.</t>
        </is>
      </c>
      <c r="E438" s="111" t="inlineStr">
        <is>
          <t>Xử lý ưu tiên.</t>
        </is>
      </c>
      <c r="F438" s="111" t="inlineStr">
        <is>
          <t>Sắp xếp</t>
        </is>
      </c>
      <c r="G438" s="117">
        <f>HYPERLINK("https://youglish.com/pronounce/优先处理/chinese","🔍")</f>
        <v/>
      </c>
    </row>
    <row r="439">
      <c r="A439" s="107" t="n">
        <v>437</v>
      </c>
      <c r="B439" s="108" t="inlineStr">
        <is>
          <t>Công việc / Văn phòng</t>
        </is>
      </c>
      <c r="C439" s="109" t="inlineStr">
        <is>
          <t>我来搞定。</t>
        </is>
      </c>
      <c r="D439" s="108" t="inlineStr">
        <is>
          <t>Wǒ lái gǎo dìng.</t>
        </is>
      </c>
      <c r="E439" s="108" t="inlineStr">
        <is>
          <t>Để tôi lo.</t>
        </is>
      </c>
      <c r="F439" s="108" t="inlineStr">
        <is>
          <t>Nhận việc</t>
        </is>
      </c>
      <c r="G439" s="114">
        <f>HYPERLINK("https://youglish.com/pronounce/我来搞定/chinese","🔍")</f>
        <v/>
      </c>
    </row>
    <row r="440">
      <c r="A440" s="110" t="n">
        <v>438</v>
      </c>
      <c r="B440" s="111" t="inlineStr">
        <is>
          <t>Công việc / Văn phòng</t>
        </is>
      </c>
      <c r="C440" s="112" t="inlineStr">
        <is>
          <t>交给我。</t>
        </is>
      </c>
      <c r="D440" s="111" t="inlineStr">
        <is>
          <t>Jiāo gěi wǒ.</t>
        </is>
      </c>
      <c r="E440" s="111" t="inlineStr">
        <is>
          <t>Giao cho tôi.</t>
        </is>
      </c>
      <c r="F440" s="111" t="inlineStr">
        <is>
          <t>Nhận việc</t>
        </is>
      </c>
      <c r="G440" s="117">
        <f>HYPERLINK("https://youglish.com/pronounce/交给我/chinese","🔍")</f>
        <v/>
      </c>
    </row>
    <row r="441">
      <c r="A441" s="107" t="n">
        <v>439</v>
      </c>
      <c r="B441" s="108" t="inlineStr">
        <is>
          <t>Công việc / Văn phòng</t>
        </is>
      </c>
      <c r="C441" s="109" t="inlineStr">
        <is>
          <t>没空。</t>
        </is>
      </c>
      <c r="D441" s="108" t="inlineStr">
        <is>
          <t>Méi kòng.</t>
        </is>
      </c>
      <c r="E441" s="108" t="inlineStr">
        <is>
          <t>Không rảnh.</t>
        </is>
      </c>
      <c r="F441" s="108" t="inlineStr">
        <is>
          <t>Từ chối</t>
        </is>
      </c>
      <c r="G441" s="114">
        <f>HYPERLINK("https://youglish.com/pronounce/没空/chinese","🔍")</f>
        <v/>
      </c>
    </row>
    <row r="442">
      <c r="A442" s="110" t="n">
        <v>440</v>
      </c>
      <c r="B442" s="111" t="inlineStr">
        <is>
          <t>Công việc / Văn phòng</t>
        </is>
      </c>
      <c r="C442" s="112" t="inlineStr">
        <is>
          <t>忙不过来。</t>
        </is>
      </c>
      <c r="D442" s="111" t="inlineStr">
        <is>
          <t>Máng bù guò lái.</t>
        </is>
      </c>
      <c r="E442" s="111" t="inlineStr">
        <is>
          <t>Làm không xuể.</t>
        </is>
      </c>
      <c r="F442" s="111" t="inlineStr">
        <is>
          <t>Quá tải</t>
        </is>
      </c>
      <c r="G442" s="117">
        <f>HYPERLINK("https://youglish.com/pronounce/忙不过来/chinese","🔍")</f>
        <v/>
      </c>
    </row>
    <row r="443">
      <c r="A443" s="107" t="n">
        <v>441</v>
      </c>
      <c r="B443" s="108" t="inlineStr">
        <is>
          <t>Công việc / Văn phòng</t>
        </is>
      </c>
      <c r="C443" s="109" t="inlineStr">
        <is>
          <t>焦头烂额。</t>
        </is>
      </c>
      <c r="D443" s="108" t="inlineStr">
        <is>
          <t>Jiāo tóu làn é.</t>
        </is>
      </c>
      <c r="E443" s="108" t="inlineStr">
        <is>
          <t>Rối tung cả lên.</t>
        </is>
      </c>
      <c r="F443" s="108" t="inlineStr">
        <is>
          <t>Bận rối</t>
        </is>
      </c>
      <c r="G443" s="114">
        <f>HYPERLINK("https://youglish.com/pronounce/焦头烂额/chinese","🔍")</f>
        <v/>
      </c>
    </row>
    <row r="444">
      <c r="A444" s="110" t="n">
        <v>442</v>
      </c>
      <c r="B444" s="111" t="inlineStr">
        <is>
          <t>Công việc / Văn phòng</t>
        </is>
      </c>
      <c r="C444" s="112" t="inlineStr">
        <is>
          <t>忙成狗。</t>
        </is>
      </c>
      <c r="D444" s="111" t="inlineStr">
        <is>
          <t>Máng chéng gǒu.</t>
        </is>
      </c>
      <c r="E444" s="111" t="inlineStr">
        <is>
          <t>Bận như chó.</t>
        </is>
      </c>
      <c r="F444" s="111" t="inlineStr">
        <is>
          <t>Tự trào</t>
        </is>
      </c>
      <c r="G444" s="117">
        <f>HYPERLINK("https://youglish.com/pronounce/忙成狗/chinese","🔍")</f>
        <v/>
      </c>
    </row>
    <row r="445">
      <c r="A445" s="107" t="n">
        <v>443</v>
      </c>
      <c r="B445" s="108" t="inlineStr">
        <is>
          <t>Công việc / Văn phòng</t>
        </is>
      </c>
      <c r="C445" s="109" t="inlineStr">
        <is>
          <t>累成狗。</t>
        </is>
      </c>
      <c r="D445" s="108" t="inlineStr">
        <is>
          <t>Lèi chéng gǒu.</t>
        </is>
      </c>
      <c r="E445" s="108" t="inlineStr">
        <is>
          <t>Mệt như chó.</t>
        </is>
      </c>
      <c r="F445" s="108" t="inlineStr">
        <is>
          <t>Tự trào</t>
        </is>
      </c>
      <c r="G445" s="114">
        <f>HYPERLINK("https://youglish.com/pronounce/累成狗/chinese","🔍")</f>
        <v/>
      </c>
    </row>
    <row r="446">
      <c r="A446" s="110" t="n">
        <v>444</v>
      </c>
      <c r="B446" s="111" t="inlineStr">
        <is>
          <t>Công việc / Văn phòng</t>
        </is>
      </c>
      <c r="C446" s="112" t="inlineStr">
        <is>
          <t>社畜。</t>
        </is>
      </c>
      <c r="D446" s="111" t="inlineStr">
        <is>
          <t>Shè chù.</t>
        </is>
      </c>
      <c r="E446" s="111" t="inlineStr">
        <is>
          <t>Trâu ngựa công sở.</t>
        </is>
      </c>
      <c r="F446" s="111" t="inlineStr">
        <is>
          <t>Tự trào</t>
        </is>
      </c>
      <c r="G446" s="117">
        <f>HYPERLINK("https://youglish.com/pronounce/社畜/chinese","🔍")</f>
        <v/>
      </c>
    </row>
    <row r="447">
      <c r="A447" s="107" t="n">
        <v>445</v>
      </c>
      <c r="B447" s="108" t="inlineStr">
        <is>
          <t>Công việc / Văn phòng</t>
        </is>
      </c>
      <c r="C447" s="109" t="inlineStr">
        <is>
          <t>效率太低。</t>
        </is>
      </c>
      <c r="D447" s="108" t="inlineStr">
        <is>
          <t>Xiào lǜ tài dī.</t>
        </is>
      </c>
      <c r="E447" s="108" t="inlineStr">
        <is>
          <t>Hiệu suất quá thấp.</t>
        </is>
      </c>
      <c r="F447" s="108" t="inlineStr">
        <is>
          <t>Phàn nàn</t>
        </is>
      </c>
      <c r="G447" s="114">
        <f>HYPERLINK("https://youglish.com/pronounce/效率太低/chinese","🔍")</f>
        <v/>
      </c>
    </row>
    <row r="448">
      <c r="A448" s="110" t="n">
        <v>446</v>
      </c>
      <c r="B448" s="111" t="inlineStr">
        <is>
          <t>Công việc / Văn phòng</t>
        </is>
      </c>
      <c r="C448" s="112" t="inlineStr">
        <is>
          <t>明天交。</t>
        </is>
      </c>
      <c r="D448" s="111" t="inlineStr">
        <is>
          <t>Míng tiān jiāo.</t>
        </is>
      </c>
      <c r="E448" s="111" t="inlineStr">
        <is>
          <t>Mai nộp.</t>
        </is>
      </c>
      <c r="F448" s="111" t="inlineStr">
        <is>
          <t>Deadline</t>
        </is>
      </c>
      <c r="G448" s="117">
        <f>HYPERLINK("https://youglish.com/pronounce/明天交/chinese","🔍")</f>
        <v/>
      </c>
    </row>
    <row r="449">
      <c r="A449" s="107" t="n">
        <v>447</v>
      </c>
      <c r="B449" s="108" t="inlineStr">
        <is>
          <t>Công việc / Văn phòng</t>
        </is>
      </c>
      <c r="C449" s="109" t="inlineStr">
        <is>
          <t>按时完成。</t>
        </is>
      </c>
      <c r="D449" s="108" t="inlineStr">
        <is>
          <t>Àn shí wán chéng.</t>
        </is>
      </c>
      <c r="E449" s="108" t="inlineStr">
        <is>
          <t>Hoàn thành đúng hạn.</t>
        </is>
      </c>
      <c r="F449" s="108" t="inlineStr">
        <is>
          <t>Cam kết</t>
        </is>
      </c>
      <c r="G449" s="114">
        <f>HYPERLINK("https://youglish.com/pronounce/按时完成/chinese","🔍")</f>
        <v/>
      </c>
    </row>
    <row r="450">
      <c r="A450" s="110" t="n">
        <v>448</v>
      </c>
      <c r="B450" s="111" t="inlineStr">
        <is>
          <t>Công việc / Văn phòng</t>
        </is>
      </c>
      <c r="C450" s="112" t="inlineStr">
        <is>
          <t>没问题包在我身上。</t>
        </is>
      </c>
      <c r="D450" s="111" t="inlineStr">
        <is>
          <t>Méi wèn tí bāo zài wǒ shēn shàng.</t>
        </is>
      </c>
      <c r="E450" s="111" t="inlineStr">
        <is>
          <t>Yên tâm, cứ để tôi.</t>
        </is>
      </c>
      <c r="F450" s="111" t="inlineStr">
        <is>
          <t>Nhận việc</t>
        </is>
      </c>
      <c r="G450" s="117">
        <f>HYPERLINK("https://youglish.com/pronounce/没问题包在我身上/chinese","🔍")</f>
        <v/>
      </c>
    </row>
    <row r="451">
      <c r="A451" s="107" t="n">
        <v>449</v>
      </c>
      <c r="B451" s="108" t="inlineStr">
        <is>
          <t>Công việc / Văn phòng</t>
        </is>
      </c>
      <c r="C451" s="109" t="inlineStr">
        <is>
          <t>再确认一下。</t>
        </is>
      </c>
      <c r="D451" s="108" t="inlineStr">
        <is>
          <t>Zài què rèn yī xià.</t>
        </is>
      </c>
      <c r="E451" s="108" t="inlineStr">
        <is>
          <t>Xác nhận lại chút.</t>
        </is>
      </c>
      <c r="F451" s="108" t="inlineStr">
        <is>
          <t>Kiểm tra</t>
        </is>
      </c>
      <c r="G451" s="114">
        <f>HYPERLINK("https://youglish.com/pronounce/再确认一下/chinese","🔍")</f>
        <v/>
      </c>
    </row>
    <row r="452">
      <c r="A452" s="110" t="n">
        <v>450</v>
      </c>
      <c r="B452" s="111" t="inlineStr">
        <is>
          <t>Công việc / Văn phòng</t>
        </is>
      </c>
      <c r="C452" s="112" t="inlineStr">
        <is>
          <t>保持联系。</t>
        </is>
      </c>
      <c r="D452" s="111" t="inlineStr">
        <is>
          <t>Bǎo chí lián xì.</t>
        </is>
      </c>
      <c r="E452" s="111" t="inlineStr">
        <is>
          <t>Giữ liên lạc nhé.</t>
        </is>
      </c>
      <c r="F452" s="111" t="inlineStr">
        <is>
          <t>Kết thúc</t>
        </is>
      </c>
      <c r="G452" s="117">
        <f>HYPERLINK("https://youglish.com/pronounce/保持联系/chinese","🔍")</f>
        <v/>
      </c>
    </row>
    <row r="453">
      <c r="A453" s="107" t="n">
        <v>451</v>
      </c>
      <c r="B453" s="108" t="inlineStr">
        <is>
          <t>Trách móc / Cãi vã</t>
        </is>
      </c>
      <c r="C453" s="109" t="inlineStr">
        <is>
          <t>你怎么回事？</t>
        </is>
      </c>
      <c r="D453" s="108" t="inlineStr">
        <is>
          <t>Nǐ zěn me huí shì?</t>
        </is>
      </c>
      <c r="E453" s="108" t="inlineStr">
        <is>
          <t>Bạn bị làm sao vậy?</t>
        </is>
      </c>
      <c r="F453" s="108" t="inlineStr">
        <is>
          <t>Trách</t>
        </is>
      </c>
      <c r="G453" s="114">
        <f>HYPERLINK("https://youglish.com/pronounce/你怎么回事/chinese","🔍")</f>
        <v/>
      </c>
    </row>
    <row r="454">
      <c r="A454" s="110" t="n">
        <v>452</v>
      </c>
      <c r="B454" s="111" t="inlineStr">
        <is>
          <t>Trách móc / Cãi vã</t>
        </is>
      </c>
      <c r="C454" s="112" t="inlineStr">
        <is>
          <t>有完没完？</t>
        </is>
      </c>
      <c r="D454" s="111" t="inlineStr">
        <is>
          <t>Yǒu wán méi wán?</t>
        </is>
      </c>
      <c r="E454" s="111" t="inlineStr">
        <is>
          <t>Có xong chưa vậy?</t>
        </is>
      </c>
      <c r="F454" s="111" t="inlineStr">
        <is>
          <t>Bực</t>
        </is>
      </c>
      <c r="G454" s="117">
        <f>HYPERLINK("https://youglish.com/pronounce/有完没完/chinese","🔍")</f>
        <v/>
      </c>
    </row>
    <row r="455">
      <c r="A455" s="107" t="n">
        <v>453</v>
      </c>
      <c r="B455" s="108" t="inlineStr">
        <is>
          <t>Trách móc / Cãi vã</t>
        </is>
      </c>
      <c r="C455" s="109" t="inlineStr">
        <is>
          <t>够了！</t>
        </is>
      </c>
      <c r="D455" s="108" t="inlineStr">
        <is>
          <t>Gòu le!</t>
        </is>
      </c>
      <c r="E455" s="108" t="inlineStr">
        <is>
          <t>Đủ rồi!</t>
        </is>
      </c>
      <c r="F455" s="108" t="inlineStr">
        <is>
          <t>Quát nhẹ</t>
        </is>
      </c>
      <c r="G455" s="114">
        <f>HYPERLINK("https://youglish.com/pronounce/够了/chinese","🔍")</f>
        <v/>
      </c>
    </row>
    <row r="456">
      <c r="A456" s="110" t="n">
        <v>454</v>
      </c>
      <c r="B456" s="111" t="inlineStr">
        <is>
          <t>Trách móc / Cãi vã</t>
        </is>
      </c>
      <c r="C456" s="112" t="inlineStr">
        <is>
          <t>别烦我。</t>
        </is>
      </c>
      <c r="D456" s="111" t="inlineStr">
        <is>
          <t>Bié fán wǒ.</t>
        </is>
      </c>
      <c r="E456" s="111" t="inlineStr">
        <is>
          <t>Đừng làm phiền tôi.</t>
        </is>
      </c>
      <c r="F456" s="111" t="inlineStr">
        <is>
          <t>Cáu</t>
        </is>
      </c>
      <c r="G456" s="117">
        <f>HYPERLINK("https://youglish.com/pronounce/别烦我/chinese","🔍")</f>
        <v/>
      </c>
    </row>
    <row r="457">
      <c r="A457" s="107" t="n">
        <v>455</v>
      </c>
      <c r="B457" s="108" t="inlineStr">
        <is>
          <t>Trách móc / Cãi vã</t>
        </is>
      </c>
      <c r="C457" s="109" t="inlineStr">
        <is>
          <t>离我远点。</t>
        </is>
      </c>
      <c r="D457" s="108" t="inlineStr">
        <is>
          <t>Lí wǒ yuǎn diǎn.</t>
        </is>
      </c>
      <c r="E457" s="108" t="inlineStr">
        <is>
          <t>Tránh xa tôi ra.</t>
        </is>
      </c>
      <c r="F457" s="108" t="inlineStr">
        <is>
          <t>Đuổi</t>
        </is>
      </c>
      <c r="G457" s="114">
        <f>HYPERLINK("https://youglish.com/pronounce/离我远点/chinese","🔍")</f>
        <v/>
      </c>
    </row>
    <row r="458">
      <c r="A458" s="110" t="n">
        <v>456</v>
      </c>
      <c r="B458" s="111" t="inlineStr">
        <is>
          <t>Trách móc / Cãi vã</t>
        </is>
      </c>
      <c r="C458" s="112" t="inlineStr">
        <is>
          <t>关你什么事？</t>
        </is>
      </c>
      <c r="D458" s="111" t="inlineStr">
        <is>
          <t>Guān nǐ shén me shì?</t>
        </is>
      </c>
      <c r="E458" s="111" t="inlineStr">
        <is>
          <t>Liên quan gì đến bạn?</t>
        </is>
      </c>
      <c r="F458" s="111" t="inlineStr">
        <is>
          <t>Phản bác</t>
        </is>
      </c>
      <c r="G458" s="117">
        <f>HYPERLINK("https://youglish.com/pronounce/关你什么事/chinese","🔍")</f>
        <v/>
      </c>
    </row>
    <row r="459">
      <c r="A459" s="107" t="n">
        <v>457</v>
      </c>
      <c r="B459" s="108" t="inlineStr">
        <is>
          <t>Trách móc / Cãi vã</t>
        </is>
      </c>
      <c r="C459" s="109" t="inlineStr">
        <is>
          <t>少管闲事。</t>
        </is>
      </c>
      <c r="D459" s="108" t="inlineStr">
        <is>
          <t>Shǎo guǎn xián shì.</t>
        </is>
      </c>
      <c r="E459" s="108" t="inlineStr">
        <is>
          <t>Bớt lo chuyện bao đồng.</t>
        </is>
      </c>
      <c r="F459" s="108" t="inlineStr">
        <is>
          <t>Cáu</t>
        </is>
      </c>
      <c r="G459" s="114">
        <f>HYPERLINK("https://youglish.com/pronounce/少管闲事/chinese","🔍")</f>
        <v/>
      </c>
    </row>
    <row r="460">
      <c r="A460" s="110" t="n">
        <v>458</v>
      </c>
      <c r="B460" s="111" t="inlineStr">
        <is>
          <t>Trách móc / Cãi vã</t>
        </is>
      </c>
      <c r="C460" s="112" t="inlineStr">
        <is>
          <t>你算老几？</t>
        </is>
      </c>
      <c r="D460" s="111" t="inlineStr">
        <is>
          <t>Nǐ suàn lǎo jǐ?</t>
        </is>
      </c>
      <c r="E460" s="111" t="inlineStr">
        <is>
          <t>Bạn là cái thá gì?</t>
        </is>
      </c>
      <c r="F460" s="111" t="inlineStr">
        <is>
          <t>Khinh</t>
        </is>
      </c>
      <c r="G460" s="117">
        <f>HYPERLINK("https://youglish.com/pronounce/你算老几/chinese","🔍")</f>
        <v/>
      </c>
    </row>
    <row r="461">
      <c r="A461" s="107" t="n">
        <v>459</v>
      </c>
      <c r="B461" s="108" t="inlineStr">
        <is>
          <t>Trách móc / Cãi vã</t>
        </is>
      </c>
      <c r="C461" s="109" t="inlineStr">
        <is>
          <t>装什么装？</t>
        </is>
      </c>
      <c r="D461" s="108" t="inlineStr">
        <is>
          <t>Zhuāng shén me zhuāng?</t>
        </is>
      </c>
      <c r="E461" s="108" t="inlineStr">
        <is>
          <t>Làm bộ cái gì?</t>
        </is>
      </c>
      <c r="F461" s="108" t="inlineStr">
        <is>
          <t>Mỉa</t>
        </is>
      </c>
      <c r="G461" s="114">
        <f>HYPERLINK("https://youglish.com/pronounce/装什么装/chinese","🔍")</f>
        <v/>
      </c>
    </row>
    <row r="462">
      <c r="A462" s="110" t="n">
        <v>460</v>
      </c>
      <c r="B462" s="111" t="inlineStr">
        <is>
          <t>Trách móc / Cãi vã</t>
        </is>
      </c>
      <c r="C462" s="112" t="inlineStr">
        <is>
          <t>别得寸进尺。</t>
        </is>
      </c>
      <c r="D462" s="111" t="inlineStr">
        <is>
          <t>Bié dé cùn jìn chǐ.</t>
        </is>
      </c>
      <c r="E462" s="111" t="inlineStr">
        <is>
          <t>Đừng được đằng chân lân đằng đầu.</t>
        </is>
      </c>
      <c r="F462" s="111" t="inlineStr">
        <is>
          <t>Cảnh cáo</t>
        </is>
      </c>
      <c r="G462" s="117">
        <f>HYPERLINK("https://youglish.com/pronounce/别得寸进尺/chinese","🔍")</f>
        <v/>
      </c>
    </row>
    <row r="463">
      <c r="A463" s="107" t="n">
        <v>461</v>
      </c>
      <c r="B463" s="108" t="inlineStr">
        <is>
          <t>Trách móc / Cãi vã</t>
        </is>
      </c>
      <c r="C463" s="109" t="inlineStr">
        <is>
          <t>你太过分了。</t>
        </is>
      </c>
      <c r="D463" s="108" t="inlineStr">
        <is>
          <t>Nǐ tài guò fèn le.</t>
        </is>
      </c>
      <c r="E463" s="108" t="inlineStr">
        <is>
          <t>Bạn quá đáng rồi.</t>
        </is>
      </c>
      <c r="F463" s="108" t="inlineStr">
        <is>
          <t>Trách</t>
        </is>
      </c>
      <c r="G463" s="114">
        <f>HYPERLINK("https://youglish.com/pronounce/你太过分了/chinese","🔍")</f>
        <v/>
      </c>
    </row>
    <row r="464">
      <c r="A464" s="110" t="n">
        <v>462</v>
      </c>
      <c r="B464" s="111" t="inlineStr">
        <is>
          <t>Trách móc / Cãi vã</t>
        </is>
      </c>
      <c r="C464" s="112" t="inlineStr">
        <is>
          <t>太不像话。</t>
        </is>
      </c>
      <c r="D464" s="111" t="inlineStr">
        <is>
          <t>Tài bù xiàng huà.</t>
        </is>
      </c>
      <c r="E464" s="111" t="inlineStr">
        <is>
          <t>Chẳng ra làm sao.</t>
        </is>
      </c>
      <c r="F464" s="111" t="inlineStr">
        <is>
          <t>Trách</t>
        </is>
      </c>
      <c r="G464" s="117">
        <f>HYPERLINK("https://youglish.com/pronounce/太不像话/chinese","🔍")</f>
        <v/>
      </c>
    </row>
    <row r="465">
      <c r="A465" s="107" t="n">
        <v>463</v>
      </c>
      <c r="B465" s="108" t="inlineStr">
        <is>
          <t>Trách móc / Cãi vã</t>
        </is>
      </c>
      <c r="C465" s="109" t="inlineStr">
        <is>
          <t>岂有此理！</t>
        </is>
      </c>
      <c r="D465" s="108" t="inlineStr">
        <is>
          <t>Qǐ yǒu cǐ lǐ!</t>
        </is>
      </c>
      <c r="E465" s="108" t="inlineStr">
        <is>
          <t>Thật vô lý!</t>
        </is>
      </c>
      <c r="F465" s="108" t="inlineStr">
        <is>
          <t>Phẫn nộ</t>
        </is>
      </c>
      <c r="G465" s="114">
        <f>HYPERLINK("https://youglish.com/pronounce/岂有此理/chinese","🔍")</f>
        <v/>
      </c>
    </row>
    <row r="466">
      <c r="A466" s="110" t="n">
        <v>464</v>
      </c>
      <c r="B466" s="111" t="inlineStr">
        <is>
          <t>Trách móc / Cãi vã</t>
        </is>
      </c>
      <c r="C466" s="112" t="inlineStr">
        <is>
          <t>无理取闹。</t>
        </is>
      </c>
      <c r="D466" s="111" t="inlineStr">
        <is>
          <t>Wú lǐ qǔ nào.</t>
        </is>
      </c>
      <c r="E466" s="111" t="inlineStr">
        <is>
          <t>Vô cớ làm loạn.</t>
        </is>
      </c>
      <c r="F466" s="111" t="inlineStr">
        <is>
          <t>Phê phán</t>
        </is>
      </c>
      <c r="G466" s="117">
        <f>HYPERLINK("https://youglish.com/pronounce/无理取闹/chinese","🔍")</f>
        <v/>
      </c>
    </row>
    <row r="467">
      <c r="A467" s="107" t="n">
        <v>465</v>
      </c>
      <c r="B467" s="108" t="inlineStr">
        <is>
          <t>Trách móc / Cãi vã</t>
        </is>
      </c>
      <c r="C467" s="109" t="inlineStr">
        <is>
          <t>蛮不讲理。</t>
        </is>
      </c>
      <c r="D467" s="108" t="inlineStr">
        <is>
          <t>Mán bù jiǎng lǐ.</t>
        </is>
      </c>
      <c r="E467" s="108" t="inlineStr">
        <is>
          <t>Ngang ngược vô lý.</t>
        </is>
      </c>
      <c r="F467" s="108" t="inlineStr">
        <is>
          <t>Phê phán</t>
        </is>
      </c>
      <c r="G467" s="114">
        <f>HYPERLINK("https://youglish.com/pronounce/蛮不讲理/chinese","🔍")</f>
        <v/>
      </c>
    </row>
    <row r="468">
      <c r="A468" s="110" t="n">
        <v>466</v>
      </c>
      <c r="B468" s="111" t="inlineStr">
        <is>
          <t>Trách móc / Cãi vã</t>
        </is>
      </c>
      <c r="C468" s="112" t="inlineStr">
        <is>
          <t>强词夺理。</t>
        </is>
      </c>
      <c r="D468" s="111" t="inlineStr">
        <is>
          <t>Qiǎng cí duó lǐ.</t>
        </is>
      </c>
      <c r="E468" s="111" t="inlineStr">
        <is>
          <t>Cãi cùn cãi bừa.</t>
        </is>
      </c>
      <c r="F468" s="111" t="inlineStr">
        <is>
          <t>Phê phán</t>
        </is>
      </c>
      <c r="G468" s="117">
        <f>HYPERLINK("https://youglish.com/pronounce/强词夺理/chinese","🔍")</f>
        <v/>
      </c>
    </row>
    <row r="469">
      <c r="A469" s="107" t="n">
        <v>467</v>
      </c>
      <c r="B469" s="108" t="inlineStr">
        <is>
          <t>Trách móc / Cãi vã</t>
        </is>
      </c>
      <c r="C469" s="109" t="inlineStr">
        <is>
          <t>嘴硬。</t>
        </is>
      </c>
      <c r="D469" s="108" t="inlineStr">
        <is>
          <t>Zuǐ yìng.</t>
        </is>
      </c>
      <c r="E469" s="108" t="inlineStr">
        <is>
          <t>Cứng mồm / Chối bay.</t>
        </is>
      </c>
      <c r="F469" s="108" t="inlineStr">
        <is>
          <t>Chê</t>
        </is>
      </c>
      <c r="G469" s="114">
        <f>HYPERLINK("https://youglish.com/pronounce/嘴硬/chinese","🔍")</f>
        <v/>
      </c>
    </row>
    <row r="470">
      <c r="A470" s="110" t="n">
        <v>468</v>
      </c>
      <c r="B470" s="111" t="inlineStr">
        <is>
          <t>Trách móc / Cãi vã</t>
        </is>
      </c>
      <c r="C470" s="112" t="inlineStr">
        <is>
          <t>倒打一耙。</t>
        </is>
      </c>
      <c r="D470" s="111" t="inlineStr">
        <is>
          <t>Dào dǎ yī pá.</t>
        </is>
      </c>
      <c r="E470" s="111" t="inlineStr">
        <is>
          <t>Vừa ăn cắp vừa la làng.</t>
        </is>
      </c>
      <c r="F470" s="111" t="inlineStr">
        <is>
          <t>Phê phán</t>
        </is>
      </c>
      <c r="G470" s="117">
        <f>HYPERLINK("https://youglish.com/pronounce/倒打一耙/chinese","🔍")</f>
        <v/>
      </c>
    </row>
    <row r="471">
      <c r="A471" s="107" t="n">
        <v>469</v>
      </c>
      <c r="B471" s="108" t="inlineStr">
        <is>
          <t>Trách móc / Cãi vã</t>
        </is>
      </c>
      <c r="C471" s="109" t="inlineStr">
        <is>
          <t>睁眼说瞎话。</t>
        </is>
      </c>
      <c r="D471" s="108" t="inlineStr">
        <is>
          <t>Zhēng yǎn shuō xiā huà.</t>
        </is>
      </c>
      <c r="E471" s="108" t="inlineStr">
        <is>
          <t>Mở mắt nói dối trắng trợn.</t>
        </is>
      </c>
      <c r="F471" s="108" t="inlineStr">
        <is>
          <t>Phê phán</t>
        </is>
      </c>
      <c r="G471" s="114">
        <f>HYPERLINK("https://youglish.com/pronounce/睁眼说瞎话/chinese","🔍")</f>
        <v/>
      </c>
    </row>
    <row r="472">
      <c r="A472" s="110" t="n">
        <v>470</v>
      </c>
      <c r="B472" s="111" t="inlineStr">
        <is>
          <t>Trách móc / Cãi vã</t>
        </is>
      </c>
      <c r="C472" s="112" t="inlineStr">
        <is>
          <t>有种别跑！</t>
        </is>
      </c>
      <c r="D472" s="111" t="inlineStr">
        <is>
          <t>Yǒu zhǒng bié pǎo!</t>
        </is>
      </c>
      <c r="E472" s="111" t="inlineStr">
        <is>
          <t>Có gan thì đừng chạy!</t>
        </is>
      </c>
      <c r="F472" s="111" t="inlineStr">
        <is>
          <t>Thách</t>
        </is>
      </c>
      <c r="G472" s="117">
        <f>HYPERLINK("https://youglish.com/pronounce/有种别跑/chinese","🔍")</f>
        <v/>
      </c>
    </row>
    <row r="473">
      <c r="A473" s="107" t="n">
        <v>471</v>
      </c>
      <c r="B473" s="108" t="inlineStr">
        <is>
          <t>Trách móc / Cãi vã</t>
        </is>
      </c>
      <c r="C473" s="109" t="inlineStr">
        <is>
          <t>冲我来。</t>
        </is>
      </c>
      <c r="D473" s="108" t="inlineStr">
        <is>
          <t>Chōng wǒ lái.</t>
        </is>
      </c>
      <c r="E473" s="108" t="inlineStr">
        <is>
          <t>Nhắm vào tôi này.</t>
        </is>
      </c>
      <c r="F473" s="108" t="inlineStr">
        <is>
          <t>Đỡ đòn cho ai</t>
        </is>
      </c>
      <c r="G473" s="114">
        <f>HYPERLINK("https://youglish.com/pronounce/冲我来/chinese","🔍")</f>
        <v/>
      </c>
    </row>
    <row r="474">
      <c r="A474" s="110" t="n">
        <v>472</v>
      </c>
      <c r="B474" s="111" t="inlineStr">
        <is>
          <t>Trách móc / Cãi vã</t>
        </is>
      </c>
      <c r="C474" s="112" t="inlineStr">
        <is>
          <t>别拿我撒气。</t>
        </is>
      </c>
      <c r="D474" s="111" t="inlineStr">
        <is>
          <t>Bié ná wǒ sā qì.</t>
        </is>
      </c>
      <c r="E474" s="111" t="inlineStr">
        <is>
          <t>Đừng trút giận lên tôi.</t>
        </is>
      </c>
      <c r="F474" s="111" t="inlineStr">
        <is>
          <t>Phản đối</t>
        </is>
      </c>
      <c r="G474" s="117">
        <f>HYPERLINK("https://youglish.com/pronounce/别拿我撒气/chinese","🔍")</f>
        <v/>
      </c>
    </row>
    <row r="475">
      <c r="A475" s="107" t="n">
        <v>473</v>
      </c>
      <c r="B475" s="108" t="inlineStr">
        <is>
          <t>Trách móc / Cãi vã</t>
        </is>
      </c>
      <c r="C475" s="109" t="inlineStr">
        <is>
          <t>不关我的事。</t>
        </is>
      </c>
      <c r="D475" s="108" t="inlineStr">
        <is>
          <t>Bù guān wǒ de shì.</t>
        </is>
      </c>
      <c r="E475" s="108" t="inlineStr">
        <is>
          <t>Không liên quan đến tôi.</t>
        </is>
      </c>
      <c r="F475" s="108" t="inlineStr">
        <is>
          <t>Chối</t>
        </is>
      </c>
      <c r="G475" s="114">
        <f>HYPERLINK("https://youglish.com/pronounce/不关我的事/chinese","🔍")</f>
        <v/>
      </c>
    </row>
    <row r="476">
      <c r="A476" s="110" t="n">
        <v>474</v>
      </c>
      <c r="B476" s="111" t="inlineStr">
        <is>
          <t>Trách móc / Cãi vã</t>
        </is>
      </c>
      <c r="C476" s="112" t="inlineStr">
        <is>
          <t>我招你惹你了？</t>
        </is>
      </c>
      <c r="D476" s="111" t="inlineStr">
        <is>
          <t>Wǒ zhāo nǐ rě nǐ le?</t>
        </is>
      </c>
      <c r="E476" s="111" t="inlineStr">
        <is>
          <t>Tôi động chạm gì đến bạn?</t>
        </is>
      </c>
      <c r="F476" s="111" t="inlineStr">
        <is>
          <t>Ấm ức</t>
        </is>
      </c>
      <c r="G476" s="117">
        <f>HYPERLINK("https://youglish.com/pronounce/我招你惹你了/chinese","🔍")</f>
        <v/>
      </c>
    </row>
    <row r="477">
      <c r="A477" s="107" t="n">
        <v>475</v>
      </c>
      <c r="B477" s="108" t="inlineStr">
        <is>
          <t>Trách móc / Cãi vã</t>
        </is>
      </c>
      <c r="C477" s="109" t="inlineStr">
        <is>
          <t>你想怎样？</t>
        </is>
      </c>
      <c r="D477" s="108" t="inlineStr">
        <is>
          <t>Nǐ xiǎng zěn yàng?</t>
        </is>
      </c>
      <c r="E477" s="108" t="inlineStr">
        <is>
          <t>Bạn muốn thế nào?</t>
        </is>
      </c>
      <c r="F477" s="108" t="inlineStr">
        <is>
          <t>Đối chất</t>
        </is>
      </c>
      <c r="G477" s="114">
        <f>HYPERLINK("https://youglish.com/pronounce/你想怎样/chinese","🔍")</f>
        <v/>
      </c>
    </row>
    <row r="478">
      <c r="A478" s="110" t="n">
        <v>476</v>
      </c>
      <c r="B478" s="111" t="inlineStr">
        <is>
          <t>Trách móc / Cãi vã</t>
        </is>
      </c>
      <c r="C478" s="112" t="inlineStr">
        <is>
          <t>你到底想干嘛？</t>
        </is>
      </c>
      <c r="D478" s="111" t="inlineStr">
        <is>
          <t>Nǐ dào dǐ xiǎng gàn má?</t>
        </is>
      </c>
      <c r="E478" s="111" t="inlineStr">
        <is>
          <t>Rốt cuộc bạn muốn gì?</t>
        </is>
      </c>
      <c r="F478" s="111" t="inlineStr">
        <is>
          <t>Đối chất</t>
        </is>
      </c>
      <c r="G478" s="117">
        <f>HYPERLINK("https://youglish.com/pronounce/你到底想干嘛/chinese","🔍")</f>
        <v/>
      </c>
    </row>
    <row r="479">
      <c r="A479" s="107" t="n">
        <v>477</v>
      </c>
      <c r="B479" s="108" t="inlineStr">
        <is>
          <t>Trách móc / Cãi vã</t>
        </is>
      </c>
      <c r="C479" s="109" t="inlineStr">
        <is>
          <t>别逼我。</t>
        </is>
      </c>
      <c r="D479" s="108" t="inlineStr">
        <is>
          <t>Bié bī wǒ.</t>
        </is>
      </c>
      <c r="E479" s="108" t="inlineStr">
        <is>
          <t>Đừng ép tôi.</t>
        </is>
      </c>
      <c r="F479" s="108" t="inlineStr">
        <is>
          <t>Cảnh cáo</t>
        </is>
      </c>
      <c r="G479" s="114">
        <f>HYPERLINK("https://youglish.com/pronounce/别逼我/chinese","🔍")</f>
        <v/>
      </c>
    </row>
    <row r="480">
      <c r="A480" s="110" t="n">
        <v>478</v>
      </c>
      <c r="B480" s="111" t="inlineStr">
        <is>
          <t>Trách móc / Cãi vã</t>
        </is>
      </c>
      <c r="C480" s="112" t="inlineStr">
        <is>
          <t>忍你很久了。</t>
        </is>
      </c>
      <c r="D480" s="111" t="inlineStr">
        <is>
          <t>Rěn nǐ hěn jiǔ le.</t>
        </is>
      </c>
      <c r="E480" s="111" t="inlineStr">
        <is>
          <t>Nhịn bạn lâu lắm rồi.</t>
        </is>
      </c>
      <c r="F480" s="111" t="inlineStr">
        <is>
          <t>Bùng nổ</t>
        </is>
      </c>
      <c r="G480" s="117">
        <f>HYPERLINK("https://youglish.com/pronounce/忍你很久了/chinese","🔍")</f>
        <v/>
      </c>
    </row>
    <row r="481">
      <c r="A481" s="107" t="n">
        <v>479</v>
      </c>
      <c r="B481" s="108" t="inlineStr">
        <is>
          <t>Trách móc / Cãi vã</t>
        </is>
      </c>
      <c r="C481" s="109" t="inlineStr">
        <is>
          <t>太让人失望了。</t>
        </is>
      </c>
      <c r="D481" s="108" t="inlineStr">
        <is>
          <t>Tài ràng rén shī wàng le.</t>
        </is>
      </c>
      <c r="E481" s="108" t="inlineStr">
        <is>
          <t>Thất vọng quá đi.</t>
        </is>
      </c>
      <c r="F481" s="108" t="inlineStr">
        <is>
          <t>Trách</t>
        </is>
      </c>
      <c r="G481" s="114">
        <f>HYPERLINK("https://youglish.com/pronounce/太让人失望了/chinese","🔍")</f>
        <v/>
      </c>
    </row>
    <row r="482">
      <c r="A482" s="110" t="n">
        <v>480</v>
      </c>
      <c r="B482" s="111" t="inlineStr">
        <is>
          <t>Trách móc / Cãi vã</t>
        </is>
      </c>
      <c r="C482" s="112" t="inlineStr">
        <is>
          <t>我警告你。</t>
        </is>
      </c>
      <c r="D482" s="111" t="inlineStr">
        <is>
          <t>Wǒ jǐng gào nǐ.</t>
        </is>
      </c>
      <c r="E482" s="111" t="inlineStr">
        <is>
          <t>Tôi cảnh cáo bạn đấy.</t>
        </is>
      </c>
      <c r="F482" s="111" t="inlineStr">
        <is>
          <t>Cảnh cáo</t>
        </is>
      </c>
      <c r="G482" s="117">
        <f>HYPERLINK("https://youglish.com/pronounce/我警告你/chinese","🔍")</f>
        <v/>
      </c>
    </row>
    <row r="483">
      <c r="A483" s="107" t="n">
        <v>481</v>
      </c>
      <c r="B483" s="108" t="inlineStr">
        <is>
          <t>Thời gian / Kế hoạch</t>
        </is>
      </c>
      <c r="C483" s="109" t="inlineStr">
        <is>
          <t>等一下。</t>
        </is>
      </c>
      <c r="D483" s="108" t="inlineStr">
        <is>
          <t>Děng yí xià.</t>
        </is>
      </c>
      <c r="E483" s="108" t="inlineStr">
        <is>
          <t>Đợi chút.</t>
        </is>
      </c>
      <c r="F483" s="108" t="inlineStr">
        <is>
          <t>Yêu cầu chờ</t>
        </is>
      </c>
      <c r="G483" s="114">
        <f>HYPERLINK("https://youglish.com/pronounce/等一下/chinese","🔍")</f>
        <v/>
      </c>
    </row>
    <row r="484">
      <c r="A484" s="110" t="n">
        <v>482</v>
      </c>
      <c r="B484" s="111" t="inlineStr">
        <is>
          <t>Thời gian / Kế hoạch</t>
        </is>
      </c>
      <c r="C484" s="112" t="inlineStr">
        <is>
          <t>马上。</t>
        </is>
      </c>
      <c r="D484" s="111" t="inlineStr">
        <is>
          <t>Mǎ shàng.</t>
        </is>
      </c>
      <c r="E484" s="111" t="inlineStr">
        <is>
          <t>Ngay đây.</t>
        </is>
      </c>
      <c r="F484" s="111" t="inlineStr">
        <is>
          <t>Sắp xong</t>
        </is>
      </c>
      <c r="G484" s="117">
        <f>HYPERLINK("https://youglish.com/pronounce/马上/chinese","🔍")</f>
        <v/>
      </c>
    </row>
    <row r="485">
      <c r="A485" s="107" t="n">
        <v>483</v>
      </c>
      <c r="B485" s="108" t="inlineStr">
        <is>
          <t>Thời gian / Kế hoạch</t>
        </is>
      </c>
      <c r="C485" s="109" t="inlineStr">
        <is>
          <t>稍等。</t>
        </is>
      </c>
      <c r="D485" s="108" t="inlineStr">
        <is>
          <t>Shāo děng.</t>
        </is>
      </c>
      <c r="E485" s="108" t="inlineStr">
        <is>
          <t>Chờ một lát.</t>
        </is>
      </c>
      <c r="F485" s="108" t="inlineStr">
        <is>
          <t>Lịch sự</t>
        </is>
      </c>
      <c r="G485" s="114">
        <f>HYPERLINK("https://youglish.com/pronounce/稍等/chinese","🔍")</f>
        <v/>
      </c>
    </row>
    <row r="486">
      <c r="A486" s="110" t="n">
        <v>484</v>
      </c>
      <c r="B486" s="111" t="inlineStr">
        <is>
          <t>Thời gian / Kế hoạch</t>
        </is>
      </c>
      <c r="C486" s="112" t="inlineStr">
        <is>
          <t>别急。</t>
        </is>
      </c>
      <c r="D486" s="111" t="inlineStr">
        <is>
          <t>Bié jí.</t>
        </is>
      </c>
      <c r="E486" s="111" t="inlineStr">
        <is>
          <t>Đừng vội.</t>
        </is>
      </c>
      <c r="F486" s="111" t="inlineStr">
        <is>
          <t>Trấn an</t>
        </is>
      </c>
      <c r="G486" s="117">
        <f>HYPERLINK("https://youglish.com/pronounce/别急/chinese","🔍")</f>
        <v/>
      </c>
    </row>
    <row r="487">
      <c r="A487" s="107" t="n">
        <v>485</v>
      </c>
      <c r="B487" s="108" t="inlineStr">
        <is>
          <t>Thời gian / Kế hoạch</t>
        </is>
      </c>
      <c r="C487" s="109" t="inlineStr">
        <is>
          <t>快点！</t>
        </is>
      </c>
      <c r="D487" s="108" t="inlineStr">
        <is>
          <t>Kuài diǎn!</t>
        </is>
      </c>
      <c r="E487" s="108" t="inlineStr">
        <is>
          <t>Nhanh lên!</t>
        </is>
      </c>
      <c r="F487" s="108" t="inlineStr">
        <is>
          <t>Giục</t>
        </is>
      </c>
      <c r="G487" s="114">
        <f>HYPERLINK("https://youglish.com/pronounce/快点/chinese","🔍")</f>
        <v/>
      </c>
    </row>
    <row r="488">
      <c r="A488" s="110" t="n">
        <v>486</v>
      </c>
      <c r="B488" s="111" t="inlineStr">
        <is>
          <t>Thời gian / Kế hoạch</t>
        </is>
      </c>
      <c r="C488" s="112" t="inlineStr">
        <is>
          <t>慢点。</t>
        </is>
      </c>
      <c r="D488" s="111" t="inlineStr">
        <is>
          <t>Màn diǎn.</t>
        </is>
      </c>
      <c r="E488" s="111" t="inlineStr">
        <is>
          <t>Chậm thôi.</t>
        </is>
      </c>
      <c r="F488" s="111" t="inlineStr">
        <is>
          <t>Nhắc</t>
        </is>
      </c>
      <c r="G488" s="117">
        <f>HYPERLINK("https://youglish.com/pronounce/慢点/chinese","🔍")</f>
        <v/>
      </c>
    </row>
    <row r="489">
      <c r="A489" s="107" t="n">
        <v>487</v>
      </c>
      <c r="B489" s="108" t="inlineStr">
        <is>
          <t>Thời gian / Kế hoạch</t>
        </is>
      </c>
      <c r="C489" s="109" t="inlineStr">
        <is>
          <t>来得及。</t>
        </is>
      </c>
      <c r="D489" s="108" t="inlineStr">
        <is>
          <t>Lái de jí.</t>
        </is>
      </c>
      <c r="E489" s="108" t="inlineStr">
        <is>
          <t>Vẫn kịp.</t>
        </is>
      </c>
      <c r="F489" s="108" t="inlineStr">
        <is>
          <t>Trấn an</t>
        </is>
      </c>
      <c r="G489" s="114">
        <f>HYPERLINK("https://youglish.com/pronounce/来得及/chinese","🔍")</f>
        <v/>
      </c>
    </row>
    <row r="490">
      <c r="A490" s="110" t="n">
        <v>488</v>
      </c>
      <c r="B490" s="111" t="inlineStr">
        <is>
          <t>Thời gian / Kế hoạch</t>
        </is>
      </c>
      <c r="C490" s="112" t="inlineStr">
        <is>
          <t>来不及了。</t>
        </is>
      </c>
      <c r="D490" s="111" t="inlineStr">
        <is>
          <t>Lái bù jí le.</t>
        </is>
      </c>
      <c r="E490" s="111" t="inlineStr">
        <is>
          <t>Không kịp mất.</t>
        </is>
      </c>
      <c r="F490" s="111" t="inlineStr">
        <is>
          <t>Vội</t>
        </is>
      </c>
      <c r="G490" s="117">
        <f>HYPERLINK("https://youglish.com/pronounce/来不及了/chinese","🔍")</f>
        <v/>
      </c>
    </row>
    <row r="491">
      <c r="A491" s="107" t="n">
        <v>489</v>
      </c>
      <c r="B491" s="108" t="inlineStr">
        <is>
          <t>Thời gian / Kế hoạch</t>
        </is>
      </c>
      <c r="C491" s="109" t="inlineStr">
        <is>
          <t>别磨蹭。</t>
        </is>
      </c>
      <c r="D491" s="108" t="inlineStr">
        <is>
          <t>Bié mó cèng.</t>
        </is>
      </c>
      <c r="E491" s="108" t="inlineStr">
        <is>
          <t>Đừng lề mề.</t>
        </is>
      </c>
      <c r="F491" s="108" t="inlineStr">
        <is>
          <t>Giục</t>
        </is>
      </c>
      <c r="G491" s="114">
        <f>HYPERLINK("https://youglish.com/pronounce/别磨蹭/chinese","🔍")</f>
        <v/>
      </c>
    </row>
    <row r="492">
      <c r="A492" s="110" t="n">
        <v>490</v>
      </c>
      <c r="B492" s="111" t="inlineStr">
        <is>
          <t>Thời gian / Kế hoạch</t>
        </is>
      </c>
      <c r="C492" s="112" t="inlineStr">
        <is>
          <t>时间不早了。</t>
        </is>
      </c>
      <c r="D492" s="111" t="inlineStr">
        <is>
          <t>Shí jiān bù zǎo le.</t>
        </is>
      </c>
      <c r="E492" s="111" t="inlineStr">
        <is>
          <t>Cũng muộn rồi.</t>
        </is>
      </c>
      <c r="F492" s="111" t="inlineStr">
        <is>
          <t>Nhắc giờ</t>
        </is>
      </c>
      <c r="G492" s="117">
        <f>HYPERLINK("https://youglish.com/pronounce/时间不早了/chinese","🔍")</f>
        <v/>
      </c>
    </row>
    <row r="493">
      <c r="A493" s="107" t="n">
        <v>491</v>
      </c>
      <c r="B493" s="108" t="inlineStr">
        <is>
          <t>Thời gian / Kế hoạch</t>
        </is>
      </c>
      <c r="C493" s="109" t="inlineStr">
        <is>
          <t>该走了。</t>
        </is>
      </c>
      <c r="D493" s="108" t="inlineStr">
        <is>
          <t>Gāi zǒu le.</t>
        </is>
      </c>
      <c r="E493" s="108" t="inlineStr">
        <is>
          <t>Đến giờ đi rồi.</t>
        </is>
      </c>
      <c r="F493" s="108" t="inlineStr">
        <is>
          <t>Rời đi</t>
        </is>
      </c>
      <c r="G493" s="114">
        <f>HYPERLINK("https://youglish.com/pronounce/该走了/chinese","🔍")</f>
        <v/>
      </c>
    </row>
    <row r="494">
      <c r="A494" s="110" t="n">
        <v>492</v>
      </c>
      <c r="B494" s="111" t="inlineStr">
        <is>
          <t>Thời gian / Kế hoạch</t>
        </is>
      </c>
      <c r="C494" s="112" t="inlineStr">
        <is>
          <t>该睡了。</t>
        </is>
      </c>
      <c r="D494" s="111" t="inlineStr">
        <is>
          <t>Gāi shuì le.</t>
        </is>
      </c>
      <c r="E494" s="111" t="inlineStr">
        <is>
          <t>Đến giờ ngủ rồi.</t>
        </is>
      </c>
      <c r="F494" s="111" t="inlineStr">
        <is>
          <t>Nhắc</t>
        </is>
      </c>
      <c r="G494" s="117">
        <f>HYPERLINK("https://youglish.com/pronounce/该睡了/chinese","🔍")</f>
        <v/>
      </c>
    </row>
    <row r="495">
      <c r="A495" s="107" t="n">
        <v>493</v>
      </c>
      <c r="B495" s="108" t="inlineStr">
        <is>
          <t>Thời gian / Kế hoạch</t>
        </is>
      </c>
      <c r="C495" s="109" t="inlineStr">
        <is>
          <t>早点休息。</t>
        </is>
      </c>
      <c r="D495" s="108" t="inlineStr">
        <is>
          <t>Zǎo diǎn xiū xī.</t>
        </is>
      </c>
      <c r="E495" s="108" t="inlineStr">
        <is>
          <t>Nghỉ sớm nhé.</t>
        </is>
      </c>
      <c r="F495" s="108" t="inlineStr">
        <is>
          <t>Quan tâm</t>
        </is>
      </c>
      <c r="G495" s="114">
        <f>HYPERLINK("https://youglish.com/pronounce/早点休息/chinese","🔍")</f>
        <v/>
      </c>
    </row>
    <row r="496">
      <c r="A496" s="110" t="n">
        <v>494</v>
      </c>
      <c r="B496" s="111" t="inlineStr">
        <is>
          <t>Thời gian / Kế hoạch</t>
        </is>
      </c>
      <c r="C496" s="112" t="inlineStr">
        <is>
          <t>明天见。</t>
        </is>
      </c>
      <c r="D496" s="111" t="inlineStr">
        <is>
          <t>Míng tiān jiàn.</t>
        </is>
      </c>
      <c r="E496" s="111" t="inlineStr">
        <is>
          <t>Mai gặp.</t>
        </is>
      </c>
      <c r="F496" s="111" t="inlineStr">
        <is>
          <t>Chào tạm biệt</t>
        </is>
      </c>
      <c r="G496" s="117">
        <f>HYPERLINK("https://youglish.com/pronounce/明天见/chinese","🔍")</f>
        <v/>
      </c>
    </row>
    <row r="497">
      <c r="A497" s="107" t="n">
        <v>495</v>
      </c>
      <c r="B497" s="108" t="inlineStr">
        <is>
          <t>Thời gian / Kế hoạch</t>
        </is>
      </c>
      <c r="C497" s="109" t="inlineStr">
        <is>
          <t>回头见。</t>
        </is>
      </c>
      <c r="D497" s="108" t="inlineStr">
        <is>
          <t>Huí tóu jiàn.</t>
        </is>
      </c>
      <c r="E497" s="108" t="inlineStr">
        <is>
          <t>Lát gặp lại.</t>
        </is>
      </c>
      <c r="F497" s="108" t="inlineStr">
        <is>
          <t>Tạm biệt</t>
        </is>
      </c>
      <c r="G497" s="114">
        <f>HYPERLINK("https://youglish.com/pronounce/回头见/chinese","🔍")</f>
        <v/>
      </c>
    </row>
    <row r="498">
      <c r="A498" s="110" t="n">
        <v>496</v>
      </c>
      <c r="B498" s="111" t="inlineStr">
        <is>
          <t>Thời gian / Kế hoạch</t>
        </is>
      </c>
      <c r="C498" s="112" t="inlineStr">
        <is>
          <t>一会儿见。</t>
        </is>
      </c>
      <c r="D498" s="111" t="inlineStr">
        <is>
          <t>Yī huì er jiàn.</t>
        </is>
      </c>
      <c r="E498" s="111" t="inlineStr">
        <is>
          <t>Chốc nữa gặp.</t>
        </is>
      </c>
      <c r="F498" s="111" t="inlineStr">
        <is>
          <t>Tạm biệt</t>
        </is>
      </c>
      <c r="G498" s="117">
        <f>HYPERLINK("https://youglish.com/pronounce/一会儿见/chinese","🔍")</f>
        <v/>
      </c>
    </row>
    <row r="499">
      <c r="A499" s="107" t="n">
        <v>497</v>
      </c>
      <c r="B499" s="108" t="inlineStr">
        <is>
          <t>Thời gian / Kế hoạch</t>
        </is>
      </c>
      <c r="C499" s="109" t="inlineStr">
        <is>
          <t>改天吧。</t>
        </is>
      </c>
      <c r="D499" s="108" t="inlineStr">
        <is>
          <t>Gǎi tiān ba.</t>
        </is>
      </c>
      <c r="E499" s="108" t="inlineStr">
        <is>
          <t>Hôm khác vậy.</t>
        </is>
      </c>
      <c r="F499" s="108" t="inlineStr">
        <is>
          <t>Hoãn hẹn</t>
        </is>
      </c>
      <c r="G499" s="114">
        <f>HYPERLINK("https://youglish.com/pronounce/改天吧/chinese","🔍")</f>
        <v/>
      </c>
    </row>
    <row r="500">
      <c r="A500" s="110" t="n">
        <v>498</v>
      </c>
      <c r="B500" s="111" t="inlineStr">
        <is>
          <t>Thời gian / Kế hoạch</t>
        </is>
      </c>
      <c r="C500" s="112" t="inlineStr">
        <is>
          <t>说走就走。</t>
        </is>
      </c>
      <c r="D500" s="111" t="inlineStr">
        <is>
          <t>Shuō zǒu jiù zǒu.</t>
        </is>
      </c>
      <c r="E500" s="111" t="inlineStr">
        <is>
          <t>Nói đi là đi luôn.</t>
        </is>
      </c>
      <c r="F500" s="111" t="inlineStr">
        <is>
          <t>Dứt khoát</t>
        </is>
      </c>
      <c r="G500" s="117">
        <f>HYPERLINK("https://youglish.com/pronounce/说走就走/chinese","🔍")</f>
        <v/>
      </c>
    </row>
    <row r="501">
      <c r="A501" s="107" t="n">
        <v>499</v>
      </c>
      <c r="B501" s="108" t="inlineStr">
        <is>
          <t>Thời gian / Kế hoạch</t>
        </is>
      </c>
      <c r="C501" s="109" t="inlineStr">
        <is>
          <t>现在就去。</t>
        </is>
      </c>
      <c r="D501" s="108" t="inlineStr">
        <is>
          <t>Xiàn zài jiù qù.</t>
        </is>
      </c>
      <c r="E501" s="108" t="inlineStr">
        <is>
          <t>Đi ngay bây giờ.</t>
        </is>
      </c>
      <c r="F501" s="108" t="inlineStr">
        <is>
          <t>Lập tức</t>
        </is>
      </c>
      <c r="G501" s="114">
        <f>HYPERLINK("https://youglish.com/pronounce/现在就去/chinese","🔍")</f>
        <v/>
      </c>
    </row>
    <row r="502">
      <c r="A502" s="110" t="n">
        <v>500</v>
      </c>
      <c r="B502" s="111" t="inlineStr">
        <is>
          <t>Thời gian / Kế hoạch</t>
        </is>
      </c>
      <c r="C502" s="112" t="inlineStr">
        <is>
          <t>立马。</t>
        </is>
      </c>
      <c r="D502" s="111" t="inlineStr">
        <is>
          <t>Lì mǎ.</t>
        </is>
      </c>
      <c r="E502" s="111" t="inlineStr">
        <is>
          <t>Ngay tức khắc.</t>
        </is>
      </c>
      <c r="F502" s="111" t="inlineStr">
        <is>
          <t>Lập tức</t>
        </is>
      </c>
      <c r="G502" s="117">
        <f>HYPERLINK("https://youglish.com/pronounce/立马/chinese","🔍")</f>
        <v/>
      </c>
    </row>
  </sheetData>
  <autoFilter ref="A2:F502"/>
  <mergeCells count="1">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19"/>
  <sheetViews>
    <sheetView workbookViewId="0">
      <pane ySplit="2" topLeftCell="A3" activePane="bottomLeft" state="frozen"/>
      <selection pane="bottomLeft" activeCell="A1" sqref="A1"/>
    </sheetView>
  </sheetViews>
  <sheetFormatPr baseColWidth="8" defaultRowHeight="15"/>
  <cols>
    <col width="6" customWidth="1" style="99" min="1" max="1"/>
    <col width="14" customWidth="1" style="99" min="2" max="2"/>
    <col width="15" customWidth="1" style="99" min="3" max="3"/>
    <col width="10" customWidth="1" style="99" min="4" max="4"/>
    <col width="42" customWidth="1" style="99" min="5" max="5"/>
    <col width="34" customWidth="1" style="99" min="6" max="6"/>
    <col width="7" customWidth="1" style="99" min="7" max="7"/>
    <col width="11" customWidth="1" style="99" min="8" max="8"/>
  </cols>
  <sheetData>
    <row r="1" ht="24" customHeight="1" s="99">
      <c r="A1" s="118" t="inlineStr">
        <is>
          <t>💼 TỪ VỰNG THƯƠNG MẠI — BCT 标准教程 1 (Business Chinese Test · Standard Course 1) · 词语表 Appendix IV</t>
        </is>
      </c>
    </row>
    <row r="2">
      <c r="A2" s="119" t="inlineStr">
        <is>
          <t>STT</t>
        </is>
      </c>
      <c r="B2" s="119" t="inlineStr">
        <is>
          <t>🀄 Hán tự</t>
        </is>
      </c>
      <c r="C2" s="119" t="inlineStr">
        <is>
          <t>🔤 Pinyin</t>
        </is>
      </c>
      <c r="D2" s="119" t="inlineStr">
        <is>
          <t>📝 Từ loại</t>
        </is>
      </c>
      <c r="E2" s="119" t="inlineStr">
        <is>
          <t>🇬🇧 English</t>
        </is>
      </c>
      <c r="F2" s="119" t="inlineStr">
        <is>
          <t>🇻🇳 Nghĩa tiếng Việt</t>
        </is>
      </c>
      <c r="G2" s="119" t="inlineStr">
        <is>
          <t>📖 Bài</t>
        </is>
      </c>
      <c r="H2" s="119" t="inlineStr">
        <is>
          <t>🌐 YOUGLISH</t>
        </is>
      </c>
    </row>
    <row r="3">
      <c r="A3" s="120" t="n">
        <v>1</v>
      </c>
      <c r="B3" s="121" t="inlineStr">
        <is>
          <t>啊</t>
        </is>
      </c>
      <c r="C3" s="120" t="inlineStr">
        <is>
          <t>a</t>
        </is>
      </c>
      <c r="D3" s="120" t="inlineStr">
        <is>
          <t>int.</t>
        </is>
      </c>
      <c r="E3" s="122" t="inlineStr">
        <is>
          <t>used after a sentence to indicate the mood</t>
        </is>
      </c>
      <c r="F3" s="122" t="inlineStr">
        <is>
          <t>trợ từ ngữ khí (cuối câu)</t>
        </is>
      </c>
      <c r="G3" s="120" t="inlineStr">
        <is>
          <t>15</t>
        </is>
      </c>
      <c r="H3" s="123">
        <f>HYPERLINK("https://youglish.com/pronounce/啊/chinese","🔍")</f>
        <v/>
      </c>
    </row>
    <row r="4">
      <c r="A4" s="124" t="n">
        <v>2</v>
      </c>
      <c r="B4" s="125" t="inlineStr">
        <is>
          <t>八</t>
        </is>
      </c>
      <c r="C4" s="124" t="inlineStr">
        <is>
          <t>bā</t>
        </is>
      </c>
      <c r="D4" s="124" t="inlineStr">
        <is>
          <t>num.</t>
        </is>
      </c>
      <c r="E4" s="126" t="inlineStr">
        <is>
          <t>eight</t>
        </is>
      </c>
      <c r="F4" s="126" t="inlineStr">
        <is>
          <t>tám</t>
        </is>
      </c>
      <c r="G4" s="124" t="inlineStr">
        <is>
          <t>8</t>
        </is>
      </c>
      <c r="H4" s="123">
        <f>HYPERLINK("https://youglish.com/pronounce/八/chinese","🔍")</f>
        <v/>
      </c>
    </row>
    <row r="5">
      <c r="A5" s="120" t="n">
        <v>3</v>
      </c>
      <c r="B5" s="121" t="inlineStr">
        <is>
          <t>八月</t>
        </is>
      </c>
      <c r="C5" s="120" t="inlineStr">
        <is>
          <t>bāyuè</t>
        </is>
      </c>
      <c r="D5" s="120" t="inlineStr">
        <is>
          <t>n.</t>
        </is>
      </c>
      <c r="E5" s="122" t="inlineStr">
        <is>
          <t>August</t>
        </is>
      </c>
      <c r="F5" s="122" t="inlineStr">
        <is>
          <t>tháng Tám</t>
        </is>
      </c>
      <c r="G5" s="120" t="inlineStr">
        <is>
          <t>10</t>
        </is>
      </c>
      <c r="H5" s="123">
        <f>HYPERLINK("https://youglish.com/pronounce/八月/chinese","🔍")</f>
        <v/>
      </c>
    </row>
    <row r="6">
      <c r="A6" s="124" t="n">
        <v>4</v>
      </c>
      <c r="B6" s="125" t="inlineStr">
        <is>
          <t>吧</t>
        </is>
      </c>
      <c r="C6" s="124" t="inlineStr">
        <is>
          <t>ba</t>
        </is>
      </c>
      <c r="D6" s="124" t="inlineStr">
        <is>
          <t>int.</t>
        </is>
      </c>
      <c r="E6" s="126" t="inlineStr">
        <is>
          <t>used at the end of a sentence (suggestion/request/mild command)</t>
        </is>
      </c>
      <c r="F6" s="126" t="inlineStr">
        <is>
          <t>trợ từ ngữ khí (đề nghị, gợi ý)</t>
        </is>
      </c>
      <c r="G6" s="124" t="inlineStr">
        <is>
          <t>7</t>
        </is>
      </c>
      <c r="H6" s="123">
        <f>HYPERLINK("https://youglish.com/pronounce/吧/chinese","🔍")</f>
        <v/>
      </c>
    </row>
    <row r="7">
      <c r="A7" s="120" t="n">
        <v>5</v>
      </c>
      <c r="B7" s="121" t="inlineStr">
        <is>
          <t>百</t>
        </is>
      </c>
      <c r="C7" s="120" t="inlineStr">
        <is>
          <t>bǎi</t>
        </is>
      </c>
      <c r="D7" s="120" t="inlineStr">
        <is>
          <t>num.</t>
        </is>
      </c>
      <c r="E7" s="122" t="inlineStr">
        <is>
          <t>hundred</t>
        </is>
      </c>
      <c r="F7" s="122" t="inlineStr">
        <is>
          <t>trăm</t>
        </is>
      </c>
      <c r="G7" s="120" t="inlineStr">
        <is>
          <t>14</t>
        </is>
      </c>
      <c r="H7" s="123">
        <f>HYPERLINK("https://youglish.com/pronounce/百/chinese","🔍")</f>
        <v/>
      </c>
    </row>
    <row r="8">
      <c r="A8" s="124" t="n">
        <v>6</v>
      </c>
      <c r="B8" s="125" t="inlineStr">
        <is>
          <t>办公室</t>
        </is>
      </c>
      <c r="C8" s="124" t="inlineStr">
        <is>
          <t>bàngōngshì</t>
        </is>
      </c>
      <c r="D8" s="124" t="inlineStr">
        <is>
          <t>n.</t>
        </is>
      </c>
      <c r="E8" s="126" t="inlineStr">
        <is>
          <t>office</t>
        </is>
      </c>
      <c r="F8" s="126" t="inlineStr">
        <is>
          <t>văn phòng</t>
        </is>
      </c>
      <c r="G8" s="124" t="inlineStr">
        <is>
          <t>11</t>
        </is>
      </c>
      <c r="H8" s="123">
        <f>HYPERLINK("https://youglish.com/pronounce/办公室/chinese","🔍")</f>
        <v/>
      </c>
    </row>
    <row r="9">
      <c r="A9" s="120" t="n">
        <v>7</v>
      </c>
      <c r="B9" s="121" t="inlineStr">
        <is>
          <t>半</t>
        </is>
      </c>
      <c r="C9" s="120" t="inlineStr">
        <is>
          <t>bàn</t>
        </is>
      </c>
      <c r="D9" s="120" t="inlineStr">
        <is>
          <t>num.</t>
        </is>
      </c>
      <c r="E9" s="122" t="inlineStr">
        <is>
          <t>half</t>
        </is>
      </c>
      <c r="F9" s="122" t="inlineStr">
        <is>
          <t>rưỡi; nửa</t>
        </is>
      </c>
      <c r="G9" s="120" t="inlineStr">
        <is>
          <t>8</t>
        </is>
      </c>
      <c r="H9" s="123">
        <f>HYPERLINK("https://youglish.com/pronounce/半/chinese","🔍")</f>
        <v/>
      </c>
    </row>
    <row r="10">
      <c r="A10" s="124" t="n">
        <v>8</v>
      </c>
      <c r="B10" s="125" t="inlineStr">
        <is>
          <t>杯</t>
        </is>
      </c>
      <c r="C10" s="124" t="inlineStr">
        <is>
          <t>bēi</t>
        </is>
      </c>
      <c r="D10" s="124" t="inlineStr">
        <is>
          <t>mw.</t>
        </is>
      </c>
      <c r="E10" s="126" t="inlineStr">
        <is>
          <t>a cup of (coffee, tea, etc.)</t>
        </is>
      </c>
      <c r="F10" s="126" t="inlineStr">
        <is>
          <t>cốc, ly (lượng từ)</t>
        </is>
      </c>
      <c r="G10" s="124" t="inlineStr">
        <is>
          <t>18</t>
        </is>
      </c>
      <c r="H10" s="123">
        <f>HYPERLINK("https://youglish.com/pronounce/杯/chinese","🔍")</f>
        <v/>
      </c>
    </row>
    <row r="11">
      <c r="A11" s="120" t="n">
        <v>9</v>
      </c>
      <c r="B11" s="121" t="inlineStr">
        <is>
          <t>宾馆</t>
        </is>
      </c>
      <c r="C11" s="120" t="inlineStr">
        <is>
          <t>bīnguǎn</t>
        </is>
      </c>
      <c r="D11" s="120" t="inlineStr">
        <is>
          <t>n.</t>
        </is>
      </c>
      <c r="E11" s="122" t="inlineStr">
        <is>
          <t>hotel</t>
        </is>
      </c>
      <c r="F11" s="122" t="inlineStr">
        <is>
          <t>khách sạn</t>
        </is>
      </c>
      <c r="G11" s="120" t="inlineStr">
        <is>
          <t>11</t>
        </is>
      </c>
      <c r="H11" s="123">
        <f>HYPERLINK("https://youglish.com/pronounce/宾馆/chinese","🔍")</f>
        <v/>
      </c>
    </row>
    <row r="12">
      <c r="A12" s="124" t="n">
        <v>10</v>
      </c>
      <c r="B12" s="125" t="inlineStr">
        <is>
          <t>不</t>
        </is>
      </c>
      <c r="C12" s="124" t="inlineStr">
        <is>
          <t>bù</t>
        </is>
      </c>
      <c r="D12" s="124" t="inlineStr">
        <is>
          <t>adv.</t>
        </is>
      </c>
      <c r="E12" s="126" t="inlineStr">
        <is>
          <t>not; no</t>
        </is>
      </c>
      <c r="F12" s="126" t="inlineStr">
        <is>
          <t>không</t>
        </is>
      </c>
      <c r="G12" s="124" t="inlineStr">
        <is>
          <t>4</t>
        </is>
      </c>
      <c r="H12" s="123">
        <f>HYPERLINK("https://youglish.com/pronounce/不/chinese","🔍")</f>
        <v/>
      </c>
    </row>
    <row r="13">
      <c r="A13" s="120" t="n">
        <v>11</v>
      </c>
      <c r="B13" s="121" t="inlineStr">
        <is>
          <t>菜</t>
        </is>
      </c>
      <c r="C13" s="120" t="inlineStr">
        <is>
          <t>cài</t>
        </is>
      </c>
      <c r="D13" s="120" t="inlineStr">
        <is>
          <t>n.</t>
        </is>
      </c>
      <c r="E13" s="122" t="inlineStr">
        <is>
          <t>dish</t>
        </is>
      </c>
      <c r="F13" s="122" t="inlineStr">
        <is>
          <t>món ăn</t>
        </is>
      </c>
      <c r="G13" s="120" t="inlineStr">
        <is>
          <t>18</t>
        </is>
      </c>
      <c r="H13" s="123">
        <f>HYPERLINK("https://youglish.com/pronounce/菜/chinese","🔍")</f>
        <v/>
      </c>
    </row>
    <row r="14">
      <c r="A14" s="124" t="n">
        <v>12</v>
      </c>
      <c r="B14" s="125" t="inlineStr">
        <is>
          <t>餐厅</t>
        </is>
      </c>
      <c r="C14" s="124" t="inlineStr">
        <is>
          <t>cāntīng</t>
        </is>
      </c>
      <c r="D14" s="124" t="inlineStr">
        <is>
          <t>n.</t>
        </is>
      </c>
      <c r="E14" s="126" t="inlineStr">
        <is>
          <t>restaurant</t>
        </is>
      </c>
      <c r="F14" s="126" t="inlineStr">
        <is>
          <t>nhà hàng</t>
        </is>
      </c>
      <c r="G14" s="124" t="inlineStr">
        <is>
          <t>18</t>
        </is>
      </c>
      <c r="H14" s="123">
        <f>HYPERLINK("https://youglish.com/pronounce/餐厅/chinese","🔍")</f>
        <v/>
      </c>
    </row>
    <row r="15">
      <c r="A15" s="120" t="n">
        <v>13</v>
      </c>
      <c r="B15" s="121" t="inlineStr">
        <is>
          <t>层</t>
        </is>
      </c>
      <c r="C15" s="120" t="inlineStr">
        <is>
          <t>céng</t>
        </is>
      </c>
      <c r="D15" s="120" t="inlineStr">
        <is>
          <t>mw.</t>
        </is>
      </c>
      <c r="E15" s="122" t="inlineStr">
        <is>
          <t>floor; layer</t>
        </is>
      </c>
      <c r="F15" s="122" t="inlineStr">
        <is>
          <t>tầng (lượng từ)</t>
        </is>
      </c>
      <c r="G15" s="120" t="inlineStr">
        <is>
          <t>15</t>
        </is>
      </c>
      <c r="H15" s="123">
        <f>HYPERLINK("https://youglish.com/pronounce/层/chinese","🔍")</f>
        <v/>
      </c>
    </row>
    <row r="16">
      <c r="A16" s="124" t="n">
        <v>14</v>
      </c>
      <c r="B16" s="125" t="inlineStr">
        <is>
          <t>茶</t>
        </is>
      </c>
      <c r="C16" s="124" t="inlineStr">
        <is>
          <t>chá</t>
        </is>
      </c>
      <c r="D16" s="124" t="inlineStr">
        <is>
          <t>n.</t>
        </is>
      </c>
      <c r="E16" s="126" t="inlineStr">
        <is>
          <t>tea</t>
        </is>
      </c>
      <c r="F16" s="126" t="inlineStr">
        <is>
          <t>trà</t>
        </is>
      </c>
      <c r="G16" s="124" t="inlineStr">
        <is>
          <t>18</t>
        </is>
      </c>
      <c r="H16" s="123">
        <f>HYPERLINK("https://youglish.com/pronounce/茶/chinese","🔍")</f>
        <v/>
      </c>
    </row>
    <row r="17">
      <c r="A17" s="120" t="n">
        <v>15</v>
      </c>
      <c r="B17" s="121" t="inlineStr">
        <is>
          <t>超市</t>
        </is>
      </c>
      <c r="C17" s="120" t="inlineStr">
        <is>
          <t>chāoshì</t>
        </is>
      </c>
      <c r="D17" s="120" t="inlineStr">
        <is>
          <t>n.</t>
        </is>
      </c>
      <c r="E17" s="122" t="inlineStr">
        <is>
          <t>supermarket</t>
        </is>
      </c>
      <c r="F17" s="122" t="inlineStr">
        <is>
          <t>siêu thị</t>
        </is>
      </c>
      <c r="G17" s="120" t="inlineStr">
        <is>
          <t>19</t>
        </is>
      </c>
      <c r="H17" s="123">
        <f>HYPERLINK("https://youglish.com/pronounce/超市/chinese","🔍")</f>
        <v/>
      </c>
    </row>
    <row r="18">
      <c r="A18" s="124" t="n">
        <v>16</v>
      </c>
      <c r="B18" s="125" t="inlineStr">
        <is>
          <t>吃饭</t>
        </is>
      </c>
      <c r="C18" s="124" t="inlineStr">
        <is>
          <t>chīfàn</t>
        </is>
      </c>
      <c r="D18" s="124" t="inlineStr">
        <is>
          <t>v.</t>
        </is>
      </c>
      <c r="E18" s="126" t="inlineStr">
        <is>
          <t>have breakfast/lunch/dinner</t>
        </is>
      </c>
      <c r="F18" s="126" t="inlineStr">
        <is>
          <t>ăn cơm</t>
        </is>
      </c>
      <c r="G18" s="124" t="inlineStr">
        <is>
          <t>10</t>
        </is>
      </c>
      <c r="H18" s="123">
        <f>HYPERLINK("https://youglish.com/pronounce/吃饭/chinese","🔍")</f>
        <v/>
      </c>
    </row>
    <row r="19">
      <c r="A19" s="120" t="n">
        <v>17</v>
      </c>
      <c r="B19" s="121" t="inlineStr">
        <is>
          <t>出差</t>
        </is>
      </c>
      <c r="C19" s="120" t="inlineStr">
        <is>
          <t>chūchāi</t>
        </is>
      </c>
      <c r="D19" s="120" t="inlineStr">
        <is>
          <t>v.</t>
        </is>
      </c>
      <c r="E19" s="122" t="inlineStr">
        <is>
          <t>be on a business trip</t>
        </is>
      </c>
      <c r="F19" s="122" t="inlineStr">
        <is>
          <t>đi công tác</t>
        </is>
      </c>
      <c r="G19" s="120" t="inlineStr">
        <is>
          <t>7</t>
        </is>
      </c>
      <c r="H19" s="123">
        <f>HYPERLINK("https://youglish.com/pronounce/出差/chinese","🔍")</f>
        <v/>
      </c>
    </row>
    <row r="20">
      <c r="A20" s="124" t="n">
        <v>18</v>
      </c>
      <c r="B20" s="125" t="inlineStr">
        <is>
          <t>出租车</t>
        </is>
      </c>
      <c r="C20" s="124" t="inlineStr">
        <is>
          <t>chūzūchē</t>
        </is>
      </c>
      <c r="D20" s="124" t="inlineStr">
        <is>
          <t>n.</t>
        </is>
      </c>
      <c r="E20" s="126" t="inlineStr">
        <is>
          <t>taxi</t>
        </is>
      </c>
      <c r="F20" s="126" t="inlineStr">
        <is>
          <t>taxi</t>
        </is>
      </c>
      <c r="G20" s="124" t="inlineStr">
        <is>
          <t>14</t>
        </is>
      </c>
      <c r="H20" s="123">
        <f>HYPERLINK("https://youglish.com/pronounce/出租车/chinese","🔍")</f>
        <v/>
      </c>
    </row>
    <row r="21">
      <c r="A21" s="120" t="n">
        <v>19</v>
      </c>
      <c r="B21" s="121" t="inlineStr">
        <is>
          <t>打</t>
        </is>
      </c>
      <c r="C21" s="120" t="inlineStr">
        <is>
          <t>dǎ</t>
        </is>
      </c>
      <c r="D21" s="120" t="inlineStr">
        <is>
          <t>v.</t>
        </is>
      </c>
      <c r="E21" s="122" t="inlineStr">
        <is>
          <t>make (a call)</t>
        </is>
      </c>
      <c r="F21" s="122" t="inlineStr">
        <is>
          <t>gọi (điện thoại)</t>
        </is>
      </c>
      <c r="G21" s="120" t="inlineStr">
        <is>
          <t>13</t>
        </is>
      </c>
      <c r="H21" s="123">
        <f>HYPERLINK("https://youglish.com/pronounce/打/chinese","🔍")</f>
        <v/>
      </c>
    </row>
    <row r="22">
      <c r="A22" s="124" t="n">
        <v>20</v>
      </c>
      <c r="B22" s="125" t="inlineStr">
        <is>
          <t>打印</t>
        </is>
      </c>
      <c r="C22" s="124" t="inlineStr">
        <is>
          <t>dǎyìn</t>
        </is>
      </c>
      <c r="D22" s="124" t="inlineStr">
        <is>
          <t>v.</t>
        </is>
      </c>
      <c r="E22" s="126" t="inlineStr">
        <is>
          <t>print</t>
        </is>
      </c>
      <c r="F22" s="126" t="inlineStr">
        <is>
          <t>in (ấn)</t>
        </is>
      </c>
      <c r="G22" s="124" t="inlineStr">
        <is>
          <t>17</t>
        </is>
      </c>
      <c r="H22" s="123">
        <f>HYPERLINK("https://youglish.com/pronounce/打印/chinese","🔍")</f>
        <v/>
      </c>
    </row>
    <row r="23">
      <c r="A23" s="120" t="n">
        <v>21</v>
      </c>
      <c r="B23" s="121" t="inlineStr">
        <is>
          <t>到</t>
        </is>
      </c>
      <c r="C23" s="120" t="inlineStr">
        <is>
          <t>dào</t>
        </is>
      </c>
      <c r="D23" s="120" t="inlineStr">
        <is>
          <t>v.</t>
        </is>
      </c>
      <c r="E23" s="122" t="inlineStr">
        <is>
          <t>arrive; reach</t>
        </is>
      </c>
      <c r="F23" s="122" t="inlineStr">
        <is>
          <t>đến; tới</t>
        </is>
      </c>
      <c r="G23" s="120" t="inlineStr">
        <is>
          <t>14</t>
        </is>
      </c>
      <c r="H23" s="123">
        <f>HYPERLINK("https://youglish.com/pronounce/到/chinese","🔍")</f>
        <v/>
      </c>
    </row>
    <row r="24">
      <c r="A24" s="124" t="n">
        <v>22</v>
      </c>
      <c r="B24" s="125" t="inlineStr">
        <is>
          <t>的</t>
        </is>
      </c>
      <c r="C24" s="124" t="inlineStr">
        <is>
          <t>de</t>
        </is>
      </c>
      <c r="D24" s="124" t="inlineStr">
        <is>
          <t>part.</t>
        </is>
      </c>
      <c r="E24" s="126" t="inlineStr">
        <is>
          <t>of (marker of attributive)</t>
        </is>
      </c>
      <c r="F24" s="126" t="inlineStr">
        <is>
          <t>trợ từ (định ngữ)</t>
        </is>
      </c>
      <c r="G24" s="124" t="inlineStr">
        <is>
          <t>3</t>
        </is>
      </c>
      <c r="H24" s="123">
        <f>HYPERLINK("https://youglish.com/pronounce/的/chinese","🔍")</f>
        <v/>
      </c>
    </row>
    <row r="25">
      <c r="A25" s="120" t="n">
        <v>23</v>
      </c>
      <c r="B25" s="121" t="inlineStr">
        <is>
          <t>第一</t>
        </is>
      </c>
      <c r="C25" s="120" t="inlineStr">
        <is>
          <t>dìyī</t>
        </is>
      </c>
      <c r="D25" s="120" t="inlineStr">
        <is>
          <t>num.</t>
        </is>
      </c>
      <c r="E25" s="122" t="inlineStr">
        <is>
          <t>the first</t>
        </is>
      </c>
      <c r="F25" s="122" t="inlineStr">
        <is>
          <t>thứ nhất</t>
        </is>
      </c>
      <c r="G25" s="120" t="inlineStr">
        <is>
          <t>16</t>
        </is>
      </c>
      <c r="H25" s="123">
        <f>HYPERLINK("https://youglish.com/pronounce/第一/chinese","🔍")</f>
        <v/>
      </c>
    </row>
    <row r="26">
      <c r="A26" s="124" t="n">
        <v>24</v>
      </c>
      <c r="B26" s="125" t="inlineStr">
        <is>
          <t>点</t>
        </is>
      </c>
      <c r="C26" s="124" t="inlineStr">
        <is>
          <t>diǎn</t>
        </is>
      </c>
      <c r="D26" s="124" t="inlineStr">
        <is>
          <t>n.</t>
        </is>
      </c>
      <c r="E26" s="126" t="inlineStr">
        <is>
          <t>o'clock</t>
        </is>
      </c>
      <c r="F26" s="126" t="inlineStr">
        <is>
          <t>giờ (đúng)</t>
        </is>
      </c>
      <c r="G26" s="124" t="inlineStr">
        <is>
          <t>8</t>
        </is>
      </c>
      <c r="H26" s="123">
        <f>HYPERLINK("https://youglish.com/pronounce/点/chinese","🔍")</f>
        <v/>
      </c>
    </row>
    <row r="27">
      <c r="A27" s="120" t="n">
        <v>25</v>
      </c>
      <c r="B27" s="121" t="inlineStr">
        <is>
          <t>点</t>
        </is>
      </c>
      <c r="C27" s="120" t="inlineStr">
        <is>
          <t>diǎn</t>
        </is>
      </c>
      <c r="D27" s="120" t="inlineStr">
        <is>
          <t>v.</t>
        </is>
      </c>
      <c r="E27" s="122" t="inlineStr">
        <is>
          <t>order</t>
        </is>
      </c>
      <c r="F27" s="122" t="inlineStr">
        <is>
          <t>gọi món; đặt món</t>
        </is>
      </c>
      <c r="G27" s="120" t="inlineStr">
        <is>
          <t>18</t>
        </is>
      </c>
      <c r="H27" s="123">
        <f>HYPERLINK("https://youglish.com/pronounce/点/chinese","🔍")</f>
        <v/>
      </c>
    </row>
    <row r="28">
      <c r="A28" s="124" t="n">
        <v>26</v>
      </c>
      <c r="B28" s="125" t="inlineStr">
        <is>
          <t>电话</t>
        </is>
      </c>
      <c r="C28" s="124" t="inlineStr">
        <is>
          <t>diànhuà</t>
        </is>
      </c>
      <c r="D28" s="124" t="inlineStr">
        <is>
          <t>n.</t>
        </is>
      </c>
      <c r="E28" s="126" t="inlineStr">
        <is>
          <t>phone</t>
        </is>
      </c>
      <c r="F28" s="126" t="inlineStr">
        <is>
          <t>điện thoại</t>
        </is>
      </c>
      <c r="G28" s="124" t="inlineStr">
        <is>
          <t>13</t>
        </is>
      </c>
      <c r="H28" s="123">
        <f>HYPERLINK("https://youglish.com/pronounce/电话/chinese","🔍")</f>
        <v/>
      </c>
    </row>
    <row r="29">
      <c r="A29" s="120" t="n">
        <v>27</v>
      </c>
      <c r="B29" s="121" t="inlineStr">
        <is>
          <t>电脑</t>
        </is>
      </c>
      <c r="C29" s="120" t="inlineStr">
        <is>
          <t>diànnǎo</t>
        </is>
      </c>
      <c r="D29" s="120" t="inlineStr">
        <is>
          <t>n.</t>
        </is>
      </c>
      <c r="E29" s="122" t="inlineStr">
        <is>
          <t>computer</t>
        </is>
      </c>
      <c r="F29" s="122" t="inlineStr">
        <is>
          <t>máy tính</t>
        </is>
      </c>
      <c r="G29" s="120" t="inlineStr">
        <is>
          <t>17</t>
        </is>
      </c>
      <c r="H29" s="123">
        <f>HYPERLINK("https://youglish.com/pronounce/电脑/chinese","🔍")</f>
        <v/>
      </c>
    </row>
    <row r="30">
      <c r="A30" s="124" t="n">
        <v>28</v>
      </c>
      <c r="B30" s="125" t="inlineStr">
        <is>
          <t>电梯</t>
        </is>
      </c>
      <c r="C30" s="124" t="inlineStr">
        <is>
          <t>diàntī</t>
        </is>
      </c>
      <c r="D30" s="124" t="inlineStr">
        <is>
          <t>n.</t>
        </is>
      </c>
      <c r="E30" s="126" t="inlineStr">
        <is>
          <t>elevator; lift</t>
        </is>
      </c>
      <c r="F30" s="126" t="inlineStr">
        <is>
          <t>thang máy</t>
        </is>
      </c>
      <c r="G30" s="124" t="inlineStr">
        <is>
          <t>15</t>
        </is>
      </c>
      <c r="H30" s="123">
        <f>HYPERLINK("https://youglish.com/pronounce/电梯/chinese","🔍")</f>
        <v/>
      </c>
    </row>
    <row r="31">
      <c r="A31" s="120" t="n">
        <v>29</v>
      </c>
      <c r="B31" s="121" t="inlineStr">
        <is>
          <t>订</t>
        </is>
      </c>
      <c r="C31" s="120" t="inlineStr">
        <is>
          <t>dìng</t>
        </is>
      </c>
      <c r="D31" s="120" t="inlineStr">
        <is>
          <t>v.</t>
        </is>
      </c>
      <c r="E31" s="122" t="inlineStr">
        <is>
          <t>book; reserve</t>
        </is>
      </c>
      <c r="F31" s="122" t="inlineStr">
        <is>
          <t>đặt; đặt trước</t>
        </is>
      </c>
      <c r="G31" s="120" t="inlineStr">
        <is>
          <t>20</t>
        </is>
      </c>
      <c r="H31" s="123">
        <f>HYPERLINK("https://youglish.com/pronounce/订/chinese","🔍")</f>
        <v/>
      </c>
    </row>
    <row r="32">
      <c r="A32" s="124" t="n">
        <v>30</v>
      </c>
      <c r="B32" s="125" t="inlineStr">
        <is>
          <t>对不起</t>
        </is>
      </c>
      <c r="C32" s="124" t="inlineStr">
        <is>
          <t>duìbuqǐ</t>
        </is>
      </c>
      <c r="D32" s="124" t="inlineStr">
        <is>
          <t>v.</t>
        </is>
      </c>
      <c r="E32" s="126" t="inlineStr">
        <is>
          <t>I'm sorry.</t>
        </is>
      </c>
      <c r="F32" s="126" t="inlineStr">
        <is>
          <t>xin lỗi</t>
        </is>
      </c>
      <c r="G32" s="124" t="inlineStr">
        <is>
          <t>6</t>
        </is>
      </c>
      <c r="H32" s="123">
        <f>HYPERLINK("https://youglish.com/pronounce/对不起/chinese","🔍")</f>
        <v/>
      </c>
    </row>
    <row r="33">
      <c r="A33" s="120" t="n">
        <v>31</v>
      </c>
      <c r="B33" s="121" t="inlineStr">
        <is>
          <t>多少</t>
        </is>
      </c>
      <c r="C33" s="120" t="inlineStr">
        <is>
          <t>duōshao</t>
        </is>
      </c>
      <c r="D33" s="120" t="inlineStr">
        <is>
          <t>pron.</t>
        </is>
      </c>
      <c r="E33" s="122" t="inlineStr">
        <is>
          <t>how many; how much</t>
        </is>
      </c>
      <c r="F33" s="122" t="inlineStr">
        <is>
          <t>bao nhiêu</t>
        </is>
      </c>
      <c r="G33" s="120" t="inlineStr">
        <is>
          <t>13</t>
        </is>
      </c>
      <c r="H33" s="123">
        <f>HYPERLINK("https://youglish.com/pronounce/多少/chinese","🔍")</f>
        <v/>
      </c>
    </row>
    <row r="34">
      <c r="A34" s="124" t="n">
        <v>32</v>
      </c>
      <c r="B34" s="125" t="inlineStr">
        <is>
          <t>二</t>
        </is>
      </c>
      <c r="C34" s="124" t="inlineStr">
        <is>
          <t>èr</t>
        </is>
      </c>
      <c r="D34" s="124" t="inlineStr">
        <is>
          <t>num.</t>
        </is>
      </c>
      <c r="E34" s="126" t="inlineStr">
        <is>
          <t>two</t>
        </is>
      </c>
      <c r="F34" s="126" t="inlineStr">
        <is>
          <t>hai</t>
        </is>
      </c>
      <c r="G34" s="124" t="inlineStr">
        <is>
          <t>7</t>
        </is>
      </c>
      <c r="H34" s="123">
        <f>HYPERLINK("https://youglish.com/pronounce/二/chinese","🔍")</f>
        <v/>
      </c>
    </row>
    <row r="35">
      <c r="A35" s="120" t="n">
        <v>33</v>
      </c>
      <c r="B35" s="121" t="inlineStr">
        <is>
          <t>二月</t>
        </is>
      </c>
      <c r="C35" s="120" t="inlineStr">
        <is>
          <t>èryuè</t>
        </is>
      </c>
      <c r="D35" s="120" t="inlineStr">
        <is>
          <t>n.</t>
        </is>
      </c>
      <c r="E35" s="122" t="inlineStr">
        <is>
          <t>February</t>
        </is>
      </c>
      <c r="F35" s="122" t="inlineStr">
        <is>
          <t>tháng Hai</t>
        </is>
      </c>
      <c r="G35" s="120" t="inlineStr">
        <is>
          <t>10</t>
        </is>
      </c>
      <c r="H35" s="123">
        <f>HYPERLINK("https://youglish.com/pronounce/二月/chinese","🔍")</f>
        <v/>
      </c>
    </row>
    <row r="36">
      <c r="A36" s="124" t="n">
        <v>34</v>
      </c>
      <c r="B36" s="125" t="inlineStr">
        <is>
          <t>房间</t>
        </is>
      </c>
      <c r="C36" s="124" t="inlineStr">
        <is>
          <t>fángjiān</t>
        </is>
      </c>
      <c r="D36" s="124" t="inlineStr">
        <is>
          <t>n.</t>
        </is>
      </c>
      <c r="E36" s="126" t="inlineStr">
        <is>
          <t>room</t>
        </is>
      </c>
      <c r="F36" s="126" t="inlineStr">
        <is>
          <t>căn phòng</t>
        </is>
      </c>
      <c r="G36" s="124" t="inlineStr">
        <is>
          <t>11</t>
        </is>
      </c>
      <c r="H36" s="123">
        <f>HYPERLINK("https://youglish.com/pronounce/房间/chinese","🔍")</f>
        <v/>
      </c>
    </row>
    <row r="37">
      <c r="A37" s="120" t="n">
        <v>35</v>
      </c>
      <c r="B37" s="121" t="inlineStr">
        <is>
          <t>飞机</t>
        </is>
      </c>
      <c r="C37" s="120" t="inlineStr">
        <is>
          <t>fēijī</t>
        </is>
      </c>
      <c r="D37" s="120" t="inlineStr">
        <is>
          <t>n.</t>
        </is>
      </c>
      <c r="E37" s="122" t="inlineStr">
        <is>
          <t>plane</t>
        </is>
      </c>
      <c r="F37" s="122" t="inlineStr">
        <is>
          <t>máy bay</t>
        </is>
      </c>
      <c r="G37" s="120" t="inlineStr">
        <is>
          <t>8</t>
        </is>
      </c>
      <c r="H37" s="123">
        <f>HYPERLINK("https://youglish.com/pronounce/飞机/chinese","🔍")</f>
        <v/>
      </c>
    </row>
    <row r="38">
      <c r="A38" s="124" t="n">
        <v>36</v>
      </c>
      <c r="B38" s="125" t="inlineStr">
        <is>
          <t>服务员</t>
        </is>
      </c>
      <c r="C38" s="124" t="inlineStr">
        <is>
          <t>fúwùyuán</t>
        </is>
      </c>
      <c r="D38" s="124" t="inlineStr">
        <is>
          <t>n.</t>
        </is>
      </c>
      <c r="E38" s="126" t="inlineStr">
        <is>
          <t>attendant; waiter; waitress</t>
        </is>
      </c>
      <c r="F38" s="126" t="inlineStr">
        <is>
          <t>nhân viên phục vụ</t>
        </is>
      </c>
      <c r="G38" s="124" t="inlineStr">
        <is>
          <t>18</t>
        </is>
      </c>
      <c r="H38" s="123">
        <f>HYPERLINK("https://youglish.com/pronounce/服务员/chinese","🔍")</f>
        <v/>
      </c>
    </row>
    <row r="39">
      <c r="A39" s="120" t="n">
        <v>37</v>
      </c>
      <c r="B39" s="121" t="inlineStr">
        <is>
          <t>干杯</t>
        </is>
      </c>
      <c r="C39" s="120" t="inlineStr">
        <is>
          <t>gānbēi</t>
        </is>
      </c>
      <c r="D39" s="120" t="inlineStr">
        <is>
          <t>v.</t>
        </is>
      </c>
      <c r="E39" s="122" t="inlineStr">
        <is>
          <t>cheers</t>
        </is>
      </c>
      <c r="F39" s="122" t="inlineStr">
        <is>
          <t>cạn ly</t>
        </is>
      </c>
      <c r="G39" s="120" t="inlineStr">
        <is>
          <t>18</t>
        </is>
      </c>
      <c r="H39" s="123">
        <f>HYPERLINK("https://youglish.com/pronounce/干杯/chinese","🔍")</f>
        <v/>
      </c>
    </row>
    <row r="40">
      <c r="A40" s="124" t="n">
        <v>38</v>
      </c>
      <c r="B40" s="125" t="inlineStr">
        <is>
          <t>高兴</t>
        </is>
      </c>
      <c r="C40" s="124" t="inlineStr">
        <is>
          <t>gāoxìng</t>
        </is>
      </c>
      <c r="D40" s="124" t="inlineStr">
        <is>
          <t>adj.</t>
        </is>
      </c>
      <c r="E40" s="126" t="inlineStr">
        <is>
          <t>happy; glad; cheerful; pleased</t>
        </is>
      </c>
      <c r="F40" s="126" t="inlineStr">
        <is>
          <t>vui mừng</t>
        </is>
      </c>
      <c r="G40" s="124" t="inlineStr">
        <is>
          <t>2</t>
        </is>
      </c>
      <c r="H40" s="123">
        <f>HYPERLINK("https://youglish.com/pronounce/高兴/chinese","🔍")</f>
        <v/>
      </c>
    </row>
    <row r="41">
      <c r="A41" s="120" t="n">
        <v>39</v>
      </c>
      <c r="B41" s="121" t="inlineStr">
        <is>
          <t>个</t>
        </is>
      </c>
      <c r="C41" s="120" t="inlineStr">
        <is>
          <t>gè</t>
        </is>
      </c>
      <c r="D41" s="120" t="inlineStr">
        <is>
          <t>mw.</t>
        </is>
      </c>
      <c r="E41" s="122" t="inlineStr">
        <is>
          <t>used with nouns without specific measure words</t>
        </is>
      </c>
      <c r="F41" s="122" t="inlineStr">
        <is>
          <t>cái (lượng từ chung)</t>
        </is>
      </c>
      <c r="G41" s="120" t="inlineStr">
        <is>
          <t>5</t>
        </is>
      </c>
      <c r="H41" s="123">
        <f>HYPERLINK("https://youglish.com/pronounce/个/chinese","🔍")</f>
        <v/>
      </c>
    </row>
    <row r="42">
      <c r="A42" s="124" t="n">
        <v>40</v>
      </c>
      <c r="B42" s="125" t="inlineStr">
        <is>
          <t>给</t>
        </is>
      </c>
      <c r="C42" s="124" t="inlineStr">
        <is>
          <t>gěi</t>
        </is>
      </c>
      <c r="D42" s="124" t="inlineStr">
        <is>
          <t>prep./v.</t>
        </is>
      </c>
      <c r="E42" s="126" t="inlineStr">
        <is>
          <t>for; hand over; give</t>
        </is>
      </c>
      <c r="F42" s="126" t="inlineStr">
        <is>
          <t>cho; đưa</t>
        </is>
      </c>
      <c r="G42" s="124" t="inlineStr">
        <is>
          <t>13</t>
        </is>
      </c>
      <c r="H42" s="123">
        <f>HYPERLINK("https://youglish.com/pronounce/给/chinese","🔍")</f>
        <v/>
      </c>
    </row>
    <row r="43">
      <c r="A43" s="120" t="n">
        <v>41</v>
      </c>
      <c r="B43" s="121" t="inlineStr">
        <is>
          <t>工作</t>
        </is>
      </c>
      <c r="C43" s="120" t="inlineStr">
        <is>
          <t>gōngzuò</t>
        </is>
      </c>
      <c r="D43" s="120" t="inlineStr">
        <is>
          <t>v.</t>
        </is>
      </c>
      <c r="E43" s="122" t="inlineStr">
        <is>
          <t>work</t>
        </is>
      </c>
      <c r="F43" s="122" t="inlineStr">
        <is>
          <t>làm việc; công việc</t>
        </is>
      </c>
      <c r="G43" s="120" t="inlineStr">
        <is>
          <t>3</t>
        </is>
      </c>
      <c r="H43" s="123">
        <f>HYPERLINK("https://youglish.com/pronounce/工作/chinese","🔍")</f>
        <v/>
      </c>
    </row>
    <row r="44">
      <c r="A44" s="124" t="n">
        <v>42</v>
      </c>
      <c r="B44" s="125" t="inlineStr">
        <is>
          <t>公司</t>
        </is>
      </c>
      <c r="C44" s="124" t="inlineStr">
        <is>
          <t>gōngsī</t>
        </is>
      </c>
      <c r="D44" s="124" t="inlineStr">
        <is>
          <t>n.</t>
        </is>
      </c>
      <c r="E44" s="126" t="inlineStr">
        <is>
          <t>company; firm</t>
        </is>
      </c>
      <c r="F44" s="126" t="inlineStr">
        <is>
          <t>công ty</t>
        </is>
      </c>
      <c r="G44" s="124" t="inlineStr">
        <is>
          <t>2</t>
        </is>
      </c>
      <c r="H44" s="123">
        <f>HYPERLINK("https://youglish.com/pronounce/公司/chinese","🔍")</f>
        <v/>
      </c>
    </row>
    <row r="45">
      <c r="A45" s="120" t="n">
        <v>43</v>
      </c>
      <c r="B45" s="121" t="inlineStr">
        <is>
          <t>贵</t>
        </is>
      </c>
      <c r="C45" s="120" t="inlineStr">
        <is>
          <t>guì</t>
        </is>
      </c>
      <c r="D45" s="120" t="inlineStr">
        <is>
          <t>adj.</t>
        </is>
      </c>
      <c r="E45" s="122" t="inlineStr">
        <is>
          <t>(respectful, when asking name/age)</t>
        </is>
      </c>
      <c r="F45" s="122" t="inlineStr">
        <is>
          <t>quý (kính ngữ khi hỏi tên/tuổi)</t>
        </is>
      </c>
      <c r="G45" s="120" t="inlineStr">
        <is>
          <t>3</t>
        </is>
      </c>
      <c r="H45" s="123">
        <f>HYPERLINK("https://youglish.com/pronounce/贵/chinese","🔍")</f>
        <v/>
      </c>
    </row>
    <row r="46">
      <c r="A46" s="124" t="n">
        <v>44</v>
      </c>
      <c r="B46" s="125" t="inlineStr">
        <is>
          <t>贵</t>
        </is>
      </c>
      <c r="C46" s="124" t="inlineStr">
        <is>
          <t>guì</t>
        </is>
      </c>
      <c r="D46" s="124" t="inlineStr">
        <is>
          <t>adj.</t>
        </is>
      </c>
      <c r="E46" s="126" t="inlineStr">
        <is>
          <t>expensive; costly</t>
        </is>
      </c>
      <c r="F46" s="126" t="inlineStr">
        <is>
          <t>đắt</t>
        </is>
      </c>
      <c r="G46" s="124" t="inlineStr">
        <is>
          <t>14</t>
        </is>
      </c>
      <c r="H46" s="123">
        <f>HYPERLINK("https://youglish.com/pronounce/贵/chinese","🔍")</f>
        <v/>
      </c>
    </row>
    <row r="47">
      <c r="A47" s="120" t="n">
        <v>45</v>
      </c>
      <c r="B47" s="121" t="inlineStr">
        <is>
          <t>国家</t>
        </is>
      </c>
      <c r="C47" s="120" t="inlineStr">
        <is>
          <t>guójiā</t>
        </is>
      </c>
      <c r="D47" s="120" t="inlineStr">
        <is>
          <t>n.</t>
        </is>
      </c>
      <c r="E47" s="122" t="inlineStr">
        <is>
          <t>country</t>
        </is>
      </c>
      <c r="F47" s="122" t="inlineStr">
        <is>
          <t>quốc gia; đất nước</t>
        </is>
      </c>
      <c r="G47" s="120" t="inlineStr">
        <is>
          <t>5</t>
        </is>
      </c>
      <c r="H47" s="123">
        <f>HYPERLINK("https://youglish.com/pronounce/国家/chinese","🔍")</f>
        <v/>
      </c>
    </row>
    <row r="48">
      <c r="A48" s="124" t="n">
        <v>46</v>
      </c>
      <c r="B48" s="125" t="inlineStr">
        <is>
          <t>韩国</t>
        </is>
      </c>
      <c r="C48" s="124" t="inlineStr">
        <is>
          <t>Hánguó</t>
        </is>
      </c>
      <c r="D48" s="124" t="inlineStr">
        <is>
          <t>n.</t>
        </is>
      </c>
      <c r="E48" s="126" t="inlineStr">
        <is>
          <t>South Korea</t>
        </is>
      </c>
      <c r="F48" s="126" t="inlineStr">
        <is>
          <t>Hàn Quốc</t>
        </is>
      </c>
      <c r="G48" s="124" t="inlineStr">
        <is>
          <t>5</t>
        </is>
      </c>
      <c r="H48" s="123">
        <f>HYPERLINK("https://youglish.com/pronounce/韩国/chinese","🔍")</f>
        <v/>
      </c>
    </row>
    <row r="49">
      <c r="A49" s="120" t="n">
        <v>47</v>
      </c>
      <c r="B49" s="121" t="inlineStr">
        <is>
          <t>汉语</t>
        </is>
      </c>
      <c r="C49" s="120" t="inlineStr">
        <is>
          <t>Hànyǔ</t>
        </is>
      </c>
      <c r="D49" s="120" t="inlineStr">
        <is>
          <t>n.</t>
        </is>
      </c>
      <c r="E49" s="122" t="inlineStr">
        <is>
          <t>Chinese language</t>
        </is>
      </c>
      <c r="F49" s="122" t="inlineStr">
        <is>
          <t>tiếng Hán; tiếng Trung</t>
        </is>
      </c>
      <c r="G49" s="120" t="inlineStr">
        <is>
          <t>5</t>
        </is>
      </c>
      <c r="H49" s="123">
        <f>HYPERLINK("https://youglish.com/pronounce/汉语/chinese","🔍")</f>
        <v/>
      </c>
    </row>
    <row r="50">
      <c r="A50" s="124" t="n">
        <v>48</v>
      </c>
      <c r="B50" s="125" t="inlineStr">
        <is>
          <t>好</t>
        </is>
      </c>
      <c r="C50" s="124" t="inlineStr">
        <is>
          <t>hǎo</t>
        </is>
      </c>
      <c r="D50" s="124" t="inlineStr">
        <is>
          <t>a.</t>
        </is>
      </c>
      <c r="E50" s="126" t="inlineStr">
        <is>
          <t>good; nice; well; fine</t>
        </is>
      </c>
      <c r="F50" s="126" t="inlineStr">
        <is>
          <t>tốt; khỏe</t>
        </is>
      </c>
      <c r="G50" s="124" t="inlineStr">
        <is>
          <t>1</t>
        </is>
      </c>
      <c r="H50" s="123">
        <f>HYPERLINK("https://youglish.com/pronounce/好/chinese","🔍")</f>
        <v/>
      </c>
    </row>
    <row r="51">
      <c r="A51" s="120" t="n">
        <v>49</v>
      </c>
      <c r="B51" s="121" t="inlineStr">
        <is>
          <t>好吃</t>
        </is>
      </c>
      <c r="C51" s="120" t="inlineStr">
        <is>
          <t>hǎochī</t>
        </is>
      </c>
      <c r="D51" s="120" t="inlineStr">
        <is>
          <t>adj.</t>
        </is>
      </c>
      <c r="E51" s="122" t="inlineStr">
        <is>
          <t>delicious</t>
        </is>
      </c>
      <c r="F51" s="122" t="inlineStr">
        <is>
          <t>ngon</t>
        </is>
      </c>
      <c r="G51" s="120" t="inlineStr">
        <is>
          <t>18</t>
        </is>
      </c>
      <c r="H51" s="123">
        <f>HYPERLINK("https://youglish.com/pronounce/好吃/chinese","🔍")</f>
        <v/>
      </c>
    </row>
    <row r="52">
      <c r="A52" s="124" t="n">
        <v>50</v>
      </c>
      <c r="B52" s="125" t="inlineStr">
        <is>
          <t>好久</t>
        </is>
      </c>
      <c r="C52" s="124" t="inlineStr">
        <is>
          <t>hǎojiǔ</t>
        </is>
      </c>
      <c r="D52" s="124" t="inlineStr">
        <is>
          <t>adj.</t>
        </is>
      </c>
      <c r="E52" s="126" t="inlineStr">
        <is>
          <t>long time</t>
        </is>
      </c>
      <c r="F52" s="126" t="inlineStr">
        <is>
          <t>(đã) lâu</t>
        </is>
      </c>
      <c r="G52" s="124" t="inlineStr">
        <is>
          <t>4</t>
        </is>
      </c>
      <c r="H52" s="123">
        <f>HYPERLINK("https://youglish.com/pronounce/好久/chinese","🔍")</f>
        <v/>
      </c>
    </row>
    <row r="53">
      <c r="A53" s="120" t="n">
        <v>51</v>
      </c>
      <c r="B53" s="121" t="inlineStr">
        <is>
          <t>号</t>
        </is>
      </c>
      <c r="C53" s="120" t="inlineStr">
        <is>
          <t>hào</t>
        </is>
      </c>
      <c r="D53" s="120" t="inlineStr">
        <is>
          <t>n.</t>
        </is>
      </c>
      <c r="E53" s="122" t="inlineStr">
        <is>
          <t>date</t>
        </is>
      </c>
      <c r="F53" s="122" t="inlineStr">
        <is>
          <t>ngày (trong tháng)</t>
        </is>
      </c>
      <c r="G53" s="120" t="inlineStr">
        <is>
          <t>10</t>
        </is>
      </c>
      <c r="H53" s="123">
        <f>HYPERLINK("https://youglish.com/pronounce/号/chinese","🔍")</f>
        <v/>
      </c>
    </row>
    <row r="54">
      <c r="A54" s="124" t="n">
        <v>52</v>
      </c>
      <c r="B54" s="125" t="inlineStr">
        <is>
          <t>号码</t>
        </is>
      </c>
      <c r="C54" s="124" t="inlineStr">
        <is>
          <t>hàomǎ</t>
        </is>
      </c>
      <c r="D54" s="124" t="inlineStr">
        <is>
          <t>n.</t>
        </is>
      </c>
      <c r="E54" s="126" t="inlineStr">
        <is>
          <t>number</t>
        </is>
      </c>
      <c r="F54" s="126" t="inlineStr">
        <is>
          <t>số (hiệu)</t>
        </is>
      </c>
      <c r="G54" s="124" t="inlineStr">
        <is>
          <t>13</t>
        </is>
      </c>
      <c r="H54" s="123">
        <f>HYPERLINK("https://youglish.com/pronounce/号码/chinese","🔍")</f>
        <v/>
      </c>
    </row>
    <row r="55">
      <c r="A55" s="120" t="n">
        <v>53</v>
      </c>
      <c r="B55" s="121" t="inlineStr">
        <is>
          <t>喝</t>
        </is>
      </c>
      <c r="C55" s="120" t="inlineStr">
        <is>
          <t>hē</t>
        </is>
      </c>
      <c r="D55" s="120" t="inlineStr">
        <is>
          <t>v.</t>
        </is>
      </c>
      <c r="E55" s="122" t="inlineStr">
        <is>
          <t>drink</t>
        </is>
      </c>
      <c r="F55" s="122" t="inlineStr">
        <is>
          <t>uống</t>
        </is>
      </c>
      <c r="G55" s="120" t="inlineStr">
        <is>
          <t>18</t>
        </is>
      </c>
      <c r="H55" s="123">
        <f>HYPERLINK("https://youglish.com/pronounce/喝/chinese","🔍")</f>
        <v/>
      </c>
    </row>
    <row r="56">
      <c r="A56" s="124" t="n">
        <v>54</v>
      </c>
      <c r="B56" s="125" t="inlineStr">
        <is>
          <t>和</t>
        </is>
      </c>
      <c r="C56" s="124" t="inlineStr">
        <is>
          <t>hé</t>
        </is>
      </c>
      <c r="D56" s="124" t="inlineStr">
        <is>
          <t>prep./conj.</t>
        </is>
      </c>
      <c r="E56" s="126" t="inlineStr">
        <is>
          <t>with; and</t>
        </is>
      </c>
      <c r="F56" s="126" t="inlineStr">
        <is>
          <t>và; với</t>
        </is>
      </c>
      <c r="G56" s="124" t="inlineStr">
        <is>
          <t>10</t>
        </is>
      </c>
      <c r="H56" s="123">
        <f>HYPERLINK("https://youglish.com/pronounce/和/chinese","🔍")</f>
        <v/>
      </c>
    </row>
    <row r="57">
      <c r="A57" s="120" t="n">
        <v>55</v>
      </c>
      <c r="B57" s="121" t="inlineStr">
        <is>
          <t>很</t>
        </is>
      </c>
      <c r="C57" s="120" t="inlineStr">
        <is>
          <t>hěn</t>
        </is>
      </c>
      <c r="D57" s="120" t="inlineStr">
        <is>
          <t>adv.</t>
        </is>
      </c>
      <c r="E57" s="122" t="inlineStr">
        <is>
          <t>very</t>
        </is>
      </c>
      <c r="F57" s="122" t="inlineStr">
        <is>
          <t>rất</t>
        </is>
      </c>
      <c r="G57" s="120" t="inlineStr">
        <is>
          <t>2</t>
        </is>
      </c>
      <c r="H57" s="123">
        <f>HYPERLINK("https://youglish.com/pronounce/很/chinese","🔍")</f>
        <v/>
      </c>
    </row>
    <row r="58">
      <c r="A58" s="124" t="n">
        <v>56</v>
      </c>
      <c r="B58" s="125" t="inlineStr">
        <is>
          <t>后面</t>
        </is>
      </c>
      <c r="C58" s="124" t="inlineStr">
        <is>
          <t>hòumiàn</t>
        </is>
      </c>
      <c r="D58" s="124" t="inlineStr">
        <is>
          <t>n.</t>
        </is>
      </c>
      <c r="E58" s="126" t="inlineStr">
        <is>
          <t>behind; at the back; in the rear</t>
        </is>
      </c>
      <c r="F58" s="126" t="inlineStr">
        <is>
          <t>phía sau</t>
        </is>
      </c>
      <c r="G58" s="124" t="inlineStr">
        <is>
          <t>16</t>
        </is>
      </c>
      <c r="H58" s="123">
        <f>HYPERLINK("https://youglish.com/pronounce/后面/chinese","🔍")</f>
        <v/>
      </c>
    </row>
    <row r="59">
      <c r="A59" s="120" t="n">
        <v>57</v>
      </c>
      <c r="B59" s="121" t="inlineStr">
        <is>
          <t>护照</t>
        </is>
      </c>
      <c r="C59" s="120" t="inlineStr">
        <is>
          <t>hùzhào</t>
        </is>
      </c>
      <c r="D59" s="120" t="inlineStr">
        <is>
          <t>n.</t>
        </is>
      </c>
      <c r="E59" s="122" t="inlineStr">
        <is>
          <t>passport</t>
        </is>
      </c>
      <c r="F59" s="122" t="inlineStr">
        <is>
          <t>hộ chiếu</t>
        </is>
      </c>
      <c r="G59" s="120" t="inlineStr">
        <is>
          <t>11</t>
        </is>
      </c>
      <c r="H59" s="123">
        <f>HYPERLINK("https://youglish.com/pronounce/护照/chinese","🔍")</f>
        <v/>
      </c>
    </row>
    <row r="60">
      <c r="A60" s="124" t="n">
        <v>58</v>
      </c>
      <c r="B60" s="125" t="inlineStr">
        <is>
          <t>欢迎</t>
        </is>
      </c>
      <c r="C60" s="124" t="inlineStr">
        <is>
          <t>huānyíng</t>
        </is>
      </c>
      <c r="D60" s="124" t="inlineStr">
        <is>
          <t>v.</t>
        </is>
      </c>
      <c r="E60" s="126" t="inlineStr">
        <is>
          <t>welcome</t>
        </is>
      </c>
      <c r="F60" s="126" t="inlineStr">
        <is>
          <t>hoan nghênh; chào mừng</t>
        </is>
      </c>
      <c r="G60" s="124" t="inlineStr">
        <is>
          <t>2</t>
        </is>
      </c>
      <c r="H60" s="123">
        <f>HYPERLINK("https://youglish.com/pronounce/欢迎/chinese","🔍")</f>
        <v/>
      </c>
    </row>
    <row r="61">
      <c r="A61" s="120" t="n">
        <v>59</v>
      </c>
      <c r="B61" s="121" t="inlineStr">
        <is>
          <t>回</t>
        </is>
      </c>
      <c r="C61" s="120" t="inlineStr">
        <is>
          <t>huí</t>
        </is>
      </c>
      <c r="D61" s="120" t="inlineStr">
        <is>
          <t>v.</t>
        </is>
      </c>
      <c r="E61" s="122" t="inlineStr">
        <is>
          <t>go back</t>
        </is>
      </c>
      <c r="F61" s="122" t="inlineStr">
        <is>
          <t>về; quay về</t>
        </is>
      </c>
      <c r="G61" s="120" t="inlineStr">
        <is>
          <t>7</t>
        </is>
      </c>
      <c r="H61" s="123">
        <f>HYPERLINK("https://youglish.com/pronounce/回/chinese","🔍")</f>
        <v/>
      </c>
    </row>
    <row r="62">
      <c r="A62" s="124" t="n">
        <v>60</v>
      </c>
      <c r="B62" s="125" t="inlineStr">
        <is>
          <t>会议</t>
        </is>
      </c>
      <c r="C62" s="124" t="inlineStr">
        <is>
          <t>huìyì</t>
        </is>
      </c>
      <c r="D62" s="124" t="inlineStr">
        <is>
          <t>n.</t>
        </is>
      </c>
      <c r="E62" s="126" t="inlineStr">
        <is>
          <t>meeting</t>
        </is>
      </c>
      <c r="F62" s="126" t="inlineStr">
        <is>
          <t>hội nghị; cuộc họp</t>
        </is>
      </c>
      <c r="G62" s="124" t="inlineStr">
        <is>
          <t>7</t>
        </is>
      </c>
      <c r="H62" s="123">
        <f>HYPERLINK("https://youglish.com/pronounce/会议/chinese","🔍")</f>
        <v/>
      </c>
    </row>
    <row r="63">
      <c r="A63" s="120" t="n">
        <v>61</v>
      </c>
      <c r="B63" s="121" t="inlineStr">
        <is>
          <t>机场</t>
        </is>
      </c>
      <c r="C63" s="120" t="inlineStr">
        <is>
          <t>jīchǎng</t>
        </is>
      </c>
      <c r="D63" s="120" t="inlineStr">
        <is>
          <t>n.</t>
        </is>
      </c>
      <c r="E63" s="122" t="inlineStr">
        <is>
          <t>airport</t>
        </is>
      </c>
      <c r="F63" s="122" t="inlineStr">
        <is>
          <t>sân bay</t>
        </is>
      </c>
      <c r="G63" s="120" t="inlineStr">
        <is>
          <t>14</t>
        </is>
      </c>
      <c r="H63" s="123">
        <f>HYPERLINK("https://youglish.com/pronounce/机场/chinese","🔍")</f>
        <v/>
      </c>
    </row>
    <row r="64">
      <c r="A64" s="124" t="n">
        <v>62</v>
      </c>
      <c r="B64" s="125" t="inlineStr">
        <is>
          <t>几</t>
        </is>
      </c>
      <c r="C64" s="124" t="inlineStr">
        <is>
          <t>jǐ</t>
        </is>
      </c>
      <c r="D64" s="124" t="inlineStr">
        <is>
          <t>pron.</t>
        </is>
      </c>
      <c r="E64" s="126" t="inlineStr">
        <is>
          <t>how many</t>
        </is>
      </c>
      <c r="F64" s="126" t="inlineStr">
        <is>
          <t>mấy; bao nhiêu</t>
        </is>
      </c>
      <c r="G64" s="124" t="inlineStr">
        <is>
          <t>7</t>
        </is>
      </c>
      <c r="H64" s="123">
        <f>HYPERLINK("https://youglish.com/pronounce/几/chinese","🔍")</f>
        <v/>
      </c>
    </row>
    <row r="65">
      <c r="A65" s="120" t="n">
        <v>63</v>
      </c>
      <c r="B65" s="121" t="inlineStr">
        <is>
          <t>见</t>
        </is>
      </c>
      <c r="C65" s="120" t="inlineStr">
        <is>
          <t>jiàn</t>
        </is>
      </c>
      <c r="D65" s="120" t="inlineStr">
        <is>
          <t>v.</t>
        </is>
      </c>
      <c r="E65" s="122" t="inlineStr">
        <is>
          <t>see</t>
        </is>
      </c>
      <c r="F65" s="122" t="inlineStr">
        <is>
          <t>gặp; thấy</t>
        </is>
      </c>
      <c r="G65" s="120" t="inlineStr">
        <is>
          <t>4</t>
        </is>
      </c>
      <c r="H65" s="123">
        <f>HYPERLINK("https://youglish.com/pronounce/见/chinese","🔍")</f>
        <v/>
      </c>
    </row>
    <row r="66">
      <c r="A66" s="124" t="n">
        <v>64</v>
      </c>
      <c r="B66" s="125" t="inlineStr">
        <is>
          <t>见面</t>
        </is>
      </c>
      <c r="C66" s="124" t="inlineStr">
        <is>
          <t>jiànmiàn</t>
        </is>
      </c>
      <c r="D66" s="124" t="inlineStr">
        <is>
          <t>v.</t>
        </is>
      </c>
      <c r="E66" s="126" t="inlineStr">
        <is>
          <t>meet</t>
        </is>
      </c>
      <c r="F66" s="126" t="inlineStr">
        <is>
          <t>gặp mặt</t>
        </is>
      </c>
      <c r="G66" s="124" t="inlineStr">
        <is>
          <t>12</t>
        </is>
      </c>
      <c r="H66" s="123">
        <f>HYPERLINK("https://youglish.com/pronounce/见面/chinese","🔍")</f>
        <v/>
      </c>
    </row>
    <row r="67">
      <c r="A67" s="120" t="n">
        <v>65</v>
      </c>
      <c r="B67" s="121" t="inlineStr">
        <is>
          <t>叫</t>
        </is>
      </c>
      <c r="C67" s="120" t="inlineStr">
        <is>
          <t>jiào</t>
        </is>
      </c>
      <c r="D67" s="120" t="inlineStr">
        <is>
          <t>v.</t>
        </is>
      </c>
      <c r="E67" s="122" t="inlineStr">
        <is>
          <t>be called; be named</t>
        </is>
      </c>
      <c r="F67" s="122" t="inlineStr">
        <is>
          <t>gọi là; tên là</t>
        </is>
      </c>
      <c r="G67" s="120" t="inlineStr">
        <is>
          <t>3</t>
        </is>
      </c>
      <c r="H67" s="123">
        <f>HYPERLINK("https://youglish.com/pronounce/叫/chinese","🔍")</f>
        <v/>
      </c>
    </row>
    <row r="68">
      <c r="A68" s="124" t="n">
        <v>66</v>
      </c>
      <c r="B68" s="125" t="inlineStr">
        <is>
          <t>介绍</t>
        </is>
      </c>
      <c r="C68" s="124" t="inlineStr">
        <is>
          <t>jièshào</t>
        </is>
      </c>
      <c r="D68" s="124" t="inlineStr">
        <is>
          <t>v.</t>
        </is>
      </c>
      <c r="E68" s="126" t="inlineStr">
        <is>
          <t>introduce</t>
        </is>
      </c>
      <c r="F68" s="126" t="inlineStr">
        <is>
          <t>giới thiệu</t>
        </is>
      </c>
      <c r="G68" s="124" t="inlineStr">
        <is>
          <t>3</t>
        </is>
      </c>
      <c r="H68" s="123">
        <f>HYPERLINK("https://youglish.com/pronounce/介绍/chinese","🔍")</f>
        <v/>
      </c>
    </row>
    <row r="69">
      <c r="A69" s="120" t="n">
        <v>67</v>
      </c>
      <c r="B69" s="121" t="inlineStr">
        <is>
          <t>今天</t>
        </is>
      </c>
      <c r="C69" s="120" t="inlineStr">
        <is>
          <t>jīntiān</t>
        </is>
      </c>
      <c r="D69" s="120" t="inlineStr">
        <is>
          <t>n.</t>
        </is>
      </c>
      <c r="E69" s="122" t="inlineStr">
        <is>
          <t>today</t>
        </is>
      </c>
      <c r="F69" s="122" t="inlineStr">
        <is>
          <t>hôm nay</t>
        </is>
      </c>
      <c r="G69" s="120" t="inlineStr">
        <is>
          <t>7</t>
        </is>
      </c>
      <c r="H69" s="123">
        <f>HYPERLINK("https://youglish.com/pronounce/今天/chinese","🔍")</f>
        <v/>
      </c>
    </row>
    <row r="70">
      <c r="A70" s="124" t="n">
        <v>68</v>
      </c>
      <c r="B70" s="125" t="inlineStr">
        <is>
          <t>进</t>
        </is>
      </c>
      <c r="C70" s="124" t="inlineStr">
        <is>
          <t>jìn</t>
        </is>
      </c>
      <c r="D70" s="124" t="inlineStr">
        <is>
          <t>v.</t>
        </is>
      </c>
      <c r="E70" s="126" t="inlineStr">
        <is>
          <t>enter</t>
        </is>
      </c>
      <c r="F70" s="126" t="inlineStr">
        <is>
          <t>vào</t>
        </is>
      </c>
      <c r="G70" s="124" t="inlineStr">
        <is>
          <t>2</t>
        </is>
      </c>
      <c r="H70" s="123">
        <f>HYPERLINK("https://youglish.com/pronounce/进/chinese","🔍")</f>
        <v/>
      </c>
    </row>
    <row r="71">
      <c r="A71" s="120" t="n">
        <v>69</v>
      </c>
      <c r="B71" s="121" t="inlineStr">
        <is>
          <t>经理</t>
        </is>
      </c>
      <c r="C71" s="120" t="inlineStr">
        <is>
          <t>jīnglǐ</t>
        </is>
      </c>
      <c r="D71" s="120" t="inlineStr">
        <is>
          <t>n.</t>
        </is>
      </c>
      <c r="E71" s="122" t="inlineStr">
        <is>
          <t>manager</t>
        </is>
      </c>
      <c r="F71" s="122" t="inlineStr">
        <is>
          <t>giám đốc; quản lý</t>
        </is>
      </c>
      <c r="G71" s="120" t="inlineStr">
        <is>
          <t>3</t>
        </is>
      </c>
      <c r="H71" s="123">
        <f>HYPERLINK("https://youglish.com/pronounce/经理/chinese","🔍")</f>
        <v/>
      </c>
    </row>
    <row r="72">
      <c r="A72" s="124" t="n">
        <v>70</v>
      </c>
      <c r="B72" s="125" t="inlineStr">
        <is>
          <t>九</t>
        </is>
      </c>
      <c r="C72" s="124" t="inlineStr">
        <is>
          <t>jiǔ</t>
        </is>
      </c>
      <c r="D72" s="124" t="inlineStr">
        <is>
          <t>num.</t>
        </is>
      </c>
      <c r="E72" s="126" t="inlineStr">
        <is>
          <t>nine</t>
        </is>
      </c>
      <c r="F72" s="126" t="inlineStr">
        <is>
          <t>chín</t>
        </is>
      </c>
      <c r="G72" s="124" t="inlineStr">
        <is>
          <t>8</t>
        </is>
      </c>
      <c r="H72" s="123">
        <f>HYPERLINK("https://youglish.com/pronounce/九/chinese","🔍")</f>
        <v/>
      </c>
    </row>
    <row r="73">
      <c r="A73" s="120" t="n">
        <v>71</v>
      </c>
      <c r="B73" s="121" t="inlineStr">
        <is>
          <t>九月</t>
        </is>
      </c>
      <c r="C73" s="120" t="inlineStr">
        <is>
          <t>jiǔyuè</t>
        </is>
      </c>
      <c r="D73" s="120" t="inlineStr">
        <is>
          <t>n.</t>
        </is>
      </c>
      <c r="E73" s="122" t="inlineStr">
        <is>
          <t>September</t>
        </is>
      </c>
      <c r="F73" s="122" t="inlineStr">
        <is>
          <t>tháng Chín</t>
        </is>
      </c>
      <c r="G73" s="120" t="inlineStr">
        <is>
          <t>10</t>
        </is>
      </c>
      <c r="H73" s="123">
        <f>HYPERLINK("https://youglish.com/pronounce/九月/chinese","🔍")</f>
        <v/>
      </c>
    </row>
    <row r="74">
      <c r="A74" s="124" t="n">
        <v>72</v>
      </c>
      <c r="B74" s="125" t="inlineStr">
        <is>
          <t>咖啡</t>
        </is>
      </c>
      <c r="C74" s="124" t="inlineStr">
        <is>
          <t>kāfēi</t>
        </is>
      </c>
      <c r="D74" s="124" t="inlineStr">
        <is>
          <t>n.</t>
        </is>
      </c>
      <c r="E74" s="126" t="inlineStr">
        <is>
          <t>coffee</t>
        </is>
      </c>
      <c r="F74" s="126" t="inlineStr">
        <is>
          <t>cà phê</t>
        </is>
      </c>
      <c r="G74" s="124" t="inlineStr">
        <is>
          <t>17</t>
        </is>
      </c>
      <c r="H74" s="123">
        <f>HYPERLINK("https://youglish.com/pronounce/咖啡/chinese","🔍")</f>
        <v/>
      </c>
    </row>
    <row r="75">
      <c r="A75" s="120" t="n">
        <v>73</v>
      </c>
      <c r="B75" s="121" t="inlineStr">
        <is>
          <t>开会</t>
        </is>
      </c>
      <c r="C75" s="120" t="inlineStr">
        <is>
          <t>kāihuì</t>
        </is>
      </c>
      <c r="D75" s="120" t="inlineStr">
        <is>
          <t>v.</t>
        </is>
      </c>
      <c r="E75" s="122" t="inlineStr">
        <is>
          <t>have a meeting</t>
        </is>
      </c>
      <c r="F75" s="122" t="inlineStr">
        <is>
          <t>họp</t>
        </is>
      </c>
      <c r="G75" s="120" t="inlineStr">
        <is>
          <t>8</t>
        </is>
      </c>
      <c r="H75" s="123">
        <f>HYPERLINK("https://youglish.com/pronounce/开会/chinese","🔍")</f>
        <v/>
      </c>
    </row>
    <row r="76">
      <c r="A76" s="124" t="n">
        <v>74</v>
      </c>
      <c r="B76" s="125" t="inlineStr">
        <is>
          <t>看</t>
        </is>
      </c>
      <c r="C76" s="124" t="inlineStr">
        <is>
          <t>kàn</t>
        </is>
      </c>
      <c r="D76" s="124" t="inlineStr">
        <is>
          <t>v.</t>
        </is>
      </c>
      <c r="E76" s="126" t="inlineStr">
        <is>
          <t>look; watch</t>
        </is>
      </c>
      <c r="F76" s="126" t="inlineStr">
        <is>
          <t>xem; nhìn</t>
        </is>
      </c>
      <c r="G76" s="124" t="inlineStr">
        <is>
          <t>10</t>
        </is>
      </c>
      <c r="H76" s="123">
        <f>HYPERLINK("https://youglish.com/pronounce/看/chinese","🔍")</f>
        <v/>
      </c>
    </row>
    <row r="77">
      <c r="A77" s="120" t="n">
        <v>75</v>
      </c>
      <c r="B77" s="121" t="inlineStr">
        <is>
          <t>可以</t>
        </is>
      </c>
      <c r="C77" s="120" t="inlineStr">
        <is>
          <t>kěyǐ</t>
        </is>
      </c>
      <c r="D77" s="120" t="inlineStr">
        <is>
          <t>aux.</t>
        </is>
      </c>
      <c r="E77" s="122" t="inlineStr">
        <is>
          <t>can; may</t>
        </is>
      </c>
      <c r="F77" s="122" t="inlineStr">
        <is>
          <t>có thể; được</t>
        </is>
      </c>
      <c r="G77" s="120" t="inlineStr">
        <is>
          <t>7</t>
        </is>
      </c>
      <c r="H77" s="123">
        <f>HYPERLINK("https://youglish.com/pronounce/可以/chinese","🔍")</f>
        <v/>
      </c>
    </row>
    <row r="78">
      <c r="A78" s="124" t="n">
        <v>76</v>
      </c>
      <c r="B78" s="125" t="inlineStr">
        <is>
          <t>客气</t>
        </is>
      </c>
      <c r="C78" s="124" t="inlineStr">
        <is>
          <t>kèqi</t>
        </is>
      </c>
      <c r="D78" s="124" t="inlineStr">
        <is>
          <t>adj.</t>
        </is>
      </c>
      <c r="E78" s="126" t="inlineStr">
        <is>
          <t>polite; courteous</t>
        </is>
      </c>
      <c r="F78" s="126" t="inlineStr">
        <is>
          <t>khách sáo</t>
        </is>
      </c>
      <c r="G78" s="124" t="inlineStr">
        <is>
          <t>11</t>
        </is>
      </c>
      <c r="H78" s="123">
        <f>HYPERLINK("https://youglish.com/pronounce/客气/chinese","🔍")</f>
        <v/>
      </c>
    </row>
    <row r="79">
      <c r="A79" s="120" t="n">
        <v>77</v>
      </c>
      <c r="B79" s="121" t="inlineStr">
        <is>
          <t>块</t>
        </is>
      </c>
      <c r="C79" s="120" t="inlineStr">
        <is>
          <t>kuài</t>
        </is>
      </c>
      <c r="D79" s="120" t="inlineStr">
        <is>
          <t>mw.</t>
        </is>
      </c>
      <c r="E79" s="122" t="inlineStr">
        <is>
          <t>kuai, RMB yuan</t>
        </is>
      </c>
      <c r="F79" s="122" t="inlineStr">
        <is>
          <t>đồng (tệ, khẩu ngữ)</t>
        </is>
      </c>
      <c r="G79" s="120" t="inlineStr">
        <is>
          <t>14</t>
        </is>
      </c>
      <c r="H79" s="123">
        <f>HYPERLINK("https://youglish.com/pronounce/块/chinese","🔍")</f>
        <v/>
      </c>
    </row>
    <row r="80">
      <c r="A80" s="124" t="n">
        <v>78</v>
      </c>
      <c r="B80" s="125" t="inlineStr">
        <is>
          <t>来</t>
        </is>
      </c>
      <c r="C80" s="124" t="inlineStr">
        <is>
          <t>lái</t>
        </is>
      </c>
      <c r="D80" s="124" t="inlineStr">
        <is>
          <t>v.</t>
        </is>
      </c>
      <c r="E80" s="126" t="inlineStr">
        <is>
          <t>come</t>
        </is>
      </c>
      <c r="F80" s="126" t="inlineStr">
        <is>
          <t>đến</t>
        </is>
      </c>
      <c r="G80" s="124" t="inlineStr">
        <is>
          <t>2</t>
        </is>
      </c>
      <c r="H80" s="123">
        <f>HYPERLINK("https://youglish.com/pronounce/来/chinese","🔍")</f>
        <v/>
      </c>
    </row>
    <row r="81">
      <c r="A81" s="120" t="n">
        <v>79</v>
      </c>
      <c r="B81" s="121" t="inlineStr">
        <is>
          <t>来</t>
        </is>
      </c>
      <c r="C81" s="120" t="inlineStr">
        <is>
          <t>lái</t>
        </is>
      </c>
      <c r="D81" s="120" t="inlineStr">
        <is>
          <t>v.</t>
        </is>
      </c>
      <c r="E81" s="122" t="inlineStr">
        <is>
          <t>used to indicate some action</t>
        </is>
      </c>
      <c r="F81" s="122" t="inlineStr">
        <is>
          <t>(dùng thay động từ chỉ động tác)</t>
        </is>
      </c>
      <c r="G81" s="120" t="inlineStr">
        <is>
          <t>18</t>
        </is>
      </c>
      <c r="H81" s="123">
        <f>HYPERLINK("https://youglish.com/pronounce/来/chinese","🔍")</f>
        <v/>
      </c>
    </row>
    <row r="82">
      <c r="A82" s="124" t="n">
        <v>80</v>
      </c>
      <c r="B82" s="125" t="inlineStr">
        <is>
          <t>了</t>
        </is>
      </c>
      <c r="C82" s="124" t="inlineStr">
        <is>
          <t>le</t>
        </is>
      </c>
      <c r="D82" s="124" t="inlineStr">
        <is>
          <t>part.</t>
        </is>
      </c>
      <c r="E82" s="126" t="inlineStr">
        <is>
          <t>indicates completed action / change of status</t>
        </is>
      </c>
      <c r="F82" s="126" t="inlineStr">
        <is>
          <t>trợ từ (hoàn thành / thay đổi)</t>
        </is>
      </c>
      <c r="G82" s="124" t="inlineStr">
        <is>
          <t>6</t>
        </is>
      </c>
      <c r="H82" s="123">
        <f>HYPERLINK("https://youglish.com/pronounce/了/chinese","🔍")</f>
        <v/>
      </c>
    </row>
    <row r="83">
      <c r="A83" s="120" t="n">
        <v>81</v>
      </c>
      <c r="B83" s="121" t="inlineStr">
        <is>
          <t>冷</t>
        </is>
      </c>
      <c r="C83" s="120" t="inlineStr">
        <is>
          <t>lěng</t>
        </is>
      </c>
      <c r="D83" s="120" t="inlineStr">
        <is>
          <t>adj.</t>
        </is>
      </c>
      <c r="E83" s="122" t="inlineStr">
        <is>
          <t>cold</t>
        </is>
      </c>
      <c r="F83" s="122" t="inlineStr">
        <is>
          <t>lạnh</t>
        </is>
      </c>
      <c r="G83" s="120" t="inlineStr">
        <is>
          <t>7</t>
        </is>
      </c>
      <c r="H83" s="123">
        <f>HYPERLINK("https://youglish.com/pronounce/冷/chinese","🔍")</f>
        <v/>
      </c>
    </row>
    <row r="84">
      <c r="A84" s="124" t="n">
        <v>82</v>
      </c>
      <c r="B84" s="125" t="inlineStr">
        <is>
          <t>两</t>
        </is>
      </c>
      <c r="C84" s="124" t="inlineStr">
        <is>
          <t>liǎng</t>
        </is>
      </c>
      <c r="D84" s="124" t="inlineStr">
        <is>
          <t>num.</t>
        </is>
      </c>
      <c r="E84" s="126" t="inlineStr">
        <is>
          <t>two</t>
        </is>
      </c>
      <c r="F84" s="126" t="inlineStr">
        <is>
          <t>hai</t>
        </is>
      </c>
      <c r="G84" s="124" t="inlineStr">
        <is>
          <t>8</t>
        </is>
      </c>
      <c r="H84" s="123">
        <f>HYPERLINK("https://youglish.com/pronounce/两/chinese","🔍")</f>
        <v/>
      </c>
    </row>
    <row r="85">
      <c r="A85" s="120" t="n">
        <v>83</v>
      </c>
      <c r="B85" s="121" t="inlineStr">
        <is>
          <t>辆</t>
        </is>
      </c>
      <c r="C85" s="120" t="inlineStr">
        <is>
          <t>liàng</t>
        </is>
      </c>
      <c r="D85" s="120" t="inlineStr">
        <is>
          <t>mw.</t>
        </is>
      </c>
      <c r="E85" s="122" t="inlineStr">
        <is>
          <t>used for automobiles</t>
        </is>
      </c>
      <c r="F85" s="122" t="inlineStr">
        <is>
          <t>chiếc (xe) (lượng từ)</t>
        </is>
      </c>
      <c r="G85" s="120" t="inlineStr">
        <is>
          <t>14</t>
        </is>
      </c>
      <c r="H85" s="123">
        <f>HYPERLINK("https://youglish.com/pronounce/辆/chinese","🔍")</f>
        <v/>
      </c>
    </row>
    <row r="86">
      <c r="A86" s="124" t="n">
        <v>84</v>
      </c>
      <c r="B86" s="125" t="inlineStr">
        <is>
          <t>零</t>
        </is>
      </c>
      <c r="C86" s="124" t="inlineStr">
        <is>
          <t>líng</t>
        </is>
      </c>
      <c r="D86" s="124" t="inlineStr">
        <is>
          <t>num.</t>
        </is>
      </c>
      <c r="E86" s="126" t="inlineStr">
        <is>
          <t>zero</t>
        </is>
      </c>
      <c r="F86" s="126" t="inlineStr">
        <is>
          <t>không (số 0)</t>
        </is>
      </c>
      <c r="G86" s="124" t="inlineStr">
        <is>
          <t>11</t>
        </is>
      </c>
      <c r="H86" s="123">
        <f>HYPERLINK("https://youglish.com/pronounce/零/chinese","🔍")</f>
        <v/>
      </c>
    </row>
    <row r="87">
      <c r="A87" s="120" t="n">
        <v>85</v>
      </c>
      <c r="B87" s="121" t="inlineStr">
        <is>
          <t>六</t>
        </is>
      </c>
      <c r="C87" s="120" t="inlineStr">
        <is>
          <t>liù</t>
        </is>
      </c>
      <c r="D87" s="120" t="inlineStr">
        <is>
          <t>num.</t>
        </is>
      </c>
      <c r="E87" s="122" t="inlineStr">
        <is>
          <t>six</t>
        </is>
      </c>
      <c r="F87" s="122" t="inlineStr">
        <is>
          <t>sáu</t>
        </is>
      </c>
      <c r="G87" s="120" t="inlineStr">
        <is>
          <t>8</t>
        </is>
      </c>
      <c r="H87" s="123">
        <f>HYPERLINK("https://youglish.com/pronounce/六/chinese","🔍")</f>
        <v/>
      </c>
    </row>
    <row r="88">
      <c r="A88" s="124" t="n">
        <v>86</v>
      </c>
      <c r="B88" s="125" t="inlineStr">
        <is>
          <t>六月</t>
        </is>
      </c>
      <c r="C88" s="124" t="inlineStr">
        <is>
          <t>liùyuè</t>
        </is>
      </c>
      <c r="D88" s="124" t="inlineStr">
        <is>
          <t>n.</t>
        </is>
      </c>
      <c r="E88" s="126" t="inlineStr">
        <is>
          <t>June</t>
        </is>
      </c>
      <c r="F88" s="126" t="inlineStr">
        <is>
          <t>tháng Sáu</t>
        </is>
      </c>
      <c r="G88" s="124" t="inlineStr">
        <is>
          <t>10</t>
        </is>
      </c>
      <c r="H88" s="123">
        <f>HYPERLINK("https://youglish.com/pronounce/六月/chinese","🔍")</f>
        <v/>
      </c>
    </row>
    <row r="89">
      <c r="A89" s="120" t="n">
        <v>87</v>
      </c>
      <c r="B89" s="121" t="inlineStr">
        <is>
          <t>吗</t>
        </is>
      </c>
      <c r="C89" s="120" t="inlineStr">
        <is>
          <t>ma</t>
        </is>
      </c>
      <c r="D89" s="120" t="inlineStr">
        <is>
          <t>int.</t>
        </is>
      </c>
      <c r="E89" s="122" t="inlineStr">
        <is>
          <t>interrogative particle</t>
        </is>
      </c>
      <c r="F89" s="122" t="inlineStr">
        <is>
          <t>trợ từ nghi vấn</t>
        </is>
      </c>
      <c r="G89" s="120" t="inlineStr">
        <is>
          <t>4</t>
        </is>
      </c>
      <c r="H89" s="123">
        <f>HYPERLINK("https://youglish.com/pronounce/吗/chinese","🔍")</f>
        <v/>
      </c>
    </row>
    <row r="90">
      <c r="A90" s="124" t="n">
        <v>88</v>
      </c>
      <c r="B90" s="125" t="inlineStr">
        <is>
          <t>买</t>
        </is>
      </c>
      <c r="C90" s="124" t="inlineStr">
        <is>
          <t>mǎi</t>
        </is>
      </c>
      <c r="D90" s="124" t="inlineStr">
        <is>
          <t>v.</t>
        </is>
      </c>
      <c r="E90" s="126" t="inlineStr">
        <is>
          <t>buy</t>
        </is>
      </c>
      <c r="F90" s="126" t="inlineStr">
        <is>
          <t>mua</t>
        </is>
      </c>
      <c r="G90" s="124" t="inlineStr">
        <is>
          <t>19</t>
        </is>
      </c>
      <c r="H90" s="123">
        <f>HYPERLINK("https://youglish.com/pronounce/买/chinese","🔍")</f>
        <v/>
      </c>
    </row>
    <row r="91">
      <c r="A91" s="120" t="n">
        <v>89</v>
      </c>
      <c r="B91" s="121" t="inlineStr">
        <is>
          <t>忙</t>
        </is>
      </c>
      <c r="C91" s="120" t="inlineStr">
        <is>
          <t>máng</t>
        </is>
      </c>
      <c r="D91" s="120" t="inlineStr">
        <is>
          <t>adj.</t>
        </is>
      </c>
      <c r="E91" s="122" t="inlineStr">
        <is>
          <t>busy</t>
        </is>
      </c>
      <c r="F91" s="122" t="inlineStr">
        <is>
          <t>bận</t>
        </is>
      </c>
      <c r="G91" s="120" t="inlineStr">
        <is>
          <t>4</t>
        </is>
      </c>
      <c r="H91" s="123">
        <f>HYPERLINK("https://youglish.com/pronounce/忙/chinese","🔍")</f>
        <v/>
      </c>
    </row>
    <row r="92">
      <c r="A92" s="124" t="n">
        <v>90</v>
      </c>
      <c r="B92" s="125" t="inlineStr">
        <is>
          <t>没关系</t>
        </is>
      </c>
      <c r="C92" s="124" t="inlineStr">
        <is>
          <t>méi guānxi</t>
        </is>
      </c>
      <c r="D92" s="124" t="inlineStr">
        <is>
          <t>expr.</t>
        </is>
      </c>
      <c r="E92" s="126" t="inlineStr">
        <is>
          <t>That's all right.</t>
        </is>
      </c>
      <c r="F92" s="126" t="inlineStr">
        <is>
          <t>không sao; không có gì</t>
        </is>
      </c>
      <c r="G92" s="124" t="inlineStr">
        <is>
          <t>6</t>
        </is>
      </c>
      <c r="H92" s="123">
        <f>HYPERLINK("https://youglish.com/pronounce/没关系/chinese","🔍")</f>
        <v/>
      </c>
    </row>
    <row r="93">
      <c r="A93" s="120" t="n">
        <v>91</v>
      </c>
      <c r="B93" s="121" t="inlineStr">
        <is>
          <t>没有</t>
        </is>
      </c>
      <c r="C93" s="120" t="inlineStr">
        <is>
          <t>méiyǒu</t>
        </is>
      </c>
      <c r="D93" s="120" t="inlineStr">
        <is>
          <t>v.</t>
        </is>
      </c>
      <c r="E93" s="122" t="inlineStr">
        <is>
          <t>not have</t>
        </is>
      </c>
      <c r="F93" s="122" t="inlineStr">
        <is>
          <t>không có</t>
        </is>
      </c>
      <c r="G93" s="120" t="inlineStr">
        <is>
          <t>13</t>
        </is>
      </c>
      <c r="H93" s="123">
        <f>HYPERLINK("https://youglish.com/pronounce/没有/chinese","🔍")</f>
        <v/>
      </c>
    </row>
    <row r="94">
      <c r="A94" s="124" t="n">
        <v>92</v>
      </c>
      <c r="B94" s="125" t="inlineStr">
        <is>
          <t>美国</t>
        </is>
      </c>
      <c r="C94" s="124" t="inlineStr">
        <is>
          <t>Měiguó</t>
        </is>
      </c>
      <c r="D94" s="124" t="inlineStr">
        <is>
          <t>n.</t>
        </is>
      </c>
      <c r="E94" s="126" t="inlineStr">
        <is>
          <t>the United States</t>
        </is>
      </c>
      <c r="F94" s="126" t="inlineStr">
        <is>
          <t>nước Mỹ</t>
        </is>
      </c>
      <c r="G94" s="124" t="inlineStr">
        <is>
          <t>5</t>
        </is>
      </c>
      <c r="H94" s="123">
        <f>HYPERLINK("https://youglish.com/pronounce/美国/chinese","🔍")</f>
        <v/>
      </c>
    </row>
    <row r="95">
      <c r="A95" s="120" t="n">
        <v>93</v>
      </c>
      <c r="B95" s="121" t="inlineStr">
        <is>
          <t>们</t>
        </is>
      </c>
      <c r="C95" s="120" t="inlineStr">
        <is>
          <t>men</t>
        </is>
      </c>
      <c r="D95" s="120" t="inlineStr">
        <is>
          <t>suffix</t>
        </is>
      </c>
      <c r="E95" s="122" t="inlineStr">
        <is>
          <t>plural marker for pronoun/noun</t>
        </is>
      </c>
      <c r="F95" s="122" t="inlineStr">
        <is>
          <t>hậu tố số nhiều</t>
        </is>
      </c>
      <c r="G95" s="120" t="inlineStr">
        <is>
          <t>1</t>
        </is>
      </c>
      <c r="H95" s="123">
        <f>HYPERLINK("https://youglish.com/pronounce/们/chinese","🔍")</f>
        <v/>
      </c>
    </row>
    <row r="96">
      <c r="A96" s="124" t="n">
        <v>94</v>
      </c>
      <c r="B96" s="125" t="inlineStr">
        <is>
          <t>秘书</t>
        </is>
      </c>
      <c r="C96" s="124" t="inlineStr">
        <is>
          <t>mìshū</t>
        </is>
      </c>
      <c r="D96" s="124" t="inlineStr">
        <is>
          <t>n.</t>
        </is>
      </c>
      <c r="E96" s="126" t="inlineStr">
        <is>
          <t>secretary</t>
        </is>
      </c>
      <c r="F96" s="126" t="inlineStr">
        <is>
          <t>thư ký</t>
        </is>
      </c>
      <c r="G96" s="124" t="inlineStr">
        <is>
          <t>5</t>
        </is>
      </c>
      <c r="H96" s="123">
        <f>HYPERLINK("https://youglish.com/pronounce/秘书/chinese","🔍")</f>
        <v/>
      </c>
    </row>
    <row r="97">
      <c r="A97" s="120" t="n">
        <v>95</v>
      </c>
      <c r="B97" s="121" t="inlineStr">
        <is>
          <t>名片</t>
        </is>
      </c>
      <c r="C97" s="120" t="inlineStr">
        <is>
          <t>míngpiàn</t>
        </is>
      </c>
      <c r="D97" s="120" t="inlineStr">
        <is>
          <t>n.</t>
        </is>
      </c>
      <c r="E97" s="122" t="inlineStr">
        <is>
          <t>business card</t>
        </is>
      </c>
      <c r="F97" s="122" t="inlineStr">
        <is>
          <t>danh thiếp</t>
        </is>
      </c>
      <c r="G97" s="120" t="inlineStr">
        <is>
          <t>3</t>
        </is>
      </c>
      <c r="H97" s="123">
        <f>HYPERLINK("https://youglish.com/pronounce/名片/chinese","🔍")</f>
        <v/>
      </c>
    </row>
    <row r="98">
      <c r="A98" s="124" t="n">
        <v>96</v>
      </c>
      <c r="B98" s="125" t="inlineStr">
        <is>
          <t>明天</t>
        </is>
      </c>
      <c r="C98" s="124" t="inlineStr">
        <is>
          <t>míngtiān</t>
        </is>
      </c>
      <c r="D98" s="124" t="inlineStr">
        <is>
          <t>n.</t>
        </is>
      </c>
      <c r="E98" s="126" t="inlineStr">
        <is>
          <t>tomorrow</t>
        </is>
      </c>
      <c r="F98" s="126" t="inlineStr">
        <is>
          <t>ngày mai</t>
        </is>
      </c>
      <c r="G98" s="124" t="inlineStr">
        <is>
          <t>4</t>
        </is>
      </c>
      <c r="H98" s="123">
        <f>HYPERLINK("https://youglish.com/pronounce/明天/chinese","🔍")</f>
        <v/>
      </c>
    </row>
    <row r="99">
      <c r="A99" s="120" t="n">
        <v>97</v>
      </c>
      <c r="B99" s="121" t="inlineStr">
        <is>
          <t>哪</t>
        </is>
      </c>
      <c r="C99" s="120" t="inlineStr">
        <is>
          <t>nǎ</t>
        </is>
      </c>
      <c r="D99" s="120" t="inlineStr">
        <is>
          <t>pron.</t>
        </is>
      </c>
      <c r="E99" s="122" t="inlineStr">
        <is>
          <t>which</t>
        </is>
      </c>
      <c r="F99" s="122" t="inlineStr">
        <is>
          <t>nào</t>
        </is>
      </c>
      <c r="G99" s="120" t="inlineStr">
        <is>
          <t>5</t>
        </is>
      </c>
      <c r="H99" s="123">
        <f>HYPERLINK("https://youglish.com/pronounce/哪/chinese","🔍")</f>
        <v/>
      </c>
    </row>
    <row r="100">
      <c r="A100" s="124" t="n">
        <v>98</v>
      </c>
      <c r="B100" s="125" t="inlineStr">
        <is>
          <t>哪儿</t>
        </is>
      </c>
      <c r="C100" s="124" t="inlineStr">
        <is>
          <t>nǎr</t>
        </is>
      </c>
      <c r="D100" s="124" t="inlineStr">
        <is>
          <t>pron.</t>
        </is>
      </c>
      <c r="E100" s="126" t="inlineStr">
        <is>
          <t>where</t>
        </is>
      </c>
      <c r="F100" s="126" t="inlineStr">
        <is>
          <t>ở đâu</t>
        </is>
      </c>
      <c r="G100" s="124" t="inlineStr">
        <is>
          <t>4</t>
        </is>
      </c>
      <c r="H100" s="123">
        <f>HYPERLINK("https://youglish.com/pronounce/哪儿/chinese","🔍")</f>
        <v/>
      </c>
    </row>
    <row r="101">
      <c r="A101" s="120" t="n">
        <v>99</v>
      </c>
      <c r="B101" s="121" t="inlineStr">
        <is>
          <t>那</t>
        </is>
      </c>
      <c r="C101" s="120" t="inlineStr">
        <is>
          <t>nà</t>
        </is>
      </c>
      <c r="D101" s="120" t="inlineStr">
        <is>
          <t>pron.</t>
        </is>
      </c>
      <c r="E101" s="122" t="inlineStr">
        <is>
          <t>that</t>
        </is>
      </c>
      <c r="F101" s="122" t="inlineStr">
        <is>
          <t>đó; kia</t>
        </is>
      </c>
      <c r="G101" s="120" t="inlineStr">
        <is>
          <t>3</t>
        </is>
      </c>
      <c r="H101" s="123">
        <f>HYPERLINK("https://youglish.com/pronounce/那/chinese","🔍")</f>
        <v/>
      </c>
    </row>
    <row r="102">
      <c r="A102" s="124" t="n">
        <v>100</v>
      </c>
      <c r="B102" s="125" t="inlineStr">
        <is>
          <t>那儿</t>
        </is>
      </c>
      <c r="C102" s="124" t="inlineStr">
        <is>
          <t>nàr</t>
        </is>
      </c>
      <c r="D102" s="124" t="inlineStr">
        <is>
          <t>pron.</t>
        </is>
      </c>
      <c r="E102" s="126" t="inlineStr">
        <is>
          <t>there</t>
        </is>
      </c>
      <c r="F102" s="126" t="inlineStr">
        <is>
          <t>ở đó</t>
        </is>
      </c>
      <c r="G102" s="124" t="inlineStr">
        <is>
          <t>7</t>
        </is>
      </c>
      <c r="H102" s="123">
        <f>HYPERLINK("https://youglish.com/pronounce/那儿/chinese","🔍")</f>
        <v/>
      </c>
    </row>
    <row r="103">
      <c r="A103" s="120" t="n">
        <v>101</v>
      </c>
      <c r="B103" s="121" t="inlineStr">
        <is>
          <t>呢</t>
        </is>
      </c>
      <c r="C103" s="120" t="inlineStr">
        <is>
          <t>ne</t>
        </is>
      </c>
      <c r="D103" s="120" t="inlineStr">
        <is>
          <t>int.</t>
        </is>
      </c>
      <c r="E103" s="122" t="inlineStr">
        <is>
          <t>interrogative particle</t>
        </is>
      </c>
      <c r="F103" s="122" t="inlineStr">
        <is>
          <t>trợ từ nghi vấn</t>
        </is>
      </c>
      <c r="G103" s="120" t="inlineStr">
        <is>
          <t>4</t>
        </is>
      </c>
      <c r="H103" s="123">
        <f>HYPERLINK("https://youglish.com/pronounce/呢/chinese","🔍")</f>
        <v/>
      </c>
    </row>
    <row r="104">
      <c r="A104" s="124" t="n">
        <v>102</v>
      </c>
      <c r="B104" s="125" t="inlineStr">
        <is>
          <t>你</t>
        </is>
      </c>
      <c r="C104" s="124" t="inlineStr">
        <is>
          <t>nǐ</t>
        </is>
      </c>
      <c r="D104" s="124" t="inlineStr">
        <is>
          <t>pron.</t>
        </is>
      </c>
      <c r="E104" s="126" t="inlineStr">
        <is>
          <t>you</t>
        </is>
      </c>
      <c r="F104" s="126" t="inlineStr">
        <is>
          <t>bạn</t>
        </is>
      </c>
      <c r="G104" s="124" t="inlineStr">
        <is>
          <t>1</t>
        </is>
      </c>
      <c r="H104" s="123">
        <f>HYPERLINK("https://youglish.com/pronounce/你/chinese","🔍")</f>
        <v/>
      </c>
    </row>
    <row r="105">
      <c r="A105" s="120" t="n">
        <v>103</v>
      </c>
      <c r="B105" s="121" t="inlineStr">
        <is>
          <t>年</t>
        </is>
      </c>
      <c r="C105" s="120" t="inlineStr">
        <is>
          <t>nián</t>
        </is>
      </c>
      <c r="D105" s="120" t="inlineStr">
        <is>
          <t>n.</t>
        </is>
      </c>
      <c r="E105" s="122" t="inlineStr">
        <is>
          <t>year</t>
        </is>
      </c>
      <c r="F105" s="122" t="inlineStr">
        <is>
          <t>năm</t>
        </is>
      </c>
      <c r="G105" s="120" t="inlineStr">
        <is>
          <t>12</t>
        </is>
      </c>
      <c r="H105" s="123">
        <f>HYPERLINK("https://youglish.com/pronounce/年/chinese","🔍")</f>
        <v/>
      </c>
    </row>
    <row r="106">
      <c r="A106" s="124" t="n">
        <v>104</v>
      </c>
      <c r="B106" s="125" t="inlineStr">
        <is>
          <t>您</t>
        </is>
      </c>
      <c r="C106" s="124" t="inlineStr">
        <is>
          <t>nín</t>
        </is>
      </c>
      <c r="D106" s="124" t="inlineStr">
        <is>
          <t>pron.</t>
        </is>
      </c>
      <c r="E106" s="126" t="inlineStr">
        <is>
          <t>a polite expression of 你</t>
        </is>
      </c>
      <c r="F106" s="126" t="inlineStr">
        <is>
          <t>ngài (kính ngữ của 你)</t>
        </is>
      </c>
      <c r="G106" s="124" t="inlineStr">
        <is>
          <t>1</t>
        </is>
      </c>
      <c r="H106" s="123">
        <f>HYPERLINK("https://youglish.com/pronounce/您/chinese","🔍")</f>
        <v/>
      </c>
    </row>
    <row r="107">
      <c r="A107" s="120" t="n">
        <v>105</v>
      </c>
      <c r="B107" s="121" t="inlineStr">
        <is>
          <t>女士</t>
        </is>
      </c>
      <c r="C107" s="120" t="inlineStr">
        <is>
          <t>nǚshì</t>
        </is>
      </c>
      <c r="D107" s="120" t="inlineStr">
        <is>
          <t>n.</t>
        </is>
      </c>
      <c r="E107" s="122" t="inlineStr">
        <is>
          <t>Ms; madam; lady</t>
        </is>
      </c>
      <c r="F107" s="122" t="inlineStr">
        <is>
          <t>quý bà; quý cô</t>
        </is>
      </c>
      <c r="G107" s="120" t="inlineStr">
        <is>
          <t>1</t>
        </is>
      </c>
      <c r="H107" s="123">
        <f>HYPERLINK("https://youglish.com/pronounce/女士/chinese","🔍")</f>
        <v/>
      </c>
    </row>
    <row r="108">
      <c r="A108" s="124" t="n">
        <v>106</v>
      </c>
      <c r="B108" s="125" t="inlineStr">
        <is>
          <t>朋友</t>
        </is>
      </c>
      <c r="C108" s="124" t="inlineStr">
        <is>
          <t>péngyou</t>
        </is>
      </c>
      <c r="D108" s="124" t="inlineStr">
        <is>
          <t>n.</t>
        </is>
      </c>
      <c r="E108" s="126" t="inlineStr">
        <is>
          <t>friend</t>
        </is>
      </c>
      <c r="F108" s="126" t="inlineStr">
        <is>
          <t>bạn bè</t>
        </is>
      </c>
      <c r="G108" s="124" t="inlineStr">
        <is>
          <t>1</t>
        </is>
      </c>
      <c r="H108" s="123">
        <f>HYPERLINK("https://youglish.com/pronounce/朋友/chinese","🔍")</f>
        <v/>
      </c>
    </row>
    <row r="109">
      <c r="A109" s="120" t="n">
        <v>107</v>
      </c>
      <c r="B109" s="121" t="inlineStr">
        <is>
          <t>啤酒</t>
        </is>
      </c>
      <c r="C109" s="120" t="inlineStr">
        <is>
          <t>píjiǔ</t>
        </is>
      </c>
      <c r="D109" s="120" t="inlineStr">
        <is>
          <t>n.</t>
        </is>
      </c>
      <c r="E109" s="122" t="inlineStr">
        <is>
          <t>beer</t>
        </is>
      </c>
      <c r="F109" s="122" t="inlineStr">
        <is>
          <t>bia</t>
        </is>
      </c>
      <c r="G109" s="120" t="inlineStr">
        <is>
          <t>18</t>
        </is>
      </c>
      <c r="H109" s="123">
        <f>HYPERLINK("https://youglish.com/pronounce/啤酒/chinese","🔍")</f>
        <v/>
      </c>
    </row>
    <row r="110">
      <c r="A110" s="124" t="n">
        <v>108</v>
      </c>
      <c r="B110" s="125" t="inlineStr">
        <is>
          <t>便宜</t>
        </is>
      </c>
      <c r="C110" s="124" t="inlineStr">
        <is>
          <t>piányi</t>
        </is>
      </c>
      <c r="D110" s="124" t="inlineStr">
        <is>
          <t>adj.</t>
        </is>
      </c>
      <c r="E110" s="126" t="inlineStr">
        <is>
          <t>cheap; inexpensive</t>
        </is>
      </c>
      <c r="F110" s="126" t="inlineStr">
        <is>
          <t>rẻ</t>
        </is>
      </c>
      <c r="G110" s="124" t="inlineStr">
        <is>
          <t>19</t>
        </is>
      </c>
      <c r="H110" s="123">
        <f>HYPERLINK("https://youglish.com/pronounce/便宜/chinese","🔍")</f>
        <v/>
      </c>
    </row>
    <row r="111">
      <c r="A111" s="120" t="n">
        <v>109</v>
      </c>
      <c r="B111" s="121" t="inlineStr">
        <is>
          <t>票</t>
        </is>
      </c>
      <c r="C111" s="120" t="inlineStr">
        <is>
          <t>piào</t>
        </is>
      </c>
      <c r="D111" s="120" t="inlineStr">
        <is>
          <t>n.</t>
        </is>
      </c>
      <c r="E111" s="122" t="inlineStr">
        <is>
          <t>ticket</t>
        </is>
      </c>
      <c r="F111" s="122" t="inlineStr">
        <is>
          <t>vé</t>
        </is>
      </c>
      <c r="G111" s="120" t="inlineStr">
        <is>
          <t>20</t>
        </is>
      </c>
      <c r="H111" s="123">
        <f>HYPERLINK("https://youglish.com/pronounce/票/chinese","🔍")</f>
        <v/>
      </c>
    </row>
    <row r="112">
      <c r="A112" s="124" t="n">
        <v>110</v>
      </c>
      <c r="B112" s="125" t="inlineStr">
        <is>
          <t>七</t>
        </is>
      </c>
      <c r="C112" s="124" t="inlineStr">
        <is>
          <t>qī</t>
        </is>
      </c>
      <c r="D112" s="124" t="inlineStr">
        <is>
          <t>num.</t>
        </is>
      </c>
      <c r="E112" s="126" t="inlineStr">
        <is>
          <t>seven</t>
        </is>
      </c>
      <c r="F112" s="126" t="inlineStr">
        <is>
          <t>bảy</t>
        </is>
      </c>
      <c r="G112" s="124" t="inlineStr">
        <is>
          <t>8</t>
        </is>
      </c>
      <c r="H112" s="123">
        <f>HYPERLINK("https://youglish.com/pronounce/七/chinese","🔍")</f>
        <v/>
      </c>
    </row>
    <row r="113">
      <c r="A113" s="120" t="n">
        <v>111</v>
      </c>
      <c r="B113" s="121" t="inlineStr">
        <is>
          <t>七月</t>
        </is>
      </c>
      <c r="C113" s="120" t="inlineStr">
        <is>
          <t>qīyuè</t>
        </is>
      </c>
      <c r="D113" s="120" t="inlineStr">
        <is>
          <t>n.</t>
        </is>
      </c>
      <c r="E113" s="122" t="inlineStr">
        <is>
          <t>July</t>
        </is>
      </c>
      <c r="F113" s="122" t="inlineStr">
        <is>
          <t>tháng Bảy</t>
        </is>
      </c>
      <c r="G113" s="120" t="inlineStr">
        <is>
          <t>10</t>
        </is>
      </c>
      <c r="H113" s="123">
        <f>HYPERLINK("https://youglish.com/pronounce/七月/chinese","🔍")</f>
        <v/>
      </c>
    </row>
    <row r="114">
      <c r="A114" s="124" t="n">
        <v>112</v>
      </c>
      <c r="B114" s="125" t="inlineStr">
        <is>
          <t>起床</t>
        </is>
      </c>
      <c r="C114" s="124" t="inlineStr">
        <is>
          <t>qǐchuáng</t>
        </is>
      </c>
      <c r="D114" s="124" t="inlineStr">
        <is>
          <t>v.</t>
        </is>
      </c>
      <c r="E114" s="126" t="inlineStr">
        <is>
          <t>rise (from bed); get up</t>
        </is>
      </c>
      <c r="F114" s="126" t="inlineStr">
        <is>
          <t>thức dậy; ngủ dậy</t>
        </is>
      </c>
      <c r="G114" s="124" t="inlineStr">
        <is>
          <t>9</t>
        </is>
      </c>
      <c r="H114" s="123">
        <f>HYPERLINK("https://youglish.com/pronounce/起床/chinese","🔍")</f>
        <v/>
      </c>
    </row>
    <row r="115">
      <c r="A115" s="120" t="n">
        <v>113</v>
      </c>
      <c r="B115" s="121" t="inlineStr">
        <is>
          <t>前面</t>
        </is>
      </c>
      <c r="C115" s="120" t="inlineStr">
        <is>
          <t>qiánmiàn</t>
        </is>
      </c>
      <c r="D115" s="120" t="inlineStr">
        <is>
          <t>n.</t>
        </is>
      </c>
      <c r="E115" s="122" t="inlineStr">
        <is>
          <t>in front of; at the head; ahead</t>
        </is>
      </c>
      <c r="F115" s="122" t="inlineStr">
        <is>
          <t>phía trước</t>
        </is>
      </c>
      <c r="G115" s="120" t="inlineStr">
        <is>
          <t>16</t>
        </is>
      </c>
      <c r="H115" s="123">
        <f>HYPERLINK("https://youglish.com/pronounce/前面/chinese","🔍")</f>
        <v/>
      </c>
    </row>
    <row r="116">
      <c r="A116" s="124" t="n">
        <v>114</v>
      </c>
      <c r="B116" s="125" t="inlineStr">
        <is>
          <t>钱</t>
        </is>
      </c>
      <c r="C116" s="124" t="inlineStr">
        <is>
          <t>qián</t>
        </is>
      </c>
      <c r="D116" s="124" t="inlineStr">
        <is>
          <t>n.</t>
        </is>
      </c>
      <c r="E116" s="126" t="inlineStr">
        <is>
          <t>money</t>
        </is>
      </c>
      <c r="F116" s="126" t="inlineStr">
        <is>
          <t>tiền</t>
        </is>
      </c>
      <c r="G116" s="124" t="inlineStr">
        <is>
          <t>14</t>
        </is>
      </c>
      <c r="H116" s="123">
        <f>HYPERLINK("https://youglish.com/pronounce/钱/chinese","🔍")</f>
        <v/>
      </c>
    </row>
    <row r="117">
      <c r="A117" s="120" t="n">
        <v>115</v>
      </c>
      <c r="B117" s="121" t="inlineStr">
        <is>
          <t>请</t>
        </is>
      </c>
      <c r="C117" s="120" t="inlineStr">
        <is>
          <t>qǐng</t>
        </is>
      </c>
      <c r="D117" s="120" t="inlineStr">
        <is>
          <t>v.</t>
        </is>
      </c>
      <c r="E117" s="122" t="inlineStr">
        <is>
          <t>please</t>
        </is>
      </c>
      <c r="F117" s="122" t="inlineStr">
        <is>
          <t>mời; xin</t>
        </is>
      </c>
      <c r="G117" s="120" t="inlineStr">
        <is>
          <t>2</t>
        </is>
      </c>
      <c r="H117" s="123">
        <f>HYPERLINK("https://youglish.com/pronounce/请/chinese","🔍")</f>
        <v/>
      </c>
    </row>
    <row r="118">
      <c r="A118" s="124" t="n">
        <v>116</v>
      </c>
      <c r="B118" s="125" t="inlineStr">
        <is>
          <t>请</t>
        </is>
      </c>
      <c r="C118" s="124" t="inlineStr">
        <is>
          <t>qǐng</t>
        </is>
      </c>
      <c r="D118" s="124" t="inlineStr">
        <is>
          <t>v.</t>
        </is>
      </c>
      <c r="E118" s="126" t="inlineStr">
        <is>
          <t>treat; entertain</t>
        </is>
      </c>
      <c r="F118" s="126" t="inlineStr">
        <is>
          <t>mời (thết đãi)</t>
        </is>
      </c>
      <c r="G118" s="124" t="inlineStr">
        <is>
          <t>18</t>
        </is>
      </c>
      <c r="H118" s="123">
        <f>HYPERLINK("https://youglish.com/pronounce/请/chinese","🔍")</f>
        <v/>
      </c>
    </row>
    <row r="119">
      <c r="A119" s="120" t="n">
        <v>117</v>
      </c>
      <c r="B119" s="121" t="inlineStr">
        <is>
          <t>请问</t>
        </is>
      </c>
      <c r="C119" s="120" t="inlineStr">
        <is>
          <t>qǐngwèn</t>
        </is>
      </c>
      <c r="D119" s="120" t="inlineStr">
        <is>
          <t>v.</t>
        </is>
      </c>
      <c r="E119" s="122" t="inlineStr">
        <is>
          <t>Excuse me</t>
        </is>
      </c>
      <c r="F119" s="122" t="inlineStr">
        <is>
          <t>xin hỏi</t>
        </is>
      </c>
      <c r="G119" s="120" t="inlineStr">
        <is>
          <t>6</t>
        </is>
      </c>
      <c r="H119" s="123">
        <f>HYPERLINK("https://youglish.com/pronounce/请问/chinese","🔍")</f>
        <v/>
      </c>
    </row>
    <row r="120">
      <c r="A120" s="124" t="n">
        <v>118</v>
      </c>
      <c r="B120" s="125" t="inlineStr">
        <is>
          <t>去</t>
        </is>
      </c>
      <c r="C120" s="124" t="inlineStr">
        <is>
          <t>qù</t>
        </is>
      </c>
      <c r="D120" s="124" t="inlineStr">
        <is>
          <t>v.</t>
        </is>
      </c>
      <c r="E120" s="126" t="inlineStr">
        <is>
          <t>go; leave</t>
        </is>
      </c>
      <c r="F120" s="126" t="inlineStr">
        <is>
          <t>đi</t>
        </is>
      </c>
      <c r="G120" s="124" t="inlineStr">
        <is>
          <t>4</t>
        </is>
      </c>
      <c r="H120" s="123">
        <f>HYPERLINK("https://youglish.com/pronounce/去/chinese","🔍")</f>
        <v/>
      </c>
    </row>
    <row r="121">
      <c r="A121" s="120" t="n">
        <v>119</v>
      </c>
      <c r="B121" s="121" t="inlineStr">
        <is>
          <t>热</t>
        </is>
      </c>
      <c r="C121" s="120" t="inlineStr">
        <is>
          <t>rè</t>
        </is>
      </c>
      <c r="D121" s="120" t="inlineStr">
        <is>
          <t>adj.</t>
        </is>
      </c>
      <c r="E121" s="122" t="inlineStr">
        <is>
          <t>hot; high in temperature</t>
        </is>
      </c>
      <c r="F121" s="122" t="inlineStr">
        <is>
          <t>nóng</t>
        </is>
      </c>
      <c r="G121" s="120" t="inlineStr">
        <is>
          <t>7</t>
        </is>
      </c>
      <c r="H121" s="123">
        <f>HYPERLINK("https://youglish.com/pronounce/热/chinese","🔍")</f>
        <v/>
      </c>
    </row>
    <row r="122">
      <c r="A122" s="124" t="n">
        <v>120</v>
      </c>
      <c r="B122" s="125" t="inlineStr">
        <is>
          <t>人</t>
        </is>
      </c>
      <c r="C122" s="124" t="inlineStr">
        <is>
          <t>rén</t>
        </is>
      </c>
      <c r="D122" s="124" t="inlineStr">
        <is>
          <t>n.</t>
        </is>
      </c>
      <c r="E122" s="126" t="inlineStr">
        <is>
          <t>people</t>
        </is>
      </c>
      <c r="F122" s="126" t="inlineStr">
        <is>
          <t>người</t>
        </is>
      </c>
      <c r="G122" s="124" t="inlineStr">
        <is>
          <t>5</t>
        </is>
      </c>
      <c r="H122" s="123">
        <f>HYPERLINK("https://youglish.com/pronounce/人/chinese","🔍")</f>
        <v/>
      </c>
    </row>
    <row r="123">
      <c r="A123" s="120" t="n">
        <v>121</v>
      </c>
      <c r="B123" s="121" t="inlineStr">
        <is>
          <t>认识</t>
        </is>
      </c>
      <c r="C123" s="120" t="inlineStr">
        <is>
          <t>rènshi</t>
        </is>
      </c>
      <c r="D123" s="120" t="inlineStr">
        <is>
          <t>v.</t>
        </is>
      </c>
      <c r="E123" s="122" t="inlineStr">
        <is>
          <t>get to know; get acquainted with</t>
        </is>
      </c>
      <c r="F123" s="122" t="inlineStr">
        <is>
          <t>quen biết; làm quen</t>
        </is>
      </c>
      <c r="G123" s="120" t="inlineStr">
        <is>
          <t>2</t>
        </is>
      </c>
      <c r="H123" s="123">
        <f>HYPERLINK("https://youglish.com/pronounce/认识/chinese","🔍")</f>
        <v/>
      </c>
    </row>
    <row r="124">
      <c r="A124" s="124" t="n">
        <v>122</v>
      </c>
      <c r="B124" s="125" t="inlineStr">
        <is>
          <t>日</t>
        </is>
      </c>
      <c r="C124" s="124" t="inlineStr">
        <is>
          <t>rì</t>
        </is>
      </c>
      <c r="D124" s="124" t="inlineStr">
        <is>
          <t>n.</t>
        </is>
      </c>
      <c r="E124" s="126" t="inlineStr">
        <is>
          <t>day; date</t>
        </is>
      </c>
      <c r="F124" s="126" t="inlineStr">
        <is>
          <t>ngày</t>
        </is>
      </c>
      <c r="G124" s="124" t="inlineStr">
        <is>
          <t>12</t>
        </is>
      </c>
      <c r="H124" s="123">
        <f>HYPERLINK("https://youglish.com/pronounce/日/chinese","🔍")</f>
        <v/>
      </c>
    </row>
    <row r="125">
      <c r="A125" s="120" t="n">
        <v>123</v>
      </c>
      <c r="B125" s="121" t="inlineStr">
        <is>
          <t>日本</t>
        </is>
      </c>
      <c r="C125" s="120" t="inlineStr">
        <is>
          <t>Rìběn</t>
        </is>
      </c>
      <c r="D125" s="120" t="inlineStr">
        <is>
          <t>n.</t>
        </is>
      </c>
      <c r="E125" s="122" t="inlineStr">
        <is>
          <t>Japan</t>
        </is>
      </c>
      <c r="F125" s="122" t="inlineStr">
        <is>
          <t>Nhật Bản</t>
        </is>
      </c>
      <c r="G125" s="120" t="inlineStr">
        <is>
          <t>5</t>
        </is>
      </c>
      <c r="H125" s="123">
        <f>HYPERLINK("https://youglish.com/pronounce/日本/chinese","🔍")</f>
        <v/>
      </c>
    </row>
    <row r="126">
      <c r="A126" s="124" t="n">
        <v>124</v>
      </c>
      <c r="B126" s="125" t="inlineStr">
        <is>
          <t>三</t>
        </is>
      </c>
      <c r="C126" s="124" t="inlineStr">
        <is>
          <t>sān</t>
        </is>
      </c>
      <c r="D126" s="124" t="inlineStr">
        <is>
          <t>num.</t>
        </is>
      </c>
      <c r="E126" s="126" t="inlineStr">
        <is>
          <t>three</t>
        </is>
      </c>
      <c r="F126" s="126" t="inlineStr">
        <is>
          <t>ba</t>
        </is>
      </c>
      <c r="G126" s="124" t="inlineStr">
        <is>
          <t>7</t>
        </is>
      </c>
      <c r="H126" s="123">
        <f>HYPERLINK("https://youglish.com/pronounce/三/chinese","🔍")</f>
        <v/>
      </c>
    </row>
    <row r="127">
      <c r="A127" s="120" t="n">
        <v>125</v>
      </c>
      <c r="B127" s="121" t="inlineStr">
        <is>
          <t>三月</t>
        </is>
      </c>
      <c r="C127" s="120" t="inlineStr">
        <is>
          <t>sānyuè</t>
        </is>
      </c>
      <c r="D127" s="120" t="inlineStr">
        <is>
          <t>n.</t>
        </is>
      </c>
      <c r="E127" s="122" t="inlineStr">
        <is>
          <t>March</t>
        </is>
      </c>
      <c r="F127" s="122" t="inlineStr">
        <is>
          <t>tháng Ba</t>
        </is>
      </c>
      <c r="G127" s="120" t="inlineStr">
        <is>
          <t>10</t>
        </is>
      </c>
      <c r="H127" s="123">
        <f>HYPERLINK("https://youglish.com/pronounce/三月/chinese","🔍")</f>
        <v/>
      </c>
    </row>
    <row r="128">
      <c r="A128" s="124" t="n">
        <v>126</v>
      </c>
      <c r="B128" s="125" t="inlineStr">
        <is>
          <t>上</t>
        </is>
      </c>
      <c r="C128" s="124" t="inlineStr">
        <is>
          <t>shàng</t>
        </is>
      </c>
      <c r="D128" s="124" t="inlineStr">
        <is>
          <t>n.</t>
        </is>
      </c>
      <c r="E128" s="126" t="inlineStr">
        <is>
          <t>above; on; up</t>
        </is>
      </c>
      <c r="F128" s="126" t="inlineStr">
        <is>
          <t>trên</t>
        </is>
      </c>
      <c r="G128" s="124" t="inlineStr">
        <is>
          <t>17</t>
        </is>
      </c>
      <c r="H128" s="123">
        <f>HYPERLINK("https://youglish.com/pronounce/上/chinese","🔍")</f>
        <v/>
      </c>
    </row>
    <row r="129">
      <c r="A129" s="120" t="n">
        <v>127</v>
      </c>
      <c r="B129" s="121" t="inlineStr">
        <is>
          <t>上班</t>
        </is>
      </c>
      <c r="C129" s="120" t="inlineStr">
        <is>
          <t>shàngbān</t>
        </is>
      </c>
      <c r="D129" s="120" t="inlineStr">
        <is>
          <t>v.</t>
        </is>
      </c>
      <c r="E129" s="122" t="inlineStr">
        <is>
          <t>start work; go to work</t>
        </is>
      </c>
      <c r="F129" s="122" t="inlineStr">
        <is>
          <t>đi làm</t>
        </is>
      </c>
      <c r="G129" s="120" t="inlineStr">
        <is>
          <t>9</t>
        </is>
      </c>
      <c r="H129" s="123">
        <f>HYPERLINK("https://youglish.com/pronounce/上班/chinese","🔍")</f>
        <v/>
      </c>
    </row>
    <row r="130">
      <c r="A130" s="124" t="n">
        <v>128</v>
      </c>
      <c r="B130" s="125" t="inlineStr">
        <is>
          <t>上面</t>
        </is>
      </c>
      <c r="C130" s="124" t="inlineStr">
        <is>
          <t>shàngmiàn</t>
        </is>
      </c>
      <c r="D130" s="124" t="inlineStr">
        <is>
          <t>n.</t>
        </is>
      </c>
      <c r="E130" s="126" t="inlineStr">
        <is>
          <t>above; on; up</t>
        </is>
      </c>
      <c r="F130" s="126" t="inlineStr">
        <is>
          <t>phía trên</t>
        </is>
      </c>
      <c r="G130" s="124" t="inlineStr">
        <is>
          <t>17</t>
        </is>
      </c>
      <c r="H130" s="123">
        <f>HYPERLINK("https://youglish.com/pronounce/上面/chinese","🔍")</f>
        <v/>
      </c>
    </row>
    <row r="131">
      <c r="A131" s="120" t="n">
        <v>129</v>
      </c>
      <c r="B131" s="121" t="inlineStr">
        <is>
          <t>上午</t>
        </is>
      </c>
      <c r="C131" s="120" t="inlineStr">
        <is>
          <t>shàngwǔ</t>
        </is>
      </c>
      <c r="D131" s="120" t="inlineStr">
        <is>
          <t>n.</t>
        </is>
      </c>
      <c r="E131" s="122" t="inlineStr">
        <is>
          <t>morning</t>
        </is>
      </c>
      <c r="F131" s="122" t="inlineStr">
        <is>
          <t>buổi sáng</t>
        </is>
      </c>
      <c r="G131" s="120" t="inlineStr">
        <is>
          <t>8</t>
        </is>
      </c>
      <c r="H131" s="123">
        <f>HYPERLINK("https://youglish.com/pronounce/上午/chinese","🔍")</f>
        <v/>
      </c>
    </row>
    <row r="132">
      <c r="A132" s="124" t="n">
        <v>130</v>
      </c>
      <c r="B132" s="125" t="inlineStr">
        <is>
          <t>少</t>
        </is>
      </c>
      <c r="C132" s="124" t="inlineStr">
        <is>
          <t>shǎo</t>
        </is>
      </c>
      <c r="D132" s="124" t="inlineStr">
        <is>
          <t>adj.</t>
        </is>
      </c>
      <c r="E132" s="126" t="inlineStr">
        <is>
          <t>not much/many</t>
        </is>
      </c>
      <c r="F132" s="126" t="inlineStr">
        <is>
          <t>ít</t>
        </is>
      </c>
      <c r="G132" s="124" t="inlineStr">
        <is>
          <t>19</t>
        </is>
      </c>
      <c r="H132" s="123">
        <f>HYPERLINK("https://youglish.com/pronounce/少/chinese","🔍")</f>
        <v/>
      </c>
    </row>
    <row r="133">
      <c r="A133" s="120" t="n">
        <v>131</v>
      </c>
      <c r="B133" s="121" t="inlineStr">
        <is>
          <t>什么</t>
        </is>
      </c>
      <c r="C133" s="120" t="inlineStr">
        <is>
          <t>shénme</t>
        </is>
      </c>
      <c r="D133" s="120" t="inlineStr">
        <is>
          <t>pron.</t>
        </is>
      </c>
      <c r="E133" s="122" t="inlineStr">
        <is>
          <t>what</t>
        </is>
      </c>
      <c r="F133" s="122" t="inlineStr">
        <is>
          <t>gì; cái gì</t>
        </is>
      </c>
      <c r="G133" s="120" t="inlineStr">
        <is>
          <t>12</t>
        </is>
      </c>
      <c r="H133" s="123">
        <f>HYPERLINK("https://youglish.com/pronounce/什么/chinese","🔍")</f>
        <v/>
      </c>
    </row>
    <row r="134">
      <c r="A134" s="124" t="n">
        <v>132</v>
      </c>
      <c r="B134" s="125" t="inlineStr">
        <is>
          <t>十</t>
        </is>
      </c>
      <c r="C134" s="124" t="inlineStr">
        <is>
          <t>shí</t>
        </is>
      </c>
      <c r="D134" s="124" t="inlineStr">
        <is>
          <t>num.</t>
        </is>
      </c>
      <c r="E134" s="126" t="inlineStr">
        <is>
          <t>ten</t>
        </is>
      </c>
      <c r="F134" s="126" t="inlineStr">
        <is>
          <t>mười</t>
        </is>
      </c>
      <c r="G134" s="124" t="inlineStr">
        <is>
          <t>8</t>
        </is>
      </c>
      <c r="H134" s="123">
        <f>HYPERLINK("https://youglish.com/pronounce/十/chinese","🔍")</f>
        <v/>
      </c>
    </row>
    <row r="135">
      <c r="A135" s="120" t="n">
        <v>133</v>
      </c>
      <c r="B135" s="121" t="inlineStr">
        <is>
          <t>十二月</t>
        </is>
      </c>
      <c r="C135" s="120" t="inlineStr">
        <is>
          <t>shí'èryuè</t>
        </is>
      </c>
      <c r="D135" s="120" t="inlineStr">
        <is>
          <t>n.</t>
        </is>
      </c>
      <c r="E135" s="122" t="inlineStr">
        <is>
          <t>December</t>
        </is>
      </c>
      <c r="F135" s="122" t="inlineStr">
        <is>
          <t>tháng Mười hai</t>
        </is>
      </c>
      <c r="G135" s="120" t="inlineStr">
        <is>
          <t>10</t>
        </is>
      </c>
      <c r="H135" s="123">
        <f>HYPERLINK("https://youglish.com/pronounce/十二月/chinese","🔍")</f>
        <v/>
      </c>
    </row>
    <row r="136">
      <c r="A136" s="124" t="n">
        <v>134</v>
      </c>
      <c r="B136" s="125" t="inlineStr">
        <is>
          <t>十一月</t>
        </is>
      </c>
      <c r="C136" s="124" t="inlineStr">
        <is>
          <t>shíyīyuè</t>
        </is>
      </c>
      <c r="D136" s="124" t="inlineStr">
        <is>
          <t>n.</t>
        </is>
      </c>
      <c r="E136" s="126" t="inlineStr">
        <is>
          <t>November</t>
        </is>
      </c>
      <c r="F136" s="126" t="inlineStr">
        <is>
          <t>tháng Mười một</t>
        </is>
      </c>
      <c r="G136" s="124" t="inlineStr">
        <is>
          <t>10</t>
        </is>
      </c>
      <c r="H136" s="123">
        <f>HYPERLINK("https://youglish.com/pronounce/十一月/chinese","🔍")</f>
        <v/>
      </c>
    </row>
    <row r="137">
      <c r="A137" s="120" t="n">
        <v>135</v>
      </c>
      <c r="B137" s="121" t="inlineStr">
        <is>
          <t>十月</t>
        </is>
      </c>
      <c r="C137" s="120" t="inlineStr">
        <is>
          <t>shíyuè</t>
        </is>
      </c>
      <c r="D137" s="120" t="inlineStr">
        <is>
          <t>n.</t>
        </is>
      </c>
      <c r="E137" s="122" t="inlineStr">
        <is>
          <t>October</t>
        </is>
      </c>
      <c r="F137" s="122" t="inlineStr">
        <is>
          <t>tháng Mười</t>
        </is>
      </c>
      <c r="G137" s="120" t="inlineStr">
        <is>
          <t>10</t>
        </is>
      </c>
      <c r="H137" s="123">
        <f>HYPERLINK("https://youglish.com/pronounce/十月/chinese","🔍")</f>
        <v/>
      </c>
    </row>
    <row r="138">
      <c r="A138" s="124" t="n">
        <v>136</v>
      </c>
      <c r="B138" s="125" t="inlineStr">
        <is>
          <t>时候</t>
        </is>
      </c>
      <c r="C138" s="124" t="inlineStr">
        <is>
          <t>shíhou</t>
        </is>
      </c>
      <c r="D138" s="124" t="inlineStr">
        <is>
          <t>n.</t>
        </is>
      </c>
      <c r="E138" s="126" t="inlineStr">
        <is>
          <t>moment; time; period</t>
        </is>
      </c>
      <c r="F138" s="126" t="inlineStr">
        <is>
          <t>lúc; thời điểm</t>
        </is>
      </c>
      <c r="G138" s="124" t="inlineStr">
        <is>
          <t>12</t>
        </is>
      </c>
      <c r="H138" s="123">
        <f>HYPERLINK("https://youglish.com/pronounce/时候/chinese","🔍")</f>
        <v/>
      </c>
    </row>
    <row r="139">
      <c r="A139" s="120" t="n">
        <v>137</v>
      </c>
      <c r="B139" s="121" t="inlineStr">
        <is>
          <t>是</t>
        </is>
      </c>
      <c r="C139" s="120" t="inlineStr">
        <is>
          <t>shì</t>
        </is>
      </c>
      <c r="D139" s="120" t="inlineStr">
        <is>
          <t>v.</t>
        </is>
      </c>
      <c r="E139" s="122" t="inlineStr">
        <is>
          <t>am; is; are</t>
        </is>
      </c>
      <c r="F139" s="122" t="inlineStr">
        <is>
          <t>là</t>
        </is>
      </c>
      <c r="G139" s="120" t="inlineStr">
        <is>
          <t>3</t>
        </is>
      </c>
      <c r="H139" s="123">
        <f>HYPERLINK("https://youglish.com/pronounce/是/chinese","🔍")</f>
        <v/>
      </c>
    </row>
    <row r="140">
      <c r="A140" s="124" t="n">
        <v>138</v>
      </c>
      <c r="B140" s="125" t="inlineStr">
        <is>
          <t>是</t>
        </is>
      </c>
      <c r="C140" s="124" t="inlineStr">
        <is>
          <t>shì</t>
        </is>
      </c>
      <c r="D140" s="124" t="inlineStr">
        <is>
          <t>v.</t>
        </is>
      </c>
      <c r="E140" s="126" t="inlineStr">
        <is>
          <t>Yes</t>
        </is>
      </c>
      <c r="F140" s="126" t="inlineStr">
        <is>
          <t>vâng; đúng</t>
        </is>
      </c>
      <c r="G140" s="124" t="inlineStr">
        <is>
          <t>6</t>
        </is>
      </c>
      <c r="H140" s="123">
        <f>HYPERLINK("https://youglish.com/pronounce/是/chinese","🔍")</f>
        <v/>
      </c>
    </row>
    <row r="141">
      <c r="A141" s="120" t="n">
        <v>139</v>
      </c>
      <c r="B141" s="121" t="inlineStr">
        <is>
          <t>手机</t>
        </is>
      </c>
      <c r="C141" s="120" t="inlineStr">
        <is>
          <t>shǒujī</t>
        </is>
      </c>
      <c r="D141" s="120" t="inlineStr">
        <is>
          <t>n.</t>
        </is>
      </c>
      <c r="E141" s="122" t="inlineStr">
        <is>
          <t>mobile phone</t>
        </is>
      </c>
      <c r="F141" s="122" t="inlineStr">
        <is>
          <t>điện thoại di động</t>
        </is>
      </c>
      <c r="G141" s="120" t="inlineStr">
        <is>
          <t>13</t>
        </is>
      </c>
      <c r="H141" s="123">
        <f>HYPERLINK("https://youglish.com/pronounce/手机/chinese","🔍")</f>
        <v/>
      </c>
    </row>
    <row r="142">
      <c r="A142" s="124" t="n">
        <v>140</v>
      </c>
      <c r="B142" s="125" t="inlineStr">
        <is>
          <t>刷</t>
        </is>
      </c>
      <c r="C142" s="124" t="inlineStr">
        <is>
          <t>shuā</t>
        </is>
      </c>
      <c r="D142" s="124" t="inlineStr">
        <is>
          <t>v.</t>
        </is>
      </c>
      <c r="E142" s="126" t="inlineStr">
        <is>
          <t>swipe (card)</t>
        </is>
      </c>
      <c r="F142" s="126" t="inlineStr">
        <is>
          <t>quẹt (thẻ)</t>
        </is>
      </c>
      <c r="G142" s="124" t="inlineStr">
        <is>
          <t>18</t>
        </is>
      </c>
      <c r="H142" s="123">
        <f>HYPERLINK("https://youglish.com/pronounce/刷/chinese","🔍")</f>
        <v/>
      </c>
    </row>
    <row r="143">
      <c r="A143" s="120" t="n">
        <v>141</v>
      </c>
      <c r="B143" s="121" t="inlineStr">
        <is>
          <t>谁</t>
        </is>
      </c>
      <c r="C143" s="120" t="inlineStr">
        <is>
          <t>shéi</t>
        </is>
      </c>
      <c r="D143" s="120" t="inlineStr">
        <is>
          <t>pron.</t>
        </is>
      </c>
      <c r="E143" s="122" t="inlineStr">
        <is>
          <t>who(m)</t>
        </is>
      </c>
      <c r="F143" s="122" t="inlineStr">
        <is>
          <t>ai</t>
        </is>
      </c>
      <c r="G143" s="120" t="inlineStr">
        <is>
          <t>5</t>
        </is>
      </c>
      <c r="H143" s="123">
        <f>HYPERLINK("https://youglish.com/pronounce/谁/chinese","🔍")</f>
        <v/>
      </c>
    </row>
    <row r="144">
      <c r="A144" s="124" t="n">
        <v>142</v>
      </c>
      <c r="B144" s="125" t="inlineStr">
        <is>
          <t>水</t>
        </is>
      </c>
      <c r="C144" s="124" t="inlineStr">
        <is>
          <t>shuǐ</t>
        </is>
      </c>
      <c r="D144" s="124" t="inlineStr">
        <is>
          <t>n.</t>
        </is>
      </c>
      <c r="E144" s="126" t="inlineStr">
        <is>
          <t>water</t>
        </is>
      </c>
      <c r="F144" s="126" t="inlineStr">
        <is>
          <t>nước</t>
        </is>
      </c>
      <c r="G144" s="124" t="inlineStr">
        <is>
          <t>19</t>
        </is>
      </c>
      <c r="H144" s="123">
        <f>HYPERLINK("https://youglish.com/pronounce/水/chinese","🔍")</f>
        <v/>
      </c>
    </row>
    <row r="145">
      <c r="A145" s="120" t="n">
        <v>143</v>
      </c>
      <c r="B145" s="121" t="inlineStr">
        <is>
          <t>水果</t>
        </is>
      </c>
      <c r="C145" s="120" t="inlineStr">
        <is>
          <t>shuǐguǒ</t>
        </is>
      </c>
      <c r="D145" s="120" t="inlineStr">
        <is>
          <t>n.</t>
        </is>
      </c>
      <c r="E145" s="122" t="inlineStr">
        <is>
          <t>fruit</t>
        </is>
      </c>
      <c r="F145" s="122" t="inlineStr">
        <is>
          <t>trái cây</t>
        </is>
      </c>
      <c r="G145" s="120" t="inlineStr">
        <is>
          <t>19</t>
        </is>
      </c>
      <c r="H145" s="123">
        <f>HYPERLINK("https://youglish.com/pronounce/水果/chinese","🔍")</f>
        <v/>
      </c>
    </row>
    <row r="146">
      <c r="A146" s="124" t="n">
        <v>144</v>
      </c>
      <c r="B146" s="125" t="inlineStr">
        <is>
          <t>睡觉</t>
        </is>
      </c>
      <c r="C146" s="124" t="inlineStr">
        <is>
          <t>shuìjiào</t>
        </is>
      </c>
      <c r="D146" s="124" t="inlineStr">
        <is>
          <t>v.</t>
        </is>
      </c>
      <c r="E146" s="126" t="inlineStr">
        <is>
          <t>sleep; go to bed</t>
        </is>
      </c>
      <c r="F146" s="126" t="inlineStr">
        <is>
          <t>ngủ</t>
        </is>
      </c>
      <c r="G146" s="124" t="inlineStr">
        <is>
          <t>9</t>
        </is>
      </c>
      <c r="H146" s="123">
        <f>HYPERLINK("https://youglish.com/pronounce/睡觉/chinese","🔍")</f>
        <v/>
      </c>
    </row>
    <row r="147">
      <c r="A147" s="120" t="n">
        <v>145</v>
      </c>
      <c r="B147" s="121" t="inlineStr">
        <is>
          <t>四</t>
        </is>
      </c>
      <c r="C147" s="120" t="inlineStr">
        <is>
          <t>sì</t>
        </is>
      </c>
      <c r="D147" s="120" t="inlineStr">
        <is>
          <t>num.</t>
        </is>
      </c>
      <c r="E147" s="122" t="inlineStr">
        <is>
          <t>four</t>
        </is>
      </c>
      <c r="F147" s="122" t="inlineStr">
        <is>
          <t>bốn</t>
        </is>
      </c>
      <c r="G147" s="120" t="inlineStr">
        <is>
          <t>7</t>
        </is>
      </c>
      <c r="H147" s="123">
        <f>HYPERLINK("https://youglish.com/pronounce/四/chinese","🔍")</f>
        <v/>
      </c>
    </row>
    <row r="148">
      <c r="A148" s="124" t="n">
        <v>146</v>
      </c>
      <c r="B148" s="125" t="inlineStr">
        <is>
          <t>四月</t>
        </is>
      </c>
      <c r="C148" s="124" t="inlineStr">
        <is>
          <t>sìyuè</t>
        </is>
      </c>
      <c r="D148" s="124" t="inlineStr">
        <is>
          <t>n.</t>
        </is>
      </c>
      <c r="E148" s="126" t="inlineStr">
        <is>
          <t>April</t>
        </is>
      </c>
      <c r="F148" s="126" t="inlineStr">
        <is>
          <t>tháng Tư</t>
        </is>
      </c>
      <c r="G148" s="124" t="inlineStr">
        <is>
          <t>10</t>
        </is>
      </c>
      <c r="H148" s="123">
        <f>HYPERLINK("https://youglish.com/pronounce/四月/chinese","🔍")</f>
        <v/>
      </c>
    </row>
    <row r="149">
      <c r="A149" s="120" t="n">
        <v>147</v>
      </c>
      <c r="B149" s="121" t="inlineStr">
        <is>
          <t>送</t>
        </is>
      </c>
      <c r="C149" s="120" t="inlineStr">
        <is>
          <t>sòng</t>
        </is>
      </c>
      <c r="D149" s="120" t="inlineStr">
        <is>
          <t>v.</t>
        </is>
      </c>
      <c r="E149" s="122" t="inlineStr">
        <is>
          <t>take; send</t>
        </is>
      </c>
      <c r="F149" s="122" t="inlineStr">
        <is>
          <t>đưa; tiễn; gửi</t>
        </is>
      </c>
      <c r="G149" s="120" t="inlineStr">
        <is>
          <t>14</t>
        </is>
      </c>
      <c r="H149" s="123">
        <f>HYPERLINK("https://youglish.com/pronounce/送/chinese","🔍")</f>
        <v/>
      </c>
    </row>
    <row r="150">
      <c r="A150" s="124" t="n">
        <v>148</v>
      </c>
      <c r="B150" s="125" t="inlineStr">
        <is>
          <t>他</t>
        </is>
      </c>
      <c r="C150" s="124" t="inlineStr">
        <is>
          <t>tā</t>
        </is>
      </c>
      <c r="D150" s="124" t="inlineStr">
        <is>
          <t>pron.</t>
        </is>
      </c>
      <c r="E150" s="126" t="inlineStr">
        <is>
          <t>he; him</t>
        </is>
      </c>
      <c r="F150" s="126" t="inlineStr">
        <is>
          <t>anh ấy; ông ấy</t>
        </is>
      </c>
      <c r="G150" s="124" t="inlineStr">
        <is>
          <t>5</t>
        </is>
      </c>
      <c r="H150" s="123">
        <f>HYPERLINK("https://youglish.com/pronounce/他/chinese","🔍")</f>
        <v/>
      </c>
    </row>
    <row r="151">
      <c r="A151" s="120" t="n">
        <v>149</v>
      </c>
      <c r="B151" s="121" t="inlineStr">
        <is>
          <t>她</t>
        </is>
      </c>
      <c r="C151" s="120" t="inlineStr">
        <is>
          <t>tā</t>
        </is>
      </c>
      <c r="D151" s="120" t="inlineStr">
        <is>
          <t>pron.</t>
        </is>
      </c>
      <c r="E151" s="122" t="inlineStr">
        <is>
          <t>she; her</t>
        </is>
      </c>
      <c r="F151" s="122" t="inlineStr">
        <is>
          <t>cô ấy; chị ấy</t>
        </is>
      </c>
      <c r="G151" s="120" t="inlineStr">
        <is>
          <t>5</t>
        </is>
      </c>
      <c r="H151" s="123">
        <f>HYPERLINK("https://youglish.com/pronounce/她/chinese","🔍")</f>
        <v/>
      </c>
    </row>
    <row r="152">
      <c r="A152" s="124" t="n">
        <v>150</v>
      </c>
      <c r="B152" s="125" t="inlineStr">
        <is>
          <t>太</t>
        </is>
      </c>
      <c r="C152" s="124" t="inlineStr">
        <is>
          <t>tài</t>
        </is>
      </c>
      <c r="D152" s="124" t="inlineStr">
        <is>
          <t>adv.</t>
        </is>
      </c>
      <c r="E152" s="126" t="inlineStr">
        <is>
          <t>too; extremely</t>
        </is>
      </c>
      <c r="F152" s="126" t="inlineStr">
        <is>
          <t>quá; rất</t>
        </is>
      </c>
      <c r="G152" s="124" t="inlineStr">
        <is>
          <t>7</t>
        </is>
      </c>
      <c r="H152" s="123">
        <f>HYPERLINK("https://youglish.com/pronounce/太/chinese","🔍")</f>
        <v/>
      </c>
    </row>
    <row r="153">
      <c r="A153" s="120" t="n">
        <v>151</v>
      </c>
      <c r="B153" s="121" t="inlineStr">
        <is>
          <t>天气</t>
        </is>
      </c>
      <c r="C153" s="120" t="inlineStr">
        <is>
          <t>tiānqì</t>
        </is>
      </c>
      <c r="D153" s="120" t="inlineStr">
        <is>
          <t>n.</t>
        </is>
      </c>
      <c r="E153" s="122" t="inlineStr">
        <is>
          <t>weather</t>
        </is>
      </c>
      <c r="F153" s="122" t="inlineStr">
        <is>
          <t>thời tiết</t>
        </is>
      </c>
      <c r="G153" s="120" t="inlineStr">
        <is>
          <t>7</t>
        </is>
      </c>
      <c r="H153" s="123">
        <f>HYPERLINK("https://youglish.com/pronounce/天气/chinese","🔍")</f>
        <v/>
      </c>
    </row>
    <row r="154">
      <c r="A154" s="124" t="n">
        <v>152</v>
      </c>
      <c r="B154" s="125" t="inlineStr">
        <is>
          <t>晚</t>
        </is>
      </c>
      <c r="C154" s="124" t="inlineStr">
        <is>
          <t>wǎn</t>
        </is>
      </c>
      <c r="D154" s="124" t="inlineStr">
        <is>
          <t>adj.</t>
        </is>
      </c>
      <c r="E154" s="126" t="inlineStr">
        <is>
          <t>late</t>
        </is>
      </c>
      <c r="F154" s="126" t="inlineStr">
        <is>
          <t>muộn</t>
        </is>
      </c>
      <c r="G154" s="124" t="inlineStr">
        <is>
          <t>6</t>
        </is>
      </c>
      <c r="H154" s="123">
        <f>HYPERLINK("https://youglish.com/pronounce/晚/chinese","🔍")</f>
        <v/>
      </c>
    </row>
    <row r="155">
      <c r="A155" s="120" t="n">
        <v>153</v>
      </c>
      <c r="B155" s="121" t="inlineStr">
        <is>
          <t>晚上</t>
        </is>
      </c>
      <c r="C155" s="120" t="inlineStr">
        <is>
          <t>wǎnshang</t>
        </is>
      </c>
      <c r="D155" s="120" t="inlineStr">
        <is>
          <t>n.</t>
        </is>
      </c>
      <c r="E155" s="122" t="inlineStr">
        <is>
          <t>evening</t>
        </is>
      </c>
      <c r="F155" s="122" t="inlineStr">
        <is>
          <t>buổi tối</t>
        </is>
      </c>
      <c r="G155" s="120" t="inlineStr">
        <is>
          <t>1</t>
        </is>
      </c>
      <c r="H155" s="123">
        <f>HYPERLINK("https://youglish.com/pronounce/晚上/chinese","🔍")</f>
        <v/>
      </c>
    </row>
    <row r="156">
      <c r="A156" s="124" t="n">
        <v>154</v>
      </c>
      <c r="B156" s="125" t="inlineStr">
        <is>
          <t>往</t>
        </is>
      </c>
      <c r="C156" s="124" t="inlineStr">
        <is>
          <t>wǎng</t>
        </is>
      </c>
      <c r="D156" s="124" t="inlineStr">
        <is>
          <t>prep.</t>
        </is>
      </c>
      <c r="E156" s="126" t="inlineStr">
        <is>
          <t>toward; to</t>
        </is>
      </c>
      <c r="F156" s="126" t="inlineStr">
        <is>
          <t>về phía; hướng</t>
        </is>
      </c>
      <c r="G156" s="124" t="inlineStr">
        <is>
          <t>16</t>
        </is>
      </c>
      <c r="H156" s="123">
        <f>HYPERLINK("https://youglish.com/pronounce/往/chinese","🔍")</f>
        <v/>
      </c>
    </row>
    <row r="157">
      <c r="A157" s="120" t="n">
        <v>155</v>
      </c>
      <c r="B157" s="121" t="inlineStr">
        <is>
          <t>位</t>
        </is>
      </c>
      <c r="C157" s="120" t="inlineStr">
        <is>
          <t>wèi</t>
        </is>
      </c>
      <c r="D157" s="120" t="inlineStr">
        <is>
          <t>mw.</t>
        </is>
      </c>
      <c r="E157" s="122" t="inlineStr">
        <is>
          <t>used for people (polite)</t>
        </is>
      </c>
      <c r="F157" s="122" t="inlineStr">
        <is>
          <t>vị (lượng từ cho người, lịch sự)</t>
        </is>
      </c>
      <c r="G157" s="120" t="inlineStr">
        <is>
          <t>3</t>
        </is>
      </c>
      <c r="H157" s="123">
        <f>HYPERLINK("https://youglish.com/pronounce/位/chinese","🔍")</f>
        <v/>
      </c>
    </row>
    <row r="158">
      <c r="A158" s="124" t="n">
        <v>156</v>
      </c>
      <c r="B158" s="125" t="inlineStr">
        <is>
          <t>喂</t>
        </is>
      </c>
      <c r="C158" s="124" t="inlineStr">
        <is>
          <t>wèi</t>
        </is>
      </c>
      <c r="D158" s="124" t="inlineStr">
        <is>
          <t>int.</t>
        </is>
      </c>
      <c r="E158" s="126" t="inlineStr">
        <is>
          <t>used to start a dialogue over the phone</t>
        </is>
      </c>
      <c r="F158" s="126" t="inlineStr">
        <is>
          <t>a lô (chào điện thoại)</t>
        </is>
      </c>
      <c r="G158" s="124" t="inlineStr">
        <is>
          <t>6</t>
        </is>
      </c>
      <c r="H158" s="123">
        <f>HYPERLINK("https://youglish.com/pronounce/喂/chinese","🔍")</f>
        <v/>
      </c>
    </row>
    <row r="159">
      <c r="A159" s="120" t="n">
        <v>157</v>
      </c>
      <c r="B159" s="121" t="inlineStr">
        <is>
          <t>文件</t>
        </is>
      </c>
      <c r="C159" s="120" t="inlineStr">
        <is>
          <t>wénjiàn</t>
        </is>
      </c>
      <c r="D159" s="120" t="inlineStr">
        <is>
          <t>n.</t>
        </is>
      </c>
      <c r="E159" s="122" t="inlineStr">
        <is>
          <t>document</t>
        </is>
      </c>
      <c r="F159" s="122" t="inlineStr">
        <is>
          <t>tài liệu; văn kiện</t>
        </is>
      </c>
      <c r="G159" s="120" t="inlineStr">
        <is>
          <t>17</t>
        </is>
      </c>
      <c r="H159" s="123">
        <f>HYPERLINK("https://youglish.com/pronounce/文件/chinese","🔍")</f>
        <v/>
      </c>
    </row>
    <row r="160">
      <c r="A160" s="124" t="n">
        <v>158</v>
      </c>
      <c r="B160" s="125" t="inlineStr">
        <is>
          <t>问题</t>
        </is>
      </c>
      <c r="C160" s="124" t="inlineStr">
        <is>
          <t>wèntí</t>
        </is>
      </c>
      <c r="D160" s="124" t="inlineStr">
        <is>
          <t>n.</t>
        </is>
      </c>
      <c r="E160" s="126" t="inlineStr">
        <is>
          <t>question; problem</t>
        </is>
      </c>
      <c r="F160" s="126" t="inlineStr">
        <is>
          <t>vấn đề; câu hỏi</t>
        </is>
      </c>
      <c r="G160" s="124" t="inlineStr">
        <is>
          <t>19</t>
        </is>
      </c>
      <c r="H160" s="123">
        <f>HYPERLINK("https://youglish.com/pronounce/问题/chinese","🔍")</f>
        <v/>
      </c>
    </row>
    <row r="161">
      <c r="A161" s="120" t="n">
        <v>159</v>
      </c>
      <c r="B161" s="121" t="inlineStr">
        <is>
          <t>我</t>
        </is>
      </c>
      <c r="C161" s="120" t="inlineStr">
        <is>
          <t>wǒ</t>
        </is>
      </c>
      <c r="D161" s="120" t="inlineStr">
        <is>
          <t>pron.</t>
        </is>
      </c>
      <c r="E161" s="122" t="inlineStr">
        <is>
          <t>I; me</t>
        </is>
      </c>
      <c r="F161" s="122" t="inlineStr">
        <is>
          <t>tôi</t>
        </is>
      </c>
      <c r="G161" s="120" t="inlineStr">
        <is>
          <t>3</t>
        </is>
      </c>
      <c r="H161" s="123">
        <f>HYPERLINK("https://youglish.com/pronounce/我/chinese","🔍")</f>
        <v/>
      </c>
    </row>
    <row r="162">
      <c r="A162" s="124" t="n">
        <v>160</v>
      </c>
      <c r="B162" s="125" t="inlineStr">
        <is>
          <t>我们</t>
        </is>
      </c>
      <c r="C162" s="124" t="inlineStr">
        <is>
          <t>wǒmen</t>
        </is>
      </c>
      <c r="D162" s="124" t="inlineStr">
        <is>
          <t>pron.</t>
        </is>
      </c>
      <c r="E162" s="126" t="inlineStr">
        <is>
          <t>we; us</t>
        </is>
      </c>
      <c r="F162" s="126" t="inlineStr">
        <is>
          <t>chúng tôi</t>
        </is>
      </c>
      <c r="G162" s="124" t="inlineStr">
        <is>
          <t>2</t>
        </is>
      </c>
      <c r="H162" s="123">
        <f>HYPERLINK("https://youglish.com/pronounce/我们/chinese","🔍")</f>
        <v/>
      </c>
    </row>
    <row r="163">
      <c r="A163" s="120" t="n">
        <v>161</v>
      </c>
      <c r="B163" s="121" t="inlineStr">
        <is>
          <t>五</t>
        </is>
      </c>
      <c r="C163" s="120" t="inlineStr">
        <is>
          <t>wǔ</t>
        </is>
      </c>
      <c r="D163" s="120" t="inlineStr">
        <is>
          <t>num.</t>
        </is>
      </c>
      <c r="E163" s="122" t="inlineStr">
        <is>
          <t>five</t>
        </is>
      </c>
      <c r="F163" s="122" t="inlineStr">
        <is>
          <t>năm</t>
        </is>
      </c>
      <c r="G163" s="120" t="inlineStr">
        <is>
          <t>7</t>
        </is>
      </c>
      <c r="H163" s="123">
        <f>HYPERLINK("https://youglish.com/pronounce/五/chinese","🔍")</f>
        <v/>
      </c>
    </row>
    <row r="164">
      <c r="A164" s="124" t="n">
        <v>162</v>
      </c>
      <c r="B164" s="125" t="inlineStr">
        <is>
          <t>五月</t>
        </is>
      </c>
      <c r="C164" s="124" t="inlineStr">
        <is>
          <t>wǔyuè</t>
        </is>
      </c>
      <c r="D164" s="124" t="inlineStr">
        <is>
          <t>n.</t>
        </is>
      </c>
      <c r="E164" s="126" t="inlineStr">
        <is>
          <t>May</t>
        </is>
      </c>
      <c r="F164" s="126" t="inlineStr">
        <is>
          <t>tháng Năm</t>
        </is>
      </c>
      <c r="G164" s="124" t="inlineStr">
        <is>
          <t>10</t>
        </is>
      </c>
      <c r="H164" s="123">
        <f>HYPERLINK("https://youglish.com/pronounce/五月/chinese","🔍")</f>
        <v/>
      </c>
    </row>
    <row r="165">
      <c r="A165" s="120" t="n">
        <v>163</v>
      </c>
      <c r="B165" s="121" t="inlineStr">
        <is>
          <t>洗手间</t>
        </is>
      </c>
      <c r="C165" s="120" t="inlineStr">
        <is>
          <t>xǐshǒujiān</t>
        </is>
      </c>
      <c r="D165" s="120" t="inlineStr">
        <is>
          <t>n.</t>
        </is>
      </c>
      <c r="E165" s="122" t="inlineStr">
        <is>
          <t>toilet; washroom; bathroom</t>
        </is>
      </c>
      <c r="F165" s="122" t="inlineStr">
        <is>
          <t>nhà vệ sinh</t>
        </is>
      </c>
      <c r="G165" s="120" t="inlineStr">
        <is>
          <t>16</t>
        </is>
      </c>
      <c r="H165" s="123">
        <f>HYPERLINK("https://youglish.com/pronounce/洗手间/chinese","🔍")</f>
        <v/>
      </c>
    </row>
    <row r="166">
      <c r="A166" s="124" t="n">
        <v>164</v>
      </c>
      <c r="B166" s="125" t="inlineStr">
        <is>
          <t>下</t>
        </is>
      </c>
      <c r="C166" s="124" t="inlineStr">
        <is>
          <t>xià</t>
        </is>
      </c>
      <c r="D166" s="124" t="inlineStr">
        <is>
          <t>n.</t>
        </is>
      </c>
      <c r="E166" s="126" t="inlineStr">
        <is>
          <t>below; under; down; next</t>
        </is>
      </c>
      <c r="F166" s="126" t="inlineStr">
        <is>
          <t>dưới; sau</t>
        </is>
      </c>
      <c r="G166" s="124" t="inlineStr">
        <is>
          <t>17</t>
        </is>
      </c>
      <c r="H166" s="123">
        <f>HYPERLINK("https://youglish.com/pronounce/下/chinese","🔍")</f>
        <v/>
      </c>
    </row>
    <row r="167">
      <c r="A167" s="120" t="n">
        <v>165</v>
      </c>
      <c r="B167" s="121" t="inlineStr">
        <is>
          <t>下班</t>
        </is>
      </c>
      <c r="C167" s="120" t="inlineStr">
        <is>
          <t>xiàbān</t>
        </is>
      </c>
      <c r="D167" s="120" t="inlineStr">
        <is>
          <t>v.</t>
        </is>
      </c>
      <c r="E167" s="122" t="inlineStr">
        <is>
          <t>finish work; get off work</t>
        </is>
      </c>
      <c r="F167" s="122" t="inlineStr">
        <is>
          <t>tan làm</t>
        </is>
      </c>
      <c r="G167" s="120" t="inlineStr">
        <is>
          <t>9</t>
        </is>
      </c>
      <c r="H167" s="123">
        <f>HYPERLINK("https://youglish.com/pronounce/下班/chinese","🔍")</f>
        <v/>
      </c>
    </row>
    <row r="168">
      <c r="A168" s="124" t="n">
        <v>166</v>
      </c>
      <c r="B168" s="125" t="inlineStr">
        <is>
          <t>下边</t>
        </is>
      </c>
      <c r="C168" s="124" t="inlineStr">
        <is>
          <t>xiàbian</t>
        </is>
      </c>
      <c r="D168" s="124" t="inlineStr">
        <is>
          <t>n.</t>
        </is>
      </c>
      <c r="E168" s="126" t="inlineStr">
        <is>
          <t>below; under; down</t>
        </is>
      </c>
      <c r="F168" s="126" t="inlineStr">
        <is>
          <t>phía dưới</t>
        </is>
      </c>
      <c r="G168" s="124" t="inlineStr">
        <is>
          <t>17</t>
        </is>
      </c>
      <c r="H168" s="123">
        <f>HYPERLINK("https://youglish.com/pronounce/下边/chinese","🔍")</f>
        <v/>
      </c>
    </row>
    <row r="169">
      <c r="A169" s="120" t="n">
        <v>167</v>
      </c>
      <c r="B169" s="121" t="inlineStr">
        <is>
          <t>下面</t>
        </is>
      </c>
      <c r="C169" s="120" t="inlineStr">
        <is>
          <t>xiàmiàn</t>
        </is>
      </c>
      <c r="D169" s="120" t="inlineStr">
        <is>
          <t>n.</t>
        </is>
      </c>
      <c r="E169" s="122" t="inlineStr">
        <is>
          <t>below; under; down</t>
        </is>
      </c>
      <c r="F169" s="122" t="inlineStr">
        <is>
          <t>phía dưới</t>
        </is>
      </c>
      <c r="G169" s="120" t="inlineStr">
        <is>
          <t>17</t>
        </is>
      </c>
      <c r="H169" s="123">
        <f>HYPERLINK("https://youglish.com/pronounce/下面/chinese","🔍")</f>
        <v/>
      </c>
    </row>
    <row r="170">
      <c r="A170" s="124" t="n">
        <v>168</v>
      </c>
      <c r="B170" s="125" t="inlineStr">
        <is>
          <t>下午</t>
        </is>
      </c>
      <c r="C170" s="124" t="inlineStr">
        <is>
          <t>xiàwǔ</t>
        </is>
      </c>
      <c r="D170" s="124" t="inlineStr">
        <is>
          <t>n.</t>
        </is>
      </c>
      <c r="E170" s="126" t="inlineStr">
        <is>
          <t>afternoon</t>
        </is>
      </c>
      <c r="F170" s="126" t="inlineStr">
        <is>
          <t>buổi chiều</t>
        </is>
      </c>
      <c r="G170" s="124" t="inlineStr">
        <is>
          <t>1</t>
        </is>
      </c>
      <c r="H170" s="123">
        <f>HYPERLINK("https://youglish.com/pronounce/下午/chinese","🔍")</f>
        <v/>
      </c>
    </row>
    <row r="171">
      <c r="A171" s="120" t="n">
        <v>169</v>
      </c>
      <c r="B171" s="121" t="inlineStr">
        <is>
          <t>先生</t>
        </is>
      </c>
      <c r="C171" s="120" t="inlineStr">
        <is>
          <t>xiānsheng</t>
        </is>
      </c>
      <c r="D171" s="120" t="inlineStr">
        <is>
          <t>n.</t>
        </is>
      </c>
      <c r="E171" s="122" t="inlineStr">
        <is>
          <t>Mr; sir (polite form)</t>
        </is>
      </c>
      <c r="F171" s="122" t="inlineStr">
        <is>
          <t>ông; quý ông</t>
        </is>
      </c>
      <c r="G171" s="120" t="inlineStr">
        <is>
          <t>1</t>
        </is>
      </c>
      <c r="H171" s="123">
        <f>HYPERLINK("https://youglish.com/pronounce/先生/chinese","🔍")</f>
        <v/>
      </c>
    </row>
    <row r="172">
      <c r="A172" s="124" t="n">
        <v>170</v>
      </c>
      <c r="B172" s="125" t="inlineStr">
        <is>
          <t>现在</t>
        </is>
      </c>
      <c r="C172" s="124" t="inlineStr">
        <is>
          <t>xiànzài</t>
        </is>
      </c>
      <c r="D172" s="124" t="inlineStr">
        <is>
          <t>n.</t>
        </is>
      </c>
      <c r="E172" s="126" t="inlineStr">
        <is>
          <t>now; nowadays; today; at present</t>
        </is>
      </c>
      <c r="F172" s="126" t="inlineStr">
        <is>
          <t>bây giờ; hiện tại</t>
        </is>
      </c>
      <c r="G172" s="124" t="inlineStr">
        <is>
          <t>7</t>
        </is>
      </c>
      <c r="H172" s="123">
        <f>HYPERLINK("https://youglish.com/pronounce/现在/chinese","🔍")</f>
        <v/>
      </c>
    </row>
    <row r="173">
      <c r="A173" s="120" t="n">
        <v>171</v>
      </c>
      <c r="B173" s="121" t="inlineStr">
        <is>
          <t>小姐</t>
        </is>
      </c>
      <c r="C173" s="120" t="inlineStr">
        <is>
          <t>xiǎojiě</t>
        </is>
      </c>
      <c r="D173" s="120" t="inlineStr">
        <is>
          <t>n.</t>
        </is>
      </c>
      <c r="E173" s="122" t="inlineStr">
        <is>
          <t>Miss</t>
        </is>
      </c>
      <c r="F173" s="122" t="inlineStr">
        <is>
          <t>cô (tiểu thư)</t>
        </is>
      </c>
      <c r="G173" s="120" t="inlineStr">
        <is>
          <t>1</t>
        </is>
      </c>
      <c r="H173" s="123">
        <f>HYPERLINK("https://youglish.com/pronounce/小姐/chinese","🔍")</f>
        <v/>
      </c>
    </row>
    <row r="174">
      <c r="A174" s="124" t="n">
        <v>172</v>
      </c>
      <c r="B174" s="125" t="inlineStr">
        <is>
          <t>谢谢</t>
        </is>
      </c>
      <c r="C174" s="124" t="inlineStr">
        <is>
          <t>xièxie</t>
        </is>
      </c>
      <c r="D174" s="124" t="inlineStr">
        <is>
          <t>v.</t>
        </is>
      </c>
      <c r="E174" s="126" t="inlineStr">
        <is>
          <t>thank</t>
        </is>
      </c>
      <c r="F174" s="126" t="inlineStr">
        <is>
          <t>cảm ơn</t>
        </is>
      </c>
      <c r="G174" s="124" t="inlineStr">
        <is>
          <t>2</t>
        </is>
      </c>
      <c r="H174" s="123">
        <f>HYPERLINK("https://youglish.com/pronounce/谢谢/chinese","🔍")</f>
        <v/>
      </c>
    </row>
    <row r="175">
      <c r="A175" s="120" t="n">
        <v>173</v>
      </c>
      <c r="B175" s="121" t="inlineStr">
        <is>
          <t>信用卡</t>
        </is>
      </c>
      <c r="C175" s="120" t="inlineStr">
        <is>
          <t>xìnyòngkǎ</t>
        </is>
      </c>
      <c r="D175" s="120" t="inlineStr">
        <is>
          <t>n.</t>
        </is>
      </c>
      <c r="E175" s="122" t="inlineStr">
        <is>
          <t>credit card</t>
        </is>
      </c>
      <c r="F175" s="122" t="inlineStr">
        <is>
          <t>thẻ tín dụng</t>
        </is>
      </c>
      <c r="G175" s="120" t="inlineStr">
        <is>
          <t>18</t>
        </is>
      </c>
      <c r="H175" s="123">
        <f>HYPERLINK("https://youglish.com/pronounce/信用卡/chinese","🔍")</f>
        <v/>
      </c>
    </row>
    <row r="176">
      <c r="A176" s="124" t="n">
        <v>174</v>
      </c>
      <c r="B176" s="125" t="inlineStr">
        <is>
          <t>星期</t>
        </is>
      </c>
      <c r="C176" s="124" t="inlineStr">
        <is>
          <t>xīngqī</t>
        </is>
      </c>
      <c r="D176" s="124" t="inlineStr">
        <is>
          <t>n.</t>
        </is>
      </c>
      <c r="E176" s="126" t="inlineStr">
        <is>
          <t>week</t>
        </is>
      </c>
      <c r="F176" s="126" t="inlineStr">
        <is>
          <t>tuần</t>
        </is>
      </c>
      <c r="G176" s="124" t="inlineStr">
        <is>
          <t>7</t>
        </is>
      </c>
      <c r="H176" s="123">
        <f>HYPERLINK("https://youglish.com/pronounce/星期/chinese","🔍")</f>
        <v/>
      </c>
    </row>
    <row r="177">
      <c r="A177" s="120" t="n">
        <v>175</v>
      </c>
      <c r="B177" s="121" t="inlineStr">
        <is>
          <t>星期天</t>
        </is>
      </c>
      <c r="C177" s="120" t="inlineStr">
        <is>
          <t>xīngqītiān</t>
        </is>
      </c>
      <c r="D177" s="120" t="inlineStr">
        <is>
          <t>n.</t>
        </is>
      </c>
      <c r="E177" s="122" t="inlineStr">
        <is>
          <t>Sunday</t>
        </is>
      </c>
      <c r="F177" s="122" t="inlineStr">
        <is>
          <t>Chủ nhật</t>
        </is>
      </c>
      <c r="G177" s="120" t="inlineStr">
        <is>
          <t>8</t>
        </is>
      </c>
      <c r="H177" s="123">
        <f>HYPERLINK("https://youglish.com/pronounce/星期天/chinese","🔍")</f>
        <v/>
      </c>
    </row>
    <row r="178">
      <c r="A178" s="124" t="n">
        <v>176</v>
      </c>
      <c r="B178" s="125" t="inlineStr">
        <is>
          <t>星期五</t>
        </is>
      </c>
      <c r="C178" s="124" t="inlineStr">
        <is>
          <t>xīngqīwǔ</t>
        </is>
      </c>
      <c r="D178" s="124" t="inlineStr">
        <is>
          <t>n.</t>
        </is>
      </c>
      <c r="E178" s="126" t="inlineStr">
        <is>
          <t>Friday</t>
        </is>
      </c>
      <c r="F178" s="126" t="inlineStr">
        <is>
          <t>thứ Sáu</t>
        </is>
      </c>
      <c r="G178" s="124" t="inlineStr">
        <is>
          <t>7</t>
        </is>
      </c>
      <c r="H178" s="123">
        <f>HYPERLINK("https://youglish.com/pronounce/星期五/chinese","🔍")</f>
        <v/>
      </c>
    </row>
    <row r="179">
      <c r="A179" s="120" t="n">
        <v>177</v>
      </c>
      <c r="B179" s="121" t="inlineStr">
        <is>
          <t>星期一</t>
        </is>
      </c>
      <c r="C179" s="120" t="inlineStr">
        <is>
          <t>xīngqīyī</t>
        </is>
      </c>
      <c r="D179" s="120" t="inlineStr">
        <is>
          <t>n.</t>
        </is>
      </c>
      <c r="E179" s="122" t="inlineStr">
        <is>
          <t>Monday</t>
        </is>
      </c>
      <c r="F179" s="122" t="inlineStr">
        <is>
          <t>thứ Hai</t>
        </is>
      </c>
      <c r="G179" s="120" t="inlineStr">
        <is>
          <t>7</t>
        </is>
      </c>
      <c r="H179" s="123">
        <f>HYPERLINK("https://youglish.com/pronounce/星期一/chinese","🔍")</f>
        <v/>
      </c>
    </row>
    <row r="180">
      <c r="A180" s="124" t="n">
        <v>178</v>
      </c>
      <c r="B180" s="125" t="inlineStr">
        <is>
          <t>行</t>
        </is>
      </c>
      <c r="C180" s="124" t="inlineStr">
        <is>
          <t>xíng</t>
        </is>
      </c>
      <c r="D180" s="124" t="inlineStr">
        <is>
          <t>v.</t>
        </is>
      </c>
      <c r="E180" s="126" t="inlineStr">
        <is>
          <t>OK; all right; no problem</t>
        </is>
      </c>
      <c r="F180" s="126" t="inlineStr">
        <is>
          <t>được; ổn</t>
        </is>
      </c>
      <c r="G180" s="124" t="inlineStr">
        <is>
          <t>12</t>
        </is>
      </c>
      <c r="H180" s="123">
        <f>HYPERLINK("https://youglish.com/pronounce/行/chinese","🔍")</f>
        <v/>
      </c>
    </row>
    <row r="181">
      <c r="A181" s="120" t="n">
        <v>179</v>
      </c>
      <c r="B181" s="121" t="inlineStr">
        <is>
          <t>姓</t>
        </is>
      </c>
      <c r="C181" s="120" t="inlineStr">
        <is>
          <t>xìng</t>
        </is>
      </c>
      <c r="D181" s="120" t="inlineStr">
        <is>
          <t>n./v.</t>
        </is>
      </c>
      <c r="E181" s="122" t="inlineStr">
        <is>
          <t>surname; take...as surname</t>
        </is>
      </c>
      <c r="F181" s="122" t="inlineStr">
        <is>
          <t>họ; mang họ</t>
        </is>
      </c>
      <c r="G181" s="120" t="inlineStr">
        <is>
          <t>3</t>
        </is>
      </c>
      <c r="H181" s="123">
        <f>HYPERLINK("https://youglish.com/pronounce/姓/chinese","🔍")</f>
        <v/>
      </c>
    </row>
    <row r="182">
      <c r="A182" s="124" t="n">
        <v>180</v>
      </c>
      <c r="B182" s="125" t="inlineStr">
        <is>
          <t>休息</t>
        </is>
      </c>
      <c r="C182" s="124" t="inlineStr">
        <is>
          <t>xiūxi</t>
        </is>
      </c>
      <c r="D182" s="124" t="inlineStr">
        <is>
          <t>v.</t>
        </is>
      </c>
      <c r="E182" s="126" t="inlineStr">
        <is>
          <t>have a rest; go to bed</t>
        </is>
      </c>
      <c r="F182" s="126" t="inlineStr">
        <is>
          <t>nghỉ ngơi</t>
        </is>
      </c>
      <c r="G182" s="124" t="inlineStr">
        <is>
          <t>9</t>
        </is>
      </c>
      <c r="H182" s="123">
        <f>HYPERLINK("https://youglish.com/pronounce/休息/chinese","🔍")</f>
        <v/>
      </c>
    </row>
    <row r="183">
      <c r="A183" s="120" t="n">
        <v>181</v>
      </c>
      <c r="B183" s="121" t="inlineStr">
        <is>
          <t>学习</t>
        </is>
      </c>
      <c r="C183" s="120" t="inlineStr">
        <is>
          <t>xuéxí</t>
        </is>
      </c>
      <c r="D183" s="120" t="inlineStr">
        <is>
          <t>v.</t>
        </is>
      </c>
      <c r="E183" s="122" t="inlineStr">
        <is>
          <t>study; learn</t>
        </is>
      </c>
      <c r="F183" s="122" t="inlineStr">
        <is>
          <t>học tập</t>
        </is>
      </c>
      <c r="G183" s="120" t="inlineStr">
        <is>
          <t>5</t>
        </is>
      </c>
      <c r="H183" s="123">
        <f>HYPERLINK("https://youglish.com/pronounce/学习/chinese","🔍")</f>
        <v/>
      </c>
    </row>
    <row r="184">
      <c r="A184" s="124" t="n">
        <v>182</v>
      </c>
      <c r="B184" s="125" t="inlineStr">
        <is>
          <t>也</t>
        </is>
      </c>
      <c r="C184" s="124" t="inlineStr">
        <is>
          <t>yě</t>
        </is>
      </c>
      <c r="D184" s="124" t="inlineStr">
        <is>
          <t>adv.</t>
        </is>
      </c>
      <c r="E184" s="126" t="inlineStr">
        <is>
          <t>also; too; as well; either</t>
        </is>
      </c>
      <c r="F184" s="126" t="inlineStr">
        <is>
          <t>cũng</t>
        </is>
      </c>
      <c r="G184" s="124" t="inlineStr">
        <is>
          <t>3</t>
        </is>
      </c>
      <c r="H184" s="123">
        <f>HYPERLINK("https://youglish.com/pronounce/也/chinese","🔍")</f>
        <v/>
      </c>
    </row>
    <row r="185">
      <c r="A185" s="120" t="n">
        <v>183</v>
      </c>
      <c r="B185" s="121" t="inlineStr">
        <is>
          <t>一</t>
        </is>
      </c>
      <c r="C185" s="120" t="inlineStr">
        <is>
          <t>yī</t>
        </is>
      </c>
      <c r="D185" s="120" t="inlineStr">
        <is>
          <t>num.</t>
        </is>
      </c>
      <c r="E185" s="122" t="inlineStr">
        <is>
          <t>one</t>
        </is>
      </c>
      <c r="F185" s="122" t="inlineStr">
        <is>
          <t>một</t>
        </is>
      </c>
      <c r="G185" s="120" t="inlineStr">
        <is>
          <t>7</t>
        </is>
      </c>
      <c r="H185" s="123">
        <f>HYPERLINK("https://youglish.com/pronounce/一/chinese","🔍")</f>
        <v/>
      </c>
    </row>
    <row r="186">
      <c r="A186" s="124" t="n">
        <v>184</v>
      </c>
      <c r="B186" s="125" t="inlineStr">
        <is>
          <t>(一)点儿</t>
        </is>
      </c>
      <c r="C186" s="124" t="inlineStr">
        <is>
          <t>(yì)diǎnr</t>
        </is>
      </c>
      <c r="D186" s="124" t="inlineStr">
        <is>
          <t>nm.</t>
        </is>
      </c>
      <c r="E186" s="126" t="inlineStr">
        <is>
          <t>a bit; a little</t>
        </is>
      </c>
      <c r="F186" s="126" t="inlineStr">
        <is>
          <t>một chút</t>
        </is>
      </c>
      <c r="G186" s="124" t="inlineStr">
        <is>
          <t>9</t>
        </is>
      </c>
      <c r="H186" s="123">
        <f>HYPERLINK("https://youglish.com/pronounce/一点儿/chinese","🔍")</f>
        <v/>
      </c>
    </row>
    <row r="187">
      <c r="A187" s="120" t="n">
        <v>185</v>
      </c>
      <c r="B187" s="121" t="inlineStr">
        <is>
          <t>一下</t>
        </is>
      </c>
      <c r="C187" s="120" t="inlineStr">
        <is>
          <t>yíxià</t>
        </is>
      </c>
      <c r="D187" s="120" t="inlineStr">
        <is>
          <t>nm.</t>
        </is>
      </c>
      <c r="E187" s="122" t="inlineStr">
        <is>
          <t>once; in a short while</t>
        </is>
      </c>
      <c r="F187" s="122" t="inlineStr">
        <is>
          <t>một chút; một lát</t>
        </is>
      </c>
      <c r="G187" s="120" t="inlineStr">
        <is>
          <t>3</t>
        </is>
      </c>
      <c r="H187" s="123">
        <f>HYPERLINK("https://youglish.com/pronounce/一下/chinese","🔍")</f>
        <v/>
      </c>
    </row>
    <row r="188">
      <c r="A188" s="124" t="n">
        <v>186</v>
      </c>
      <c r="B188" s="125" t="inlineStr">
        <is>
          <t>一月</t>
        </is>
      </c>
      <c r="C188" s="124" t="inlineStr">
        <is>
          <t>yīyuè</t>
        </is>
      </c>
      <c r="D188" s="124" t="inlineStr">
        <is>
          <t>n.</t>
        </is>
      </c>
      <c r="E188" s="126" t="inlineStr">
        <is>
          <t>January</t>
        </is>
      </c>
      <c r="F188" s="126" t="inlineStr">
        <is>
          <t>tháng Một</t>
        </is>
      </c>
      <c r="G188" s="124" t="inlineStr">
        <is>
          <t>10</t>
        </is>
      </c>
      <c r="H188" s="123">
        <f>HYPERLINK("https://youglish.com/pronounce/一月/chinese","🔍")</f>
        <v/>
      </c>
    </row>
    <row r="189">
      <c r="A189" s="120" t="n">
        <v>187</v>
      </c>
      <c r="B189" s="121" t="inlineStr">
        <is>
          <t>医院</t>
        </is>
      </c>
      <c r="C189" s="120" t="inlineStr">
        <is>
          <t>yīyuàn</t>
        </is>
      </c>
      <c r="D189" s="120" t="inlineStr">
        <is>
          <t>n.</t>
        </is>
      </c>
      <c r="E189" s="122" t="inlineStr">
        <is>
          <t>hospital</t>
        </is>
      </c>
      <c r="F189" s="122" t="inlineStr">
        <is>
          <t>bệnh viện</t>
        </is>
      </c>
      <c r="G189" s="120" t="inlineStr">
        <is>
          <t>14</t>
        </is>
      </c>
      <c r="H189" s="123">
        <f>HYPERLINK("https://youglish.com/pronounce/医院/chinese","🔍")</f>
        <v/>
      </c>
    </row>
    <row r="190">
      <c r="A190" s="124" t="n">
        <v>188</v>
      </c>
      <c r="B190" s="125" t="inlineStr">
        <is>
          <t>银行</t>
        </is>
      </c>
      <c r="C190" s="124" t="inlineStr">
        <is>
          <t>yínháng</t>
        </is>
      </c>
      <c r="D190" s="124" t="inlineStr">
        <is>
          <t>n.</t>
        </is>
      </c>
      <c r="E190" s="126" t="inlineStr">
        <is>
          <t>bank</t>
        </is>
      </c>
      <c r="F190" s="126" t="inlineStr">
        <is>
          <t>ngân hàng</t>
        </is>
      </c>
      <c r="G190" s="124" t="inlineStr">
        <is>
          <t>3</t>
        </is>
      </c>
      <c r="H190" s="123">
        <f>HYPERLINK("https://youglish.com/pronounce/银行/chinese","🔍")</f>
        <v/>
      </c>
    </row>
    <row r="191">
      <c r="A191" s="120" t="n">
        <v>189</v>
      </c>
      <c r="B191" s="121" t="inlineStr">
        <is>
          <t>有</t>
        </is>
      </c>
      <c r="C191" s="120" t="inlineStr">
        <is>
          <t>yǒu</t>
        </is>
      </c>
      <c r="D191" s="120" t="inlineStr">
        <is>
          <t>v.</t>
        </is>
      </c>
      <c r="E191" s="122" t="inlineStr">
        <is>
          <t>have</t>
        </is>
      </c>
      <c r="F191" s="122" t="inlineStr">
        <is>
          <t>có</t>
        </is>
      </c>
      <c r="G191" s="120" t="inlineStr">
        <is>
          <t>12</t>
        </is>
      </c>
      <c r="H191" s="123">
        <f>HYPERLINK("https://youglish.com/pronounce/有/chinese","🔍")</f>
        <v/>
      </c>
    </row>
    <row r="192">
      <c r="A192" s="124" t="n">
        <v>190</v>
      </c>
      <c r="B192" s="125" t="inlineStr">
        <is>
          <t>右边</t>
        </is>
      </c>
      <c r="C192" s="124" t="inlineStr">
        <is>
          <t>yòubian</t>
        </is>
      </c>
      <c r="D192" s="124" t="inlineStr">
        <is>
          <t>n.</t>
        </is>
      </c>
      <c r="E192" s="126" t="inlineStr">
        <is>
          <t>right; the right side</t>
        </is>
      </c>
      <c r="F192" s="126" t="inlineStr">
        <is>
          <t>bên phải</t>
        </is>
      </c>
      <c r="G192" s="124" t="inlineStr">
        <is>
          <t>16</t>
        </is>
      </c>
      <c r="H192" s="123">
        <f>HYPERLINK("https://youglish.com/pronounce/右边/chinese","🔍")</f>
        <v/>
      </c>
    </row>
    <row r="193">
      <c r="A193" s="120" t="n">
        <v>191</v>
      </c>
      <c r="B193" s="121" t="inlineStr">
        <is>
          <t>元</t>
        </is>
      </c>
      <c r="C193" s="120" t="inlineStr">
        <is>
          <t>yuán</t>
        </is>
      </c>
      <c r="D193" s="120" t="inlineStr">
        <is>
          <t>mw.</t>
        </is>
      </c>
      <c r="E193" s="122" t="inlineStr">
        <is>
          <t>yuan, unit of RMB</t>
        </is>
      </c>
      <c r="F193" s="122" t="inlineStr">
        <is>
          <t>đồng (nhân dân tệ)</t>
        </is>
      </c>
      <c r="G193" s="120" t="inlineStr">
        <is>
          <t>14</t>
        </is>
      </c>
      <c r="H193" s="123">
        <f>HYPERLINK("https://youglish.com/pronounce/元/chinese","🔍")</f>
        <v/>
      </c>
    </row>
    <row r="194">
      <c r="A194" s="124" t="n">
        <v>192</v>
      </c>
      <c r="B194" s="125" t="inlineStr">
        <is>
          <t>月</t>
        </is>
      </c>
      <c r="C194" s="124" t="inlineStr">
        <is>
          <t>yuè</t>
        </is>
      </c>
      <c r="D194" s="124" t="inlineStr">
        <is>
          <t>n.</t>
        </is>
      </c>
      <c r="E194" s="126" t="inlineStr">
        <is>
          <t>month</t>
        </is>
      </c>
      <c r="F194" s="126" t="inlineStr">
        <is>
          <t>tháng</t>
        </is>
      </c>
      <c r="G194" s="124" t="inlineStr">
        <is>
          <t>10</t>
        </is>
      </c>
      <c r="H194" s="123">
        <f>HYPERLINK("https://youglish.com/pronounce/月/chinese","🔍")</f>
        <v/>
      </c>
    </row>
    <row r="195">
      <c r="A195" s="120" t="n">
        <v>193</v>
      </c>
      <c r="B195" s="121" t="inlineStr">
        <is>
          <t>再见</t>
        </is>
      </c>
      <c r="C195" s="120" t="inlineStr">
        <is>
          <t>zàijiàn</t>
        </is>
      </c>
      <c r="D195" s="120" t="inlineStr">
        <is>
          <t>v.</t>
        </is>
      </c>
      <c r="E195" s="122" t="inlineStr">
        <is>
          <t>goodbye; bye; see you</t>
        </is>
      </c>
      <c r="F195" s="122" t="inlineStr">
        <is>
          <t>tạm biệt</t>
        </is>
      </c>
      <c r="G195" s="120" t="inlineStr">
        <is>
          <t>4</t>
        </is>
      </c>
      <c r="H195" s="123">
        <f>HYPERLINK("https://youglish.com/pronounce/再见/chinese","🔍")</f>
        <v/>
      </c>
    </row>
    <row r="196">
      <c r="A196" s="124" t="n">
        <v>194</v>
      </c>
      <c r="B196" s="125" t="inlineStr">
        <is>
          <t>在</t>
        </is>
      </c>
      <c r="C196" s="124" t="inlineStr">
        <is>
          <t>zài</t>
        </is>
      </c>
      <c r="D196" s="124" t="inlineStr">
        <is>
          <t>prep./v.</t>
        </is>
      </c>
      <c r="E196" s="126" t="inlineStr">
        <is>
          <t>at; in / be</t>
        </is>
      </c>
      <c r="F196" s="126" t="inlineStr">
        <is>
          <t>ở</t>
        </is>
      </c>
      <c r="G196" s="124" t="inlineStr">
        <is>
          <t>3</t>
        </is>
      </c>
      <c r="H196" s="123">
        <f>HYPERLINK("https://youglish.com/pronounce/在/chinese","🔍")</f>
        <v/>
      </c>
    </row>
    <row r="197">
      <c r="A197" s="120" t="n">
        <v>195</v>
      </c>
      <c r="B197" s="121" t="inlineStr">
        <is>
          <t>在</t>
        </is>
      </c>
      <c r="C197" s="120" t="inlineStr">
        <is>
          <t>zài</t>
        </is>
      </c>
      <c r="D197" s="120" t="inlineStr">
        <is>
          <t>v.</t>
        </is>
      </c>
      <c r="E197" s="122" t="inlineStr">
        <is>
          <t>exist; lie; be at; be on</t>
        </is>
      </c>
      <c r="F197" s="122" t="inlineStr">
        <is>
          <t>ở; tồn tại</t>
        </is>
      </c>
      <c r="G197" s="120" t="inlineStr">
        <is>
          <t>6</t>
        </is>
      </c>
      <c r="H197" s="123">
        <f>HYPERLINK("https://youglish.com/pronounce/在/chinese","🔍")</f>
        <v/>
      </c>
    </row>
    <row r="198">
      <c r="A198" s="124" t="n">
        <v>196</v>
      </c>
      <c r="B198" s="125" t="inlineStr">
        <is>
          <t>早</t>
        </is>
      </c>
      <c r="C198" s="124" t="inlineStr">
        <is>
          <t>zǎo</t>
        </is>
      </c>
      <c r="D198" s="124" t="inlineStr">
        <is>
          <t>adj.</t>
        </is>
      </c>
      <c r="E198" s="126" t="inlineStr">
        <is>
          <t>early</t>
        </is>
      </c>
      <c r="F198" s="126" t="inlineStr">
        <is>
          <t>sớm</t>
        </is>
      </c>
      <c r="G198" s="124" t="inlineStr">
        <is>
          <t>9</t>
        </is>
      </c>
      <c r="H198" s="123">
        <f>HYPERLINK("https://youglish.com/pronounce/早/chinese","🔍")</f>
        <v/>
      </c>
    </row>
    <row r="199">
      <c r="A199" s="120" t="n">
        <v>197</v>
      </c>
      <c r="B199" s="121" t="inlineStr">
        <is>
          <t>早上</t>
        </is>
      </c>
      <c r="C199" s="120" t="inlineStr">
        <is>
          <t>zǎoshang</t>
        </is>
      </c>
      <c r="D199" s="120" t="inlineStr">
        <is>
          <t>n.</t>
        </is>
      </c>
      <c r="E199" s="122" t="inlineStr">
        <is>
          <t>morning</t>
        </is>
      </c>
      <c r="F199" s="122" t="inlineStr">
        <is>
          <t>buổi sáng (sớm)</t>
        </is>
      </c>
      <c r="G199" s="120" t="inlineStr">
        <is>
          <t>1</t>
        </is>
      </c>
      <c r="H199" s="123">
        <f>HYPERLINK("https://youglish.com/pronounce/早上/chinese","🔍")</f>
        <v/>
      </c>
    </row>
    <row r="200">
      <c r="A200" s="124" t="n">
        <v>198</v>
      </c>
      <c r="B200" s="125" t="inlineStr">
        <is>
          <t>怎么样</t>
        </is>
      </c>
      <c r="C200" s="124" t="inlineStr">
        <is>
          <t>zěnmeyàng</t>
        </is>
      </c>
      <c r="D200" s="124" t="inlineStr">
        <is>
          <t>pron.</t>
        </is>
      </c>
      <c r="E200" s="126" t="inlineStr">
        <is>
          <t>How about it? What do you think?</t>
        </is>
      </c>
      <c r="F200" s="126" t="inlineStr">
        <is>
          <t>thế nào; bạn thấy sao</t>
        </is>
      </c>
      <c r="G200" s="124" t="inlineStr">
        <is>
          <t>19</t>
        </is>
      </c>
      <c r="H200" s="123">
        <f>HYPERLINK("https://youglish.com/pronounce/怎么样/chinese","🔍")</f>
        <v/>
      </c>
    </row>
    <row r="201">
      <c r="A201" s="120" t="n">
        <v>199</v>
      </c>
      <c r="B201" s="121" t="inlineStr">
        <is>
          <t>张</t>
        </is>
      </c>
      <c r="C201" s="120" t="inlineStr">
        <is>
          <t>zhāng</t>
        </is>
      </c>
      <c r="D201" s="120" t="inlineStr">
        <is>
          <t>mw.</t>
        </is>
      </c>
      <c r="E201" s="122" t="inlineStr">
        <is>
          <t>used for paper, bed, table, face, etc.</t>
        </is>
      </c>
      <c r="F201" s="122" t="inlineStr">
        <is>
          <t>tờ; cái (lượng từ)</t>
        </is>
      </c>
      <c r="G201" s="120" t="inlineStr">
        <is>
          <t>14</t>
        </is>
      </c>
      <c r="H201" s="123">
        <f>HYPERLINK("https://youglish.com/pronounce/张/chinese","🔍")</f>
        <v/>
      </c>
    </row>
    <row r="202">
      <c r="A202" s="124" t="n">
        <v>200</v>
      </c>
      <c r="B202" s="125" t="inlineStr">
        <is>
          <t>找</t>
        </is>
      </c>
      <c r="C202" s="124" t="inlineStr">
        <is>
          <t>zhǎo</t>
        </is>
      </c>
      <c r="D202" s="124" t="inlineStr">
        <is>
          <t>v.</t>
        </is>
      </c>
      <c r="E202" s="126" t="inlineStr">
        <is>
          <t>give change; seek; look for</t>
        </is>
      </c>
      <c r="F202" s="126" t="inlineStr">
        <is>
          <t>tìm; trả lại (tiền thừa)</t>
        </is>
      </c>
      <c r="G202" s="124" t="inlineStr">
        <is>
          <t>14</t>
        </is>
      </c>
      <c r="H202" s="123">
        <f>HYPERLINK("https://youglish.com/pronounce/找/chinese","🔍")</f>
        <v/>
      </c>
    </row>
    <row r="203">
      <c r="A203" s="120" t="n">
        <v>201</v>
      </c>
      <c r="B203" s="121" t="inlineStr">
        <is>
          <t>这</t>
        </is>
      </c>
      <c r="C203" s="120" t="inlineStr">
        <is>
          <t>zhè</t>
        </is>
      </c>
      <c r="D203" s="120" t="inlineStr">
        <is>
          <t>pron.</t>
        </is>
      </c>
      <c r="E203" s="122" t="inlineStr">
        <is>
          <t>this</t>
        </is>
      </c>
      <c r="F203" s="122" t="inlineStr">
        <is>
          <t>này</t>
        </is>
      </c>
      <c r="G203" s="120" t="inlineStr">
        <is>
          <t>3</t>
        </is>
      </c>
      <c r="H203" s="123">
        <f>HYPERLINK("https://youglish.com/pronounce/这/chinese","🔍")</f>
        <v/>
      </c>
    </row>
    <row r="204">
      <c r="A204" s="124" t="n">
        <v>202</v>
      </c>
      <c r="B204" s="125" t="inlineStr">
        <is>
          <t>这儿</t>
        </is>
      </c>
      <c r="C204" s="124" t="inlineStr">
        <is>
          <t>zhèr</t>
        </is>
      </c>
      <c r="D204" s="124" t="inlineStr">
        <is>
          <t>pron.</t>
        </is>
      </c>
      <c r="E204" s="126" t="inlineStr">
        <is>
          <t>here</t>
        </is>
      </c>
      <c r="F204" s="126" t="inlineStr">
        <is>
          <t>ở đây</t>
        </is>
      </c>
      <c r="G204" s="124" t="inlineStr">
        <is>
          <t>3</t>
        </is>
      </c>
      <c r="H204" s="123">
        <f>HYPERLINK("https://youglish.com/pronounce/这儿/chinese","🔍")</f>
        <v/>
      </c>
    </row>
    <row r="205">
      <c r="A205" s="120" t="n">
        <v>203</v>
      </c>
      <c r="B205" s="121" t="inlineStr">
        <is>
          <t>真</t>
        </is>
      </c>
      <c r="C205" s="120" t="inlineStr">
        <is>
          <t>zhēn</t>
        </is>
      </c>
      <c r="D205" s="120" t="inlineStr">
        <is>
          <t>adv.</t>
        </is>
      </c>
      <c r="E205" s="122" t="inlineStr">
        <is>
          <t>indeed; really</t>
        </is>
      </c>
      <c r="F205" s="122" t="inlineStr">
        <is>
          <t>thật; thật là</t>
        </is>
      </c>
      <c r="G205" s="120" t="inlineStr">
        <is>
          <t>5</t>
        </is>
      </c>
      <c r="H205" s="123">
        <f>HYPERLINK("https://youglish.com/pronounce/真/chinese","🔍")</f>
        <v/>
      </c>
    </row>
    <row r="206">
      <c r="A206" s="124" t="n">
        <v>204</v>
      </c>
      <c r="B206" s="125" t="inlineStr">
        <is>
          <t>知道</t>
        </is>
      </c>
      <c r="C206" s="124" t="inlineStr">
        <is>
          <t>zhīdào</t>
        </is>
      </c>
      <c r="D206" s="124" t="inlineStr">
        <is>
          <t>v.</t>
        </is>
      </c>
      <c r="E206" s="126" t="inlineStr">
        <is>
          <t>know; be aware of</t>
        </is>
      </c>
      <c r="F206" s="126" t="inlineStr">
        <is>
          <t>biết</t>
        </is>
      </c>
      <c r="G206" s="124" t="inlineStr">
        <is>
          <t>6</t>
        </is>
      </c>
      <c r="H206" s="123">
        <f>HYPERLINK("https://youglish.com/pronounce/知道/chinese","🔍")</f>
        <v/>
      </c>
    </row>
    <row r="207">
      <c r="A207" s="120" t="n">
        <v>205</v>
      </c>
      <c r="B207" s="121" t="inlineStr">
        <is>
          <t>中国</t>
        </is>
      </c>
      <c r="C207" s="120" t="inlineStr">
        <is>
          <t>Zhōngguó</t>
        </is>
      </c>
      <c r="D207" s="120" t="inlineStr">
        <is>
          <t>n.</t>
        </is>
      </c>
      <c r="E207" s="122" t="inlineStr">
        <is>
          <t>China</t>
        </is>
      </c>
      <c r="F207" s="122" t="inlineStr">
        <is>
          <t>Trung Quốc</t>
        </is>
      </c>
      <c r="G207" s="120" t="inlineStr">
        <is>
          <t>5</t>
        </is>
      </c>
      <c r="H207" s="123">
        <f>HYPERLINK("https://youglish.com/pronounce/中国/chinese","🔍")</f>
        <v/>
      </c>
    </row>
    <row r="208">
      <c r="A208" s="124" t="n">
        <v>206</v>
      </c>
      <c r="B208" s="125" t="inlineStr">
        <is>
          <t>中午</t>
        </is>
      </c>
      <c r="C208" s="124" t="inlineStr">
        <is>
          <t>zhōngwǔ</t>
        </is>
      </c>
      <c r="D208" s="124" t="inlineStr">
        <is>
          <t>n.</t>
        </is>
      </c>
      <c r="E208" s="126" t="inlineStr">
        <is>
          <t>noon; midday; noonday</t>
        </is>
      </c>
      <c r="F208" s="126" t="inlineStr">
        <is>
          <t>buổi trưa</t>
        </is>
      </c>
      <c r="G208" s="124" t="inlineStr">
        <is>
          <t>10</t>
        </is>
      </c>
      <c r="H208" s="123">
        <f>HYPERLINK("https://youglish.com/pronounce/中午/chinese","🔍")</f>
        <v/>
      </c>
    </row>
    <row r="209">
      <c r="A209" s="120" t="n">
        <v>207</v>
      </c>
      <c r="B209" s="121" t="inlineStr">
        <is>
          <t>周</t>
        </is>
      </c>
      <c r="C209" s="120" t="inlineStr">
        <is>
          <t>zhōu</t>
        </is>
      </c>
      <c r="D209" s="120" t="inlineStr">
        <is>
          <t>n.</t>
        </is>
      </c>
      <c r="E209" s="122" t="inlineStr">
        <is>
          <t>week</t>
        </is>
      </c>
      <c r="F209" s="122" t="inlineStr">
        <is>
          <t>tuần</t>
        </is>
      </c>
      <c r="G209" s="120" t="inlineStr">
        <is>
          <t>7</t>
        </is>
      </c>
      <c r="H209" s="123">
        <f>HYPERLINK("https://youglish.com/pronounce/周/chinese","🔍")</f>
        <v/>
      </c>
    </row>
    <row r="210">
      <c r="A210" s="124" t="n">
        <v>208</v>
      </c>
      <c r="B210" s="125" t="inlineStr">
        <is>
          <t>周二</t>
        </is>
      </c>
      <c r="C210" s="124" t="inlineStr">
        <is>
          <t>zhōu'èr</t>
        </is>
      </c>
      <c r="D210" s="124" t="inlineStr">
        <is>
          <t>n.</t>
        </is>
      </c>
      <c r="E210" s="126" t="inlineStr">
        <is>
          <t>Tuesday</t>
        </is>
      </c>
      <c r="F210" s="126" t="inlineStr">
        <is>
          <t>thứ Ba</t>
        </is>
      </c>
      <c r="G210" s="124" t="inlineStr">
        <is>
          <t>7</t>
        </is>
      </c>
      <c r="H210" s="123">
        <f>HYPERLINK("https://youglish.com/pronounce/周二/chinese","🔍")</f>
        <v/>
      </c>
    </row>
    <row r="211">
      <c r="A211" s="120" t="n">
        <v>209</v>
      </c>
      <c r="B211" s="121" t="inlineStr">
        <is>
          <t>周六</t>
        </is>
      </c>
      <c r="C211" s="120" t="inlineStr">
        <is>
          <t>zhōuliù</t>
        </is>
      </c>
      <c r="D211" s="120" t="inlineStr">
        <is>
          <t>n.</t>
        </is>
      </c>
      <c r="E211" s="122" t="inlineStr">
        <is>
          <t>Saturday</t>
        </is>
      </c>
      <c r="F211" s="122" t="inlineStr">
        <is>
          <t>thứ Bảy</t>
        </is>
      </c>
      <c r="G211" s="120" t="inlineStr">
        <is>
          <t>8</t>
        </is>
      </c>
      <c r="H211" s="123">
        <f>HYPERLINK("https://youglish.com/pronounce/周六/chinese","🔍")</f>
        <v/>
      </c>
    </row>
    <row r="212">
      <c r="A212" s="124" t="n">
        <v>210</v>
      </c>
      <c r="B212" s="125" t="inlineStr">
        <is>
          <t>周日</t>
        </is>
      </c>
      <c r="C212" s="124" t="inlineStr">
        <is>
          <t>zhōurì</t>
        </is>
      </c>
      <c r="D212" s="124" t="inlineStr">
        <is>
          <t>n.</t>
        </is>
      </c>
      <c r="E212" s="126" t="inlineStr">
        <is>
          <t>Sunday</t>
        </is>
      </c>
      <c r="F212" s="126" t="inlineStr">
        <is>
          <t>Chủ nhật</t>
        </is>
      </c>
      <c r="G212" s="124" t="inlineStr">
        <is>
          <t>8</t>
        </is>
      </c>
      <c r="H212" s="123">
        <f>HYPERLINK("https://youglish.com/pronounce/周日/chinese","🔍")</f>
        <v/>
      </c>
    </row>
    <row r="213">
      <c r="A213" s="120" t="n">
        <v>211</v>
      </c>
      <c r="B213" s="121" t="inlineStr">
        <is>
          <t>周三</t>
        </is>
      </c>
      <c r="C213" s="120" t="inlineStr">
        <is>
          <t>zhōusān</t>
        </is>
      </c>
      <c r="D213" s="120" t="inlineStr">
        <is>
          <t>n.</t>
        </is>
      </c>
      <c r="E213" s="122" t="inlineStr">
        <is>
          <t>Wednesday</t>
        </is>
      </c>
      <c r="F213" s="122" t="inlineStr">
        <is>
          <t>thứ Tư</t>
        </is>
      </c>
      <c r="G213" s="120" t="inlineStr">
        <is>
          <t>7</t>
        </is>
      </c>
      <c r="H213" s="123">
        <f>HYPERLINK("https://youglish.com/pronounce/周三/chinese","🔍")</f>
        <v/>
      </c>
    </row>
    <row r="214">
      <c r="A214" s="124" t="n">
        <v>212</v>
      </c>
      <c r="B214" s="125" t="inlineStr">
        <is>
          <t>周四</t>
        </is>
      </c>
      <c r="C214" s="124" t="inlineStr">
        <is>
          <t>zhōusì</t>
        </is>
      </c>
      <c r="D214" s="124" t="inlineStr">
        <is>
          <t>n.</t>
        </is>
      </c>
      <c r="E214" s="126" t="inlineStr">
        <is>
          <t>Thursday</t>
        </is>
      </c>
      <c r="F214" s="126" t="inlineStr">
        <is>
          <t>thứ Năm</t>
        </is>
      </c>
      <c r="G214" s="124" t="inlineStr">
        <is>
          <t>7</t>
        </is>
      </c>
      <c r="H214" s="123">
        <f>HYPERLINK("https://youglish.com/pronounce/周四/chinese","🔍")</f>
        <v/>
      </c>
    </row>
    <row r="215">
      <c r="A215" s="120" t="n">
        <v>213</v>
      </c>
      <c r="B215" s="121" t="inlineStr">
        <is>
          <t>住</t>
        </is>
      </c>
      <c r="C215" s="120" t="inlineStr">
        <is>
          <t>zhù</t>
        </is>
      </c>
      <c r="D215" s="120" t="inlineStr">
        <is>
          <t>v.</t>
        </is>
      </c>
      <c r="E215" s="122" t="inlineStr">
        <is>
          <t>live; stay; dwell</t>
        </is>
      </c>
      <c r="F215" s="122" t="inlineStr">
        <is>
          <t>ở; cư trú</t>
        </is>
      </c>
      <c r="G215" s="120" t="inlineStr">
        <is>
          <t>11</t>
        </is>
      </c>
      <c r="H215" s="123">
        <f>HYPERLINK("https://youglish.com/pronounce/住/chinese","🔍")</f>
        <v/>
      </c>
    </row>
    <row r="216">
      <c r="A216" s="124" t="n">
        <v>214</v>
      </c>
      <c r="B216" s="125" t="inlineStr">
        <is>
          <t>桌子</t>
        </is>
      </c>
      <c r="C216" s="124" t="inlineStr">
        <is>
          <t>zhuōzi</t>
        </is>
      </c>
      <c r="D216" s="124" t="inlineStr">
        <is>
          <t>n.</t>
        </is>
      </c>
      <c r="E216" s="126" t="inlineStr">
        <is>
          <t>desk; table</t>
        </is>
      </c>
      <c r="F216" s="126" t="inlineStr">
        <is>
          <t>cái bàn</t>
        </is>
      </c>
      <c r="G216" s="124" t="inlineStr">
        <is>
          <t>17</t>
        </is>
      </c>
      <c r="H216" s="123">
        <f>HYPERLINK("https://youglish.com/pronounce/桌子/chinese","🔍")</f>
        <v/>
      </c>
    </row>
    <row r="217">
      <c r="A217" s="120" t="n">
        <v>215</v>
      </c>
      <c r="B217" s="121" t="inlineStr">
        <is>
          <t>走</t>
        </is>
      </c>
      <c r="C217" s="120" t="inlineStr">
        <is>
          <t>zǒu</t>
        </is>
      </c>
      <c r="D217" s="120" t="inlineStr">
        <is>
          <t>v.</t>
        </is>
      </c>
      <c r="E217" s="122" t="inlineStr">
        <is>
          <t>walk</t>
        </is>
      </c>
      <c r="F217" s="122" t="inlineStr">
        <is>
          <t>đi; đi bộ</t>
        </is>
      </c>
      <c r="G217" s="120" t="inlineStr">
        <is>
          <t>16</t>
        </is>
      </c>
      <c r="H217" s="123">
        <f>HYPERLINK("https://youglish.com/pronounce/走/chinese","🔍")</f>
        <v/>
      </c>
    </row>
    <row r="218">
      <c r="A218" s="124" t="n">
        <v>216</v>
      </c>
      <c r="B218" s="125" t="inlineStr">
        <is>
          <t>左边</t>
        </is>
      </c>
      <c r="C218" s="124" t="inlineStr">
        <is>
          <t>zuǒbian</t>
        </is>
      </c>
      <c r="D218" s="124" t="inlineStr">
        <is>
          <t>n.</t>
        </is>
      </c>
      <c r="E218" s="126" t="inlineStr">
        <is>
          <t>left; the left side</t>
        </is>
      </c>
      <c r="F218" s="126" t="inlineStr">
        <is>
          <t>bên trái</t>
        </is>
      </c>
      <c r="G218" s="124" t="inlineStr">
        <is>
          <t>16</t>
        </is>
      </c>
      <c r="H218" s="123">
        <f>HYPERLINK("https://youglish.com/pronounce/左边/chinese","🔍")</f>
        <v/>
      </c>
    </row>
    <row r="219">
      <c r="A219" s="120" t="n">
        <v>217</v>
      </c>
      <c r="B219" s="121" t="inlineStr">
        <is>
          <t>坐</t>
        </is>
      </c>
      <c r="C219" s="120" t="inlineStr">
        <is>
          <t>zuò</t>
        </is>
      </c>
      <c r="D219" s="120" t="inlineStr">
        <is>
          <t>v.</t>
        </is>
      </c>
      <c r="E219" s="122" t="inlineStr">
        <is>
          <t>sit</t>
        </is>
      </c>
      <c r="F219" s="122" t="inlineStr">
        <is>
          <t>ngồi</t>
        </is>
      </c>
      <c r="G219" s="120" t="inlineStr">
        <is>
          <t>2</t>
        </is>
      </c>
      <c r="H219" s="123">
        <f>HYPERLINK("https://youglish.com/pronounce/坐/chinese","🔍")</f>
        <v/>
      </c>
    </row>
  </sheetData>
  <autoFilter ref="A2:H219"/>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2026-06-17T15:55:48Z</dcterms:created>
  <dcterms:modified xmlns:dcterms="http://purl.org/dc/terms/" xmlns:xsi="http://www.w3.org/2001/XMLSchema-instance" xsi:type="dcterms:W3CDTF">2026-08-17T14:51:35Z</dcterms:modified>
  <cp:lastModifiedBy>NGUYEN Hoang Anh</cp:lastModifiedBy>
</cp:coreProperties>
</file>